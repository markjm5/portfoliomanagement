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F3F8C361-CC6E-E546-890C-39593460F3E3}" xr6:coauthVersionLast="47" xr6:coauthVersionMax="47" xr10:uidLastSave="{00000000-0000-0000-0000-000000000000}"/>
  <bookViews>
    <workbookView xWindow="-60220" yWindow="-640" windowWidth="55920" windowHeight="28300" activeTab="7" xr2:uid="{00000000-000D-0000-FFFF-FFFF00000000}"/>
  </bookViews>
  <sheets>
    <sheet name="Note" sheetId="1" r:id="rId1"/>
    <sheet name="Velocity" sheetId="2" r:id="rId2"/>
    <sheet name="DB Money Supply" sheetId="3" r:id="rId3"/>
    <sheet name="Data" sheetId="4" r:id="rId4"/>
    <sheet name="US M1 Real Monthly" sheetId="5" r:id="rId5"/>
    <sheet name="US M2 Real  Monthly" sheetId="6" r:id="rId6"/>
    <sheet name="US M1" sheetId="7" r:id="rId7"/>
    <sheet name="US M2 " sheetId="8" r:id="rId8"/>
    <sheet name="Money Supply Monthly" sheetId="10" r:id="rId9"/>
    <sheet name="yoy" sheetId="11" r:id="rId10"/>
    <sheet name="momAnnualized" sheetId="12" r:id="rId11"/>
    <sheet name="Country" sheetId="13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56" i="8" l="1"/>
  <c r="C756" i="8" s="1"/>
  <c r="D756" i="8" s="1"/>
  <c r="B757" i="8"/>
  <c r="C757" i="8" s="1"/>
  <c r="D757" i="8" s="1"/>
  <c r="B758" i="8"/>
  <c r="B759" i="8"/>
  <c r="C759" i="8"/>
  <c r="D759" i="8"/>
  <c r="B760" i="8"/>
  <c r="C760" i="8"/>
  <c r="D760" i="8" s="1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C542" i="8" s="1"/>
  <c r="D542" i="8" s="1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C557" i="8" s="1"/>
  <c r="D557" i="8" s="1"/>
  <c r="B558" i="8"/>
  <c r="B559" i="8"/>
  <c r="B560" i="8"/>
  <c r="B561" i="8"/>
  <c r="B562" i="8"/>
  <c r="B563" i="8"/>
  <c r="B564" i="8"/>
  <c r="B565" i="8"/>
  <c r="C565" i="8" s="1"/>
  <c r="D565" i="8" s="1"/>
  <c r="B566" i="8"/>
  <c r="B567" i="8"/>
  <c r="B568" i="8"/>
  <c r="B569" i="8"/>
  <c r="B570" i="8"/>
  <c r="B571" i="8"/>
  <c r="C571" i="8" s="1"/>
  <c r="D571" i="8" s="1"/>
  <c r="B572" i="8"/>
  <c r="C572" i="8" s="1"/>
  <c r="D572" i="8" s="1"/>
  <c r="B573" i="8"/>
  <c r="B574" i="8"/>
  <c r="B575" i="8"/>
  <c r="B576" i="8"/>
  <c r="B577" i="8"/>
  <c r="B578" i="8"/>
  <c r="C578" i="8" s="1"/>
  <c r="D578" i="8" s="1"/>
  <c r="B579" i="8"/>
  <c r="C579" i="8" s="1"/>
  <c r="D579" i="8" s="1"/>
  <c r="B580" i="8"/>
  <c r="C580" i="8" s="1"/>
  <c r="D580" i="8" s="1"/>
  <c r="B581" i="8"/>
  <c r="B582" i="8"/>
  <c r="B583" i="8"/>
  <c r="B584" i="8"/>
  <c r="B585" i="8"/>
  <c r="B586" i="8"/>
  <c r="B587" i="8"/>
  <c r="B588" i="8"/>
  <c r="B589" i="8"/>
  <c r="C589" i="8" s="1"/>
  <c r="D589" i="8" s="1"/>
  <c r="B590" i="8"/>
  <c r="B591" i="8"/>
  <c r="B592" i="8"/>
  <c r="B593" i="8"/>
  <c r="B594" i="8"/>
  <c r="B595" i="8"/>
  <c r="B596" i="8"/>
  <c r="C596" i="8" s="1"/>
  <c r="D596" i="8" s="1"/>
  <c r="B597" i="8"/>
  <c r="C597" i="8" s="1"/>
  <c r="D597" i="8" s="1"/>
  <c r="B598" i="8"/>
  <c r="B599" i="8"/>
  <c r="B600" i="8"/>
  <c r="B601" i="8"/>
  <c r="B602" i="8"/>
  <c r="B603" i="8"/>
  <c r="B604" i="8"/>
  <c r="C604" i="8" s="1"/>
  <c r="D604" i="8" s="1"/>
  <c r="B605" i="8"/>
  <c r="C605" i="8" s="1"/>
  <c r="D605" i="8" s="1"/>
  <c r="B606" i="8"/>
  <c r="B607" i="8"/>
  <c r="B608" i="8"/>
  <c r="B609" i="8"/>
  <c r="B610" i="8"/>
  <c r="C610" i="8" s="1"/>
  <c r="D610" i="8" s="1"/>
  <c r="B611" i="8"/>
  <c r="C611" i="8" s="1"/>
  <c r="D611" i="8" s="1"/>
  <c r="B612" i="8"/>
  <c r="B613" i="8"/>
  <c r="B614" i="8"/>
  <c r="B615" i="8"/>
  <c r="B616" i="8"/>
  <c r="B617" i="8"/>
  <c r="B618" i="8"/>
  <c r="C618" i="8" s="1"/>
  <c r="D618" i="8" s="1"/>
  <c r="B619" i="8"/>
  <c r="B620" i="8"/>
  <c r="B621" i="8"/>
  <c r="B622" i="8"/>
  <c r="B623" i="8"/>
  <c r="B624" i="8"/>
  <c r="B625" i="8"/>
  <c r="B626" i="8"/>
  <c r="B627" i="8"/>
  <c r="B628" i="8"/>
  <c r="C628" i="8" s="1"/>
  <c r="D628" i="8" s="1"/>
  <c r="B629" i="8"/>
  <c r="C629" i="8" s="1"/>
  <c r="D629" i="8" s="1"/>
  <c r="B630" i="8"/>
  <c r="B631" i="8"/>
  <c r="B632" i="8"/>
  <c r="B633" i="8"/>
  <c r="B634" i="8"/>
  <c r="C634" i="8" s="1"/>
  <c r="D634" i="8" s="1"/>
  <c r="B635" i="8"/>
  <c r="C635" i="8" s="1"/>
  <c r="D635" i="8" s="1"/>
  <c r="B636" i="8"/>
  <c r="B637" i="8"/>
  <c r="B638" i="8"/>
  <c r="B639" i="8"/>
  <c r="B640" i="8"/>
  <c r="B641" i="8"/>
  <c r="B642" i="8"/>
  <c r="B643" i="8"/>
  <c r="B644" i="8"/>
  <c r="B645" i="8"/>
  <c r="C645" i="8" s="1"/>
  <c r="D645" i="8" s="1"/>
  <c r="B646" i="8"/>
  <c r="B647" i="8"/>
  <c r="B648" i="8"/>
  <c r="B649" i="8"/>
  <c r="B650" i="8"/>
  <c r="B651" i="8"/>
  <c r="B652" i="8"/>
  <c r="C652" i="8" s="1"/>
  <c r="D652" i="8" s="1"/>
  <c r="B653" i="8"/>
  <c r="C653" i="8" s="1"/>
  <c r="D653" i="8" s="1"/>
  <c r="B654" i="8"/>
  <c r="B655" i="8"/>
  <c r="B656" i="8"/>
  <c r="B657" i="8"/>
  <c r="B658" i="8"/>
  <c r="C658" i="8" s="1"/>
  <c r="D658" i="8" s="1"/>
  <c r="B659" i="8"/>
  <c r="C659" i="8" s="1"/>
  <c r="D659" i="8" s="1"/>
  <c r="B660" i="8"/>
  <c r="B661" i="8"/>
  <c r="B662" i="8"/>
  <c r="B663" i="8"/>
  <c r="B664" i="8"/>
  <c r="B665" i="8"/>
  <c r="B666" i="8"/>
  <c r="C666" i="8" s="1"/>
  <c r="D666" i="8" s="1"/>
  <c r="B667" i="8"/>
  <c r="B668" i="8"/>
  <c r="B669" i="8"/>
  <c r="C669" i="8" s="1"/>
  <c r="D669" i="8" s="1"/>
  <c r="B670" i="8"/>
  <c r="B671" i="8"/>
  <c r="B672" i="8"/>
  <c r="B673" i="8"/>
  <c r="B674" i="8"/>
  <c r="B675" i="8"/>
  <c r="B676" i="8"/>
  <c r="C676" i="8" s="1"/>
  <c r="D676" i="8" s="1"/>
  <c r="B677" i="8"/>
  <c r="C677" i="8" s="1"/>
  <c r="D677" i="8" s="1"/>
  <c r="B678" i="8"/>
  <c r="B679" i="8"/>
  <c r="B680" i="8"/>
  <c r="B681" i="8"/>
  <c r="B682" i="8"/>
  <c r="C682" i="8" s="1"/>
  <c r="D682" i="8" s="1"/>
  <c r="B683" i="8"/>
  <c r="C683" i="8" s="1"/>
  <c r="D683" i="8" s="1"/>
  <c r="B684" i="8"/>
  <c r="B685" i="8"/>
  <c r="B686" i="8"/>
  <c r="B687" i="8"/>
  <c r="B688" i="8"/>
  <c r="B689" i="8"/>
  <c r="B690" i="8"/>
  <c r="C690" i="8" s="1"/>
  <c r="D690" i="8" s="1"/>
  <c r="B691" i="8"/>
  <c r="B692" i="8"/>
  <c r="B693" i="8"/>
  <c r="B694" i="8"/>
  <c r="B695" i="8"/>
  <c r="B696" i="8"/>
  <c r="B697" i="8"/>
  <c r="B698" i="8"/>
  <c r="C698" i="8" s="1"/>
  <c r="D698" i="8" s="1"/>
  <c r="B699" i="8"/>
  <c r="B700" i="8"/>
  <c r="B701" i="8"/>
  <c r="C701" i="8" s="1"/>
  <c r="D701" i="8" s="1"/>
  <c r="B702" i="8"/>
  <c r="B703" i="8"/>
  <c r="B704" i="8"/>
  <c r="B705" i="8"/>
  <c r="B706" i="8"/>
  <c r="B707" i="8"/>
  <c r="C707" i="8" s="1"/>
  <c r="D707" i="8" s="1"/>
  <c r="B708" i="8"/>
  <c r="C708" i="8" s="1"/>
  <c r="D708" i="8" s="1"/>
  <c r="B709" i="8"/>
  <c r="C709" i="8" s="1"/>
  <c r="D709" i="8" s="1"/>
  <c r="B710" i="8"/>
  <c r="B711" i="8"/>
  <c r="B712" i="8"/>
  <c r="B713" i="8"/>
  <c r="B714" i="8"/>
  <c r="C714" i="8" s="1"/>
  <c r="D714" i="8" s="1"/>
  <c r="B715" i="8"/>
  <c r="B716" i="8"/>
  <c r="B717" i="8"/>
  <c r="C718" i="8" s="1"/>
  <c r="D718" i="8" s="1"/>
  <c r="B718" i="8"/>
  <c r="B719" i="8"/>
  <c r="B720" i="8"/>
  <c r="B721" i="8"/>
  <c r="B722" i="8"/>
  <c r="B723" i="8"/>
  <c r="B724" i="8"/>
  <c r="B725" i="8"/>
  <c r="C726" i="8" s="1"/>
  <c r="D726" i="8" s="1"/>
  <c r="B726" i="8"/>
  <c r="B727" i="8"/>
  <c r="B728" i="8"/>
  <c r="B729" i="8"/>
  <c r="B730" i="8"/>
  <c r="B731" i="8"/>
  <c r="B732" i="8"/>
  <c r="B733" i="8"/>
  <c r="C734" i="8" s="1"/>
  <c r="D734" i="8" s="1"/>
  <c r="B734" i="8"/>
  <c r="B735" i="8"/>
  <c r="B736" i="8"/>
  <c r="B737" i="8"/>
  <c r="B738" i="8"/>
  <c r="C738" i="8" s="1"/>
  <c r="D738" i="8" s="1"/>
  <c r="B739" i="8"/>
  <c r="C739" i="8" s="1"/>
  <c r="D739" i="8" s="1"/>
  <c r="B740" i="8"/>
  <c r="C740" i="8" s="1"/>
  <c r="D740" i="8" s="1"/>
  <c r="B741" i="8"/>
  <c r="B742" i="8"/>
  <c r="B743" i="8"/>
  <c r="B744" i="8"/>
  <c r="B745" i="8"/>
  <c r="B746" i="8"/>
  <c r="C746" i="8" s="1"/>
  <c r="D746" i="8" s="1"/>
  <c r="B747" i="8"/>
  <c r="B748" i="8"/>
  <c r="B749" i="8"/>
  <c r="C750" i="8" s="1"/>
  <c r="D750" i="8" s="1"/>
  <c r="B750" i="8"/>
  <c r="B751" i="8"/>
  <c r="B752" i="8"/>
  <c r="B753" i="8"/>
  <c r="B754" i="8"/>
  <c r="B755" i="8"/>
  <c r="C755" i="8" s="1"/>
  <c r="D755" i="8" s="1"/>
  <c r="B6" i="8"/>
  <c r="B715" i="13"/>
  <c r="D715" i="13" s="1"/>
  <c r="B714" i="13"/>
  <c r="D714" i="13" s="1"/>
  <c r="B713" i="13"/>
  <c r="B712" i="13"/>
  <c r="D712" i="13" s="1"/>
  <c r="B711" i="13"/>
  <c r="D711" i="13" s="1"/>
  <c r="B710" i="13"/>
  <c r="D710" i="13" s="1"/>
  <c r="C709" i="13"/>
  <c r="B709" i="13"/>
  <c r="D709" i="13" s="1"/>
  <c r="D708" i="13"/>
  <c r="B708" i="13"/>
  <c r="B707" i="13"/>
  <c r="D707" i="13" s="1"/>
  <c r="B706" i="13"/>
  <c r="D706" i="13" s="1"/>
  <c r="B705" i="13"/>
  <c r="B704" i="13"/>
  <c r="D704" i="13" s="1"/>
  <c r="B703" i="13"/>
  <c r="C715" i="13" s="1"/>
  <c r="B702" i="13"/>
  <c r="C714" i="13" s="1"/>
  <c r="C701" i="13"/>
  <c r="B701" i="13"/>
  <c r="D701" i="13" s="1"/>
  <c r="D700" i="13"/>
  <c r="B700" i="13"/>
  <c r="C712" i="13" s="1"/>
  <c r="B699" i="13"/>
  <c r="D699" i="13" s="1"/>
  <c r="B698" i="13"/>
  <c r="C710" i="13" s="1"/>
  <c r="B697" i="13"/>
  <c r="B696" i="13"/>
  <c r="D696" i="13" s="1"/>
  <c r="B695" i="13"/>
  <c r="C707" i="13" s="1"/>
  <c r="B694" i="13"/>
  <c r="D694" i="13" s="1"/>
  <c r="C693" i="13"/>
  <c r="B693" i="13"/>
  <c r="D693" i="13" s="1"/>
  <c r="D692" i="13"/>
  <c r="B692" i="13"/>
  <c r="C704" i="13" s="1"/>
  <c r="B691" i="13"/>
  <c r="D691" i="13" s="1"/>
  <c r="B690" i="13"/>
  <c r="C702" i="13" s="1"/>
  <c r="B689" i="13"/>
  <c r="B688" i="13"/>
  <c r="D688" i="13" s="1"/>
  <c r="B687" i="13"/>
  <c r="C699" i="13" s="1"/>
  <c r="B686" i="13"/>
  <c r="D686" i="13" s="1"/>
  <c r="C685" i="13"/>
  <c r="B685" i="13"/>
  <c r="D685" i="13" s="1"/>
  <c r="D684" i="13"/>
  <c r="B684" i="13"/>
  <c r="C696" i="13" s="1"/>
  <c r="B683" i="13"/>
  <c r="D683" i="13" s="1"/>
  <c r="B682" i="13"/>
  <c r="C694" i="13" s="1"/>
  <c r="B681" i="13"/>
  <c r="B680" i="13"/>
  <c r="D680" i="13" s="1"/>
  <c r="B679" i="13"/>
  <c r="C691" i="13" s="1"/>
  <c r="B678" i="13"/>
  <c r="D678" i="13" s="1"/>
  <c r="C677" i="13"/>
  <c r="B677" i="13"/>
  <c r="D677" i="13" s="1"/>
  <c r="D676" i="13"/>
  <c r="B676" i="13"/>
  <c r="C688" i="13" s="1"/>
  <c r="B675" i="13"/>
  <c r="D675" i="13" s="1"/>
  <c r="B674" i="13"/>
  <c r="C686" i="13" s="1"/>
  <c r="B673" i="13"/>
  <c r="B672" i="13"/>
  <c r="D672" i="13" s="1"/>
  <c r="B671" i="13"/>
  <c r="C683" i="13" s="1"/>
  <c r="B670" i="13"/>
  <c r="D670" i="13" s="1"/>
  <c r="C669" i="13"/>
  <c r="B669" i="13"/>
  <c r="D669" i="13" s="1"/>
  <c r="D668" i="13"/>
  <c r="B668" i="13"/>
  <c r="C680" i="13" s="1"/>
  <c r="B667" i="13"/>
  <c r="D667" i="13" s="1"/>
  <c r="B666" i="13"/>
  <c r="C678" i="13" s="1"/>
  <c r="B665" i="13"/>
  <c r="B664" i="13"/>
  <c r="D664" i="13" s="1"/>
  <c r="B663" i="13"/>
  <c r="C675" i="13" s="1"/>
  <c r="B662" i="13"/>
  <c r="D662" i="13" s="1"/>
  <c r="C661" i="13"/>
  <c r="B661" i="13"/>
  <c r="D661" i="13" s="1"/>
  <c r="D660" i="13"/>
  <c r="B660" i="13"/>
  <c r="C672" i="13" s="1"/>
  <c r="B659" i="13"/>
  <c r="D659" i="13" s="1"/>
  <c r="B658" i="13"/>
  <c r="C670" i="13" s="1"/>
  <c r="B657" i="13"/>
  <c r="B656" i="13"/>
  <c r="D656" i="13" s="1"/>
  <c r="C655" i="13"/>
  <c r="B655" i="13"/>
  <c r="C667" i="13" s="1"/>
  <c r="B654" i="13"/>
  <c r="D654" i="13" s="1"/>
  <c r="C653" i="13"/>
  <c r="B653" i="13"/>
  <c r="D653" i="13" s="1"/>
  <c r="D652" i="13"/>
  <c r="B652" i="13"/>
  <c r="C664" i="13" s="1"/>
  <c r="B651" i="13"/>
  <c r="B650" i="13"/>
  <c r="D649" i="13"/>
  <c r="B649" i="13"/>
  <c r="B648" i="13"/>
  <c r="B647" i="13"/>
  <c r="B646" i="13"/>
  <c r="D646" i="13" s="1"/>
  <c r="C645" i="13"/>
  <c r="B645" i="13"/>
  <c r="D645" i="13" s="1"/>
  <c r="D644" i="13"/>
  <c r="B644" i="13"/>
  <c r="C656" i="13" s="1"/>
  <c r="B643" i="13"/>
  <c r="B642" i="13"/>
  <c r="C654" i="13" s="1"/>
  <c r="D641" i="13"/>
  <c r="B641" i="13"/>
  <c r="B640" i="13"/>
  <c r="D640" i="13" s="1"/>
  <c r="D639" i="13"/>
  <c r="B639" i="13"/>
  <c r="C651" i="13" s="1"/>
  <c r="B638" i="13"/>
  <c r="B637" i="13"/>
  <c r="D636" i="13"/>
  <c r="B636" i="13"/>
  <c r="C648" i="13" s="1"/>
  <c r="B635" i="13"/>
  <c r="B634" i="13"/>
  <c r="B633" i="13"/>
  <c r="B632" i="13"/>
  <c r="D631" i="13"/>
  <c r="B631" i="13"/>
  <c r="C643" i="13" s="1"/>
  <c r="B630" i="13"/>
  <c r="B629" i="13"/>
  <c r="D628" i="13"/>
  <c r="B628" i="13"/>
  <c r="B627" i="13"/>
  <c r="B626" i="13"/>
  <c r="B625" i="13"/>
  <c r="B624" i="13"/>
  <c r="D624" i="13" s="1"/>
  <c r="D623" i="13"/>
  <c r="B623" i="13"/>
  <c r="C635" i="13" s="1"/>
  <c r="B622" i="13"/>
  <c r="B621" i="13"/>
  <c r="D620" i="13"/>
  <c r="B620" i="13"/>
  <c r="B619" i="13"/>
  <c r="B618" i="13"/>
  <c r="B617" i="13"/>
  <c r="B616" i="13"/>
  <c r="D616" i="13" s="1"/>
  <c r="D615" i="13"/>
  <c r="B615" i="13"/>
  <c r="C627" i="13" s="1"/>
  <c r="B614" i="13"/>
  <c r="B613" i="13"/>
  <c r="D612" i="13"/>
  <c r="C612" i="13"/>
  <c r="B612" i="13"/>
  <c r="B611" i="13"/>
  <c r="B610" i="13"/>
  <c r="B609" i="13"/>
  <c r="B608" i="13"/>
  <c r="D608" i="13" s="1"/>
  <c r="D607" i="13"/>
  <c r="B607" i="13"/>
  <c r="C619" i="13" s="1"/>
  <c r="B606" i="13"/>
  <c r="B605" i="13"/>
  <c r="D604" i="13"/>
  <c r="B604" i="13"/>
  <c r="B603" i="13"/>
  <c r="B602" i="13"/>
  <c r="D601" i="13"/>
  <c r="B601" i="13"/>
  <c r="B600" i="13"/>
  <c r="D600" i="13" s="1"/>
  <c r="D599" i="13"/>
  <c r="B599" i="13"/>
  <c r="C611" i="13" s="1"/>
  <c r="B598" i="13"/>
  <c r="B597" i="13"/>
  <c r="D596" i="13"/>
  <c r="B596" i="13"/>
  <c r="B595" i="13"/>
  <c r="B594" i="13"/>
  <c r="B593" i="13"/>
  <c r="B592" i="13"/>
  <c r="D591" i="13"/>
  <c r="B591" i="13"/>
  <c r="C603" i="13" s="1"/>
  <c r="B590" i="13"/>
  <c r="B589" i="13"/>
  <c r="D588" i="13"/>
  <c r="B588" i="13"/>
  <c r="B587" i="13"/>
  <c r="B586" i="13"/>
  <c r="B585" i="13"/>
  <c r="B584" i="13"/>
  <c r="B583" i="13"/>
  <c r="C595" i="13" s="1"/>
  <c r="B582" i="13"/>
  <c r="C581" i="13"/>
  <c r="B581" i="13"/>
  <c r="D580" i="13"/>
  <c r="B580" i="13"/>
  <c r="B579" i="13"/>
  <c r="B578" i="13"/>
  <c r="B577" i="13"/>
  <c r="B576" i="13"/>
  <c r="B575" i="13"/>
  <c r="C587" i="13" s="1"/>
  <c r="B574" i="13"/>
  <c r="B573" i="13"/>
  <c r="D572" i="13"/>
  <c r="B572" i="13"/>
  <c r="B571" i="13"/>
  <c r="B570" i="13"/>
  <c r="B569" i="13"/>
  <c r="B568" i="13"/>
  <c r="B567" i="13"/>
  <c r="C579" i="13" s="1"/>
  <c r="B566" i="13"/>
  <c r="C565" i="13"/>
  <c r="B565" i="13"/>
  <c r="D564" i="13"/>
  <c r="B564" i="13"/>
  <c r="B563" i="13"/>
  <c r="B562" i="13"/>
  <c r="B561" i="13"/>
  <c r="B560" i="13"/>
  <c r="B559" i="13"/>
  <c r="C571" i="13" s="1"/>
  <c r="B558" i="13"/>
  <c r="B557" i="13"/>
  <c r="D556" i="13"/>
  <c r="B556" i="13"/>
  <c r="B555" i="13"/>
  <c r="B554" i="13"/>
  <c r="B553" i="13"/>
  <c r="B552" i="13"/>
  <c r="B551" i="13"/>
  <c r="C563" i="13" s="1"/>
  <c r="B550" i="13"/>
  <c r="C549" i="13"/>
  <c r="B549" i="13"/>
  <c r="D548" i="13"/>
  <c r="B548" i="13"/>
  <c r="B547" i="13"/>
  <c r="B546" i="13"/>
  <c r="B545" i="13"/>
  <c r="B544" i="13"/>
  <c r="B543" i="13"/>
  <c r="C555" i="13" s="1"/>
  <c r="B542" i="13"/>
  <c r="B541" i="13"/>
  <c r="D540" i="13"/>
  <c r="B540" i="13"/>
  <c r="B539" i="13"/>
  <c r="B538" i="13"/>
  <c r="B537" i="13"/>
  <c r="B536" i="13"/>
  <c r="B535" i="13"/>
  <c r="C547" i="13" s="1"/>
  <c r="B534" i="13"/>
  <c r="C533" i="13"/>
  <c r="B533" i="13"/>
  <c r="D532" i="13"/>
  <c r="B532" i="13"/>
  <c r="B531" i="13"/>
  <c r="B530" i="13"/>
  <c r="B529" i="13"/>
  <c r="B528" i="13"/>
  <c r="B527" i="13"/>
  <c r="C539" i="13" s="1"/>
  <c r="B526" i="13"/>
  <c r="B525" i="13"/>
  <c r="D524" i="13"/>
  <c r="C524" i="13"/>
  <c r="B524" i="13"/>
  <c r="B523" i="13"/>
  <c r="D522" i="13"/>
  <c r="B522" i="13"/>
  <c r="B521" i="13"/>
  <c r="B520" i="13"/>
  <c r="B519" i="13"/>
  <c r="B518" i="13"/>
  <c r="C517" i="13"/>
  <c r="B517" i="13"/>
  <c r="D516" i="13"/>
  <c r="B516" i="13"/>
  <c r="B515" i="13"/>
  <c r="B514" i="13"/>
  <c r="D513" i="13"/>
  <c r="B513" i="13"/>
  <c r="B512" i="13"/>
  <c r="B511" i="13"/>
  <c r="B510" i="13"/>
  <c r="C509" i="13"/>
  <c r="B509" i="13"/>
  <c r="D508" i="13"/>
  <c r="B508" i="13"/>
  <c r="B507" i="13"/>
  <c r="B506" i="13"/>
  <c r="B505" i="13"/>
  <c r="B504" i="13"/>
  <c r="B503" i="13"/>
  <c r="B502" i="13"/>
  <c r="B501" i="13"/>
  <c r="D500" i="13"/>
  <c r="C500" i="13"/>
  <c r="B500" i="13"/>
  <c r="B499" i="13"/>
  <c r="D498" i="13"/>
  <c r="B498" i="13"/>
  <c r="B497" i="13"/>
  <c r="B496" i="13"/>
  <c r="B495" i="13"/>
  <c r="B494" i="13"/>
  <c r="B493" i="13"/>
  <c r="D492" i="13"/>
  <c r="B492" i="13"/>
  <c r="B491" i="13"/>
  <c r="D490" i="13"/>
  <c r="B490" i="13"/>
  <c r="D489" i="13"/>
  <c r="B489" i="13"/>
  <c r="B488" i="13"/>
  <c r="B487" i="13"/>
  <c r="B486" i="13"/>
  <c r="C485" i="13"/>
  <c r="B485" i="13"/>
  <c r="D484" i="13"/>
  <c r="C484" i="13"/>
  <c r="B484" i="13"/>
  <c r="B483" i="13"/>
  <c r="B482" i="13"/>
  <c r="D481" i="13"/>
  <c r="B481" i="13"/>
  <c r="B480" i="13"/>
  <c r="B479" i="13"/>
  <c r="B478" i="13"/>
  <c r="C477" i="13"/>
  <c r="B477" i="13"/>
  <c r="D476" i="13"/>
  <c r="B476" i="13"/>
  <c r="B475" i="13"/>
  <c r="D474" i="13"/>
  <c r="B474" i="13"/>
  <c r="B473" i="13"/>
  <c r="B472" i="13"/>
  <c r="B471" i="13"/>
  <c r="B470" i="13"/>
  <c r="B469" i="13"/>
  <c r="D468" i="13"/>
  <c r="B468" i="13"/>
  <c r="B467" i="13"/>
  <c r="B466" i="13"/>
  <c r="B465" i="13"/>
  <c r="B464" i="13"/>
  <c r="B463" i="13"/>
  <c r="B462" i="13"/>
  <c r="B461" i="13"/>
  <c r="D460" i="13"/>
  <c r="C460" i="13"/>
  <c r="B460" i="13"/>
  <c r="B459" i="13"/>
  <c r="D458" i="13"/>
  <c r="B458" i="13"/>
  <c r="B457" i="13"/>
  <c r="B456" i="13"/>
  <c r="B455" i="13"/>
  <c r="B454" i="13"/>
  <c r="C453" i="13"/>
  <c r="B453" i="13"/>
  <c r="D452" i="13"/>
  <c r="B452" i="13"/>
  <c r="B451" i="13"/>
  <c r="B450" i="13"/>
  <c r="D449" i="13"/>
  <c r="B449" i="13"/>
  <c r="B448" i="13"/>
  <c r="B447" i="13"/>
  <c r="B446" i="13"/>
  <c r="C445" i="13"/>
  <c r="B445" i="13"/>
  <c r="D444" i="13"/>
  <c r="B444" i="13"/>
  <c r="B443" i="13"/>
  <c r="B442" i="13"/>
  <c r="B441" i="13"/>
  <c r="B440" i="13"/>
  <c r="B439" i="13"/>
  <c r="B438" i="13"/>
  <c r="B437" i="13"/>
  <c r="D436" i="13"/>
  <c r="C436" i="13"/>
  <c r="B436" i="13"/>
  <c r="B435" i="13"/>
  <c r="D434" i="13"/>
  <c r="B434" i="13"/>
  <c r="B433" i="13"/>
  <c r="B432" i="13"/>
  <c r="B431" i="13"/>
  <c r="B430" i="13"/>
  <c r="B429" i="13"/>
  <c r="D428" i="13"/>
  <c r="B428" i="13"/>
  <c r="B427" i="13"/>
  <c r="B426" i="13"/>
  <c r="D425" i="13"/>
  <c r="B425" i="13"/>
  <c r="B424" i="13"/>
  <c r="B423" i="13"/>
  <c r="B422" i="13"/>
  <c r="B421" i="13"/>
  <c r="D420" i="13"/>
  <c r="C420" i="13"/>
  <c r="B420" i="13"/>
  <c r="B419" i="13"/>
  <c r="B418" i="13"/>
  <c r="B417" i="13"/>
  <c r="B416" i="13"/>
  <c r="B415" i="13"/>
  <c r="B414" i="13"/>
  <c r="C413" i="13"/>
  <c r="B413" i="13"/>
  <c r="D412" i="13"/>
  <c r="C412" i="13"/>
  <c r="B412" i="13"/>
  <c r="B411" i="13"/>
  <c r="B410" i="13"/>
  <c r="D409" i="13"/>
  <c r="B409" i="13"/>
  <c r="C408" i="13"/>
  <c r="B408" i="13"/>
  <c r="D408" i="13" s="1"/>
  <c r="B407" i="13"/>
  <c r="C419" i="13" s="1"/>
  <c r="B406" i="13"/>
  <c r="D406" i="13" s="1"/>
  <c r="D405" i="13"/>
  <c r="B405" i="13"/>
  <c r="C417" i="13" s="1"/>
  <c r="B404" i="13"/>
  <c r="B403" i="13"/>
  <c r="B402" i="13"/>
  <c r="C414" i="13" s="1"/>
  <c r="B401" i="13"/>
  <c r="B400" i="13"/>
  <c r="B399" i="13"/>
  <c r="B398" i="13"/>
  <c r="D397" i="13"/>
  <c r="B397" i="13"/>
  <c r="C409" i="13" s="1"/>
  <c r="C396" i="13"/>
  <c r="B396" i="13"/>
  <c r="B395" i="13"/>
  <c r="B394" i="13"/>
  <c r="D393" i="13"/>
  <c r="B393" i="13"/>
  <c r="C405" i="13" s="1"/>
  <c r="B392" i="13"/>
  <c r="B391" i="13"/>
  <c r="B390" i="13"/>
  <c r="B389" i="13"/>
  <c r="C388" i="13"/>
  <c r="B388" i="13"/>
  <c r="D387" i="13"/>
  <c r="C387" i="13"/>
  <c r="B387" i="13"/>
  <c r="D388" i="13" s="1"/>
  <c r="C386" i="13"/>
  <c r="B386" i="13"/>
  <c r="B385" i="13"/>
  <c r="D384" i="13"/>
  <c r="B384" i="13"/>
  <c r="B383" i="13"/>
  <c r="B382" i="13"/>
  <c r="D381" i="13"/>
  <c r="C381" i="13"/>
  <c r="B381" i="13"/>
  <c r="B380" i="13"/>
  <c r="B379" i="13"/>
  <c r="D378" i="13"/>
  <c r="B378" i="13"/>
  <c r="B377" i="13"/>
  <c r="C376" i="13"/>
  <c r="B376" i="13"/>
  <c r="D375" i="13"/>
  <c r="B375" i="13"/>
  <c r="B374" i="13"/>
  <c r="B373" i="13"/>
  <c r="B372" i="13"/>
  <c r="C371" i="13"/>
  <c r="B371" i="13"/>
  <c r="B370" i="13"/>
  <c r="D370" i="13" s="1"/>
  <c r="B369" i="13"/>
  <c r="B368" i="13"/>
  <c r="C380" i="13" s="1"/>
  <c r="B367" i="13"/>
  <c r="B366" i="13"/>
  <c r="B365" i="13"/>
  <c r="B364" i="13"/>
  <c r="B363" i="13"/>
  <c r="D362" i="13"/>
  <c r="B362" i="13"/>
  <c r="C374" i="13" s="1"/>
  <c r="C361" i="13"/>
  <c r="B361" i="13"/>
  <c r="B360" i="13"/>
  <c r="D359" i="13"/>
  <c r="C359" i="13"/>
  <c r="B359" i="13"/>
  <c r="B358" i="13"/>
  <c r="C370" i="13" s="1"/>
  <c r="B357" i="13"/>
  <c r="D356" i="13"/>
  <c r="B356" i="13"/>
  <c r="D355" i="13"/>
  <c r="C355" i="13"/>
  <c r="B355" i="13"/>
  <c r="C367" i="13" s="1"/>
  <c r="B354" i="13"/>
  <c r="B353" i="13"/>
  <c r="D352" i="13"/>
  <c r="B352" i="13"/>
  <c r="C364" i="13" s="1"/>
  <c r="C351" i="13"/>
  <c r="B351" i="13"/>
  <c r="B350" i="13"/>
  <c r="B349" i="13"/>
  <c r="B348" i="13"/>
  <c r="D347" i="13"/>
  <c r="C347" i="13"/>
  <c r="B347" i="13"/>
  <c r="B346" i="13"/>
  <c r="C358" i="13" s="1"/>
  <c r="B345" i="13"/>
  <c r="C344" i="13"/>
  <c r="B344" i="13"/>
  <c r="C356" i="13" s="1"/>
  <c r="B343" i="13"/>
  <c r="B342" i="13"/>
  <c r="D341" i="13"/>
  <c r="C341" i="13"/>
  <c r="B341" i="13"/>
  <c r="B340" i="13"/>
  <c r="C352" i="13" s="1"/>
  <c r="B339" i="13"/>
  <c r="D339" i="13" s="1"/>
  <c r="D338" i="13"/>
  <c r="C338" i="13"/>
  <c r="B338" i="13"/>
  <c r="B337" i="13"/>
  <c r="D336" i="13"/>
  <c r="B336" i="13"/>
  <c r="C335" i="13"/>
  <c r="B335" i="13"/>
  <c r="B334" i="13"/>
  <c r="D333" i="13"/>
  <c r="C333" i="13"/>
  <c r="B333" i="13"/>
  <c r="B332" i="13"/>
  <c r="B331" i="13"/>
  <c r="B330" i="13"/>
  <c r="C342" i="13" s="1"/>
  <c r="C329" i="13"/>
  <c r="B329" i="13"/>
  <c r="B328" i="13"/>
  <c r="D327" i="13"/>
  <c r="C327" i="13"/>
  <c r="B327" i="13"/>
  <c r="D326" i="13"/>
  <c r="B326" i="13"/>
  <c r="C325" i="13"/>
  <c r="B325" i="13"/>
  <c r="B324" i="13"/>
  <c r="C336" i="13" s="1"/>
  <c r="B323" i="13"/>
  <c r="B322" i="13"/>
  <c r="C321" i="13"/>
  <c r="B321" i="13"/>
  <c r="D321" i="13" s="1"/>
  <c r="D320" i="13"/>
  <c r="B320" i="13"/>
  <c r="C332" i="13" s="1"/>
  <c r="C319" i="13"/>
  <c r="B319" i="13"/>
  <c r="C318" i="13"/>
  <c r="B318" i="13"/>
  <c r="D319" i="13" s="1"/>
  <c r="B317" i="13"/>
  <c r="B316" i="13"/>
  <c r="C328" i="13" s="1"/>
  <c r="D315" i="13"/>
  <c r="C315" i="13"/>
  <c r="B315" i="13"/>
  <c r="B314" i="13"/>
  <c r="C326" i="13" s="1"/>
  <c r="D313" i="13"/>
  <c r="C313" i="13"/>
  <c r="B313" i="13"/>
  <c r="C312" i="13"/>
  <c r="B312" i="13"/>
  <c r="B311" i="13"/>
  <c r="D310" i="13"/>
  <c r="C310" i="13"/>
  <c r="B310" i="13"/>
  <c r="B309" i="13"/>
  <c r="B308" i="13"/>
  <c r="C307" i="13"/>
  <c r="B307" i="13"/>
  <c r="D307" i="13" s="1"/>
  <c r="B306" i="13"/>
  <c r="B305" i="13"/>
  <c r="D304" i="13"/>
  <c r="C304" i="13"/>
  <c r="B304" i="13"/>
  <c r="B303" i="13"/>
  <c r="D303" i="13" s="1"/>
  <c r="B302" i="13"/>
  <c r="C314" i="13" s="1"/>
  <c r="D301" i="13"/>
  <c r="B301" i="13"/>
  <c r="B300" i="13"/>
  <c r="D299" i="13"/>
  <c r="B299" i="13"/>
  <c r="B298" i="13"/>
  <c r="D297" i="13"/>
  <c r="C297" i="13"/>
  <c r="B297" i="13"/>
  <c r="C309" i="13" s="1"/>
  <c r="D296" i="13"/>
  <c r="C296" i="13"/>
  <c r="B296" i="13"/>
  <c r="B295" i="13"/>
  <c r="B294" i="13"/>
  <c r="D293" i="13"/>
  <c r="B293" i="13"/>
  <c r="C292" i="13"/>
  <c r="B292" i="13"/>
  <c r="B291" i="13"/>
  <c r="B290" i="13"/>
  <c r="D290" i="13" s="1"/>
  <c r="C289" i="13"/>
  <c r="B289" i="13"/>
  <c r="C301" i="13" s="1"/>
  <c r="B288" i="13"/>
  <c r="B287" i="13"/>
  <c r="B286" i="13"/>
  <c r="D285" i="13"/>
  <c r="B285" i="13"/>
  <c r="B284" i="13"/>
  <c r="D283" i="13"/>
  <c r="C283" i="13"/>
  <c r="B283" i="13"/>
  <c r="C295" i="13" s="1"/>
  <c r="B282" i="13"/>
  <c r="D282" i="13" s="1"/>
  <c r="D281" i="13"/>
  <c r="C281" i="13"/>
  <c r="B281" i="13"/>
  <c r="C293" i="13" s="1"/>
  <c r="C280" i="13"/>
  <c r="B280" i="13"/>
  <c r="B279" i="13"/>
  <c r="D279" i="13" s="1"/>
  <c r="D278" i="13"/>
  <c r="C278" i="13"/>
  <c r="B278" i="13"/>
  <c r="C290" i="13" s="1"/>
  <c r="B277" i="13"/>
  <c r="B276" i="13"/>
  <c r="B275" i="13"/>
  <c r="B274" i="13"/>
  <c r="B273" i="13"/>
  <c r="C272" i="13"/>
  <c r="B272" i="13"/>
  <c r="B271" i="13"/>
  <c r="D271" i="13" s="1"/>
  <c r="B270" i="13"/>
  <c r="C282" i="13" s="1"/>
  <c r="D269" i="13"/>
  <c r="B269" i="13"/>
  <c r="B268" i="13"/>
  <c r="D267" i="13"/>
  <c r="B267" i="13"/>
  <c r="B266" i="13"/>
  <c r="D265" i="13"/>
  <c r="C265" i="13"/>
  <c r="B265" i="13"/>
  <c r="C277" i="13" s="1"/>
  <c r="D264" i="13"/>
  <c r="C264" i="13"/>
  <c r="B264" i="13"/>
  <c r="B263" i="13"/>
  <c r="B262" i="13"/>
  <c r="D261" i="13"/>
  <c r="B261" i="13"/>
  <c r="C260" i="13"/>
  <c r="B260" i="13"/>
  <c r="B259" i="13"/>
  <c r="B258" i="13"/>
  <c r="C257" i="13"/>
  <c r="B257" i="13"/>
  <c r="C269" i="13" s="1"/>
  <c r="B256" i="13"/>
  <c r="B255" i="13"/>
  <c r="B254" i="13"/>
  <c r="C266" i="13" s="1"/>
  <c r="D253" i="13"/>
  <c r="B253" i="13"/>
  <c r="B252" i="13"/>
  <c r="D251" i="13"/>
  <c r="C251" i="13"/>
  <c r="B251" i="13"/>
  <c r="C263" i="13" s="1"/>
  <c r="B250" i="13"/>
  <c r="D250" i="13" s="1"/>
  <c r="D249" i="13"/>
  <c r="C249" i="13"/>
  <c r="B249" i="13"/>
  <c r="C261" i="13" s="1"/>
  <c r="C248" i="13"/>
  <c r="B248" i="13"/>
  <c r="B247" i="13"/>
  <c r="D246" i="13"/>
  <c r="C246" i="13"/>
  <c r="B246" i="13"/>
  <c r="C258" i="13" s="1"/>
  <c r="B245" i="13"/>
  <c r="B244" i="13"/>
  <c r="D243" i="13"/>
  <c r="C243" i="13"/>
  <c r="B243" i="13"/>
  <c r="B242" i="13"/>
  <c r="B241" i="13"/>
  <c r="C240" i="13"/>
  <c r="B240" i="13"/>
  <c r="B239" i="13"/>
  <c r="B238" i="13"/>
  <c r="C250" i="13" s="1"/>
  <c r="B237" i="13"/>
  <c r="C236" i="13"/>
  <c r="B236" i="13"/>
  <c r="D236" i="13" s="1"/>
  <c r="D235" i="13"/>
  <c r="B235" i="13"/>
  <c r="B234" i="13"/>
  <c r="D233" i="13"/>
  <c r="B233" i="13"/>
  <c r="C245" i="13" s="1"/>
  <c r="D232" i="13"/>
  <c r="C232" i="13"/>
  <c r="B232" i="13"/>
  <c r="B231" i="13"/>
  <c r="B230" i="13"/>
  <c r="D229" i="13"/>
  <c r="B229" i="13"/>
  <c r="C228" i="13"/>
  <c r="B228" i="13"/>
  <c r="B227" i="13"/>
  <c r="B226" i="13"/>
  <c r="D226" i="13" s="1"/>
  <c r="D225" i="13"/>
  <c r="C225" i="13"/>
  <c r="B225" i="13"/>
  <c r="C237" i="13" s="1"/>
  <c r="B224" i="13"/>
  <c r="B223" i="13"/>
  <c r="B222" i="13"/>
  <c r="C234" i="13" s="1"/>
  <c r="D221" i="13"/>
  <c r="B221" i="13"/>
  <c r="B220" i="13"/>
  <c r="C219" i="13"/>
  <c r="B219" i="13"/>
  <c r="C231" i="13" s="1"/>
  <c r="B218" i="13"/>
  <c r="D218" i="13" s="1"/>
  <c r="D217" i="13"/>
  <c r="C217" i="13"/>
  <c r="B217" i="13"/>
  <c r="C229" i="13" s="1"/>
  <c r="B216" i="13"/>
  <c r="B215" i="13"/>
  <c r="D214" i="13"/>
  <c r="C214" i="13"/>
  <c r="B214" i="13"/>
  <c r="C226" i="13" s="1"/>
  <c r="B213" i="13"/>
  <c r="C212" i="13"/>
  <c r="B212" i="13"/>
  <c r="C211" i="13"/>
  <c r="B211" i="13"/>
  <c r="C223" i="13" s="1"/>
  <c r="B210" i="13"/>
  <c r="B209" i="13"/>
  <c r="D208" i="13"/>
  <c r="C208" i="13"/>
  <c r="B208" i="13"/>
  <c r="B207" i="13"/>
  <c r="D207" i="13" s="1"/>
  <c r="B206" i="13"/>
  <c r="C218" i="13" s="1"/>
  <c r="B205" i="13"/>
  <c r="B204" i="13"/>
  <c r="D203" i="13"/>
  <c r="B203" i="13"/>
  <c r="B202" i="13"/>
  <c r="B201" i="13"/>
  <c r="C213" i="13" s="1"/>
  <c r="D200" i="13"/>
  <c r="C200" i="13"/>
  <c r="B200" i="13"/>
  <c r="B199" i="13"/>
  <c r="B198" i="13"/>
  <c r="D197" i="13"/>
  <c r="B197" i="13"/>
  <c r="C196" i="13"/>
  <c r="B196" i="13"/>
  <c r="B195" i="13"/>
  <c r="B194" i="13"/>
  <c r="B193" i="13"/>
  <c r="C205" i="13" s="1"/>
  <c r="B192" i="13"/>
  <c r="B191" i="13"/>
  <c r="D190" i="13"/>
  <c r="C190" i="13"/>
  <c r="B190" i="13"/>
  <c r="C202" i="13" s="1"/>
  <c r="D189" i="13"/>
  <c r="B189" i="13"/>
  <c r="B188" i="13"/>
  <c r="B187" i="13"/>
  <c r="B186" i="13"/>
  <c r="D186" i="13" s="1"/>
  <c r="D185" i="13"/>
  <c r="B185" i="13"/>
  <c r="C197" i="13" s="1"/>
  <c r="C184" i="13"/>
  <c r="B184" i="13"/>
  <c r="B183" i="13"/>
  <c r="D182" i="13"/>
  <c r="C182" i="13"/>
  <c r="B182" i="13"/>
  <c r="C194" i="13" s="1"/>
  <c r="B181" i="13"/>
  <c r="B180" i="13"/>
  <c r="B179" i="13"/>
  <c r="C191" i="13" s="1"/>
  <c r="B178" i="13"/>
  <c r="B177" i="13"/>
  <c r="C176" i="13"/>
  <c r="B176" i="13"/>
  <c r="B175" i="13"/>
  <c r="D175" i="13" s="1"/>
  <c r="B174" i="13"/>
  <c r="C186" i="13" s="1"/>
  <c r="D173" i="13"/>
  <c r="B173" i="13"/>
  <c r="C172" i="13"/>
  <c r="B172" i="13"/>
  <c r="D172" i="13" s="1"/>
  <c r="D171" i="13"/>
  <c r="B171" i="13"/>
  <c r="B170" i="13"/>
  <c r="B169" i="13"/>
  <c r="D168" i="13"/>
  <c r="C168" i="13"/>
  <c r="B168" i="13"/>
  <c r="B167" i="13"/>
  <c r="B166" i="13"/>
  <c r="D165" i="13"/>
  <c r="B165" i="13"/>
  <c r="C164" i="13"/>
  <c r="B164" i="13"/>
  <c r="B163" i="13"/>
  <c r="B162" i="13"/>
  <c r="B161" i="13"/>
  <c r="B160" i="13"/>
  <c r="B159" i="13"/>
  <c r="B158" i="13"/>
  <c r="C170" i="13" s="1"/>
  <c r="D157" i="13"/>
  <c r="B157" i="13"/>
  <c r="C156" i="13"/>
  <c r="B156" i="13"/>
  <c r="D155" i="13"/>
  <c r="B155" i="13"/>
  <c r="C167" i="13" s="1"/>
  <c r="B154" i="13"/>
  <c r="D154" i="13" s="1"/>
  <c r="D153" i="13"/>
  <c r="B153" i="13"/>
  <c r="C165" i="13" s="1"/>
  <c r="C152" i="13"/>
  <c r="B152" i="13"/>
  <c r="C151" i="13"/>
  <c r="B151" i="13"/>
  <c r="D150" i="13"/>
  <c r="B150" i="13"/>
  <c r="C162" i="13" s="1"/>
  <c r="B149" i="13"/>
  <c r="B148" i="13"/>
  <c r="D147" i="13"/>
  <c r="B147" i="13"/>
  <c r="B146" i="13"/>
  <c r="B145" i="13"/>
  <c r="C157" i="13" s="1"/>
  <c r="D144" i="13"/>
  <c r="C144" i="13"/>
  <c r="B144" i="13"/>
  <c r="B143" i="13"/>
  <c r="B142" i="13"/>
  <c r="C154" i="13" s="1"/>
  <c r="D141" i="13"/>
  <c r="B141" i="13"/>
  <c r="B140" i="13"/>
  <c r="D140" i="13" s="1"/>
  <c r="D139" i="13"/>
  <c r="B139" i="13"/>
  <c r="B138" i="13"/>
  <c r="D137" i="13"/>
  <c r="B137" i="13"/>
  <c r="C149" i="13" s="1"/>
  <c r="C136" i="13"/>
  <c r="B136" i="13"/>
  <c r="C135" i="13"/>
  <c r="B135" i="13"/>
  <c r="D134" i="13"/>
  <c r="B134" i="13"/>
  <c r="C146" i="13" s="1"/>
  <c r="B133" i="13"/>
  <c r="B132" i="13"/>
  <c r="D133" i="13" s="1"/>
  <c r="B131" i="13"/>
  <c r="B130" i="13"/>
  <c r="B129" i="13"/>
  <c r="B128" i="13"/>
  <c r="D128" i="13" s="1"/>
  <c r="D127" i="13"/>
  <c r="B127" i="13"/>
  <c r="C139" i="13" s="1"/>
  <c r="B126" i="13"/>
  <c r="B125" i="13"/>
  <c r="D124" i="13"/>
  <c r="C124" i="13"/>
  <c r="B124" i="13"/>
  <c r="B123" i="13"/>
  <c r="B122" i="13"/>
  <c r="B121" i="13"/>
  <c r="C133" i="13" s="1"/>
  <c r="B120" i="13"/>
  <c r="B119" i="13"/>
  <c r="C131" i="13" s="1"/>
  <c r="D118" i="13"/>
  <c r="C118" i="13"/>
  <c r="B118" i="13"/>
  <c r="B117" i="13"/>
  <c r="D117" i="13" s="1"/>
  <c r="B116" i="13"/>
  <c r="C128" i="13" s="1"/>
  <c r="B115" i="13"/>
  <c r="B114" i="13"/>
  <c r="D113" i="13"/>
  <c r="B113" i="13"/>
  <c r="B112" i="13"/>
  <c r="B111" i="13"/>
  <c r="D110" i="13"/>
  <c r="C110" i="13"/>
  <c r="B110" i="13"/>
  <c r="B109" i="13"/>
  <c r="B108" i="13"/>
  <c r="D107" i="13"/>
  <c r="B107" i="13"/>
  <c r="C106" i="13"/>
  <c r="B106" i="13"/>
  <c r="B105" i="13"/>
  <c r="B104" i="13"/>
  <c r="D104" i="13" s="1"/>
  <c r="D103" i="13"/>
  <c r="C103" i="13"/>
  <c r="B103" i="13"/>
  <c r="C115" i="13" s="1"/>
  <c r="B102" i="13"/>
  <c r="B101" i="13"/>
  <c r="B100" i="13"/>
  <c r="C112" i="13" s="1"/>
  <c r="D99" i="13"/>
  <c r="B99" i="13"/>
  <c r="B98" i="13"/>
  <c r="B97" i="13"/>
  <c r="B96" i="13"/>
  <c r="D96" i="13" s="1"/>
  <c r="D95" i="13"/>
  <c r="B95" i="13"/>
  <c r="C107" i="13" s="1"/>
  <c r="B94" i="13"/>
  <c r="B93" i="13"/>
  <c r="D92" i="13"/>
  <c r="C92" i="13"/>
  <c r="B92" i="13"/>
  <c r="C104" i="13" s="1"/>
  <c r="B91" i="13"/>
  <c r="B90" i="13"/>
  <c r="B89" i="13"/>
  <c r="C101" i="13" s="1"/>
  <c r="B88" i="13"/>
  <c r="B87" i="13"/>
  <c r="C99" i="13" s="1"/>
  <c r="C86" i="13"/>
  <c r="B86" i="13"/>
  <c r="B85" i="13"/>
  <c r="D85" i="13" s="1"/>
  <c r="B84" i="13"/>
  <c r="C96" i="13" s="1"/>
  <c r="B83" i="13"/>
  <c r="B82" i="13"/>
  <c r="D81" i="13"/>
  <c r="B81" i="13"/>
  <c r="B80" i="13"/>
  <c r="C79" i="13"/>
  <c r="B79" i="13"/>
  <c r="D78" i="13"/>
  <c r="C78" i="13"/>
  <c r="B78" i="13"/>
  <c r="B77" i="13"/>
  <c r="B76" i="13"/>
  <c r="D75" i="13"/>
  <c r="B75" i="13"/>
  <c r="C74" i="13"/>
  <c r="B74" i="13"/>
  <c r="B73" i="13"/>
  <c r="B72" i="13"/>
  <c r="C71" i="13"/>
  <c r="B71" i="13"/>
  <c r="C83" i="13" s="1"/>
  <c r="B70" i="13"/>
  <c r="B69" i="13"/>
  <c r="D68" i="13"/>
  <c r="B68" i="13"/>
  <c r="C80" i="13" s="1"/>
  <c r="D67" i="13"/>
  <c r="B67" i="13"/>
  <c r="B66" i="13"/>
  <c r="B65" i="13"/>
  <c r="B64" i="13"/>
  <c r="D64" i="13" s="1"/>
  <c r="D63" i="13"/>
  <c r="B63" i="13"/>
  <c r="C75" i="13" s="1"/>
  <c r="B62" i="13"/>
  <c r="B61" i="13"/>
  <c r="D60" i="13"/>
  <c r="C60" i="13"/>
  <c r="B60" i="13"/>
  <c r="C72" i="13" s="1"/>
  <c r="B59" i="13"/>
  <c r="B58" i="13"/>
  <c r="B57" i="13"/>
  <c r="C69" i="13" s="1"/>
  <c r="B56" i="13"/>
  <c r="B55" i="13"/>
  <c r="C67" i="13" s="1"/>
  <c r="D54" i="13"/>
  <c r="C54" i="13"/>
  <c r="B54" i="13"/>
  <c r="B53" i="13"/>
  <c r="D53" i="13" s="1"/>
  <c r="B52" i="13"/>
  <c r="C64" i="13" s="1"/>
  <c r="B51" i="13"/>
  <c r="B50" i="13"/>
  <c r="D49" i="13"/>
  <c r="B49" i="13"/>
  <c r="B48" i="13"/>
  <c r="B47" i="13"/>
  <c r="D46" i="13"/>
  <c r="C46" i="13"/>
  <c r="B46" i="13"/>
  <c r="B45" i="13"/>
  <c r="B44" i="13"/>
  <c r="D43" i="13"/>
  <c r="B43" i="13"/>
  <c r="C42" i="13"/>
  <c r="B42" i="13"/>
  <c r="B41" i="13"/>
  <c r="B40" i="13"/>
  <c r="D40" i="13" s="1"/>
  <c r="D39" i="13"/>
  <c r="C39" i="13"/>
  <c r="B39" i="13"/>
  <c r="C51" i="13" s="1"/>
  <c r="B38" i="13"/>
  <c r="B37" i="13"/>
  <c r="B36" i="13"/>
  <c r="C48" i="13" s="1"/>
  <c r="D35" i="13"/>
  <c r="B35" i="13"/>
  <c r="B34" i="13"/>
  <c r="B33" i="13"/>
  <c r="B32" i="13"/>
  <c r="D32" i="13" s="1"/>
  <c r="D31" i="13"/>
  <c r="B31" i="13"/>
  <c r="C43" i="13" s="1"/>
  <c r="B30" i="13"/>
  <c r="B29" i="13"/>
  <c r="D28" i="13"/>
  <c r="C28" i="13"/>
  <c r="B28" i="13"/>
  <c r="C40" i="13" s="1"/>
  <c r="B27" i="13"/>
  <c r="B26" i="13"/>
  <c r="B25" i="13"/>
  <c r="C37" i="13" s="1"/>
  <c r="C24" i="13"/>
  <c r="B24" i="13"/>
  <c r="B23" i="13"/>
  <c r="D22" i="13"/>
  <c r="C22" i="13"/>
  <c r="B22" i="13"/>
  <c r="B21" i="13"/>
  <c r="B20" i="13"/>
  <c r="C32" i="13" s="1"/>
  <c r="B19" i="13"/>
  <c r="B18" i="13"/>
  <c r="B17" i="13"/>
  <c r="D16" i="13"/>
  <c r="B16" i="13"/>
  <c r="B15" i="13"/>
  <c r="C27" i="13" s="1"/>
  <c r="B14" i="13"/>
  <c r="D13" i="13"/>
  <c r="B13" i="13"/>
  <c r="D12" i="13"/>
  <c r="B12" i="13"/>
  <c r="B11" i="13"/>
  <c r="D10" i="13"/>
  <c r="B10" i="13"/>
  <c r="B9" i="13"/>
  <c r="C21" i="13" s="1"/>
  <c r="D8" i="13"/>
  <c r="B8" i="13"/>
  <c r="B7" i="13"/>
  <c r="C19" i="13" s="1"/>
  <c r="B6" i="13"/>
  <c r="G1" i="13"/>
  <c r="F1" i="13"/>
  <c r="V66" i="12"/>
  <c r="S66" i="12"/>
  <c r="Q66" i="12"/>
  <c r="P66" i="12"/>
  <c r="K66" i="12"/>
  <c r="D66" i="12"/>
  <c r="C66" i="12"/>
  <c r="A66" i="12"/>
  <c r="Z65" i="12"/>
  <c r="X65" i="12"/>
  <c r="P65" i="12"/>
  <c r="K65" i="12"/>
  <c r="H65" i="12"/>
  <c r="G65" i="12"/>
  <c r="F65" i="12"/>
  <c r="A65" i="12"/>
  <c r="V65" i="12" s="1"/>
  <c r="V64" i="12"/>
  <c r="S64" i="12"/>
  <c r="Q64" i="12"/>
  <c r="G64" i="12"/>
  <c r="F64" i="12"/>
  <c r="A64" i="12"/>
  <c r="S63" i="12"/>
  <c r="Q63" i="12"/>
  <c r="P63" i="12"/>
  <c r="K63" i="12"/>
  <c r="H63" i="12"/>
  <c r="A63" i="12"/>
  <c r="Z62" i="12"/>
  <c r="X62" i="12"/>
  <c r="V62" i="12"/>
  <c r="P62" i="12"/>
  <c r="K62" i="12"/>
  <c r="H62" i="12"/>
  <c r="G62" i="12"/>
  <c r="F62" i="12"/>
  <c r="D62" i="12"/>
  <c r="A62" i="12"/>
  <c r="S62" i="12" s="1"/>
  <c r="A61" i="12"/>
  <c r="G60" i="12"/>
  <c r="C60" i="12"/>
  <c r="A60" i="12"/>
  <c r="Z59" i="12"/>
  <c r="X59" i="12"/>
  <c r="V59" i="12"/>
  <c r="S59" i="12"/>
  <c r="P59" i="12"/>
  <c r="K59" i="12"/>
  <c r="H59" i="12"/>
  <c r="G59" i="12"/>
  <c r="F59" i="12"/>
  <c r="D59" i="12"/>
  <c r="C59" i="12"/>
  <c r="A59" i="12"/>
  <c r="Q59" i="12" s="1"/>
  <c r="A58" i="12"/>
  <c r="Z57" i="12"/>
  <c r="X57" i="12"/>
  <c r="A57" i="12"/>
  <c r="Z56" i="12"/>
  <c r="X56" i="12"/>
  <c r="S56" i="12"/>
  <c r="Q56" i="12"/>
  <c r="H56" i="12"/>
  <c r="G56" i="12"/>
  <c r="F56" i="12"/>
  <c r="D56" i="12"/>
  <c r="C56" i="12"/>
  <c r="A56" i="12"/>
  <c r="Q55" i="12"/>
  <c r="P55" i="12"/>
  <c r="K55" i="12"/>
  <c r="H55" i="12"/>
  <c r="A55" i="12"/>
  <c r="Z54" i="12"/>
  <c r="X54" i="12"/>
  <c r="V54" i="12"/>
  <c r="Q54" i="12"/>
  <c r="F54" i="12"/>
  <c r="D54" i="12"/>
  <c r="A54" i="12"/>
  <c r="Z53" i="12"/>
  <c r="Q53" i="12"/>
  <c r="P53" i="12"/>
  <c r="H53" i="12"/>
  <c r="G53" i="12"/>
  <c r="F53" i="12"/>
  <c r="A53" i="12"/>
  <c r="K53" i="12" s="1"/>
  <c r="AA52" i="12"/>
  <c r="Y52" i="12"/>
  <c r="X52" i="12"/>
  <c r="W52" i="12"/>
  <c r="V52" i="12"/>
  <c r="U52" i="12"/>
  <c r="T52" i="12"/>
  <c r="S52" i="12"/>
  <c r="Q52" i="12"/>
  <c r="P52" i="12"/>
  <c r="O52" i="12"/>
  <c r="N52" i="12"/>
  <c r="M52" i="12"/>
  <c r="L52" i="12"/>
  <c r="K52" i="12"/>
  <c r="I52" i="12"/>
  <c r="H52" i="12"/>
  <c r="G52" i="12"/>
  <c r="F52" i="12"/>
  <c r="E52" i="12"/>
  <c r="D52" i="12"/>
  <c r="C52" i="12"/>
  <c r="A52" i="12"/>
  <c r="Z52" i="12" s="1"/>
  <c r="AA51" i="12"/>
  <c r="Z51" i="12"/>
  <c r="Y51" i="12"/>
  <c r="X51" i="12"/>
  <c r="W51" i="12"/>
  <c r="V51" i="12"/>
  <c r="S51" i="12"/>
  <c r="R51" i="12"/>
  <c r="Q51" i="12"/>
  <c r="P51" i="12"/>
  <c r="O51" i="12"/>
  <c r="N51" i="12"/>
  <c r="M51" i="12"/>
  <c r="J51" i="12"/>
  <c r="I51" i="12"/>
  <c r="H51" i="12"/>
  <c r="G51" i="12"/>
  <c r="F51" i="12"/>
  <c r="E51" i="12"/>
  <c r="C51" i="12"/>
  <c r="A51" i="12"/>
  <c r="K50" i="12"/>
  <c r="A50" i="12"/>
  <c r="S49" i="12"/>
  <c r="L49" i="12"/>
  <c r="K49" i="12"/>
  <c r="J49" i="12"/>
  <c r="A49" i="12"/>
  <c r="M49" i="12" s="1"/>
  <c r="AA48" i="12"/>
  <c r="Y48" i="12"/>
  <c r="X48" i="12"/>
  <c r="W48" i="12"/>
  <c r="V48" i="12"/>
  <c r="U48" i="12"/>
  <c r="T48" i="12"/>
  <c r="S48" i="12"/>
  <c r="Q48" i="12"/>
  <c r="P48" i="12"/>
  <c r="O48" i="12"/>
  <c r="N48" i="12"/>
  <c r="M48" i="12"/>
  <c r="L48" i="12"/>
  <c r="K48" i="12"/>
  <c r="I48" i="12"/>
  <c r="H48" i="12"/>
  <c r="G48" i="12"/>
  <c r="F48" i="12"/>
  <c r="E48" i="12"/>
  <c r="D48" i="12"/>
  <c r="C48" i="12"/>
  <c r="A48" i="12"/>
  <c r="Z48" i="12" s="1"/>
  <c r="AA47" i="12"/>
  <c r="Z47" i="12"/>
  <c r="S47" i="12"/>
  <c r="R47" i="12"/>
  <c r="Q47" i="12"/>
  <c r="I47" i="12"/>
  <c r="H47" i="12"/>
  <c r="A47" i="12"/>
  <c r="AA46" i="12"/>
  <c r="Z46" i="12"/>
  <c r="Y46" i="12"/>
  <c r="S46" i="12"/>
  <c r="R46" i="12"/>
  <c r="Q46" i="12"/>
  <c r="P46" i="12"/>
  <c r="J46" i="12"/>
  <c r="I46" i="12"/>
  <c r="H46" i="12"/>
  <c r="G46" i="12"/>
  <c r="A46" i="12"/>
  <c r="AA45" i="12"/>
  <c r="Z45" i="12"/>
  <c r="Y45" i="12"/>
  <c r="W45" i="12"/>
  <c r="S45" i="12"/>
  <c r="R45" i="12"/>
  <c r="Q45" i="12"/>
  <c r="O45" i="12"/>
  <c r="N45" i="12"/>
  <c r="J45" i="12"/>
  <c r="I45" i="12"/>
  <c r="G45" i="12"/>
  <c r="F45" i="12"/>
  <c r="E45" i="12"/>
  <c r="A45" i="12"/>
  <c r="AA44" i="12"/>
  <c r="Y44" i="12"/>
  <c r="X44" i="12"/>
  <c r="W44" i="12"/>
  <c r="V44" i="12"/>
  <c r="U44" i="12"/>
  <c r="T44" i="12"/>
  <c r="S44" i="12"/>
  <c r="Q44" i="12"/>
  <c r="P44" i="12"/>
  <c r="O44" i="12"/>
  <c r="N44" i="12"/>
  <c r="M44" i="12"/>
  <c r="L44" i="12"/>
  <c r="K44" i="12"/>
  <c r="I44" i="12"/>
  <c r="H44" i="12"/>
  <c r="G44" i="12"/>
  <c r="F44" i="12"/>
  <c r="E44" i="12"/>
  <c r="D44" i="12"/>
  <c r="C44" i="12"/>
  <c r="A44" i="12"/>
  <c r="Z44" i="12" s="1"/>
  <c r="Z43" i="12"/>
  <c r="V43" i="12"/>
  <c r="Q43" i="12"/>
  <c r="O43" i="12"/>
  <c r="H43" i="12"/>
  <c r="F43" i="12"/>
  <c r="A43" i="12"/>
  <c r="R42" i="12"/>
  <c r="P42" i="12"/>
  <c r="D42" i="12"/>
  <c r="A42" i="12"/>
  <c r="Z41" i="12"/>
  <c r="V41" i="12"/>
  <c r="U41" i="12"/>
  <c r="T41" i="12"/>
  <c r="S41" i="12"/>
  <c r="R41" i="12"/>
  <c r="N41" i="12"/>
  <c r="L41" i="12"/>
  <c r="K41" i="12"/>
  <c r="J41" i="12"/>
  <c r="F41" i="12"/>
  <c r="E41" i="12"/>
  <c r="D41" i="12"/>
  <c r="C41" i="12"/>
  <c r="A41" i="12"/>
  <c r="X40" i="12"/>
  <c r="W40" i="12"/>
  <c r="V40" i="12"/>
  <c r="U40" i="12"/>
  <c r="T40" i="12"/>
  <c r="P40" i="12"/>
  <c r="O40" i="12"/>
  <c r="N40" i="12"/>
  <c r="M40" i="12"/>
  <c r="L40" i="12"/>
  <c r="H40" i="12"/>
  <c r="G40" i="12"/>
  <c r="F40" i="12"/>
  <c r="E40" i="12"/>
  <c r="D40" i="12"/>
  <c r="A40" i="12"/>
  <c r="AA40" i="12" s="1"/>
  <c r="Z39" i="12"/>
  <c r="Y39" i="12"/>
  <c r="X39" i="12"/>
  <c r="W39" i="12"/>
  <c r="V39" i="12"/>
  <c r="R39" i="12"/>
  <c r="Q39" i="12"/>
  <c r="O39" i="12"/>
  <c r="N39" i="12"/>
  <c r="J39" i="12"/>
  <c r="I39" i="12"/>
  <c r="H39" i="12"/>
  <c r="G39" i="12"/>
  <c r="F39" i="12"/>
  <c r="A39" i="12"/>
  <c r="Z38" i="12"/>
  <c r="Y38" i="12"/>
  <c r="X38" i="12"/>
  <c r="T38" i="12"/>
  <c r="S38" i="12"/>
  <c r="R38" i="12"/>
  <c r="L38" i="12"/>
  <c r="K38" i="12"/>
  <c r="J38" i="12"/>
  <c r="I38" i="12"/>
  <c r="H38" i="12"/>
  <c r="D38" i="12"/>
  <c r="A38" i="12"/>
  <c r="Z37" i="12"/>
  <c r="U37" i="12"/>
  <c r="T37" i="12"/>
  <c r="S37" i="12"/>
  <c r="L37" i="12"/>
  <c r="J37" i="12"/>
  <c r="F37" i="12"/>
  <c r="E37" i="12"/>
  <c r="A37" i="12"/>
  <c r="V37" i="12" s="1"/>
  <c r="A36" i="12"/>
  <c r="U36" i="12" s="1"/>
  <c r="AA35" i="12"/>
  <c r="R35" i="12"/>
  <c r="N35" i="12"/>
  <c r="J35" i="12"/>
  <c r="I35" i="12"/>
  <c r="A35" i="12"/>
  <c r="S35" i="12" s="1"/>
  <c r="AA34" i="12"/>
  <c r="Z34" i="12"/>
  <c r="V34" i="12"/>
  <c r="U34" i="12"/>
  <c r="S34" i="12"/>
  <c r="R34" i="12"/>
  <c r="Q34" i="12"/>
  <c r="M34" i="12"/>
  <c r="L34" i="12"/>
  <c r="J34" i="12"/>
  <c r="I34" i="12"/>
  <c r="H34" i="12"/>
  <c r="D34" i="12"/>
  <c r="C34" i="12"/>
  <c r="A34" i="12"/>
  <c r="X33" i="12"/>
  <c r="P33" i="12"/>
  <c r="F33" i="12"/>
  <c r="A33" i="12"/>
  <c r="R33" i="12" s="1"/>
  <c r="Z32" i="12"/>
  <c r="Y32" i="12"/>
  <c r="X32" i="12"/>
  <c r="W32" i="12"/>
  <c r="T32" i="12"/>
  <c r="R32" i="12"/>
  <c r="Q32" i="12"/>
  <c r="P32" i="12"/>
  <c r="O32" i="12"/>
  <c r="N32" i="12"/>
  <c r="J32" i="12"/>
  <c r="I32" i="12"/>
  <c r="H32" i="12"/>
  <c r="G32" i="12"/>
  <c r="F32" i="12"/>
  <c r="E32" i="12"/>
  <c r="A32" i="12"/>
  <c r="AA31" i="12"/>
  <c r="Z31" i="12"/>
  <c r="Y31" i="12"/>
  <c r="X31" i="12"/>
  <c r="W31" i="12"/>
  <c r="V31" i="12"/>
  <c r="S31" i="12"/>
  <c r="R31" i="12"/>
  <c r="Q31" i="12"/>
  <c r="P31" i="12"/>
  <c r="O31" i="12"/>
  <c r="N31" i="12"/>
  <c r="L31" i="12"/>
  <c r="J31" i="12"/>
  <c r="I31" i="12"/>
  <c r="H31" i="12"/>
  <c r="G31" i="12"/>
  <c r="F31" i="12"/>
  <c r="D31" i="12"/>
  <c r="C31" i="12"/>
  <c r="A31" i="12"/>
  <c r="A30" i="12"/>
  <c r="P30" i="12" s="1"/>
  <c r="W29" i="12"/>
  <c r="N29" i="12"/>
  <c r="L29" i="12"/>
  <c r="J29" i="12"/>
  <c r="E29" i="12"/>
  <c r="A29" i="12"/>
  <c r="S29" i="12" s="1"/>
  <c r="Z28" i="12"/>
  <c r="W28" i="12"/>
  <c r="V28" i="12"/>
  <c r="T28" i="12"/>
  <c r="R28" i="12"/>
  <c r="Q28" i="12"/>
  <c r="N28" i="12"/>
  <c r="M28" i="12"/>
  <c r="J28" i="12"/>
  <c r="I28" i="12"/>
  <c r="H28" i="12"/>
  <c r="E28" i="12"/>
  <c r="D28" i="12"/>
  <c r="A28" i="12"/>
  <c r="P27" i="12"/>
  <c r="A27" i="12"/>
  <c r="R27" i="12" s="1"/>
  <c r="Z26" i="12"/>
  <c r="Y26" i="12"/>
  <c r="X26" i="12"/>
  <c r="S26" i="12"/>
  <c r="Q26" i="12"/>
  <c r="P26" i="12"/>
  <c r="N26" i="12"/>
  <c r="J26" i="12"/>
  <c r="H26" i="12"/>
  <c r="F26" i="12"/>
  <c r="E26" i="12"/>
  <c r="A26" i="12"/>
  <c r="AA26" i="12" s="1"/>
  <c r="AA25" i="12"/>
  <c r="Z25" i="12"/>
  <c r="X25" i="12"/>
  <c r="W25" i="12"/>
  <c r="V25" i="12"/>
  <c r="S25" i="12"/>
  <c r="R25" i="12"/>
  <c r="P25" i="12"/>
  <c r="O25" i="12"/>
  <c r="N25" i="12"/>
  <c r="M25" i="12"/>
  <c r="J25" i="12"/>
  <c r="H25" i="12"/>
  <c r="G25" i="12"/>
  <c r="F25" i="12"/>
  <c r="E25" i="12"/>
  <c r="D25" i="12"/>
  <c r="A25" i="12"/>
  <c r="Y24" i="12"/>
  <c r="W24" i="12"/>
  <c r="V24" i="12"/>
  <c r="P24" i="12"/>
  <c r="N24" i="12"/>
  <c r="L24" i="12"/>
  <c r="G24" i="12"/>
  <c r="E24" i="12"/>
  <c r="D24" i="12"/>
  <c r="A24" i="12"/>
  <c r="X23" i="12"/>
  <c r="V23" i="12"/>
  <c r="S23" i="12"/>
  <c r="O23" i="12"/>
  <c r="L23" i="12"/>
  <c r="K23" i="12"/>
  <c r="J23" i="12"/>
  <c r="F23" i="12"/>
  <c r="C23" i="12"/>
  <c r="A23" i="12"/>
  <c r="M22" i="12"/>
  <c r="A22" i="12"/>
  <c r="S22" i="12" s="1"/>
  <c r="AA21" i="12"/>
  <c r="Z21" i="12"/>
  <c r="V21" i="12"/>
  <c r="U21" i="12"/>
  <c r="S21" i="12"/>
  <c r="R21" i="12"/>
  <c r="P21" i="12"/>
  <c r="M21" i="12"/>
  <c r="L21" i="12"/>
  <c r="J21" i="12"/>
  <c r="H21" i="12"/>
  <c r="G21" i="12"/>
  <c r="D21" i="12"/>
  <c r="C21" i="12"/>
  <c r="A21" i="12"/>
  <c r="Z20" i="12"/>
  <c r="Y20" i="12"/>
  <c r="X20" i="12"/>
  <c r="T20" i="12"/>
  <c r="Q20" i="12"/>
  <c r="P20" i="12"/>
  <c r="O20" i="12"/>
  <c r="J20" i="12"/>
  <c r="H20" i="12"/>
  <c r="G20" i="12"/>
  <c r="F20" i="12"/>
  <c r="A20" i="12"/>
  <c r="R20" i="12" s="1"/>
  <c r="V66" i="11"/>
  <c r="A66" i="11"/>
  <c r="Z66" i="11" s="1"/>
  <c r="V65" i="11"/>
  <c r="S65" i="11"/>
  <c r="P65" i="11"/>
  <c r="H65" i="11"/>
  <c r="A65" i="11"/>
  <c r="V64" i="11"/>
  <c r="S64" i="11"/>
  <c r="Q64" i="11"/>
  <c r="H64" i="11"/>
  <c r="G64" i="11"/>
  <c r="A64" i="11"/>
  <c r="Z63" i="11"/>
  <c r="X63" i="11"/>
  <c r="V63" i="11"/>
  <c r="S63" i="11"/>
  <c r="P63" i="11"/>
  <c r="K63" i="11"/>
  <c r="H63" i="11"/>
  <c r="G63" i="11"/>
  <c r="F63" i="11"/>
  <c r="D63" i="11"/>
  <c r="C63" i="11"/>
  <c r="A63" i="11"/>
  <c r="Q63" i="11" s="1"/>
  <c r="Z62" i="11"/>
  <c r="V62" i="11"/>
  <c r="F62" i="11"/>
  <c r="C62" i="11"/>
  <c r="A62" i="11"/>
  <c r="Z61" i="11"/>
  <c r="Q61" i="11"/>
  <c r="P61" i="11"/>
  <c r="K61" i="11"/>
  <c r="H61" i="11"/>
  <c r="G61" i="11"/>
  <c r="F61" i="11"/>
  <c r="A61" i="11"/>
  <c r="Z60" i="11"/>
  <c r="X60" i="11"/>
  <c r="F60" i="11"/>
  <c r="D60" i="11"/>
  <c r="A60" i="11"/>
  <c r="X59" i="11"/>
  <c r="V59" i="11"/>
  <c r="Q59" i="11"/>
  <c r="P59" i="11"/>
  <c r="K59" i="11"/>
  <c r="H59" i="11"/>
  <c r="F59" i="11"/>
  <c r="D59" i="11"/>
  <c r="C59" i="11"/>
  <c r="A59" i="11"/>
  <c r="A58" i="11"/>
  <c r="A57" i="11"/>
  <c r="X57" i="11" s="1"/>
  <c r="A56" i="11"/>
  <c r="S56" i="11" s="1"/>
  <c r="Z55" i="11"/>
  <c r="X55" i="11"/>
  <c r="V55" i="11"/>
  <c r="S55" i="11"/>
  <c r="P55" i="11"/>
  <c r="K55" i="11"/>
  <c r="H55" i="11"/>
  <c r="G55" i="11"/>
  <c r="F55" i="11"/>
  <c r="D55" i="11"/>
  <c r="C55" i="11"/>
  <c r="A55" i="11"/>
  <c r="Q55" i="11" s="1"/>
  <c r="F54" i="11"/>
  <c r="A54" i="11"/>
  <c r="C53" i="11"/>
  <c r="A53" i="11"/>
  <c r="AA52" i="11"/>
  <c r="Y52" i="11"/>
  <c r="X52" i="11"/>
  <c r="W52" i="11"/>
  <c r="V52" i="11"/>
  <c r="U52" i="11"/>
  <c r="T52" i="11"/>
  <c r="S52" i="11"/>
  <c r="Q52" i="11"/>
  <c r="P52" i="11"/>
  <c r="O52" i="11"/>
  <c r="N52" i="11"/>
  <c r="M52" i="11"/>
  <c r="L52" i="11"/>
  <c r="K52" i="11"/>
  <c r="I52" i="11"/>
  <c r="H52" i="11"/>
  <c r="G52" i="11"/>
  <c r="F52" i="11"/>
  <c r="E52" i="11"/>
  <c r="D52" i="11"/>
  <c r="C52" i="11"/>
  <c r="A52" i="11"/>
  <c r="Z52" i="11" s="1"/>
  <c r="A51" i="11"/>
  <c r="AA50" i="11"/>
  <c r="W50" i="11"/>
  <c r="T50" i="11"/>
  <c r="S50" i="11"/>
  <c r="R50" i="11"/>
  <c r="Q50" i="11"/>
  <c r="K50" i="11"/>
  <c r="J50" i="11"/>
  <c r="I50" i="11"/>
  <c r="H50" i="11"/>
  <c r="G50" i="11"/>
  <c r="A50" i="11"/>
  <c r="L49" i="11"/>
  <c r="A49" i="11"/>
  <c r="AA48" i="11"/>
  <c r="Y48" i="11"/>
  <c r="X48" i="11"/>
  <c r="W48" i="11"/>
  <c r="V48" i="11"/>
  <c r="U48" i="11"/>
  <c r="T48" i="11"/>
  <c r="S48" i="11"/>
  <c r="Q48" i="11"/>
  <c r="P48" i="11"/>
  <c r="O48" i="11"/>
  <c r="N48" i="11"/>
  <c r="M48" i="11"/>
  <c r="L48" i="11"/>
  <c r="K48" i="11"/>
  <c r="I48" i="11"/>
  <c r="H48" i="11"/>
  <c r="G48" i="11"/>
  <c r="F48" i="11"/>
  <c r="E48" i="11"/>
  <c r="D48" i="11"/>
  <c r="C48" i="11"/>
  <c r="A48" i="11"/>
  <c r="Z48" i="11" s="1"/>
  <c r="Z47" i="11"/>
  <c r="Y47" i="11"/>
  <c r="W47" i="11"/>
  <c r="V47" i="11"/>
  <c r="U47" i="11"/>
  <c r="R47" i="11"/>
  <c r="Q47" i="11"/>
  <c r="P47" i="11"/>
  <c r="O47" i="11"/>
  <c r="M47" i="11"/>
  <c r="J47" i="11"/>
  <c r="I47" i="11"/>
  <c r="H47" i="11"/>
  <c r="G47" i="11"/>
  <c r="F47" i="11"/>
  <c r="E47" i="11"/>
  <c r="A47" i="11"/>
  <c r="T46" i="11"/>
  <c r="J46" i="11"/>
  <c r="A46" i="11"/>
  <c r="W46" i="11" s="1"/>
  <c r="AA45" i="11"/>
  <c r="Z45" i="11"/>
  <c r="Y45" i="11"/>
  <c r="U45" i="11"/>
  <c r="T45" i="11"/>
  <c r="S45" i="11"/>
  <c r="R45" i="11"/>
  <c r="Q45" i="11"/>
  <c r="N45" i="11"/>
  <c r="M45" i="11"/>
  <c r="K45" i="11"/>
  <c r="J45" i="11"/>
  <c r="I45" i="11"/>
  <c r="F45" i="11"/>
  <c r="E45" i="11"/>
  <c r="D45" i="11"/>
  <c r="C45" i="11"/>
  <c r="A45" i="11"/>
  <c r="AA44" i="11"/>
  <c r="Y44" i="11"/>
  <c r="X44" i="11"/>
  <c r="W44" i="11"/>
  <c r="V44" i="11"/>
  <c r="U44" i="11"/>
  <c r="T44" i="11"/>
  <c r="S44" i="11"/>
  <c r="Q44" i="11"/>
  <c r="P44" i="11"/>
  <c r="O44" i="11"/>
  <c r="N44" i="11"/>
  <c r="M44" i="11"/>
  <c r="L44" i="11"/>
  <c r="K44" i="11"/>
  <c r="I44" i="11"/>
  <c r="H44" i="11"/>
  <c r="G44" i="11"/>
  <c r="F44" i="11"/>
  <c r="E44" i="11"/>
  <c r="D44" i="11"/>
  <c r="C44" i="11"/>
  <c r="A44" i="11"/>
  <c r="Z44" i="11" s="1"/>
  <c r="W43" i="11"/>
  <c r="V43" i="11"/>
  <c r="U43" i="11"/>
  <c r="R43" i="11"/>
  <c r="Q43" i="11"/>
  <c r="M43" i="11"/>
  <c r="J43" i="11"/>
  <c r="I43" i="11"/>
  <c r="H43" i="11"/>
  <c r="G43" i="11"/>
  <c r="A43" i="11"/>
  <c r="AA42" i="11"/>
  <c r="Z42" i="11"/>
  <c r="W42" i="11"/>
  <c r="Q42" i="11"/>
  <c r="P42" i="11"/>
  <c r="L42" i="11"/>
  <c r="K42" i="11"/>
  <c r="G42" i="11"/>
  <c r="D42" i="11"/>
  <c r="A42" i="11"/>
  <c r="AA41" i="11"/>
  <c r="U41" i="11"/>
  <c r="T41" i="11"/>
  <c r="S41" i="11"/>
  <c r="R41" i="11"/>
  <c r="Q41" i="11"/>
  <c r="K41" i="11"/>
  <c r="J41" i="11"/>
  <c r="I41" i="11"/>
  <c r="F41" i="11"/>
  <c r="E41" i="11"/>
  <c r="A41" i="11"/>
  <c r="AA40" i="11"/>
  <c r="Y40" i="11"/>
  <c r="X40" i="11"/>
  <c r="W40" i="11"/>
  <c r="V40" i="11"/>
  <c r="U40" i="11"/>
  <c r="T40" i="11"/>
  <c r="S40" i="11"/>
  <c r="Q40" i="11"/>
  <c r="P40" i="11"/>
  <c r="O40" i="11"/>
  <c r="N40" i="11"/>
  <c r="M40" i="11"/>
  <c r="L40" i="11"/>
  <c r="K40" i="11"/>
  <c r="I40" i="11"/>
  <c r="H40" i="11"/>
  <c r="G40" i="11"/>
  <c r="F40" i="11"/>
  <c r="E40" i="11"/>
  <c r="D40" i="11"/>
  <c r="C40" i="11"/>
  <c r="A40" i="11"/>
  <c r="Z40" i="11" s="1"/>
  <c r="V39" i="11"/>
  <c r="U39" i="11"/>
  <c r="A39" i="11"/>
  <c r="AA38" i="11"/>
  <c r="Z38" i="11"/>
  <c r="Y38" i="11"/>
  <c r="W38" i="11"/>
  <c r="T38" i="11"/>
  <c r="S38" i="11"/>
  <c r="R38" i="11"/>
  <c r="Q38" i="11"/>
  <c r="P38" i="11"/>
  <c r="O38" i="11"/>
  <c r="K38" i="11"/>
  <c r="J38" i="11"/>
  <c r="I38" i="11"/>
  <c r="H38" i="11"/>
  <c r="G38" i="11"/>
  <c r="D38" i="11"/>
  <c r="C38" i="11"/>
  <c r="A38" i="11"/>
  <c r="S37" i="11"/>
  <c r="L37" i="11"/>
  <c r="J37" i="11"/>
  <c r="I37" i="11"/>
  <c r="A37" i="11"/>
  <c r="T37" i="11" s="1"/>
  <c r="AA36" i="11"/>
  <c r="Y36" i="11"/>
  <c r="X36" i="11"/>
  <c r="W36" i="11"/>
  <c r="V36" i="11"/>
  <c r="U36" i="11"/>
  <c r="T36" i="11"/>
  <c r="S36" i="11"/>
  <c r="Q36" i="11"/>
  <c r="P36" i="11"/>
  <c r="O36" i="11"/>
  <c r="N36" i="11"/>
  <c r="M36" i="11"/>
  <c r="L36" i="11"/>
  <c r="K36" i="11"/>
  <c r="I36" i="11"/>
  <c r="H36" i="11"/>
  <c r="G36" i="11"/>
  <c r="F36" i="11"/>
  <c r="E36" i="11"/>
  <c r="D36" i="11"/>
  <c r="C36" i="11"/>
  <c r="A36" i="11"/>
  <c r="Z36" i="11" s="1"/>
  <c r="Z35" i="11"/>
  <c r="W35" i="11"/>
  <c r="Q35" i="11"/>
  <c r="P35" i="11"/>
  <c r="N35" i="11"/>
  <c r="M35" i="11"/>
  <c r="F35" i="11"/>
  <c r="A35" i="11"/>
  <c r="AA34" i="11"/>
  <c r="Y34" i="11"/>
  <c r="W34" i="11"/>
  <c r="T34" i="11"/>
  <c r="S34" i="11"/>
  <c r="R34" i="11"/>
  <c r="Q34" i="11"/>
  <c r="O34" i="11"/>
  <c r="K34" i="11"/>
  <c r="J34" i="11"/>
  <c r="I34" i="11"/>
  <c r="H34" i="11"/>
  <c r="G34" i="11"/>
  <c r="C34" i="11"/>
  <c r="A34" i="11"/>
  <c r="Z33" i="11"/>
  <c r="U33" i="11"/>
  <c r="Q33" i="11"/>
  <c r="N33" i="11"/>
  <c r="K33" i="11"/>
  <c r="D33" i="11"/>
  <c r="A33" i="11"/>
  <c r="AA32" i="11"/>
  <c r="Y32" i="11"/>
  <c r="X32" i="11"/>
  <c r="W32" i="11"/>
  <c r="V32" i="11"/>
  <c r="U32" i="11"/>
  <c r="T32" i="11"/>
  <c r="S32" i="11"/>
  <c r="Q32" i="11"/>
  <c r="P32" i="11"/>
  <c r="O32" i="11"/>
  <c r="N32" i="11"/>
  <c r="M32" i="11"/>
  <c r="L32" i="11"/>
  <c r="K32" i="11"/>
  <c r="I32" i="11"/>
  <c r="H32" i="11"/>
  <c r="G32" i="11"/>
  <c r="F32" i="11"/>
  <c r="E32" i="11"/>
  <c r="D32" i="11"/>
  <c r="C32" i="11"/>
  <c r="A32" i="11"/>
  <c r="Z32" i="11" s="1"/>
  <c r="Z31" i="11"/>
  <c r="Y31" i="11"/>
  <c r="W31" i="11"/>
  <c r="V31" i="11"/>
  <c r="U31" i="11"/>
  <c r="R31" i="11"/>
  <c r="Q31" i="11"/>
  <c r="P31" i="11"/>
  <c r="O31" i="11"/>
  <c r="M31" i="11"/>
  <c r="J31" i="11"/>
  <c r="I31" i="11"/>
  <c r="H31" i="11"/>
  <c r="G31" i="11"/>
  <c r="F31" i="11"/>
  <c r="E31" i="11"/>
  <c r="A31" i="11"/>
  <c r="T30" i="11"/>
  <c r="J30" i="11"/>
  <c r="A30" i="11"/>
  <c r="AA29" i="11"/>
  <c r="Z29" i="11"/>
  <c r="Y29" i="11"/>
  <c r="U29" i="11"/>
  <c r="T29" i="11"/>
  <c r="S29" i="11"/>
  <c r="R29" i="11"/>
  <c r="Q29" i="11"/>
  <c r="N29" i="11"/>
  <c r="M29" i="11"/>
  <c r="K29" i="11"/>
  <c r="J29" i="11"/>
  <c r="I29" i="11"/>
  <c r="F29" i="11"/>
  <c r="E29" i="11"/>
  <c r="D29" i="11"/>
  <c r="C29" i="11"/>
  <c r="A29" i="11"/>
  <c r="AA28" i="11"/>
  <c r="Y28" i="11"/>
  <c r="X28" i="11"/>
  <c r="W28" i="11"/>
  <c r="V28" i="11"/>
  <c r="U28" i="11"/>
  <c r="T28" i="11"/>
  <c r="S28" i="11"/>
  <c r="Q28" i="11"/>
  <c r="P28" i="11"/>
  <c r="O28" i="11"/>
  <c r="N28" i="11"/>
  <c r="M28" i="11"/>
  <c r="L28" i="11"/>
  <c r="K28" i="11"/>
  <c r="I28" i="11"/>
  <c r="H28" i="11"/>
  <c r="G28" i="11"/>
  <c r="F28" i="11"/>
  <c r="E28" i="11"/>
  <c r="D28" i="11"/>
  <c r="C28" i="11"/>
  <c r="A28" i="11"/>
  <c r="Z28" i="11" s="1"/>
  <c r="W27" i="11"/>
  <c r="S27" i="11"/>
  <c r="O27" i="11"/>
  <c r="N27" i="11"/>
  <c r="K27" i="11"/>
  <c r="J27" i="11"/>
  <c r="E27" i="11"/>
  <c r="A27" i="11"/>
  <c r="AA26" i="11"/>
  <c r="W26" i="11"/>
  <c r="U26" i="11"/>
  <c r="S26" i="11"/>
  <c r="R26" i="11"/>
  <c r="M26" i="11"/>
  <c r="L26" i="11"/>
  <c r="J26" i="11"/>
  <c r="I26" i="11"/>
  <c r="D26" i="11"/>
  <c r="C26" i="11"/>
  <c r="A26" i="11"/>
  <c r="AA25" i="11"/>
  <c r="U25" i="11"/>
  <c r="R25" i="11"/>
  <c r="Q25" i="11"/>
  <c r="L25" i="11"/>
  <c r="K25" i="11"/>
  <c r="I25" i="11"/>
  <c r="C25" i="11"/>
  <c r="A25" i="11"/>
  <c r="AA24" i="11"/>
  <c r="Y24" i="11"/>
  <c r="X24" i="11"/>
  <c r="W24" i="11"/>
  <c r="V24" i="11"/>
  <c r="U24" i="11"/>
  <c r="T24" i="11"/>
  <c r="S24" i="11"/>
  <c r="Q24" i="11"/>
  <c r="P24" i="11"/>
  <c r="O24" i="11"/>
  <c r="N24" i="11"/>
  <c r="M24" i="11"/>
  <c r="L24" i="11"/>
  <c r="K24" i="11"/>
  <c r="I24" i="11"/>
  <c r="H24" i="11"/>
  <c r="G24" i="11"/>
  <c r="F24" i="11"/>
  <c r="E24" i="11"/>
  <c r="D24" i="11"/>
  <c r="C24" i="11"/>
  <c r="A24" i="11"/>
  <c r="Z24" i="11" s="1"/>
  <c r="AA23" i="11"/>
  <c r="Z23" i="11"/>
  <c r="Y23" i="11"/>
  <c r="X23" i="11"/>
  <c r="V23" i="11"/>
  <c r="S23" i="11"/>
  <c r="R23" i="11"/>
  <c r="Q23" i="11"/>
  <c r="P23" i="11"/>
  <c r="O23" i="11"/>
  <c r="M23" i="11"/>
  <c r="J23" i="11"/>
  <c r="I23" i="11"/>
  <c r="H23" i="11"/>
  <c r="G23" i="11"/>
  <c r="F23" i="11"/>
  <c r="C23" i="11"/>
  <c r="A23" i="11"/>
  <c r="AA22" i="11"/>
  <c r="Z22" i="11"/>
  <c r="Y22" i="11"/>
  <c r="X22" i="11"/>
  <c r="W22" i="11"/>
  <c r="R22" i="11"/>
  <c r="Q22" i="11"/>
  <c r="P22" i="11"/>
  <c r="O22" i="11"/>
  <c r="M22" i="11"/>
  <c r="I22" i="11"/>
  <c r="H22" i="11"/>
  <c r="G22" i="11"/>
  <c r="E22" i="11"/>
  <c r="D22" i="11"/>
  <c r="A22" i="11"/>
  <c r="S22" i="11" s="1"/>
  <c r="AA21" i="11"/>
  <c r="Z21" i="11"/>
  <c r="Y21" i="11"/>
  <c r="W21" i="11"/>
  <c r="V21" i="11"/>
  <c r="U21" i="11"/>
  <c r="S21" i="11"/>
  <c r="R21" i="11"/>
  <c r="Q21" i="11"/>
  <c r="O21" i="11"/>
  <c r="N21" i="11"/>
  <c r="M21" i="11"/>
  <c r="L21" i="11"/>
  <c r="J21" i="11"/>
  <c r="I21" i="11"/>
  <c r="G21" i="11"/>
  <c r="F21" i="11"/>
  <c r="E21" i="11"/>
  <c r="D21" i="11"/>
  <c r="C21" i="11"/>
  <c r="A21" i="11"/>
  <c r="AA20" i="11"/>
  <c r="Y20" i="11"/>
  <c r="X20" i="11"/>
  <c r="W20" i="11"/>
  <c r="V20" i="11"/>
  <c r="U20" i="11"/>
  <c r="T20" i="11"/>
  <c r="S20" i="11"/>
  <c r="Q20" i="11"/>
  <c r="P20" i="11"/>
  <c r="O20" i="11"/>
  <c r="N20" i="11"/>
  <c r="M20" i="11"/>
  <c r="L20" i="11"/>
  <c r="K20" i="11"/>
  <c r="I20" i="11"/>
  <c r="H20" i="11"/>
  <c r="G20" i="11"/>
  <c r="F20" i="11"/>
  <c r="E20" i="11"/>
  <c r="D20" i="11"/>
  <c r="C20" i="11"/>
  <c r="A20" i="11"/>
  <c r="Z20" i="11" s="1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C754" i="8"/>
  <c r="D754" i="8" s="1"/>
  <c r="C753" i="8"/>
  <c r="D753" i="8" s="1"/>
  <c r="C752" i="8"/>
  <c r="D752" i="8" s="1"/>
  <c r="C751" i="8"/>
  <c r="D751" i="8" s="1"/>
  <c r="C749" i="8"/>
  <c r="D749" i="8" s="1"/>
  <c r="D748" i="8"/>
  <c r="C748" i="8"/>
  <c r="C747" i="8"/>
  <c r="D747" i="8" s="1"/>
  <c r="C745" i="8"/>
  <c r="D745" i="8" s="1"/>
  <c r="C744" i="8"/>
  <c r="D744" i="8" s="1"/>
  <c r="C743" i="8"/>
  <c r="D743" i="8" s="1"/>
  <c r="C742" i="8"/>
  <c r="D742" i="8" s="1"/>
  <c r="C741" i="8"/>
  <c r="D741" i="8" s="1"/>
  <c r="C737" i="8"/>
  <c r="D737" i="8" s="1"/>
  <c r="C736" i="8"/>
  <c r="D736" i="8" s="1"/>
  <c r="D735" i="8"/>
  <c r="C735" i="8"/>
  <c r="C732" i="8"/>
  <c r="D732" i="8" s="1"/>
  <c r="C731" i="8"/>
  <c r="D731" i="8" s="1"/>
  <c r="C730" i="8"/>
  <c r="D730" i="8" s="1"/>
  <c r="C729" i="8"/>
  <c r="D729" i="8" s="1"/>
  <c r="C728" i="8"/>
  <c r="D728" i="8" s="1"/>
  <c r="C727" i="8"/>
  <c r="D727" i="8" s="1"/>
  <c r="C724" i="8"/>
  <c r="D724" i="8" s="1"/>
  <c r="C723" i="8"/>
  <c r="D723" i="8" s="1"/>
  <c r="C722" i="8"/>
  <c r="D722" i="8" s="1"/>
  <c r="C721" i="8"/>
  <c r="D721" i="8" s="1"/>
  <c r="C720" i="8"/>
  <c r="D720" i="8" s="1"/>
  <c r="C719" i="8"/>
  <c r="D719" i="8" s="1"/>
  <c r="D716" i="8"/>
  <c r="C716" i="8"/>
  <c r="D715" i="8"/>
  <c r="C715" i="8"/>
  <c r="C713" i="8"/>
  <c r="D713" i="8" s="1"/>
  <c r="D712" i="8"/>
  <c r="C712" i="8"/>
  <c r="D711" i="8"/>
  <c r="C711" i="8"/>
  <c r="D710" i="8"/>
  <c r="C710" i="8"/>
  <c r="C706" i="8"/>
  <c r="D706" i="8" s="1"/>
  <c r="C705" i="8"/>
  <c r="D705" i="8" s="1"/>
  <c r="C704" i="8"/>
  <c r="D704" i="8" s="1"/>
  <c r="D703" i="8"/>
  <c r="C703" i="8"/>
  <c r="C700" i="8"/>
  <c r="D700" i="8" s="1"/>
  <c r="C699" i="8"/>
  <c r="D699" i="8" s="1"/>
  <c r="C697" i="8"/>
  <c r="D697" i="8" s="1"/>
  <c r="C696" i="8"/>
  <c r="D696" i="8" s="1"/>
  <c r="C695" i="8"/>
  <c r="D695" i="8" s="1"/>
  <c r="C694" i="8"/>
  <c r="D694" i="8" s="1"/>
  <c r="C693" i="8"/>
  <c r="D693" i="8" s="1"/>
  <c r="C692" i="8"/>
  <c r="D692" i="8" s="1"/>
  <c r="C691" i="8"/>
  <c r="D691" i="8" s="1"/>
  <c r="C689" i="8"/>
  <c r="D689" i="8" s="1"/>
  <c r="C688" i="8"/>
  <c r="D688" i="8" s="1"/>
  <c r="C687" i="8"/>
  <c r="D687" i="8" s="1"/>
  <c r="C686" i="8"/>
  <c r="D686" i="8" s="1"/>
  <c r="C685" i="8"/>
  <c r="D685" i="8" s="1"/>
  <c r="D684" i="8"/>
  <c r="C684" i="8"/>
  <c r="C681" i="8"/>
  <c r="D681" i="8" s="1"/>
  <c r="D680" i="8"/>
  <c r="C680" i="8"/>
  <c r="D679" i="8"/>
  <c r="C679" i="8"/>
  <c r="C675" i="8"/>
  <c r="D675" i="8" s="1"/>
  <c r="C674" i="8"/>
  <c r="D674" i="8" s="1"/>
  <c r="C673" i="8"/>
  <c r="D673" i="8" s="1"/>
  <c r="C672" i="8"/>
  <c r="D672" i="8" s="1"/>
  <c r="C671" i="8"/>
  <c r="D671" i="8" s="1"/>
  <c r="C668" i="8"/>
  <c r="D668" i="8" s="1"/>
  <c r="D667" i="8"/>
  <c r="C667" i="8"/>
  <c r="C665" i="8"/>
  <c r="D665" i="8" s="1"/>
  <c r="C664" i="8"/>
  <c r="D664" i="8" s="1"/>
  <c r="C663" i="8"/>
  <c r="D663" i="8" s="1"/>
  <c r="C662" i="8"/>
  <c r="D662" i="8" s="1"/>
  <c r="C661" i="8"/>
  <c r="D661" i="8" s="1"/>
  <c r="D660" i="8"/>
  <c r="C660" i="8"/>
  <c r="C657" i="8"/>
  <c r="D657" i="8" s="1"/>
  <c r="C656" i="8"/>
  <c r="D656" i="8" s="1"/>
  <c r="D655" i="8"/>
  <c r="C655" i="8"/>
  <c r="C651" i="8"/>
  <c r="D651" i="8" s="1"/>
  <c r="C650" i="8"/>
  <c r="D650" i="8" s="1"/>
  <c r="C649" i="8"/>
  <c r="D649" i="8" s="1"/>
  <c r="C648" i="8"/>
  <c r="D648" i="8" s="1"/>
  <c r="C647" i="8"/>
  <c r="D647" i="8" s="1"/>
  <c r="C644" i="8"/>
  <c r="D644" i="8" s="1"/>
  <c r="D643" i="8"/>
  <c r="C643" i="8"/>
  <c r="C642" i="8"/>
  <c r="D642" i="8" s="1"/>
  <c r="C641" i="8"/>
  <c r="D641" i="8" s="1"/>
  <c r="C640" i="8"/>
  <c r="D640" i="8" s="1"/>
  <c r="D639" i="8"/>
  <c r="C639" i="8"/>
  <c r="C638" i="8"/>
  <c r="D638" i="8" s="1"/>
  <c r="C637" i="8"/>
  <c r="D637" i="8" s="1"/>
  <c r="C636" i="8"/>
  <c r="D636" i="8" s="1"/>
  <c r="C633" i="8"/>
  <c r="D633" i="8" s="1"/>
  <c r="C632" i="8"/>
  <c r="D632" i="8" s="1"/>
  <c r="D631" i="8"/>
  <c r="C631" i="8"/>
  <c r="C630" i="8"/>
  <c r="D630" i="8" s="1"/>
  <c r="C627" i="8"/>
  <c r="D627" i="8" s="1"/>
  <c r="C626" i="8"/>
  <c r="D626" i="8" s="1"/>
  <c r="C625" i="8"/>
  <c r="D625" i="8" s="1"/>
  <c r="D624" i="8"/>
  <c r="C624" i="8"/>
  <c r="C623" i="8"/>
  <c r="D623" i="8" s="1"/>
  <c r="C622" i="8"/>
  <c r="D622" i="8" s="1"/>
  <c r="C621" i="8"/>
  <c r="D621" i="8" s="1"/>
  <c r="C620" i="8"/>
  <c r="D620" i="8" s="1"/>
  <c r="C619" i="8"/>
  <c r="D619" i="8" s="1"/>
  <c r="C617" i="8"/>
  <c r="D617" i="8" s="1"/>
  <c r="C616" i="8"/>
  <c r="D616" i="8" s="1"/>
  <c r="C615" i="8"/>
  <c r="D615" i="8" s="1"/>
  <c r="C614" i="8"/>
  <c r="D614" i="8" s="1"/>
  <c r="C613" i="8"/>
  <c r="D613" i="8" s="1"/>
  <c r="D612" i="8"/>
  <c r="C612" i="8"/>
  <c r="C609" i="8"/>
  <c r="D609" i="8" s="1"/>
  <c r="C608" i="8"/>
  <c r="D608" i="8" s="1"/>
  <c r="D607" i="8"/>
  <c r="C607" i="8"/>
  <c r="C603" i="8"/>
  <c r="D603" i="8" s="1"/>
  <c r="C602" i="8"/>
  <c r="D602" i="8" s="1"/>
  <c r="C601" i="8"/>
  <c r="D601" i="8" s="1"/>
  <c r="C600" i="8"/>
  <c r="D600" i="8" s="1"/>
  <c r="C599" i="8"/>
  <c r="D599" i="8" s="1"/>
  <c r="C595" i="8"/>
  <c r="D595" i="8" s="1"/>
  <c r="C594" i="8"/>
  <c r="D594" i="8" s="1"/>
  <c r="C593" i="8"/>
  <c r="D593" i="8" s="1"/>
  <c r="C592" i="8"/>
  <c r="D592" i="8" s="1"/>
  <c r="C591" i="8"/>
  <c r="D591" i="8" s="1"/>
  <c r="C588" i="8"/>
  <c r="D588" i="8" s="1"/>
  <c r="D587" i="8"/>
  <c r="C587" i="8"/>
  <c r="C586" i="8"/>
  <c r="D586" i="8" s="1"/>
  <c r="C585" i="8"/>
  <c r="D585" i="8" s="1"/>
  <c r="C584" i="8"/>
  <c r="D584" i="8" s="1"/>
  <c r="C583" i="8"/>
  <c r="D583" i="8" s="1"/>
  <c r="D582" i="8"/>
  <c r="C582" i="8"/>
  <c r="C581" i="8"/>
  <c r="D581" i="8" s="1"/>
  <c r="C577" i="8"/>
  <c r="D577" i="8" s="1"/>
  <c r="C576" i="8"/>
  <c r="D576" i="8" s="1"/>
  <c r="C575" i="8"/>
  <c r="D575" i="8" s="1"/>
  <c r="C574" i="8"/>
  <c r="D574" i="8" s="1"/>
  <c r="C573" i="8"/>
  <c r="D573" i="8" s="1"/>
  <c r="C570" i="8"/>
  <c r="D570" i="8" s="1"/>
  <c r="C569" i="8"/>
  <c r="D569" i="8" s="1"/>
  <c r="C568" i="8"/>
  <c r="D568" i="8" s="1"/>
  <c r="C567" i="8"/>
  <c r="D567" i="8" s="1"/>
  <c r="C564" i="8"/>
  <c r="D564" i="8" s="1"/>
  <c r="C563" i="8"/>
  <c r="D563" i="8" s="1"/>
  <c r="C562" i="8"/>
  <c r="D562" i="8" s="1"/>
  <c r="C561" i="8"/>
  <c r="D561" i="8" s="1"/>
  <c r="C560" i="8"/>
  <c r="D560" i="8" s="1"/>
  <c r="C559" i="8"/>
  <c r="D559" i="8" s="1"/>
  <c r="C556" i="8"/>
  <c r="D556" i="8" s="1"/>
  <c r="D555" i="8"/>
  <c r="C555" i="8"/>
  <c r="C554" i="8"/>
  <c r="D554" i="8" s="1"/>
  <c r="C553" i="8"/>
  <c r="D553" i="8" s="1"/>
  <c r="C552" i="8"/>
  <c r="D552" i="8" s="1"/>
  <c r="C551" i="8"/>
  <c r="D551" i="8" s="1"/>
  <c r="D550" i="8"/>
  <c r="C550" i="8"/>
  <c r="C549" i="8"/>
  <c r="D549" i="8" s="1"/>
  <c r="C548" i="8"/>
  <c r="D548" i="8" s="1"/>
  <c r="C547" i="8"/>
  <c r="D547" i="8" s="1"/>
  <c r="C546" i="8"/>
  <c r="D546" i="8" s="1"/>
  <c r="C545" i="8"/>
  <c r="D545" i="8" s="1"/>
  <c r="C544" i="8"/>
  <c r="D544" i="8" s="1"/>
  <c r="C543" i="8"/>
  <c r="D543" i="8" s="1"/>
  <c r="C540" i="8"/>
  <c r="D540" i="8" s="1"/>
  <c r="C539" i="8"/>
  <c r="D539" i="8" s="1"/>
  <c r="C538" i="8"/>
  <c r="D538" i="8" s="1"/>
  <c r="C537" i="8"/>
  <c r="D537" i="8" s="1"/>
  <c r="C536" i="8"/>
  <c r="D536" i="8" s="1"/>
  <c r="C535" i="8"/>
  <c r="D535" i="8" s="1"/>
  <c r="C534" i="8"/>
  <c r="D534" i="8" s="1"/>
  <c r="C533" i="8"/>
  <c r="D533" i="8" s="1"/>
  <c r="C532" i="8"/>
  <c r="D532" i="8" s="1"/>
  <c r="C531" i="8"/>
  <c r="D531" i="8" s="1"/>
  <c r="C530" i="8"/>
  <c r="D530" i="8" s="1"/>
  <c r="C529" i="8"/>
  <c r="D529" i="8" s="1"/>
  <c r="C528" i="8"/>
  <c r="D528" i="8" s="1"/>
  <c r="C527" i="8"/>
  <c r="D527" i="8" s="1"/>
  <c r="C526" i="8"/>
  <c r="D526" i="8" s="1"/>
  <c r="C525" i="8"/>
  <c r="D525" i="8" s="1"/>
  <c r="D524" i="8"/>
  <c r="C524" i="8"/>
  <c r="C523" i="8"/>
  <c r="D523" i="8" s="1"/>
  <c r="C522" i="8"/>
  <c r="D522" i="8" s="1"/>
  <c r="C521" i="8"/>
  <c r="D521" i="8" s="1"/>
  <c r="C520" i="8"/>
  <c r="D520" i="8" s="1"/>
  <c r="D519" i="8"/>
  <c r="C519" i="8"/>
  <c r="D518" i="8"/>
  <c r="C518" i="8"/>
  <c r="C517" i="8"/>
  <c r="D517" i="8" s="1"/>
  <c r="C516" i="8"/>
  <c r="D516" i="8" s="1"/>
  <c r="C515" i="8"/>
  <c r="D515" i="8" s="1"/>
  <c r="C514" i="8"/>
  <c r="D514" i="8" s="1"/>
  <c r="C513" i="8"/>
  <c r="D513" i="8" s="1"/>
  <c r="C512" i="8"/>
  <c r="D512" i="8" s="1"/>
  <c r="C511" i="8"/>
  <c r="D511" i="8" s="1"/>
  <c r="C510" i="8"/>
  <c r="D510" i="8" s="1"/>
  <c r="C509" i="8"/>
  <c r="D509" i="8" s="1"/>
  <c r="D508" i="8"/>
  <c r="C508" i="8"/>
  <c r="C507" i="8"/>
  <c r="D507" i="8" s="1"/>
  <c r="C506" i="8"/>
  <c r="D506" i="8" s="1"/>
  <c r="C505" i="8"/>
  <c r="D505" i="8" s="1"/>
  <c r="C504" i="8"/>
  <c r="D504" i="8" s="1"/>
  <c r="D503" i="8"/>
  <c r="C503" i="8"/>
  <c r="C502" i="8"/>
  <c r="D502" i="8" s="1"/>
  <c r="C501" i="8"/>
  <c r="D501" i="8" s="1"/>
  <c r="C500" i="8"/>
  <c r="D500" i="8" s="1"/>
  <c r="C499" i="8"/>
  <c r="D499" i="8" s="1"/>
  <c r="C498" i="8"/>
  <c r="D498" i="8" s="1"/>
  <c r="C497" i="8"/>
  <c r="D497" i="8" s="1"/>
  <c r="C496" i="8"/>
  <c r="D496" i="8" s="1"/>
  <c r="C495" i="8"/>
  <c r="D495" i="8" s="1"/>
  <c r="C494" i="8"/>
  <c r="D494" i="8" s="1"/>
  <c r="C493" i="8"/>
  <c r="D493" i="8" s="1"/>
  <c r="D492" i="8"/>
  <c r="C492" i="8"/>
  <c r="C491" i="8"/>
  <c r="D491" i="8" s="1"/>
  <c r="C490" i="8"/>
  <c r="D490" i="8" s="1"/>
  <c r="C489" i="8"/>
  <c r="D489" i="8" s="1"/>
  <c r="D488" i="8"/>
  <c r="C488" i="8"/>
  <c r="D487" i="8"/>
  <c r="C487" i="8"/>
  <c r="C486" i="8"/>
  <c r="D486" i="8" s="1"/>
  <c r="C485" i="8"/>
  <c r="D485" i="8" s="1"/>
  <c r="C484" i="8"/>
  <c r="D484" i="8" s="1"/>
  <c r="C483" i="8"/>
  <c r="D483" i="8" s="1"/>
  <c r="C482" i="8"/>
  <c r="D482" i="8" s="1"/>
  <c r="C481" i="8"/>
  <c r="D481" i="8" s="1"/>
  <c r="C480" i="8"/>
  <c r="D480" i="8" s="1"/>
  <c r="C479" i="8"/>
  <c r="D479" i="8" s="1"/>
  <c r="C478" i="8"/>
  <c r="D478" i="8" s="1"/>
  <c r="C477" i="8"/>
  <c r="D477" i="8" s="1"/>
  <c r="C476" i="8"/>
  <c r="D476" i="8" s="1"/>
  <c r="C475" i="8"/>
  <c r="D475" i="8" s="1"/>
  <c r="C474" i="8"/>
  <c r="D474" i="8" s="1"/>
  <c r="C473" i="8"/>
  <c r="D473" i="8" s="1"/>
  <c r="C472" i="8"/>
  <c r="D472" i="8" s="1"/>
  <c r="C471" i="8"/>
  <c r="D471" i="8" s="1"/>
  <c r="C470" i="8"/>
  <c r="D470" i="8" s="1"/>
  <c r="C469" i="8"/>
  <c r="D469" i="8" s="1"/>
  <c r="C468" i="8"/>
  <c r="D468" i="8" s="1"/>
  <c r="C467" i="8"/>
  <c r="D467" i="8" s="1"/>
  <c r="C466" i="8"/>
  <c r="D466" i="8" s="1"/>
  <c r="C465" i="8"/>
  <c r="D465" i="8" s="1"/>
  <c r="C464" i="8"/>
  <c r="D464" i="8" s="1"/>
  <c r="C463" i="8"/>
  <c r="D463" i="8" s="1"/>
  <c r="C462" i="8"/>
  <c r="D462" i="8" s="1"/>
  <c r="C461" i="8"/>
  <c r="D461" i="8" s="1"/>
  <c r="D460" i="8"/>
  <c r="C460" i="8"/>
  <c r="D459" i="8"/>
  <c r="C459" i="8"/>
  <c r="C458" i="8"/>
  <c r="D458" i="8" s="1"/>
  <c r="C457" i="8"/>
  <c r="D457" i="8" s="1"/>
  <c r="C456" i="8"/>
  <c r="D456" i="8" s="1"/>
  <c r="D455" i="8"/>
  <c r="C455" i="8"/>
  <c r="D454" i="8"/>
  <c r="C454" i="8"/>
  <c r="C453" i="8"/>
  <c r="D453" i="8" s="1"/>
  <c r="C452" i="8"/>
  <c r="D452" i="8" s="1"/>
  <c r="C451" i="8"/>
  <c r="D451" i="8" s="1"/>
  <c r="C450" i="8"/>
  <c r="D450" i="8" s="1"/>
  <c r="C449" i="8"/>
  <c r="D449" i="8" s="1"/>
  <c r="C448" i="8"/>
  <c r="D448" i="8" s="1"/>
  <c r="C447" i="8"/>
  <c r="D447" i="8" s="1"/>
  <c r="C446" i="8"/>
  <c r="D446" i="8" s="1"/>
  <c r="C445" i="8"/>
  <c r="D445" i="8" s="1"/>
  <c r="C444" i="8"/>
  <c r="D444" i="8" s="1"/>
  <c r="C443" i="8"/>
  <c r="D443" i="8" s="1"/>
  <c r="C442" i="8"/>
  <c r="D442" i="8" s="1"/>
  <c r="C441" i="8"/>
  <c r="D441" i="8" s="1"/>
  <c r="C440" i="8"/>
  <c r="D440" i="8" s="1"/>
  <c r="C439" i="8"/>
  <c r="D439" i="8" s="1"/>
  <c r="C438" i="8"/>
  <c r="D438" i="8" s="1"/>
  <c r="C437" i="8"/>
  <c r="D437" i="8" s="1"/>
  <c r="C436" i="8"/>
  <c r="D436" i="8" s="1"/>
  <c r="C435" i="8"/>
  <c r="D435" i="8" s="1"/>
  <c r="C434" i="8"/>
  <c r="D434" i="8" s="1"/>
  <c r="C433" i="8"/>
  <c r="D433" i="8" s="1"/>
  <c r="C432" i="8"/>
  <c r="D432" i="8" s="1"/>
  <c r="C431" i="8"/>
  <c r="D431" i="8" s="1"/>
  <c r="C430" i="8"/>
  <c r="D430" i="8" s="1"/>
  <c r="C429" i="8"/>
  <c r="D429" i="8" s="1"/>
  <c r="D428" i="8"/>
  <c r="C428" i="8"/>
  <c r="D427" i="8"/>
  <c r="C427" i="8"/>
  <c r="C426" i="8"/>
  <c r="D426" i="8" s="1"/>
  <c r="C425" i="8"/>
  <c r="D425" i="8" s="1"/>
  <c r="C424" i="8"/>
  <c r="D424" i="8" s="1"/>
  <c r="D423" i="8"/>
  <c r="C423" i="8"/>
  <c r="D422" i="8"/>
  <c r="C422" i="8"/>
  <c r="C421" i="8"/>
  <c r="D421" i="8" s="1"/>
  <c r="C420" i="8"/>
  <c r="D420" i="8" s="1"/>
  <c r="C419" i="8"/>
  <c r="D419" i="8" s="1"/>
  <c r="C418" i="8"/>
  <c r="D418" i="8" s="1"/>
  <c r="C417" i="8"/>
  <c r="D417" i="8" s="1"/>
  <c r="C416" i="8"/>
  <c r="D416" i="8" s="1"/>
  <c r="C415" i="8"/>
  <c r="D415" i="8" s="1"/>
  <c r="C414" i="8"/>
  <c r="D414" i="8" s="1"/>
  <c r="C413" i="8"/>
  <c r="D413" i="8" s="1"/>
  <c r="C412" i="8"/>
  <c r="D412" i="8" s="1"/>
  <c r="C411" i="8"/>
  <c r="D411" i="8" s="1"/>
  <c r="C410" i="8"/>
  <c r="D410" i="8" s="1"/>
  <c r="C409" i="8"/>
  <c r="D409" i="8" s="1"/>
  <c r="C408" i="8"/>
  <c r="D408" i="8" s="1"/>
  <c r="C407" i="8"/>
  <c r="D407" i="8" s="1"/>
  <c r="D406" i="8"/>
  <c r="C406" i="8"/>
  <c r="C405" i="8"/>
  <c r="D405" i="8" s="1"/>
  <c r="C404" i="8"/>
  <c r="D404" i="8" s="1"/>
  <c r="D403" i="8"/>
  <c r="C403" i="8"/>
  <c r="C402" i="8"/>
  <c r="D402" i="8" s="1"/>
  <c r="C401" i="8"/>
  <c r="D401" i="8" s="1"/>
  <c r="C400" i="8"/>
  <c r="D400" i="8" s="1"/>
  <c r="C399" i="8"/>
  <c r="D399" i="8" s="1"/>
  <c r="D398" i="8"/>
  <c r="C398" i="8"/>
  <c r="C397" i="8"/>
  <c r="D397" i="8" s="1"/>
  <c r="D396" i="8"/>
  <c r="C396" i="8"/>
  <c r="C395" i="8"/>
  <c r="D395" i="8" s="1"/>
  <c r="C394" i="8"/>
  <c r="D394" i="8" s="1"/>
  <c r="C393" i="8"/>
  <c r="D393" i="8" s="1"/>
  <c r="C392" i="8"/>
  <c r="D392" i="8" s="1"/>
  <c r="C391" i="8"/>
  <c r="D391" i="8" s="1"/>
  <c r="C390" i="8"/>
  <c r="D390" i="8" s="1"/>
  <c r="C389" i="8"/>
  <c r="D389" i="8" s="1"/>
  <c r="D388" i="8"/>
  <c r="C388" i="8"/>
  <c r="C387" i="8"/>
  <c r="D387" i="8" s="1"/>
  <c r="C386" i="8"/>
  <c r="D386" i="8" s="1"/>
  <c r="C385" i="8"/>
  <c r="D385" i="8" s="1"/>
  <c r="D384" i="8"/>
  <c r="C384" i="8"/>
  <c r="D383" i="8"/>
  <c r="C383" i="8"/>
  <c r="C382" i="8"/>
  <c r="D382" i="8" s="1"/>
  <c r="C381" i="8"/>
  <c r="D381" i="8" s="1"/>
  <c r="C380" i="8"/>
  <c r="D380" i="8" s="1"/>
  <c r="C379" i="8"/>
  <c r="D379" i="8" s="1"/>
  <c r="C378" i="8"/>
  <c r="D378" i="8" s="1"/>
  <c r="C377" i="8"/>
  <c r="D377" i="8" s="1"/>
  <c r="C376" i="8"/>
  <c r="D376" i="8" s="1"/>
  <c r="C375" i="8"/>
  <c r="D375" i="8" s="1"/>
  <c r="C374" i="8"/>
  <c r="D374" i="8" s="1"/>
  <c r="C373" i="8"/>
  <c r="D373" i="8" s="1"/>
  <c r="C372" i="8"/>
  <c r="D372" i="8" s="1"/>
  <c r="C371" i="8"/>
  <c r="D371" i="8" s="1"/>
  <c r="C370" i="8"/>
  <c r="D370" i="8" s="1"/>
  <c r="C369" i="8"/>
  <c r="D369" i="8" s="1"/>
  <c r="C368" i="8"/>
  <c r="D368" i="8" s="1"/>
  <c r="C367" i="8"/>
  <c r="D367" i="8" s="1"/>
  <c r="C366" i="8"/>
  <c r="D366" i="8" s="1"/>
  <c r="C365" i="8"/>
  <c r="D365" i="8" s="1"/>
  <c r="C364" i="8"/>
  <c r="D364" i="8" s="1"/>
  <c r="C363" i="8"/>
  <c r="D363" i="8" s="1"/>
  <c r="C362" i="8"/>
  <c r="D362" i="8" s="1"/>
  <c r="C361" i="8"/>
  <c r="D361" i="8" s="1"/>
  <c r="C360" i="8"/>
  <c r="D360" i="8" s="1"/>
  <c r="C359" i="8"/>
  <c r="D359" i="8" s="1"/>
  <c r="C358" i="8"/>
  <c r="D358" i="8" s="1"/>
  <c r="C357" i="8"/>
  <c r="D357" i="8" s="1"/>
  <c r="C356" i="8"/>
  <c r="D356" i="8" s="1"/>
  <c r="C355" i="8"/>
  <c r="D355" i="8" s="1"/>
  <c r="C354" i="8"/>
  <c r="D354" i="8" s="1"/>
  <c r="C353" i="8"/>
  <c r="D353" i="8" s="1"/>
  <c r="C352" i="8"/>
  <c r="D352" i="8" s="1"/>
  <c r="C351" i="8"/>
  <c r="D351" i="8" s="1"/>
  <c r="C350" i="8"/>
  <c r="D350" i="8" s="1"/>
  <c r="C349" i="8"/>
  <c r="D349" i="8" s="1"/>
  <c r="D348" i="8"/>
  <c r="C348" i="8"/>
  <c r="C347" i="8"/>
  <c r="D347" i="8" s="1"/>
  <c r="C346" i="8"/>
  <c r="D346" i="8" s="1"/>
  <c r="C345" i="8"/>
  <c r="D345" i="8" s="1"/>
  <c r="D344" i="8"/>
  <c r="C344" i="8"/>
  <c r="D343" i="8"/>
  <c r="C343" i="8"/>
  <c r="C342" i="8"/>
  <c r="D342" i="8" s="1"/>
  <c r="C341" i="8"/>
  <c r="D341" i="8" s="1"/>
  <c r="D340" i="8"/>
  <c r="C340" i="8"/>
  <c r="D339" i="8"/>
  <c r="C339" i="8"/>
  <c r="C338" i="8"/>
  <c r="D338" i="8" s="1"/>
  <c r="C337" i="8"/>
  <c r="D337" i="8" s="1"/>
  <c r="C336" i="8"/>
  <c r="D336" i="8" s="1"/>
  <c r="D335" i="8"/>
  <c r="C335" i="8"/>
  <c r="D334" i="8"/>
  <c r="C334" i="8"/>
  <c r="C333" i="8"/>
  <c r="D333" i="8" s="1"/>
  <c r="C332" i="8"/>
  <c r="D332" i="8" s="1"/>
  <c r="C331" i="8"/>
  <c r="D331" i="8" s="1"/>
  <c r="C330" i="8"/>
  <c r="D330" i="8" s="1"/>
  <c r="C329" i="8"/>
  <c r="D329" i="8" s="1"/>
  <c r="C328" i="8"/>
  <c r="D328" i="8" s="1"/>
  <c r="C327" i="8"/>
  <c r="D327" i="8" s="1"/>
  <c r="C326" i="8"/>
  <c r="D326" i="8" s="1"/>
  <c r="C325" i="8"/>
  <c r="D325" i="8" s="1"/>
  <c r="C324" i="8"/>
  <c r="D324" i="8" s="1"/>
  <c r="C323" i="8"/>
  <c r="D323" i="8" s="1"/>
  <c r="C322" i="8"/>
  <c r="D322" i="8" s="1"/>
  <c r="C321" i="8"/>
  <c r="D321" i="8" s="1"/>
  <c r="C320" i="8"/>
  <c r="D320" i="8" s="1"/>
  <c r="C319" i="8"/>
  <c r="D319" i="8" s="1"/>
  <c r="C318" i="8"/>
  <c r="D318" i="8" s="1"/>
  <c r="C317" i="8"/>
  <c r="D317" i="8" s="1"/>
  <c r="D316" i="8"/>
  <c r="C316" i="8"/>
  <c r="C315" i="8"/>
  <c r="D315" i="8" s="1"/>
  <c r="C314" i="8"/>
  <c r="D314" i="8" s="1"/>
  <c r="C313" i="8"/>
  <c r="D313" i="8" s="1"/>
  <c r="C312" i="8"/>
  <c r="D312" i="8" s="1"/>
  <c r="C311" i="8"/>
  <c r="D311" i="8" s="1"/>
  <c r="C310" i="8"/>
  <c r="D310" i="8" s="1"/>
  <c r="C309" i="8"/>
  <c r="D309" i="8" s="1"/>
  <c r="C308" i="8"/>
  <c r="D308" i="8" s="1"/>
  <c r="C307" i="8"/>
  <c r="D307" i="8" s="1"/>
  <c r="C306" i="8"/>
  <c r="D306" i="8" s="1"/>
  <c r="C305" i="8"/>
  <c r="D305" i="8" s="1"/>
  <c r="C304" i="8"/>
  <c r="D304" i="8" s="1"/>
  <c r="C303" i="8"/>
  <c r="D303" i="8" s="1"/>
  <c r="C302" i="8"/>
  <c r="D302" i="8" s="1"/>
  <c r="C301" i="8"/>
  <c r="D301" i="8" s="1"/>
  <c r="C300" i="8"/>
  <c r="D300" i="8" s="1"/>
  <c r="D299" i="8"/>
  <c r="C299" i="8"/>
  <c r="C298" i="8"/>
  <c r="D298" i="8" s="1"/>
  <c r="C297" i="8"/>
  <c r="D297" i="8" s="1"/>
  <c r="C296" i="8"/>
  <c r="D296" i="8" s="1"/>
  <c r="C295" i="8"/>
  <c r="D295" i="8" s="1"/>
  <c r="D294" i="8"/>
  <c r="C294" i="8"/>
  <c r="C293" i="8"/>
  <c r="D293" i="8" s="1"/>
  <c r="D292" i="8"/>
  <c r="C292" i="8"/>
  <c r="C291" i="8"/>
  <c r="D291" i="8" s="1"/>
  <c r="C290" i="8"/>
  <c r="D290" i="8" s="1"/>
  <c r="C289" i="8"/>
  <c r="D289" i="8" s="1"/>
  <c r="C288" i="8"/>
  <c r="D288" i="8" s="1"/>
  <c r="C287" i="8"/>
  <c r="D287" i="8" s="1"/>
  <c r="C286" i="8"/>
  <c r="D286" i="8" s="1"/>
  <c r="C285" i="8"/>
  <c r="D285" i="8" s="1"/>
  <c r="C284" i="8"/>
  <c r="D284" i="8" s="1"/>
  <c r="C283" i="8"/>
  <c r="D283" i="8" s="1"/>
  <c r="C282" i="8"/>
  <c r="D282" i="8" s="1"/>
  <c r="C281" i="8"/>
  <c r="D281" i="8" s="1"/>
  <c r="D280" i="8"/>
  <c r="C280" i="8"/>
  <c r="C279" i="8"/>
  <c r="D279" i="8" s="1"/>
  <c r="C278" i="8"/>
  <c r="D278" i="8" s="1"/>
  <c r="C277" i="8"/>
  <c r="D277" i="8" s="1"/>
  <c r="C276" i="8"/>
  <c r="D276" i="8" s="1"/>
  <c r="C275" i="8"/>
  <c r="D275" i="8" s="1"/>
  <c r="C274" i="8"/>
  <c r="D274" i="8" s="1"/>
  <c r="C273" i="8"/>
  <c r="D273" i="8" s="1"/>
  <c r="C272" i="8"/>
  <c r="D272" i="8" s="1"/>
  <c r="C271" i="8"/>
  <c r="D271" i="8" s="1"/>
  <c r="C270" i="8"/>
  <c r="D270" i="8" s="1"/>
  <c r="C269" i="8"/>
  <c r="D269" i="8" s="1"/>
  <c r="D268" i="8"/>
  <c r="C268" i="8"/>
  <c r="C267" i="8"/>
  <c r="D267" i="8" s="1"/>
  <c r="C266" i="8"/>
  <c r="D266" i="8" s="1"/>
  <c r="C265" i="8"/>
  <c r="D265" i="8" s="1"/>
  <c r="C264" i="8"/>
  <c r="D264" i="8" s="1"/>
  <c r="D263" i="8"/>
  <c r="C263" i="8"/>
  <c r="C262" i="8"/>
  <c r="D262" i="8" s="1"/>
  <c r="C261" i="8"/>
  <c r="D261" i="8" s="1"/>
  <c r="C260" i="8"/>
  <c r="D260" i="8" s="1"/>
  <c r="C259" i="8"/>
  <c r="D259" i="8" s="1"/>
  <c r="C258" i="8"/>
  <c r="D258" i="8" s="1"/>
  <c r="C257" i="8"/>
  <c r="D257" i="8" s="1"/>
  <c r="C256" i="8"/>
  <c r="D256" i="8" s="1"/>
  <c r="C255" i="8"/>
  <c r="D255" i="8" s="1"/>
  <c r="C254" i="8"/>
  <c r="D254" i="8" s="1"/>
  <c r="C253" i="8"/>
  <c r="D253" i="8" s="1"/>
  <c r="D252" i="8"/>
  <c r="C252" i="8"/>
  <c r="C251" i="8"/>
  <c r="D251" i="8" s="1"/>
  <c r="C250" i="8"/>
  <c r="D250" i="8" s="1"/>
  <c r="C249" i="8"/>
  <c r="D249" i="8" s="1"/>
  <c r="C248" i="8"/>
  <c r="D248" i="8" s="1"/>
  <c r="D247" i="8"/>
  <c r="C247" i="8"/>
  <c r="C246" i="8"/>
  <c r="D246" i="8" s="1"/>
  <c r="C245" i="8"/>
  <c r="D245" i="8" s="1"/>
  <c r="C244" i="8"/>
  <c r="D244" i="8" s="1"/>
  <c r="C243" i="8"/>
  <c r="D243" i="8" s="1"/>
  <c r="C242" i="8"/>
  <c r="D242" i="8" s="1"/>
  <c r="C241" i="8"/>
  <c r="D241" i="8" s="1"/>
  <c r="C240" i="8"/>
  <c r="D240" i="8" s="1"/>
  <c r="C239" i="8"/>
  <c r="D239" i="8" s="1"/>
  <c r="C238" i="8"/>
  <c r="D238" i="8" s="1"/>
  <c r="C237" i="8"/>
  <c r="D237" i="8" s="1"/>
  <c r="C236" i="8"/>
  <c r="D236" i="8" s="1"/>
  <c r="C235" i="8"/>
  <c r="D235" i="8" s="1"/>
  <c r="C234" i="8"/>
  <c r="D234" i="8" s="1"/>
  <c r="C233" i="8"/>
  <c r="D233" i="8" s="1"/>
  <c r="C232" i="8"/>
  <c r="D232" i="8" s="1"/>
  <c r="C231" i="8"/>
  <c r="D231" i="8" s="1"/>
  <c r="C230" i="8"/>
  <c r="D230" i="8" s="1"/>
  <c r="C229" i="8"/>
  <c r="D229" i="8" s="1"/>
  <c r="D228" i="8"/>
  <c r="C228" i="8"/>
  <c r="C227" i="8"/>
  <c r="D227" i="8" s="1"/>
  <c r="C226" i="8"/>
  <c r="D226" i="8" s="1"/>
  <c r="C225" i="8"/>
  <c r="D225" i="8" s="1"/>
  <c r="C224" i="8"/>
  <c r="D224" i="8" s="1"/>
  <c r="D223" i="8"/>
  <c r="C223" i="8"/>
  <c r="C222" i="8"/>
  <c r="D222" i="8" s="1"/>
  <c r="C221" i="8"/>
  <c r="D221" i="8" s="1"/>
  <c r="C220" i="8"/>
  <c r="D220" i="8" s="1"/>
  <c r="C219" i="8"/>
  <c r="D219" i="8" s="1"/>
  <c r="C218" i="8"/>
  <c r="D218" i="8" s="1"/>
  <c r="C217" i="8"/>
  <c r="D217" i="8" s="1"/>
  <c r="D216" i="8"/>
  <c r="C216" i="8"/>
  <c r="C215" i="8"/>
  <c r="D215" i="8" s="1"/>
  <c r="C214" i="8"/>
  <c r="D214" i="8" s="1"/>
  <c r="C213" i="8"/>
  <c r="D213" i="8" s="1"/>
  <c r="D212" i="8"/>
  <c r="C212" i="8"/>
  <c r="D211" i="8"/>
  <c r="C211" i="8"/>
  <c r="C210" i="8"/>
  <c r="D210" i="8" s="1"/>
  <c r="C209" i="8"/>
  <c r="D209" i="8" s="1"/>
  <c r="C208" i="8"/>
  <c r="D208" i="8" s="1"/>
  <c r="D207" i="8"/>
  <c r="C207" i="8"/>
  <c r="C206" i="8"/>
  <c r="D206" i="8" s="1"/>
  <c r="C205" i="8"/>
  <c r="D205" i="8" s="1"/>
  <c r="C204" i="8"/>
  <c r="D204" i="8" s="1"/>
  <c r="C203" i="8"/>
  <c r="D203" i="8" s="1"/>
  <c r="C202" i="8"/>
  <c r="D202" i="8" s="1"/>
  <c r="C201" i="8"/>
  <c r="D201" i="8" s="1"/>
  <c r="C200" i="8"/>
  <c r="D200" i="8" s="1"/>
  <c r="C199" i="8"/>
  <c r="D199" i="8" s="1"/>
  <c r="C198" i="8"/>
  <c r="D198" i="8" s="1"/>
  <c r="C197" i="8"/>
  <c r="D197" i="8" s="1"/>
  <c r="C196" i="8"/>
  <c r="D196" i="8" s="1"/>
  <c r="D195" i="8"/>
  <c r="C195" i="8"/>
  <c r="C194" i="8"/>
  <c r="D194" i="8" s="1"/>
  <c r="C193" i="8"/>
  <c r="D193" i="8" s="1"/>
  <c r="C192" i="8"/>
  <c r="D192" i="8" s="1"/>
  <c r="C191" i="8"/>
  <c r="D191" i="8" s="1"/>
  <c r="D190" i="8"/>
  <c r="C190" i="8"/>
  <c r="C189" i="8"/>
  <c r="D189" i="8" s="1"/>
  <c r="C188" i="8"/>
  <c r="D188" i="8" s="1"/>
  <c r="C187" i="8"/>
  <c r="D187" i="8" s="1"/>
  <c r="C186" i="8"/>
  <c r="D186" i="8" s="1"/>
  <c r="C185" i="8"/>
  <c r="D185" i="8" s="1"/>
  <c r="C184" i="8"/>
  <c r="D184" i="8" s="1"/>
  <c r="D183" i="8"/>
  <c r="C183" i="8"/>
  <c r="C182" i="8"/>
  <c r="D182" i="8" s="1"/>
  <c r="C181" i="8"/>
  <c r="D181" i="8" s="1"/>
  <c r="C180" i="8"/>
  <c r="D180" i="8" s="1"/>
  <c r="C179" i="8"/>
  <c r="D179" i="8" s="1"/>
  <c r="C178" i="8"/>
  <c r="D178" i="8" s="1"/>
  <c r="C177" i="8"/>
  <c r="D177" i="8" s="1"/>
  <c r="C176" i="8"/>
  <c r="D176" i="8" s="1"/>
  <c r="C175" i="8"/>
  <c r="D175" i="8" s="1"/>
  <c r="C174" i="8"/>
  <c r="D174" i="8" s="1"/>
  <c r="C173" i="8"/>
  <c r="D173" i="8" s="1"/>
  <c r="C172" i="8"/>
  <c r="D172" i="8" s="1"/>
  <c r="C171" i="8"/>
  <c r="D171" i="8" s="1"/>
  <c r="C170" i="8"/>
  <c r="D170" i="8" s="1"/>
  <c r="C169" i="8"/>
  <c r="D169" i="8" s="1"/>
  <c r="C168" i="8"/>
  <c r="D168" i="8" s="1"/>
  <c r="C167" i="8"/>
  <c r="D167" i="8" s="1"/>
  <c r="C166" i="8"/>
  <c r="D166" i="8" s="1"/>
  <c r="C165" i="8"/>
  <c r="D165" i="8" s="1"/>
  <c r="C164" i="8"/>
  <c r="D164" i="8" s="1"/>
  <c r="D163" i="8"/>
  <c r="C163" i="8"/>
  <c r="C162" i="8"/>
  <c r="D162" i="8" s="1"/>
  <c r="C161" i="8"/>
  <c r="D161" i="8" s="1"/>
  <c r="C160" i="8"/>
  <c r="D160" i="8" s="1"/>
  <c r="C159" i="8"/>
  <c r="D159" i="8" s="1"/>
  <c r="D158" i="8"/>
  <c r="C158" i="8"/>
  <c r="C157" i="8"/>
  <c r="D157" i="8" s="1"/>
  <c r="C156" i="8"/>
  <c r="D156" i="8" s="1"/>
  <c r="C155" i="8"/>
  <c r="D155" i="8" s="1"/>
  <c r="C154" i="8"/>
  <c r="D154" i="8" s="1"/>
  <c r="C153" i="8"/>
  <c r="D153" i="8" s="1"/>
  <c r="C152" i="8"/>
  <c r="D152" i="8" s="1"/>
  <c r="C151" i="8"/>
  <c r="D151" i="8" s="1"/>
  <c r="C150" i="8"/>
  <c r="D150" i="8" s="1"/>
  <c r="C149" i="8"/>
  <c r="D149" i="8" s="1"/>
  <c r="C148" i="8"/>
  <c r="D148" i="8" s="1"/>
  <c r="C147" i="8"/>
  <c r="D147" i="8" s="1"/>
  <c r="C146" i="8"/>
  <c r="D146" i="8" s="1"/>
  <c r="D145" i="8"/>
  <c r="C145" i="8"/>
  <c r="C144" i="8"/>
  <c r="D144" i="8" s="1"/>
  <c r="C143" i="8"/>
  <c r="D143" i="8" s="1"/>
  <c r="C142" i="8"/>
  <c r="D142" i="8" s="1"/>
  <c r="C141" i="8"/>
  <c r="D141" i="8" s="1"/>
  <c r="C140" i="8"/>
  <c r="D140" i="8" s="1"/>
  <c r="C139" i="8"/>
  <c r="D139" i="8" s="1"/>
  <c r="C138" i="8"/>
  <c r="D138" i="8" s="1"/>
  <c r="C137" i="8"/>
  <c r="D137" i="8" s="1"/>
  <c r="D136" i="8"/>
  <c r="C136" i="8"/>
  <c r="C135" i="8"/>
  <c r="D135" i="8" s="1"/>
  <c r="C134" i="8"/>
  <c r="D134" i="8" s="1"/>
  <c r="C133" i="8"/>
  <c r="D133" i="8" s="1"/>
  <c r="C132" i="8"/>
  <c r="D132" i="8" s="1"/>
  <c r="C131" i="8"/>
  <c r="D131" i="8" s="1"/>
  <c r="C130" i="8"/>
  <c r="D130" i="8" s="1"/>
  <c r="C129" i="8"/>
  <c r="D129" i="8" s="1"/>
  <c r="D128" i="8"/>
  <c r="C128" i="8"/>
  <c r="C127" i="8"/>
  <c r="D127" i="8" s="1"/>
  <c r="C126" i="8"/>
  <c r="D126" i="8" s="1"/>
  <c r="C125" i="8"/>
  <c r="D125" i="8" s="1"/>
  <c r="C124" i="8"/>
  <c r="D124" i="8" s="1"/>
  <c r="C123" i="8"/>
  <c r="D123" i="8" s="1"/>
  <c r="C122" i="8"/>
  <c r="D122" i="8" s="1"/>
  <c r="C121" i="8"/>
  <c r="D121" i="8" s="1"/>
  <c r="C120" i="8"/>
  <c r="D120" i="8" s="1"/>
  <c r="D119" i="8"/>
  <c r="C119" i="8"/>
  <c r="C118" i="8"/>
  <c r="D118" i="8" s="1"/>
  <c r="C117" i="8"/>
  <c r="D117" i="8" s="1"/>
  <c r="C116" i="8"/>
  <c r="D116" i="8" s="1"/>
  <c r="C115" i="8"/>
  <c r="D115" i="8" s="1"/>
  <c r="C114" i="8"/>
  <c r="D114" i="8" s="1"/>
  <c r="C113" i="8"/>
  <c r="D113" i="8" s="1"/>
  <c r="C112" i="8"/>
  <c r="D112" i="8" s="1"/>
  <c r="D111" i="8"/>
  <c r="C111" i="8"/>
  <c r="C110" i="8"/>
  <c r="D110" i="8" s="1"/>
  <c r="C109" i="8"/>
  <c r="D109" i="8" s="1"/>
  <c r="C108" i="8"/>
  <c r="D108" i="8" s="1"/>
  <c r="C107" i="8"/>
  <c r="D107" i="8" s="1"/>
  <c r="C106" i="8"/>
  <c r="D106" i="8" s="1"/>
  <c r="C105" i="8"/>
  <c r="D105" i="8" s="1"/>
  <c r="C104" i="8"/>
  <c r="D104" i="8" s="1"/>
  <c r="C103" i="8"/>
  <c r="D103" i="8" s="1"/>
  <c r="C102" i="8"/>
  <c r="D102" i="8" s="1"/>
  <c r="C101" i="8"/>
  <c r="D101" i="8" s="1"/>
  <c r="C100" i="8"/>
  <c r="D100" i="8" s="1"/>
  <c r="C99" i="8"/>
  <c r="D99" i="8" s="1"/>
  <c r="C98" i="8"/>
  <c r="D98" i="8" s="1"/>
  <c r="C97" i="8"/>
  <c r="D97" i="8" s="1"/>
  <c r="C96" i="8"/>
  <c r="D96" i="8" s="1"/>
  <c r="C95" i="8"/>
  <c r="D95" i="8" s="1"/>
  <c r="C94" i="8"/>
  <c r="D94" i="8" s="1"/>
  <c r="C93" i="8"/>
  <c r="D93" i="8" s="1"/>
  <c r="C92" i="8"/>
  <c r="D92" i="8" s="1"/>
  <c r="C91" i="8"/>
  <c r="D91" i="8" s="1"/>
  <c r="C90" i="8"/>
  <c r="D90" i="8" s="1"/>
  <c r="D89" i="8"/>
  <c r="C89" i="8"/>
  <c r="C88" i="8"/>
  <c r="D88" i="8" s="1"/>
  <c r="C87" i="8"/>
  <c r="D87" i="8" s="1"/>
  <c r="C86" i="8"/>
  <c r="D86" i="8" s="1"/>
  <c r="C85" i="8"/>
  <c r="D85" i="8" s="1"/>
  <c r="C84" i="8"/>
  <c r="D84" i="8" s="1"/>
  <c r="C83" i="8"/>
  <c r="D83" i="8" s="1"/>
  <c r="C82" i="8"/>
  <c r="D82" i="8" s="1"/>
  <c r="D81" i="8"/>
  <c r="C81" i="8"/>
  <c r="C80" i="8"/>
  <c r="D80" i="8" s="1"/>
  <c r="C79" i="8"/>
  <c r="D79" i="8" s="1"/>
  <c r="C78" i="8"/>
  <c r="D78" i="8" s="1"/>
  <c r="C77" i="8"/>
  <c r="D77" i="8" s="1"/>
  <c r="C76" i="8"/>
  <c r="D76" i="8" s="1"/>
  <c r="C75" i="8"/>
  <c r="D75" i="8" s="1"/>
  <c r="C74" i="8"/>
  <c r="D74" i="8" s="1"/>
  <c r="C73" i="8"/>
  <c r="D73" i="8" s="1"/>
  <c r="D72" i="8"/>
  <c r="C72" i="8"/>
  <c r="C71" i="8"/>
  <c r="D71" i="8" s="1"/>
  <c r="C70" i="8"/>
  <c r="D70" i="8" s="1"/>
  <c r="C69" i="8"/>
  <c r="D69" i="8" s="1"/>
  <c r="C68" i="8"/>
  <c r="D68" i="8" s="1"/>
  <c r="C67" i="8"/>
  <c r="D67" i="8" s="1"/>
  <c r="C66" i="8"/>
  <c r="D66" i="8" s="1"/>
  <c r="C65" i="8"/>
  <c r="D65" i="8" s="1"/>
  <c r="D64" i="8"/>
  <c r="C64" i="8"/>
  <c r="C63" i="8"/>
  <c r="D63" i="8" s="1"/>
  <c r="C62" i="8"/>
  <c r="D62" i="8" s="1"/>
  <c r="C61" i="8"/>
  <c r="D61" i="8" s="1"/>
  <c r="C60" i="8"/>
  <c r="D60" i="8" s="1"/>
  <c r="C59" i="8"/>
  <c r="D59" i="8" s="1"/>
  <c r="C58" i="8"/>
  <c r="D58" i="8" s="1"/>
  <c r="C57" i="8"/>
  <c r="D57" i="8" s="1"/>
  <c r="C56" i="8"/>
  <c r="D56" i="8" s="1"/>
  <c r="D55" i="8"/>
  <c r="C55" i="8"/>
  <c r="C54" i="8"/>
  <c r="D54" i="8" s="1"/>
  <c r="C53" i="8"/>
  <c r="D53" i="8" s="1"/>
  <c r="C52" i="8"/>
  <c r="D52" i="8" s="1"/>
  <c r="C51" i="8"/>
  <c r="D51" i="8" s="1"/>
  <c r="C50" i="8"/>
  <c r="D50" i="8" s="1"/>
  <c r="C49" i="8"/>
  <c r="D49" i="8" s="1"/>
  <c r="C48" i="8"/>
  <c r="D48" i="8" s="1"/>
  <c r="D47" i="8"/>
  <c r="C47" i="8"/>
  <c r="C46" i="8"/>
  <c r="D46" i="8" s="1"/>
  <c r="C45" i="8"/>
  <c r="D45" i="8" s="1"/>
  <c r="C44" i="8"/>
  <c r="D44" i="8" s="1"/>
  <c r="C43" i="8"/>
  <c r="D43" i="8" s="1"/>
  <c r="C42" i="8"/>
  <c r="D42" i="8" s="1"/>
  <c r="D41" i="8"/>
  <c r="C41" i="8"/>
  <c r="C40" i="8"/>
  <c r="D40" i="8" s="1"/>
  <c r="C39" i="8"/>
  <c r="D39" i="8" s="1"/>
  <c r="C38" i="8"/>
  <c r="D38" i="8" s="1"/>
  <c r="C37" i="8"/>
  <c r="D37" i="8" s="1"/>
  <c r="C36" i="8"/>
  <c r="D36" i="8" s="1"/>
  <c r="C35" i="8"/>
  <c r="D35" i="8" s="1"/>
  <c r="C34" i="8"/>
  <c r="D34" i="8" s="1"/>
  <c r="C33" i="8"/>
  <c r="D33" i="8" s="1"/>
  <c r="C32" i="8"/>
  <c r="D32" i="8" s="1"/>
  <c r="C31" i="8"/>
  <c r="D31" i="8" s="1"/>
  <c r="C30" i="8"/>
  <c r="D30" i="8" s="1"/>
  <c r="C29" i="8"/>
  <c r="D29" i="8" s="1"/>
  <c r="C28" i="8"/>
  <c r="D28" i="8" s="1"/>
  <c r="C27" i="8"/>
  <c r="D27" i="8" s="1"/>
  <c r="C26" i="8"/>
  <c r="D26" i="8" s="1"/>
  <c r="D25" i="8"/>
  <c r="C25" i="8"/>
  <c r="C24" i="8"/>
  <c r="D24" i="8" s="1"/>
  <c r="C23" i="8"/>
  <c r="D23" i="8" s="1"/>
  <c r="C22" i="8"/>
  <c r="D22" i="8" s="1"/>
  <c r="C21" i="8"/>
  <c r="D21" i="8" s="1"/>
  <c r="C20" i="8"/>
  <c r="D20" i="8" s="1"/>
  <c r="C19" i="8"/>
  <c r="D19" i="8" s="1"/>
  <c r="C18" i="8"/>
  <c r="D18" i="8" s="1"/>
  <c r="D17" i="8"/>
  <c r="C17" i="8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D10" i="8" s="1"/>
  <c r="C9" i="8"/>
  <c r="D9" i="8" s="1"/>
  <c r="D8" i="8"/>
  <c r="C8" i="8"/>
  <c r="C7" i="8"/>
  <c r="D7" i="8" s="1"/>
  <c r="D2410" i="7"/>
  <c r="B2410" i="7"/>
  <c r="E2409" i="7"/>
  <c r="C2409" i="7"/>
  <c r="B2409" i="7"/>
  <c r="F2408" i="7"/>
  <c r="B2408" i="7"/>
  <c r="C2408" i="7" s="1"/>
  <c r="C2407" i="7"/>
  <c r="B2407" i="7"/>
  <c r="C2406" i="7"/>
  <c r="B2406" i="7"/>
  <c r="B2405" i="7"/>
  <c r="E2408" i="7" s="1"/>
  <c r="B2404" i="7"/>
  <c r="C2403" i="7"/>
  <c r="B2403" i="7"/>
  <c r="E2402" i="7"/>
  <c r="B2402" i="7"/>
  <c r="C2401" i="7"/>
  <c r="B2401" i="7"/>
  <c r="C2400" i="7"/>
  <c r="B2400" i="7"/>
  <c r="E2403" i="7" s="1"/>
  <c r="B2399" i="7"/>
  <c r="C2398" i="7"/>
  <c r="B2398" i="7"/>
  <c r="B2397" i="7"/>
  <c r="B2396" i="7"/>
  <c r="B2395" i="7"/>
  <c r="B2394" i="7"/>
  <c r="C2393" i="7"/>
  <c r="B2393" i="7"/>
  <c r="B2392" i="7"/>
  <c r="B2391" i="7"/>
  <c r="B2390" i="7"/>
  <c r="D2393" i="7" s="1"/>
  <c r="D2389" i="7"/>
  <c r="C2389" i="7"/>
  <c r="B2389" i="7"/>
  <c r="E2388" i="7"/>
  <c r="C2388" i="7"/>
  <c r="B2388" i="7"/>
  <c r="B2387" i="7"/>
  <c r="D2390" i="7" s="1"/>
  <c r="E2386" i="7"/>
  <c r="C2386" i="7"/>
  <c r="B2386" i="7"/>
  <c r="F2385" i="7"/>
  <c r="B2385" i="7"/>
  <c r="E2384" i="7"/>
  <c r="D2384" i="7"/>
  <c r="C2384" i="7"/>
  <c r="B2384" i="7"/>
  <c r="D2383" i="7"/>
  <c r="B2383" i="7"/>
  <c r="C2382" i="7"/>
  <c r="B2382" i="7"/>
  <c r="E2385" i="7" s="1"/>
  <c r="D2381" i="7"/>
  <c r="C2381" i="7"/>
  <c r="B2381" i="7"/>
  <c r="B2380" i="7"/>
  <c r="E2383" i="7" s="1"/>
  <c r="F2383" i="7" s="1"/>
  <c r="B2379" i="7"/>
  <c r="E2382" i="7" s="1"/>
  <c r="B2378" i="7"/>
  <c r="B2377" i="7"/>
  <c r="B2376" i="7"/>
  <c r="D2375" i="7"/>
  <c r="B2375" i="7"/>
  <c r="B2374" i="7"/>
  <c r="B2373" i="7"/>
  <c r="C2372" i="7"/>
  <c r="B2372" i="7"/>
  <c r="D2371" i="7"/>
  <c r="B2371" i="7"/>
  <c r="D2374" i="7" s="1"/>
  <c r="B2370" i="7"/>
  <c r="F2369" i="7"/>
  <c r="B2369" i="7"/>
  <c r="E2368" i="7"/>
  <c r="D2368" i="7"/>
  <c r="C2368" i="7"/>
  <c r="B2368" i="7"/>
  <c r="D2367" i="7"/>
  <c r="B2367" i="7"/>
  <c r="E2366" i="7"/>
  <c r="C2366" i="7"/>
  <c r="B2366" i="7"/>
  <c r="E2369" i="7" s="1"/>
  <c r="C2365" i="7"/>
  <c r="B2365" i="7"/>
  <c r="C2364" i="7"/>
  <c r="B2364" i="7"/>
  <c r="E2367" i="7" s="1"/>
  <c r="B2363" i="7"/>
  <c r="D2366" i="7" s="1"/>
  <c r="B2362" i="7"/>
  <c r="B2361" i="7"/>
  <c r="E2360" i="7"/>
  <c r="B2360" i="7"/>
  <c r="B2359" i="7"/>
  <c r="E2358" i="7"/>
  <c r="F2358" i="7" s="1"/>
  <c r="B2358" i="7"/>
  <c r="B2357" i="7"/>
  <c r="E2356" i="7"/>
  <c r="C2356" i="7"/>
  <c r="B2356" i="7"/>
  <c r="D2355" i="7"/>
  <c r="B2355" i="7"/>
  <c r="B2354" i="7"/>
  <c r="B2353" i="7"/>
  <c r="E2352" i="7"/>
  <c r="D2352" i="7"/>
  <c r="C2352" i="7"/>
  <c r="B2352" i="7"/>
  <c r="D2351" i="7"/>
  <c r="B2351" i="7"/>
  <c r="E2350" i="7"/>
  <c r="C2350" i="7"/>
  <c r="B2350" i="7"/>
  <c r="F2402" i="7" s="1"/>
  <c r="C2349" i="7"/>
  <c r="B2349" i="7"/>
  <c r="C2348" i="7"/>
  <c r="B2348" i="7"/>
  <c r="E2351" i="7" s="1"/>
  <c r="F2347" i="7"/>
  <c r="E2347" i="7"/>
  <c r="D2347" i="7"/>
  <c r="B2347" i="7"/>
  <c r="B2346" i="7"/>
  <c r="D2345" i="7"/>
  <c r="B2345" i="7"/>
  <c r="D2344" i="7"/>
  <c r="B2344" i="7"/>
  <c r="B2343" i="7"/>
  <c r="C2342" i="7"/>
  <c r="B2342" i="7"/>
  <c r="B2341" i="7"/>
  <c r="B2340" i="7"/>
  <c r="D2339" i="7"/>
  <c r="B2339" i="7"/>
  <c r="B2338" i="7"/>
  <c r="F2337" i="7"/>
  <c r="B2337" i="7"/>
  <c r="E2336" i="7"/>
  <c r="D2336" i="7"/>
  <c r="C2336" i="7"/>
  <c r="B2336" i="7"/>
  <c r="D2335" i="7"/>
  <c r="B2335" i="7"/>
  <c r="E2334" i="7"/>
  <c r="C2334" i="7"/>
  <c r="B2334" i="7"/>
  <c r="E2337" i="7" s="1"/>
  <c r="C2333" i="7"/>
  <c r="B2333" i="7"/>
  <c r="C2332" i="7"/>
  <c r="B2332" i="7"/>
  <c r="E2335" i="7" s="1"/>
  <c r="E2331" i="7"/>
  <c r="D2331" i="7"/>
  <c r="B2331" i="7"/>
  <c r="D2334" i="7" s="1"/>
  <c r="B2330" i="7"/>
  <c r="B2329" i="7"/>
  <c r="D2328" i="7"/>
  <c r="B2328" i="7"/>
  <c r="B2327" i="7"/>
  <c r="E2328" i="7" s="1"/>
  <c r="C2326" i="7"/>
  <c r="B2326" i="7"/>
  <c r="D2325" i="7"/>
  <c r="C2325" i="7"/>
  <c r="B2325" i="7"/>
  <c r="C2324" i="7"/>
  <c r="B2324" i="7"/>
  <c r="E2327" i="7" s="1"/>
  <c r="B2323" i="7"/>
  <c r="E2322" i="7"/>
  <c r="B2322" i="7"/>
  <c r="B2321" i="7"/>
  <c r="E2320" i="7"/>
  <c r="D2320" i="7"/>
  <c r="C2320" i="7"/>
  <c r="B2320" i="7"/>
  <c r="D2319" i="7"/>
  <c r="B2319" i="7"/>
  <c r="C2318" i="7"/>
  <c r="B2318" i="7"/>
  <c r="E2321" i="7" s="1"/>
  <c r="F2321" i="7" s="1"/>
  <c r="D2317" i="7"/>
  <c r="C2317" i="7"/>
  <c r="B2317" i="7"/>
  <c r="B2316" i="7"/>
  <c r="E2319" i="7" s="1"/>
  <c r="D2315" i="7"/>
  <c r="B2315" i="7"/>
  <c r="B2314" i="7"/>
  <c r="B2313" i="7"/>
  <c r="E2312" i="7"/>
  <c r="D2312" i="7"/>
  <c r="B2312" i="7"/>
  <c r="D2311" i="7"/>
  <c r="B2311" i="7"/>
  <c r="E2310" i="7"/>
  <c r="C2310" i="7"/>
  <c r="B2310" i="7"/>
  <c r="D2309" i="7"/>
  <c r="C2309" i="7"/>
  <c r="B2309" i="7"/>
  <c r="B2308" i="7"/>
  <c r="E2311" i="7" s="1"/>
  <c r="D2307" i="7"/>
  <c r="B2307" i="7"/>
  <c r="D2310" i="7" s="1"/>
  <c r="E2306" i="7"/>
  <c r="C2306" i="7"/>
  <c r="B2306" i="7"/>
  <c r="E2308" i="7" s="1"/>
  <c r="B2305" i="7"/>
  <c r="E2304" i="7"/>
  <c r="D2304" i="7"/>
  <c r="C2304" i="7"/>
  <c r="B2304" i="7"/>
  <c r="F2303" i="7"/>
  <c r="D2303" i="7"/>
  <c r="B2303" i="7"/>
  <c r="C2302" i="7"/>
  <c r="B2302" i="7"/>
  <c r="E2305" i="7" s="1"/>
  <c r="F2305" i="7" s="1"/>
  <c r="D2301" i="7"/>
  <c r="C2301" i="7"/>
  <c r="B2301" i="7"/>
  <c r="B2300" i="7"/>
  <c r="E2303" i="7" s="1"/>
  <c r="B2299" i="7"/>
  <c r="B2298" i="7"/>
  <c r="B2297" i="7"/>
  <c r="B2296" i="7"/>
  <c r="D2295" i="7"/>
  <c r="B2295" i="7"/>
  <c r="B2294" i="7"/>
  <c r="B2293" i="7"/>
  <c r="C2294" i="7" s="1"/>
  <c r="B2292" i="7"/>
  <c r="D2291" i="7"/>
  <c r="B2291" i="7"/>
  <c r="B2290" i="7"/>
  <c r="B2289" i="7"/>
  <c r="E2288" i="7"/>
  <c r="D2288" i="7"/>
  <c r="C2288" i="7"/>
  <c r="B2288" i="7"/>
  <c r="D2287" i="7"/>
  <c r="B2287" i="7"/>
  <c r="C2286" i="7"/>
  <c r="B2286" i="7"/>
  <c r="E2289" i="7" s="1"/>
  <c r="C2285" i="7"/>
  <c r="B2285" i="7"/>
  <c r="B2284" i="7"/>
  <c r="E2287" i="7" s="1"/>
  <c r="D2283" i="7"/>
  <c r="B2283" i="7"/>
  <c r="D2286" i="7" s="1"/>
  <c r="B2282" i="7"/>
  <c r="D2281" i="7"/>
  <c r="B2281" i="7"/>
  <c r="B2280" i="7"/>
  <c r="B2279" i="7"/>
  <c r="B2278" i="7"/>
  <c r="B2277" i="7"/>
  <c r="E2276" i="7"/>
  <c r="B2276" i="7"/>
  <c r="B2275" i="7"/>
  <c r="B2274" i="7"/>
  <c r="B2273" i="7"/>
  <c r="E2272" i="7"/>
  <c r="D2272" i="7"/>
  <c r="C2272" i="7"/>
  <c r="B2272" i="7"/>
  <c r="D2271" i="7"/>
  <c r="B2271" i="7"/>
  <c r="C2270" i="7"/>
  <c r="B2270" i="7"/>
  <c r="E2273" i="7" s="1"/>
  <c r="D2269" i="7"/>
  <c r="C2269" i="7"/>
  <c r="B2269" i="7"/>
  <c r="B2268" i="7"/>
  <c r="E2271" i="7" s="1"/>
  <c r="B2267" i="7"/>
  <c r="B2266" i="7"/>
  <c r="D2265" i="7"/>
  <c r="B2265" i="7"/>
  <c r="B2264" i="7"/>
  <c r="B2263" i="7"/>
  <c r="B2262" i="7"/>
  <c r="B2261" i="7"/>
  <c r="B2260" i="7"/>
  <c r="B2259" i="7"/>
  <c r="B2258" i="7"/>
  <c r="B2257" i="7"/>
  <c r="E2256" i="7"/>
  <c r="D2256" i="7"/>
  <c r="C2256" i="7"/>
  <c r="B2256" i="7"/>
  <c r="D2255" i="7"/>
  <c r="B2255" i="7"/>
  <c r="C2254" i="7"/>
  <c r="B2254" i="7"/>
  <c r="E2257" i="7" s="1"/>
  <c r="D2253" i="7"/>
  <c r="C2253" i="7"/>
  <c r="B2253" i="7"/>
  <c r="B2252" i="7"/>
  <c r="E2255" i="7" s="1"/>
  <c r="D2251" i="7"/>
  <c r="B2251" i="7"/>
  <c r="B2250" i="7"/>
  <c r="B2249" i="7"/>
  <c r="E2248" i="7"/>
  <c r="D2248" i="7"/>
  <c r="B2248" i="7"/>
  <c r="B2247" i="7"/>
  <c r="E2246" i="7"/>
  <c r="C2246" i="7"/>
  <c r="B2246" i="7"/>
  <c r="B2245" i="7"/>
  <c r="E2244" i="7"/>
  <c r="C2244" i="7"/>
  <c r="B2244" i="7"/>
  <c r="E2247" i="7" s="1"/>
  <c r="D2243" i="7"/>
  <c r="B2243" i="7"/>
  <c r="D2246" i="7" s="1"/>
  <c r="B2242" i="7"/>
  <c r="B2241" i="7"/>
  <c r="B2240" i="7"/>
  <c r="B2239" i="7"/>
  <c r="B2238" i="7"/>
  <c r="B2237" i="7"/>
  <c r="B2236" i="7"/>
  <c r="B2235" i="7"/>
  <c r="E2234" i="7"/>
  <c r="D2234" i="7"/>
  <c r="C2234" i="7"/>
  <c r="B2234" i="7"/>
  <c r="B2233" i="7"/>
  <c r="E2232" i="7"/>
  <c r="F2232" i="7" s="1"/>
  <c r="D2232" i="7"/>
  <c r="C2232" i="7"/>
  <c r="B2232" i="7"/>
  <c r="B2231" i="7"/>
  <c r="C2231" i="7" s="1"/>
  <c r="F2230" i="7"/>
  <c r="E2230" i="7"/>
  <c r="C2230" i="7"/>
  <c r="B2230" i="7"/>
  <c r="E2233" i="7" s="1"/>
  <c r="E2229" i="7"/>
  <c r="B2229" i="7"/>
  <c r="C2228" i="7"/>
  <c r="B2228" i="7"/>
  <c r="D2227" i="7"/>
  <c r="B2227" i="7"/>
  <c r="D2230" i="7" s="1"/>
  <c r="B2226" i="7"/>
  <c r="B2225" i="7"/>
  <c r="B2224" i="7"/>
  <c r="F2276" i="7" s="1"/>
  <c r="D2223" i="7"/>
  <c r="B2223" i="7"/>
  <c r="B2222" i="7"/>
  <c r="B2221" i="7"/>
  <c r="E2220" i="7"/>
  <c r="B2220" i="7"/>
  <c r="B2219" i="7"/>
  <c r="E2218" i="7"/>
  <c r="D2218" i="7"/>
  <c r="C2218" i="7"/>
  <c r="B2218" i="7"/>
  <c r="B2217" i="7"/>
  <c r="F2216" i="7"/>
  <c r="E2216" i="7"/>
  <c r="C2216" i="7"/>
  <c r="B2216" i="7"/>
  <c r="B2215" i="7"/>
  <c r="E2214" i="7"/>
  <c r="B2214" i="7"/>
  <c r="E2217" i="7" s="1"/>
  <c r="E2213" i="7"/>
  <c r="B2213" i="7"/>
  <c r="D2216" i="7" s="1"/>
  <c r="C2212" i="7"/>
  <c r="B2212" i="7"/>
  <c r="E2211" i="7"/>
  <c r="D2211" i="7"/>
  <c r="B2211" i="7"/>
  <c r="D2214" i="7" s="1"/>
  <c r="B2210" i="7"/>
  <c r="B2209" i="7"/>
  <c r="B2208" i="7"/>
  <c r="B2207" i="7"/>
  <c r="B2206" i="7"/>
  <c r="B2205" i="7"/>
  <c r="B2204" i="7"/>
  <c r="B2203" i="7"/>
  <c r="D2202" i="7"/>
  <c r="C2202" i="7"/>
  <c r="B2202" i="7"/>
  <c r="B2201" i="7"/>
  <c r="E2200" i="7"/>
  <c r="F2200" i="7" s="1"/>
  <c r="C2200" i="7"/>
  <c r="B2200" i="7"/>
  <c r="B2199" i="7"/>
  <c r="C2199" i="7" s="1"/>
  <c r="E2198" i="7"/>
  <c r="B2198" i="7"/>
  <c r="E2201" i="7" s="1"/>
  <c r="B2197" i="7"/>
  <c r="C2196" i="7"/>
  <c r="B2196" i="7"/>
  <c r="D2195" i="7"/>
  <c r="B2195" i="7"/>
  <c r="D2198" i="7" s="1"/>
  <c r="B2194" i="7"/>
  <c r="B2193" i="7"/>
  <c r="B2192" i="7"/>
  <c r="B2191" i="7"/>
  <c r="B2190" i="7"/>
  <c r="B2189" i="7"/>
  <c r="B2188" i="7"/>
  <c r="B2187" i="7"/>
  <c r="D2186" i="7"/>
  <c r="C2186" i="7"/>
  <c r="B2186" i="7"/>
  <c r="B2185" i="7"/>
  <c r="F2184" i="7"/>
  <c r="E2184" i="7"/>
  <c r="C2184" i="7"/>
  <c r="B2184" i="7"/>
  <c r="B2183" i="7"/>
  <c r="E2186" i="7" s="1"/>
  <c r="E2182" i="7"/>
  <c r="B2182" i="7"/>
  <c r="E2185" i="7" s="1"/>
  <c r="E2181" i="7"/>
  <c r="B2181" i="7"/>
  <c r="D2184" i="7" s="1"/>
  <c r="C2180" i="7"/>
  <c r="B2180" i="7"/>
  <c r="E2179" i="7"/>
  <c r="D2179" i="7"/>
  <c r="B2179" i="7"/>
  <c r="B2178" i="7"/>
  <c r="B2177" i="7"/>
  <c r="B2176" i="7"/>
  <c r="B2175" i="7"/>
  <c r="B2174" i="7"/>
  <c r="B2173" i="7"/>
  <c r="B2172" i="7"/>
  <c r="D2171" i="7"/>
  <c r="B2171" i="7"/>
  <c r="D2170" i="7"/>
  <c r="C2170" i="7"/>
  <c r="B2170" i="7"/>
  <c r="B2169" i="7"/>
  <c r="E2168" i="7"/>
  <c r="F2168" i="7" s="1"/>
  <c r="C2168" i="7"/>
  <c r="B2168" i="7"/>
  <c r="B2167" i="7"/>
  <c r="E2170" i="7" s="1"/>
  <c r="E2166" i="7"/>
  <c r="B2166" i="7"/>
  <c r="E2169" i="7" s="1"/>
  <c r="B2165" i="7"/>
  <c r="D2168" i="7" s="1"/>
  <c r="E2164" i="7"/>
  <c r="C2164" i="7"/>
  <c r="B2164" i="7"/>
  <c r="D2163" i="7"/>
  <c r="B2163" i="7"/>
  <c r="B2162" i="7"/>
  <c r="B2161" i="7"/>
  <c r="B2160" i="7"/>
  <c r="B2159" i="7"/>
  <c r="B2158" i="7"/>
  <c r="B2157" i="7"/>
  <c r="B2156" i="7"/>
  <c r="B2155" i="7"/>
  <c r="D2154" i="7"/>
  <c r="C2154" i="7"/>
  <c r="B2154" i="7"/>
  <c r="B2153" i="7"/>
  <c r="E2152" i="7"/>
  <c r="C2152" i="7"/>
  <c r="B2152" i="7"/>
  <c r="B2151" i="7"/>
  <c r="E2154" i="7" s="1"/>
  <c r="F2150" i="7"/>
  <c r="E2150" i="7"/>
  <c r="B2150" i="7"/>
  <c r="E2153" i="7" s="1"/>
  <c r="E2149" i="7"/>
  <c r="B2149" i="7"/>
  <c r="D2152" i="7" s="1"/>
  <c r="C2148" i="7"/>
  <c r="B2148" i="7"/>
  <c r="E2147" i="7"/>
  <c r="D2147" i="7"/>
  <c r="B2147" i="7"/>
  <c r="B2146" i="7"/>
  <c r="B2145" i="7"/>
  <c r="B2144" i="7"/>
  <c r="D2143" i="7"/>
  <c r="B2143" i="7"/>
  <c r="B2142" i="7"/>
  <c r="B2141" i="7"/>
  <c r="B2140" i="7"/>
  <c r="B2139" i="7"/>
  <c r="D2138" i="7"/>
  <c r="C2138" i="7"/>
  <c r="B2138" i="7"/>
  <c r="B2137" i="7"/>
  <c r="E2136" i="7"/>
  <c r="C2136" i="7"/>
  <c r="B2136" i="7"/>
  <c r="B2135" i="7"/>
  <c r="E2138" i="7" s="1"/>
  <c r="E2134" i="7"/>
  <c r="B2134" i="7"/>
  <c r="E2137" i="7" s="1"/>
  <c r="B2133" i="7"/>
  <c r="D2136" i="7" s="1"/>
  <c r="C2132" i="7"/>
  <c r="B2132" i="7"/>
  <c r="D2131" i="7"/>
  <c r="B2131" i="7"/>
  <c r="B2130" i="7"/>
  <c r="F2182" i="7" s="1"/>
  <c r="B2129" i="7"/>
  <c r="B2128" i="7"/>
  <c r="B2127" i="7"/>
  <c r="B2126" i="7"/>
  <c r="D2125" i="7"/>
  <c r="B2125" i="7"/>
  <c r="B2124" i="7"/>
  <c r="D2123" i="7"/>
  <c r="B2123" i="7"/>
  <c r="C2122" i="7"/>
  <c r="B2122" i="7"/>
  <c r="B2121" i="7"/>
  <c r="B2120" i="7"/>
  <c r="B2119" i="7"/>
  <c r="F2118" i="7"/>
  <c r="E2118" i="7"/>
  <c r="B2118" i="7"/>
  <c r="B2117" i="7"/>
  <c r="E2116" i="7"/>
  <c r="C2116" i="7"/>
  <c r="B2116" i="7"/>
  <c r="E2115" i="7"/>
  <c r="D2115" i="7"/>
  <c r="B2115" i="7"/>
  <c r="B2114" i="7"/>
  <c r="B2113" i="7"/>
  <c r="C2112" i="7"/>
  <c r="B2112" i="7"/>
  <c r="F2164" i="7" s="1"/>
  <c r="B2111" i="7"/>
  <c r="C2110" i="7"/>
  <c r="B2110" i="7"/>
  <c r="D2109" i="7"/>
  <c r="C2109" i="7"/>
  <c r="B2109" i="7"/>
  <c r="D2112" i="7" s="1"/>
  <c r="B2108" i="7"/>
  <c r="D2111" i="7" s="1"/>
  <c r="D2107" i="7"/>
  <c r="B2107" i="7"/>
  <c r="C2106" i="7"/>
  <c r="B2106" i="7"/>
  <c r="C2105" i="7"/>
  <c r="B2105" i="7"/>
  <c r="C2104" i="7"/>
  <c r="B2104" i="7"/>
  <c r="B2103" i="7"/>
  <c r="B2102" i="7"/>
  <c r="B2101" i="7"/>
  <c r="D2104" i="7" s="1"/>
  <c r="B2100" i="7"/>
  <c r="B2099" i="7"/>
  <c r="B2098" i="7"/>
  <c r="C2097" i="7"/>
  <c r="B2097" i="7"/>
  <c r="D2096" i="7"/>
  <c r="C2096" i="7"/>
  <c r="B2096" i="7"/>
  <c r="C2095" i="7"/>
  <c r="B2095" i="7"/>
  <c r="E2094" i="7"/>
  <c r="C2094" i="7"/>
  <c r="B2094" i="7"/>
  <c r="B2093" i="7"/>
  <c r="B2092" i="7"/>
  <c r="D2091" i="7"/>
  <c r="B2091" i="7"/>
  <c r="B2090" i="7"/>
  <c r="C2089" i="7"/>
  <c r="B2089" i="7"/>
  <c r="D2088" i="7"/>
  <c r="C2088" i="7"/>
  <c r="B2088" i="7"/>
  <c r="E2087" i="7"/>
  <c r="F2087" i="7" s="1"/>
  <c r="B2087" i="7"/>
  <c r="B2086" i="7"/>
  <c r="E2085" i="7"/>
  <c r="F2085" i="7" s="1"/>
  <c r="B2085" i="7"/>
  <c r="C2084" i="7"/>
  <c r="B2084" i="7"/>
  <c r="C2085" i="7" s="1"/>
  <c r="B2083" i="7"/>
  <c r="B2082" i="7"/>
  <c r="C2081" i="7"/>
  <c r="B2081" i="7"/>
  <c r="C2080" i="7"/>
  <c r="B2080" i="7"/>
  <c r="D2079" i="7"/>
  <c r="C2079" i="7"/>
  <c r="B2079" i="7"/>
  <c r="B2078" i="7"/>
  <c r="B2077" i="7"/>
  <c r="E2076" i="7"/>
  <c r="D2076" i="7"/>
  <c r="B2076" i="7"/>
  <c r="E2075" i="7"/>
  <c r="D2075" i="7"/>
  <c r="B2075" i="7"/>
  <c r="E2074" i="7"/>
  <c r="F2074" i="7" s="1"/>
  <c r="C2074" i="7"/>
  <c r="B2074" i="7"/>
  <c r="C2073" i="7"/>
  <c r="B2073" i="7"/>
  <c r="D2072" i="7"/>
  <c r="C2072" i="7"/>
  <c r="B2072" i="7"/>
  <c r="B2071" i="7"/>
  <c r="B2070" i="7"/>
  <c r="B2069" i="7"/>
  <c r="B2068" i="7"/>
  <c r="B2067" i="7"/>
  <c r="C2066" i="7"/>
  <c r="B2066" i="7"/>
  <c r="C2065" i="7"/>
  <c r="B2065" i="7"/>
  <c r="C2064" i="7"/>
  <c r="B2064" i="7"/>
  <c r="B2063" i="7"/>
  <c r="B2062" i="7"/>
  <c r="B2061" i="7"/>
  <c r="D2060" i="7"/>
  <c r="C2060" i="7"/>
  <c r="B2060" i="7"/>
  <c r="C2059" i="7"/>
  <c r="B2059" i="7"/>
  <c r="B2058" i="7"/>
  <c r="B2057" i="7"/>
  <c r="E2056" i="7"/>
  <c r="B2056" i="7"/>
  <c r="B2055" i="7"/>
  <c r="C2056" i="7" s="1"/>
  <c r="B2054" i="7"/>
  <c r="B2053" i="7"/>
  <c r="C2052" i="7"/>
  <c r="B2052" i="7"/>
  <c r="B2051" i="7"/>
  <c r="B2050" i="7"/>
  <c r="E2049" i="7"/>
  <c r="F2049" i="7" s="1"/>
  <c r="B2049" i="7"/>
  <c r="B2048" i="7"/>
  <c r="B2047" i="7"/>
  <c r="B2046" i="7"/>
  <c r="B2045" i="7"/>
  <c r="B2044" i="7"/>
  <c r="D2043" i="7"/>
  <c r="C2043" i="7"/>
  <c r="B2043" i="7"/>
  <c r="B2042" i="7"/>
  <c r="B2041" i="7"/>
  <c r="B2040" i="7"/>
  <c r="B2039" i="7"/>
  <c r="C2040" i="7" s="1"/>
  <c r="B2038" i="7"/>
  <c r="B2037" i="7"/>
  <c r="B2036" i="7"/>
  <c r="B2035" i="7"/>
  <c r="E2034" i="7"/>
  <c r="B2034" i="7"/>
  <c r="B2033" i="7"/>
  <c r="B2032" i="7"/>
  <c r="E2031" i="7"/>
  <c r="B2031" i="7"/>
  <c r="D2030" i="7"/>
  <c r="B2030" i="7"/>
  <c r="B2029" i="7"/>
  <c r="B2028" i="7"/>
  <c r="D2027" i="7"/>
  <c r="C2027" i="7"/>
  <c r="B2027" i="7"/>
  <c r="B2026" i="7"/>
  <c r="B2025" i="7"/>
  <c r="B2024" i="7"/>
  <c r="B2023" i="7"/>
  <c r="B2022" i="7"/>
  <c r="B2021" i="7"/>
  <c r="C2020" i="7"/>
  <c r="D2020" i="7" s="1"/>
  <c r="B2020" i="7"/>
  <c r="B2019" i="7"/>
  <c r="B2018" i="7"/>
  <c r="B2017" i="7"/>
  <c r="C2016" i="7"/>
  <c r="D2016" i="7" s="1"/>
  <c r="B2016" i="7"/>
  <c r="B2015" i="7"/>
  <c r="B2014" i="7"/>
  <c r="F2013" i="7"/>
  <c r="C2013" i="7"/>
  <c r="D2013" i="7" s="1"/>
  <c r="B2013" i="7"/>
  <c r="C2012" i="7"/>
  <c r="D2012" i="7" s="1"/>
  <c r="B2012" i="7"/>
  <c r="E2013" i="7" s="1"/>
  <c r="D2011" i="7"/>
  <c r="C2011" i="7"/>
  <c r="B2011" i="7"/>
  <c r="B2010" i="7"/>
  <c r="E2009" i="7"/>
  <c r="F2009" i="7" s="1"/>
  <c r="B2009" i="7"/>
  <c r="B2008" i="7"/>
  <c r="B2007" i="7"/>
  <c r="B2006" i="7"/>
  <c r="B2005" i="7"/>
  <c r="C2004" i="7"/>
  <c r="D2004" i="7" s="1"/>
  <c r="B2004" i="7"/>
  <c r="C2003" i="7"/>
  <c r="D2003" i="7" s="1"/>
  <c r="B2003" i="7"/>
  <c r="E2002" i="7"/>
  <c r="D2002" i="7"/>
  <c r="C2002" i="7"/>
  <c r="B2002" i="7"/>
  <c r="B2001" i="7"/>
  <c r="C2000" i="7"/>
  <c r="D2000" i="7" s="1"/>
  <c r="B2000" i="7"/>
  <c r="E2003" i="7" s="1"/>
  <c r="B1999" i="7"/>
  <c r="B1998" i="7"/>
  <c r="E2000" i="7" s="1"/>
  <c r="F2000" i="7" s="1"/>
  <c r="B1997" i="7"/>
  <c r="B1996" i="7"/>
  <c r="D1995" i="7"/>
  <c r="C1995" i="7"/>
  <c r="B1995" i="7"/>
  <c r="B1994" i="7"/>
  <c r="B1993" i="7"/>
  <c r="B1992" i="7"/>
  <c r="E1995" i="7" s="1"/>
  <c r="D1991" i="7"/>
  <c r="C1991" i="7"/>
  <c r="B1991" i="7"/>
  <c r="B1990" i="7"/>
  <c r="B1989" i="7"/>
  <c r="C1988" i="7"/>
  <c r="D1988" i="7" s="1"/>
  <c r="B1988" i="7"/>
  <c r="E1987" i="7"/>
  <c r="D1987" i="7"/>
  <c r="C1987" i="7"/>
  <c r="B1987" i="7"/>
  <c r="D1986" i="7"/>
  <c r="C1986" i="7"/>
  <c r="B1986" i="7"/>
  <c r="E1985" i="7"/>
  <c r="B1985" i="7"/>
  <c r="B1984" i="7"/>
  <c r="B1983" i="7"/>
  <c r="C1984" i="7" s="1"/>
  <c r="D1984" i="7" s="1"/>
  <c r="B1982" i="7"/>
  <c r="B1981" i="7"/>
  <c r="B1980" i="7"/>
  <c r="D1979" i="7"/>
  <c r="C1979" i="7"/>
  <c r="B1979" i="7"/>
  <c r="E1978" i="7"/>
  <c r="B1978" i="7"/>
  <c r="F1977" i="7"/>
  <c r="E1977" i="7"/>
  <c r="B1977" i="7"/>
  <c r="B1976" i="7"/>
  <c r="E1979" i="7" s="1"/>
  <c r="D1975" i="7"/>
  <c r="C1975" i="7"/>
  <c r="B1975" i="7"/>
  <c r="B1974" i="7"/>
  <c r="B1973" i="7"/>
  <c r="C1972" i="7"/>
  <c r="D1972" i="7" s="1"/>
  <c r="B1972" i="7"/>
  <c r="E1971" i="7"/>
  <c r="C1971" i="7"/>
  <c r="D1971" i="7" s="1"/>
  <c r="B1971" i="7"/>
  <c r="E1970" i="7"/>
  <c r="B1970" i="7"/>
  <c r="C1970" i="7" s="1"/>
  <c r="D1970" i="7" s="1"/>
  <c r="B1969" i="7"/>
  <c r="B1968" i="7"/>
  <c r="E1967" i="7"/>
  <c r="B1967" i="7"/>
  <c r="C1968" i="7" s="1"/>
  <c r="D1968" i="7" s="1"/>
  <c r="F1966" i="7"/>
  <c r="E1966" i="7"/>
  <c r="B1966" i="7"/>
  <c r="B1965" i="7"/>
  <c r="C1964" i="7"/>
  <c r="D1964" i="7" s="1"/>
  <c r="B1964" i="7"/>
  <c r="D1963" i="7"/>
  <c r="C1963" i="7"/>
  <c r="B1963" i="7"/>
  <c r="B1962" i="7"/>
  <c r="B1961" i="7"/>
  <c r="B1960" i="7"/>
  <c r="B1959" i="7"/>
  <c r="B1958" i="7"/>
  <c r="E1957" i="7"/>
  <c r="B1957" i="7"/>
  <c r="B1956" i="7"/>
  <c r="B1955" i="7"/>
  <c r="D1954" i="7"/>
  <c r="C1954" i="7"/>
  <c r="B1954" i="7"/>
  <c r="C1955" i="7" s="1"/>
  <c r="D1955" i="7" s="1"/>
  <c r="B1953" i="7"/>
  <c r="C1952" i="7"/>
  <c r="D1952" i="7" s="1"/>
  <c r="B1952" i="7"/>
  <c r="C1951" i="7"/>
  <c r="D1951" i="7" s="1"/>
  <c r="B1951" i="7"/>
  <c r="F2003" i="7" s="1"/>
  <c r="B1950" i="7"/>
  <c r="E1953" i="7" s="1"/>
  <c r="B1949" i="7"/>
  <c r="D1948" i="7"/>
  <c r="C1948" i="7"/>
  <c r="B1948" i="7"/>
  <c r="B1947" i="7"/>
  <c r="B1946" i="7"/>
  <c r="E1949" i="7" s="1"/>
  <c r="E1945" i="7"/>
  <c r="F1945" i="7" s="1"/>
  <c r="C1945" i="7"/>
  <c r="D1945" i="7" s="1"/>
  <c r="B1945" i="7"/>
  <c r="C1944" i="7"/>
  <c r="D1944" i="7" s="1"/>
  <c r="B1944" i="7"/>
  <c r="E1943" i="7"/>
  <c r="C1943" i="7"/>
  <c r="D1943" i="7" s="1"/>
  <c r="B1943" i="7"/>
  <c r="B1942" i="7"/>
  <c r="B1941" i="7"/>
  <c r="B1940" i="7"/>
  <c r="B1939" i="7"/>
  <c r="B1938" i="7"/>
  <c r="B1937" i="7"/>
  <c r="E1936" i="7"/>
  <c r="F1936" i="7" s="1"/>
  <c r="C1936" i="7"/>
  <c r="D1936" i="7" s="1"/>
  <c r="B1936" i="7"/>
  <c r="C1935" i="7"/>
  <c r="D1935" i="7" s="1"/>
  <c r="B1935" i="7"/>
  <c r="F1987" i="7" s="1"/>
  <c r="E1934" i="7"/>
  <c r="B1934" i="7"/>
  <c r="B1933" i="7"/>
  <c r="D1932" i="7"/>
  <c r="C1932" i="7"/>
  <c r="B1932" i="7"/>
  <c r="E1935" i="7" s="1"/>
  <c r="B1931" i="7"/>
  <c r="B1930" i="7"/>
  <c r="C1929" i="7"/>
  <c r="D1929" i="7" s="1"/>
  <c r="B1929" i="7"/>
  <c r="C1928" i="7"/>
  <c r="D1928" i="7" s="1"/>
  <c r="B1928" i="7"/>
  <c r="C1927" i="7"/>
  <c r="D1927" i="7" s="1"/>
  <c r="B1927" i="7"/>
  <c r="B1926" i="7"/>
  <c r="F1978" i="7" s="1"/>
  <c r="B1925" i="7"/>
  <c r="B1924" i="7"/>
  <c r="B1923" i="7"/>
  <c r="B1922" i="7"/>
  <c r="B1921" i="7"/>
  <c r="E1920" i="7"/>
  <c r="F1920" i="7" s="1"/>
  <c r="D1920" i="7"/>
  <c r="C1920" i="7"/>
  <c r="B1920" i="7"/>
  <c r="C1919" i="7"/>
  <c r="D1919" i="7" s="1"/>
  <c r="B1919" i="7"/>
  <c r="F1971" i="7" s="1"/>
  <c r="F1918" i="7"/>
  <c r="E1918" i="7"/>
  <c r="B1918" i="7"/>
  <c r="E1921" i="7" s="1"/>
  <c r="B1917" i="7"/>
  <c r="D1916" i="7"/>
  <c r="C1916" i="7"/>
  <c r="B1916" i="7"/>
  <c r="E1919" i="7" s="1"/>
  <c r="E1915" i="7"/>
  <c r="F1915" i="7" s="1"/>
  <c r="C1915" i="7"/>
  <c r="D1915" i="7" s="1"/>
  <c r="B1915" i="7"/>
  <c r="F1967" i="7" s="1"/>
  <c r="B1914" i="7"/>
  <c r="E1917" i="7" s="1"/>
  <c r="C1913" i="7"/>
  <c r="D1913" i="7" s="1"/>
  <c r="B1913" i="7"/>
  <c r="C1912" i="7"/>
  <c r="D1912" i="7" s="1"/>
  <c r="B1912" i="7"/>
  <c r="E1911" i="7"/>
  <c r="C1911" i="7"/>
  <c r="D1911" i="7" s="1"/>
  <c r="B1911" i="7"/>
  <c r="B1910" i="7"/>
  <c r="F1909" i="7"/>
  <c r="E1909" i="7"/>
  <c r="B1909" i="7"/>
  <c r="B1908" i="7"/>
  <c r="F1907" i="7"/>
  <c r="E1907" i="7"/>
  <c r="B1907" i="7"/>
  <c r="B1906" i="7"/>
  <c r="C1907" i="7" s="1"/>
  <c r="D1907" i="7" s="1"/>
  <c r="B1905" i="7"/>
  <c r="F1957" i="7" s="1"/>
  <c r="C1904" i="7"/>
  <c r="D1904" i="7" s="1"/>
  <c r="B1904" i="7"/>
  <c r="C1903" i="7"/>
  <c r="D1903" i="7" s="1"/>
  <c r="B1903" i="7"/>
  <c r="B1902" i="7"/>
  <c r="E1905" i="7" s="1"/>
  <c r="B1901" i="7"/>
  <c r="D1900" i="7"/>
  <c r="C1900" i="7"/>
  <c r="B1900" i="7"/>
  <c r="B1899" i="7"/>
  <c r="B1898" i="7"/>
  <c r="C1897" i="7"/>
  <c r="D1897" i="7" s="1"/>
  <c r="B1897" i="7"/>
  <c r="C1896" i="7"/>
  <c r="D1896" i="7" s="1"/>
  <c r="B1896" i="7"/>
  <c r="E1895" i="7"/>
  <c r="C1895" i="7"/>
  <c r="D1895" i="7" s="1"/>
  <c r="B1895" i="7"/>
  <c r="B1894" i="7"/>
  <c r="B1893" i="7"/>
  <c r="B1892" i="7"/>
  <c r="B1891" i="7"/>
  <c r="C1890" i="7"/>
  <c r="D1890" i="7" s="1"/>
  <c r="B1890" i="7"/>
  <c r="B1889" i="7"/>
  <c r="C1888" i="7"/>
  <c r="D1888" i="7" s="1"/>
  <c r="B1888" i="7"/>
  <c r="C1887" i="7"/>
  <c r="D1887" i="7" s="1"/>
  <c r="B1887" i="7"/>
  <c r="E1890" i="7" s="1"/>
  <c r="F1890" i="7" s="1"/>
  <c r="B1886" i="7"/>
  <c r="E1889" i="7" s="1"/>
  <c r="B1885" i="7"/>
  <c r="D1884" i="7"/>
  <c r="C1884" i="7"/>
  <c r="B1884" i="7"/>
  <c r="B1883" i="7"/>
  <c r="F1935" i="7" s="1"/>
  <c r="B1882" i="7"/>
  <c r="E1881" i="7"/>
  <c r="F1881" i="7" s="1"/>
  <c r="C1881" i="7"/>
  <c r="D1881" i="7" s="1"/>
  <c r="B1881" i="7"/>
  <c r="C1880" i="7"/>
  <c r="D1880" i="7" s="1"/>
  <c r="B1880" i="7"/>
  <c r="E1879" i="7"/>
  <c r="C1879" i="7"/>
  <c r="D1879" i="7" s="1"/>
  <c r="B1879" i="7"/>
  <c r="E1882" i="7" s="1"/>
  <c r="F1882" i="7" s="1"/>
  <c r="B1878" i="7"/>
  <c r="B1877" i="7"/>
  <c r="B1876" i="7"/>
  <c r="B1875" i="7"/>
  <c r="B1874" i="7"/>
  <c r="B1873" i="7"/>
  <c r="E1872" i="7"/>
  <c r="F1872" i="7" s="1"/>
  <c r="C1872" i="7"/>
  <c r="D1872" i="7" s="1"/>
  <c r="B1872" i="7"/>
  <c r="C1871" i="7"/>
  <c r="D1871" i="7" s="1"/>
  <c r="B1871" i="7"/>
  <c r="E1870" i="7"/>
  <c r="F1870" i="7" s="1"/>
  <c r="B1870" i="7"/>
  <c r="B1869" i="7"/>
  <c r="D1868" i="7"/>
  <c r="C1868" i="7"/>
  <c r="B1868" i="7"/>
  <c r="E1871" i="7" s="1"/>
  <c r="B1867" i="7"/>
  <c r="F1919" i="7" s="1"/>
  <c r="B1866" i="7"/>
  <c r="B1865" i="7"/>
  <c r="C1864" i="7"/>
  <c r="D1864" i="7" s="1"/>
  <c r="B1864" i="7"/>
  <c r="C1863" i="7"/>
  <c r="D1863" i="7" s="1"/>
  <c r="B1863" i="7"/>
  <c r="B1862" i="7"/>
  <c r="B1861" i="7"/>
  <c r="B1860" i="7"/>
  <c r="E1859" i="7"/>
  <c r="F1859" i="7" s="1"/>
  <c r="B1859" i="7"/>
  <c r="B1858" i="7"/>
  <c r="B1857" i="7"/>
  <c r="E1856" i="7"/>
  <c r="F1856" i="7" s="1"/>
  <c r="C1856" i="7"/>
  <c r="D1856" i="7" s="1"/>
  <c r="B1856" i="7"/>
  <c r="C1855" i="7"/>
  <c r="D1855" i="7" s="1"/>
  <c r="B1855" i="7"/>
  <c r="E1854" i="7"/>
  <c r="B1854" i="7"/>
  <c r="E1857" i="7" s="1"/>
  <c r="B1853" i="7"/>
  <c r="D1852" i="7"/>
  <c r="C1852" i="7"/>
  <c r="B1852" i="7"/>
  <c r="E1855" i="7" s="1"/>
  <c r="E1851" i="7"/>
  <c r="C1851" i="7"/>
  <c r="D1851" i="7" s="1"/>
  <c r="B1851" i="7"/>
  <c r="B1850" i="7"/>
  <c r="E1853" i="7" s="1"/>
  <c r="C1849" i="7"/>
  <c r="D1849" i="7" s="1"/>
  <c r="B1849" i="7"/>
  <c r="C1848" i="7"/>
  <c r="D1848" i="7" s="1"/>
  <c r="B1848" i="7"/>
  <c r="E1847" i="7"/>
  <c r="C1847" i="7"/>
  <c r="D1847" i="7" s="1"/>
  <c r="B1847" i="7"/>
  <c r="B1846" i="7"/>
  <c r="F1845" i="7"/>
  <c r="E1845" i="7"/>
  <c r="B1845" i="7"/>
  <c r="B1844" i="7"/>
  <c r="F1843" i="7"/>
  <c r="E1843" i="7"/>
  <c r="B1843" i="7"/>
  <c r="B1842" i="7"/>
  <c r="B1841" i="7"/>
  <c r="C1840" i="7"/>
  <c r="D1840" i="7" s="1"/>
  <c r="B1840" i="7"/>
  <c r="C1839" i="7"/>
  <c r="D1839" i="7" s="1"/>
  <c r="B1839" i="7"/>
  <c r="B1838" i="7"/>
  <c r="E1841" i="7" s="1"/>
  <c r="B1837" i="7"/>
  <c r="D1836" i="7"/>
  <c r="C1836" i="7"/>
  <c r="B1836" i="7"/>
  <c r="B1835" i="7"/>
  <c r="B1834" i="7"/>
  <c r="C1833" i="7"/>
  <c r="D1833" i="7" s="1"/>
  <c r="B1833" i="7"/>
  <c r="C1832" i="7"/>
  <c r="D1832" i="7" s="1"/>
  <c r="B1832" i="7"/>
  <c r="E1831" i="7"/>
  <c r="C1831" i="7"/>
  <c r="D1831" i="7" s="1"/>
  <c r="B1831" i="7"/>
  <c r="B1830" i="7"/>
  <c r="F1829" i="7"/>
  <c r="B1829" i="7"/>
  <c r="B1828" i="7"/>
  <c r="E1827" i="7"/>
  <c r="B1827" i="7"/>
  <c r="E1826" i="7"/>
  <c r="F1826" i="7" s="1"/>
  <c r="B1826" i="7"/>
  <c r="E1829" i="7" s="1"/>
  <c r="B1825" i="7"/>
  <c r="C1824" i="7"/>
  <c r="D1824" i="7" s="1"/>
  <c r="B1824" i="7"/>
  <c r="B1823" i="7"/>
  <c r="C1823" i="7" s="1"/>
  <c r="D1823" i="7" s="1"/>
  <c r="E1822" i="7"/>
  <c r="B1822" i="7"/>
  <c r="E1825" i="7" s="1"/>
  <c r="D1821" i="7"/>
  <c r="C1821" i="7"/>
  <c r="B1821" i="7"/>
  <c r="D1820" i="7"/>
  <c r="C1820" i="7"/>
  <c r="B1820" i="7"/>
  <c r="D1819" i="7"/>
  <c r="C1819" i="7"/>
  <c r="B1819" i="7"/>
  <c r="B1818" i="7"/>
  <c r="E1821" i="7" s="1"/>
  <c r="B1817" i="7"/>
  <c r="C1816" i="7"/>
  <c r="D1816" i="7" s="1"/>
  <c r="B1816" i="7"/>
  <c r="B1815" i="7"/>
  <c r="B1814" i="7"/>
  <c r="B1813" i="7"/>
  <c r="B1812" i="7"/>
  <c r="B1811" i="7"/>
  <c r="B1810" i="7"/>
  <c r="B1809" i="7"/>
  <c r="B1808" i="7"/>
  <c r="B1807" i="7"/>
  <c r="E1806" i="7"/>
  <c r="F1806" i="7" s="1"/>
  <c r="B1806" i="7"/>
  <c r="C1805" i="7"/>
  <c r="D1805" i="7" s="1"/>
  <c r="B1805" i="7"/>
  <c r="D1804" i="7"/>
  <c r="C1804" i="7"/>
  <c r="B1804" i="7"/>
  <c r="B1803" i="7"/>
  <c r="F1855" i="7" s="1"/>
  <c r="B1802" i="7"/>
  <c r="B1801" i="7"/>
  <c r="C1800" i="7"/>
  <c r="D1800" i="7" s="1"/>
  <c r="B1800" i="7"/>
  <c r="E1799" i="7"/>
  <c r="D1799" i="7"/>
  <c r="C1799" i="7"/>
  <c r="B1799" i="7"/>
  <c r="B1798" i="7"/>
  <c r="F1797" i="7"/>
  <c r="B1797" i="7"/>
  <c r="B1796" i="7"/>
  <c r="E1795" i="7"/>
  <c r="B1795" i="7"/>
  <c r="F1794" i="7"/>
  <c r="E1794" i="7"/>
  <c r="B1794" i="7"/>
  <c r="E1797" i="7" s="1"/>
  <c r="B1793" i="7"/>
  <c r="C1792" i="7"/>
  <c r="D1792" i="7" s="1"/>
  <c r="B1792" i="7"/>
  <c r="B1791" i="7"/>
  <c r="C1791" i="7" s="1"/>
  <c r="D1791" i="7" s="1"/>
  <c r="E1790" i="7"/>
  <c r="F1790" i="7" s="1"/>
  <c r="B1790" i="7"/>
  <c r="E1793" i="7" s="1"/>
  <c r="C1789" i="7"/>
  <c r="D1789" i="7" s="1"/>
  <c r="B1789" i="7"/>
  <c r="D1788" i="7"/>
  <c r="C1788" i="7"/>
  <c r="B1788" i="7"/>
  <c r="C1787" i="7"/>
  <c r="D1787" i="7" s="1"/>
  <c r="B1787" i="7"/>
  <c r="B1786" i="7"/>
  <c r="E1789" i="7" s="1"/>
  <c r="B1785" i="7"/>
  <c r="C1784" i="7"/>
  <c r="D1784" i="7" s="1"/>
  <c r="B1784" i="7"/>
  <c r="B1783" i="7"/>
  <c r="B1782" i="7"/>
  <c r="B1781" i="7"/>
  <c r="B1780" i="7"/>
  <c r="E1779" i="7"/>
  <c r="B1779" i="7"/>
  <c r="B1778" i="7"/>
  <c r="B1777" i="7"/>
  <c r="B1776" i="7"/>
  <c r="B1775" i="7"/>
  <c r="F1774" i="7"/>
  <c r="E1774" i="7"/>
  <c r="B1774" i="7"/>
  <c r="C1773" i="7"/>
  <c r="D1773" i="7" s="1"/>
  <c r="B1773" i="7"/>
  <c r="D1772" i="7"/>
  <c r="C1772" i="7"/>
  <c r="B1772" i="7"/>
  <c r="B1771" i="7"/>
  <c r="B1770" i="7"/>
  <c r="B1769" i="7"/>
  <c r="C1768" i="7"/>
  <c r="D1768" i="7" s="1"/>
  <c r="B1768" i="7"/>
  <c r="E1767" i="7"/>
  <c r="D1767" i="7"/>
  <c r="C1767" i="7"/>
  <c r="B1767" i="7"/>
  <c r="B1766" i="7"/>
  <c r="E1769" i="7" s="1"/>
  <c r="F1769" i="7" s="1"/>
  <c r="B1765" i="7"/>
  <c r="B1764" i="7"/>
  <c r="E1763" i="7"/>
  <c r="B1763" i="7"/>
  <c r="F1762" i="7"/>
  <c r="E1762" i="7"/>
  <c r="B1762" i="7"/>
  <c r="E1765" i="7" s="1"/>
  <c r="B1761" i="7"/>
  <c r="D1760" i="7"/>
  <c r="C1760" i="7"/>
  <c r="B1760" i="7"/>
  <c r="B1759" i="7"/>
  <c r="C1759" i="7" s="1"/>
  <c r="D1759" i="7" s="1"/>
  <c r="E1758" i="7"/>
  <c r="F1758" i="7" s="1"/>
  <c r="B1758" i="7"/>
  <c r="E1761" i="7" s="1"/>
  <c r="C1757" i="7"/>
  <c r="D1757" i="7" s="1"/>
  <c r="B1757" i="7"/>
  <c r="D1756" i="7"/>
  <c r="C1756" i="7"/>
  <c r="B1756" i="7"/>
  <c r="E1755" i="7"/>
  <c r="D1755" i="7"/>
  <c r="C1755" i="7"/>
  <c r="B1755" i="7"/>
  <c r="B1754" i="7"/>
  <c r="E1757" i="7" s="1"/>
  <c r="C1753" i="7"/>
  <c r="D1753" i="7" s="1"/>
  <c r="B1753" i="7"/>
  <c r="C1752" i="7"/>
  <c r="D1752" i="7" s="1"/>
  <c r="B1752" i="7"/>
  <c r="B1751" i="7"/>
  <c r="B1750" i="7"/>
  <c r="E1753" i="7" s="1"/>
  <c r="F1753" i="7" s="1"/>
  <c r="B1749" i="7"/>
  <c r="B1748" i="7"/>
  <c r="E1747" i="7"/>
  <c r="B1747" i="7"/>
  <c r="B1746" i="7"/>
  <c r="B1745" i="7"/>
  <c r="B1744" i="7"/>
  <c r="B1743" i="7"/>
  <c r="B1742" i="7"/>
  <c r="B1741" i="7"/>
  <c r="C1740" i="7"/>
  <c r="D1740" i="7" s="1"/>
  <c r="B1740" i="7"/>
  <c r="D1739" i="7"/>
  <c r="B1739" i="7"/>
  <c r="E1738" i="7"/>
  <c r="D1738" i="7"/>
  <c r="C1738" i="7"/>
  <c r="B1738" i="7"/>
  <c r="C1739" i="7" s="1"/>
  <c r="B1737" i="7"/>
  <c r="F1736" i="7"/>
  <c r="E1736" i="7"/>
  <c r="C1736" i="7"/>
  <c r="D1736" i="7" s="1"/>
  <c r="B1736" i="7"/>
  <c r="C1737" i="7" s="1"/>
  <c r="D1737" i="7" s="1"/>
  <c r="C1735" i="7"/>
  <c r="D1735" i="7" s="1"/>
  <c r="B1735" i="7"/>
  <c r="B1734" i="7"/>
  <c r="F1733" i="7"/>
  <c r="E1733" i="7"/>
  <c r="B1733" i="7"/>
  <c r="C1734" i="7" s="1"/>
  <c r="D1734" i="7" s="1"/>
  <c r="C1732" i="7"/>
  <c r="D1732" i="7" s="1"/>
  <c r="B1732" i="7"/>
  <c r="E1731" i="7"/>
  <c r="F1731" i="7" s="1"/>
  <c r="B1731" i="7"/>
  <c r="C1730" i="7"/>
  <c r="D1730" i="7" s="1"/>
  <c r="B1730" i="7"/>
  <c r="B1729" i="7"/>
  <c r="E1732" i="7" s="1"/>
  <c r="B1728" i="7"/>
  <c r="B1727" i="7"/>
  <c r="B1726" i="7"/>
  <c r="B1725" i="7"/>
  <c r="C1724" i="7"/>
  <c r="D1724" i="7" s="1"/>
  <c r="B1724" i="7"/>
  <c r="D1723" i="7"/>
  <c r="B1723" i="7"/>
  <c r="E1722" i="7"/>
  <c r="D1722" i="7"/>
  <c r="C1722" i="7"/>
  <c r="B1722" i="7"/>
  <c r="C1723" i="7" s="1"/>
  <c r="B1721" i="7"/>
  <c r="F1720" i="7"/>
  <c r="E1720" i="7"/>
  <c r="D1720" i="7"/>
  <c r="C1720" i="7"/>
  <c r="B1720" i="7"/>
  <c r="C1721" i="7" s="1"/>
  <c r="D1721" i="7" s="1"/>
  <c r="C1719" i="7"/>
  <c r="D1719" i="7" s="1"/>
  <c r="B1719" i="7"/>
  <c r="B1718" i="7"/>
  <c r="E1717" i="7"/>
  <c r="F1717" i="7" s="1"/>
  <c r="B1717" i="7"/>
  <c r="C1718" i="7" s="1"/>
  <c r="D1718" i="7" s="1"/>
  <c r="C1716" i="7"/>
  <c r="D1716" i="7" s="1"/>
  <c r="B1716" i="7"/>
  <c r="E1715" i="7"/>
  <c r="B1715" i="7"/>
  <c r="C1714" i="7"/>
  <c r="D1714" i="7" s="1"/>
  <c r="B1714" i="7"/>
  <c r="B1713" i="7"/>
  <c r="E1716" i="7" s="1"/>
  <c r="B1712" i="7"/>
  <c r="B1711" i="7"/>
  <c r="B1710" i="7"/>
  <c r="B1709" i="7"/>
  <c r="C1708" i="7"/>
  <c r="D1708" i="7" s="1"/>
  <c r="B1708" i="7"/>
  <c r="D1707" i="7"/>
  <c r="B1707" i="7"/>
  <c r="E1706" i="7"/>
  <c r="D1706" i="7"/>
  <c r="C1706" i="7"/>
  <c r="B1706" i="7"/>
  <c r="C1707" i="7" s="1"/>
  <c r="B1705" i="7"/>
  <c r="C1704" i="7"/>
  <c r="D1704" i="7" s="1"/>
  <c r="B1704" i="7"/>
  <c r="C1705" i="7" s="1"/>
  <c r="D1705" i="7" s="1"/>
  <c r="B1703" i="7"/>
  <c r="B1702" i="7"/>
  <c r="F1701" i="7"/>
  <c r="E1701" i="7"/>
  <c r="B1701" i="7"/>
  <c r="C1702" i="7" s="1"/>
  <c r="D1702" i="7" s="1"/>
  <c r="C1700" i="7"/>
  <c r="D1700" i="7" s="1"/>
  <c r="B1700" i="7"/>
  <c r="B1699" i="7"/>
  <c r="B1698" i="7"/>
  <c r="B1697" i="7"/>
  <c r="B1696" i="7"/>
  <c r="B1695" i="7"/>
  <c r="B1694" i="7"/>
  <c r="E1693" i="7"/>
  <c r="C1693" i="7"/>
  <c r="D1693" i="7" s="1"/>
  <c r="B1693" i="7"/>
  <c r="C1692" i="7"/>
  <c r="D1692" i="7" s="1"/>
  <c r="B1692" i="7"/>
  <c r="D1691" i="7"/>
  <c r="B1691" i="7"/>
  <c r="E1690" i="7"/>
  <c r="D1690" i="7"/>
  <c r="C1690" i="7"/>
  <c r="B1690" i="7"/>
  <c r="C1691" i="7" s="1"/>
  <c r="B1689" i="7"/>
  <c r="E1692" i="7" s="1"/>
  <c r="D1688" i="7"/>
  <c r="C1688" i="7"/>
  <c r="B1688" i="7"/>
  <c r="B1687" i="7"/>
  <c r="E1689" i="7" s="1"/>
  <c r="B1686" i="7"/>
  <c r="E1685" i="7"/>
  <c r="B1685" i="7"/>
  <c r="C1686" i="7" s="1"/>
  <c r="D1686" i="7" s="1"/>
  <c r="C1684" i="7"/>
  <c r="D1684" i="7" s="1"/>
  <c r="B1684" i="7"/>
  <c r="E1683" i="7"/>
  <c r="D1683" i="7"/>
  <c r="B1683" i="7"/>
  <c r="B1682" i="7"/>
  <c r="C1683" i="7" s="1"/>
  <c r="B1681" i="7"/>
  <c r="B1680" i="7"/>
  <c r="F1732" i="7" s="1"/>
  <c r="C1679" i="7"/>
  <c r="D1679" i="7" s="1"/>
  <c r="B1679" i="7"/>
  <c r="B1678" i="7"/>
  <c r="B1677" i="7"/>
  <c r="C1676" i="7"/>
  <c r="D1676" i="7" s="1"/>
  <c r="B1676" i="7"/>
  <c r="D1675" i="7"/>
  <c r="B1675" i="7"/>
  <c r="E1674" i="7"/>
  <c r="C1674" i="7"/>
  <c r="D1674" i="7" s="1"/>
  <c r="B1674" i="7"/>
  <c r="C1675" i="7" s="1"/>
  <c r="B1673" i="7"/>
  <c r="E1676" i="7" s="1"/>
  <c r="C1672" i="7"/>
  <c r="D1672" i="7" s="1"/>
  <c r="B1672" i="7"/>
  <c r="B1671" i="7"/>
  <c r="E1673" i="7" s="1"/>
  <c r="B1670" i="7"/>
  <c r="F1722" i="7" s="1"/>
  <c r="F1669" i="7"/>
  <c r="E1669" i="7"/>
  <c r="B1669" i="7"/>
  <c r="C1670" i="7" s="1"/>
  <c r="D1670" i="7" s="1"/>
  <c r="C1668" i="7"/>
  <c r="D1668" i="7" s="1"/>
  <c r="B1668" i="7"/>
  <c r="E1667" i="7"/>
  <c r="F1667" i="7" s="1"/>
  <c r="D1667" i="7"/>
  <c r="B1667" i="7"/>
  <c r="B1666" i="7"/>
  <c r="C1667" i="7" s="1"/>
  <c r="B1665" i="7"/>
  <c r="B1664" i="7"/>
  <c r="F1716" i="7" s="1"/>
  <c r="B1663" i="7"/>
  <c r="B1662" i="7"/>
  <c r="C1661" i="7"/>
  <c r="D1661" i="7" s="1"/>
  <c r="B1661" i="7"/>
  <c r="C1660" i="7"/>
  <c r="D1660" i="7" s="1"/>
  <c r="B1660" i="7"/>
  <c r="D1659" i="7"/>
  <c r="B1659" i="7"/>
  <c r="E1658" i="7"/>
  <c r="C1658" i="7"/>
  <c r="D1658" i="7" s="1"/>
  <c r="B1658" i="7"/>
  <c r="C1659" i="7" s="1"/>
  <c r="B1657" i="7"/>
  <c r="E1660" i="7" s="1"/>
  <c r="D1656" i="7"/>
  <c r="C1656" i="7"/>
  <c r="B1656" i="7"/>
  <c r="B1655" i="7"/>
  <c r="E1657" i="7" s="1"/>
  <c r="B1654" i="7"/>
  <c r="E1653" i="7"/>
  <c r="F1653" i="7" s="1"/>
  <c r="B1653" i="7"/>
  <c r="C1654" i="7" s="1"/>
  <c r="D1654" i="7" s="1"/>
  <c r="C1652" i="7"/>
  <c r="D1652" i="7" s="1"/>
  <c r="B1652" i="7"/>
  <c r="E1651" i="7"/>
  <c r="D1651" i="7"/>
  <c r="B1651" i="7"/>
  <c r="C1650" i="7"/>
  <c r="D1650" i="7" s="1"/>
  <c r="B1650" i="7"/>
  <c r="C1651" i="7" s="1"/>
  <c r="B1649" i="7"/>
  <c r="E1652" i="7" s="1"/>
  <c r="B1648" i="7"/>
  <c r="B1647" i="7"/>
  <c r="B1646" i="7"/>
  <c r="B1645" i="7"/>
  <c r="C1644" i="7"/>
  <c r="D1644" i="7" s="1"/>
  <c r="B1644" i="7"/>
  <c r="D1643" i="7"/>
  <c r="B1643" i="7"/>
  <c r="E1642" i="7"/>
  <c r="D1642" i="7"/>
  <c r="C1642" i="7"/>
  <c r="B1642" i="7"/>
  <c r="C1643" i="7" s="1"/>
  <c r="B1641" i="7"/>
  <c r="E1644" i="7" s="1"/>
  <c r="D1640" i="7"/>
  <c r="C1640" i="7"/>
  <c r="B1640" i="7"/>
  <c r="F1692" i="7" s="1"/>
  <c r="B1639" i="7"/>
  <c r="E1641" i="7" s="1"/>
  <c r="B1638" i="7"/>
  <c r="F1637" i="7"/>
  <c r="E1637" i="7"/>
  <c r="B1637" i="7"/>
  <c r="C1638" i="7" s="1"/>
  <c r="D1638" i="7" s="1"/>
  <c r="C1636" i="7"/>
  <c r="D1636" i="7" s="1"/>
  <c r="B1636" i="7"/>
  <c r="D1635" i="7"/>
  <c r="B1635" i="7"/>
  <c r="B1634" i="7"/>
  <c r="C1635" i="7" s="1"/>
  <c r="B1633" i="7"/>
  <c r="B1632" i="7"/>
  <c r="B1631" i="7"/>
  <c r="B1630" i="7"/>
  <c r="E1629" i="7"/>
  <c r="C1629" i="7"/>
  <c r="D1629" i="7" s="1"/>
  <c r="B1629" i="7"/>
  <c r="C1628" i="7"/>
  <c r="D1628" i="7" s="1"/>
  <c r="B1628" i="7"/>
  <c r="D1627" i="7"/>
  <c r="B1627" i="7"/>
  <c r="E1626" i="7"/>
  <c r="C1626" i="7"/>
  <c r="D1626" i="7" s="1"/>
  <c r="B1626" i="7"/>
  <c r="C1627" i="7" s="1"/>
  <c r="B1625" i="7"/>
  <c r="E1628" i="7" s="1"/>
  <c r="D1624" i="7"/>
  <c r="C1624" i="7"/>
  <c r="B1624" i="7"/>
  <c r="F1676" i="7" s="1"/>
  <c r="B1623" i="7"/>
  <c r="E1625" i="7" s="1"/>
  <c r="B1622" i="7"/>
  <c r="E1621" i="7"/>
  <c r="B1621" i="7"/>
  <c r="C1622" i="7" s="1"/>
  <c r="D1622" i="7" s="1"/>
  <c r="C1620" i="7"/>
  <c r="D1620" i="7" s="1"/>
  <c r="B1620" i="7"/>
  <c r="D1619" i="7"/>
  <c r="B1619" i="7"/>
  <c r="B1618" i="7"/>
  <c r="C1619" i="7" s="1"/>
  <c r="B1617" i="7"/>
  <c r="B1616" i="7"/>
  <c r="C1615" i="7"/>
  <c r="D1615" i="7" s="1"/>
  <c r="B1615" i="7"/>
  <c r="B1614" i="7"/>
  <c r="B1613" i="7"/>
  <c r="C1612" i="7"/>
  <c r="D1612" i="7" s="1"/>
  <c r="B1612" i="7"/>
  <c r="D1611" i="7"/>
  <c r="B1611" i="7"/>
  <c r="E1610" i="7"/>
  <c r="C1610" i="7"/>
  <c r="D1610" i="7" s="1"/>
  <c r="B1610" i="7"/>
  <c r="C1611" i="7" s="1"/>
  <c r="B1609" i="7"/>
  <c r="E1612" i="7" s="1"/>
  <c r="C1608" i="7"/>
  <c r="D1608" i="7" s="1"/>
  <c r="B1608" i="7"/>
  <c r="F1660" i="7" s="1"/>
  <c r="B1607" i="7"/>
  <c r="E1609" i="7" s="1"/>
  <c r="B1606" i="7"/>
  <c r="F1658" i="7" s="1"/>
  <c r="E1605" i="7"/>
  <c r="B1605" i="7"/>
  <c r="C1606" i="7" s="1"/>
  <c r="D1606" i="7" s="1"/>
  <c r="C1604" i="7"/>
  <c r="D1604" i="7" s="1"/>
  <c r="B1604" i="7"/>
  <c r="E1603" i="7"/>
  <c r="D1603" i="7"/>
  <c r="B1603" i="7"/>
  <c r="B1602" i="7"/>
  <c r="C1603" i="7" s="1"/>
  <c r="B1601" i="7"/>
  <c r="B1600" i="7"/>
  <c r="F1652" i="7" s="1"/>
  <c r="B1599" i="7"/>
  <c r="B1598" i="7"/>
  <c r="C1597" i="7"/>
  <c r="D1597" i="7" s="1"/>
  <c r="B1597" i="7"/>
  <c r="C1596" i="7"/>
  <c r="D1596" i="7" s="1"/>
  <c r="B1596" i="7"/>
  <c r="D1595" i="7"/>
  <c r="B1595" i="7"/>
  <c r="E1594" i="7"/>
  <c r="C1594" i="7"/>
  <c r="D1594" i="7" s="1"/>
  <c r="B1594" i="7"/>
  <c r="C1595" i="7" s="1"/>
  <c r="B1593" i="7"/>
  <c r="E1596" i="7" s="1"/>
  <c r="D1592" i="7"/>
  <c r="C1592" i="7"/>
  <c r="B1592" i="7"/>
  <c r="F1644" i="7" s="1"/>
  <c r="B1591" i="7"/>
  <c r="E1593" i="7" s="1"/>
  <c r="B1590" i="7"/>
  <c r="E1589" i="7"/>
  <c r="F1589" i="7" s="1"/>
  <c r="B1589" i="7"/>
  <c r="C1590" i="7" s="1"/>
  <c r="D1590" i="7" s="1"/>
  <c r="C1588" i="7"/>
  <c r="D1588" i="7" s="1"/>
  <c r="B1588" i="7"/>
  <c r="E1587" i="7"/>
  <c r="F1587" i="7" s="1"/>
  <c r="D1587" i="7"/>
  <c r="B1587" i="7"/>
  <c r="C1586" i="7"/>
  <c r="D1586" i="7" s="1"/>
  <c r="B1586" i="7"/>
  <c r="C1587" i="7" s="1"/>
  <c r="B1585" i="7"/>
  <c r="E1588" i="7" s="1"/>
  <c r="B1584" i="7"/>
  <c r="B1583" i="7"/>
  <c r="B1582" i="7"/>
  <c r="B1581" i="7"/>
  <c r="C1580" i="7"/>
  <c r="D1580" i="7" s="1"/>
  <c r="B1580" i="7"/>
  <c r="D1579" i="7"/>
  <c r="B1579" i="7"/>
  <c r="E1578" i="7"/>
  <c r="D1578" i="7"/>
  <c r="C1578" i="7"/>
  <c r="B1578" i="7"/>
  <c r="C1579" i="7" s="1"/>
  <c r="B1577" i="7"/>
  <c r="E1580" i="7" s="1"/>
  <c r="C1576" i="7"/>
  <c r="D1576" i="7" s="1"/>
  <c r="B1576" i="7"/>
  <c r="F1628" i="7" s="1"/>
  <c r="B1575" i="7"/>
  <c r="E1577" i="7" s="1"/>
  <c r="B1574" i="7"/>
  <c r="F1573" i="7"/>
  <c r="E1573" i="7"/>
  <c r="B1573" i="7"/>
  <c r="C1574" i="7" s="1"/>
  <c r="D1574" i="7" s="1"/>
  <c r="C1572" i="7"/>
  <c r="D1572" i="7" s="1"/>
  <c r="B1572" i="7"/>
  <c r="D1571" i="7"/>
  <c r="B1571" i="7"/>
  <c r="B1570" i="7"/>
  <c r="C1571" i="7" s="1"/>
  <c r="B1569" i="7"/>
  <c r="B1568" i="7"/>
  <c r="B1567" i="7"/>
  <c r="B1566" i="7"/>
  <c r="E1565" i="7"/>
  <c r="C1565" i="7"/>
  <c r="D1565" i="7" s="1"/>
  <c r="B1565" i="7"/>
  <c r="B1564" i="7"/>
  <c r="E1563" i="7"/>
  <c r="C1563" i="7"/>
  <c r="D1563" i="7" s="1"/>
  <c r="B1563" i="7"/>
  <c r="E1562" i="7"/>
  <c r="B1562" i="7"/>
  <c r="B1561" i="7"/>
  <c r="E1560" i="7"/>
  <c r="F1560" i="7" s="1"/>
  <c r="B1560" i="7"/>
  <c r="B1559" i="7"/>
  <c r="B1558" i="7"/>
  <c r="C1557" i="7"/>
  <c r="D1557" i="7" s="1"/>
  <c r="B1557" i="7"/>
  <c r="B1556" i="7"/>
  <c r="E1555" i="7"/>
  <c r="F1555" i="7" s="1"/>
  <c r="C1555" i="7"/>
  <c r="D1555" i="7" s="1"/>
  <c r="B1555" i="7"/>
  <c r="B1554" i="7"/>
  <c r="B1553" i="7"/>
  <c r="E1552" i="7"/>
  <c r="F1552" i="7" s="1"/>
  <c r="B1552" i="7"/>
  <c r="B1551" i="7"/>
  <c r="F1603" i="7" s="1"/>
  <c r="F1550" i="7"/>
  <c r="E1550" i="7"/>
  <c r="B1550" i="7"/>
  <c r="E1549" i="7"/>
  <c r="C1549" i="7"/>
  <c r="D1549" i="7" s="1"/>
  <c r="B1549" i="7"/>
  <c r="C1550" i="7" s="1"/>
  <c r="D1550" i="7" s="1"/>
  <c r="B1548" i="7"/>
  <c r="E1547" i="7"/>
  <c r="C1547" i="7"/>
  <c r="D1547" i="7" s="1"/>
  <c r="B1547" i="7"/>
  <c r="E1546" i="7"/>
  <c r="B1546" i="7"/>
  <c r="B1545" i="7"/>
  <c r="E1544" i="7"/>
  <c r="F1544" i="7" s="1"/>
  <c r="B1544" i="7"/>
  <c r="B1543" i="7"/>
  <c r="B1542" i="7"/>
  <c r="C1541" i="7"/>
  <c r="D1541" i="7" s="1"/>
  <c r="B1541" i="7"/>
  <c r="B1540" i="7"/>
  <c r="D1539" i="7"/>
  <c r="C1539" i="7"/>
  <c r="B1539" i="7"/>
  <c r="C1538" i="7"/>
  <c r="D1538" i="7" s="1"/>
  <c r="B1538" i="7"/>
  <c r="C1537" i="7"/>
  <c r="D1537" i="7" s="1"/>
  <c r="B1537" i="7"/>
  <c r="B1536" i="7"/>
  <c r="B1535" i="7"/>
  <c r="E1538" i="7" s="1"/>
  <c r="B1534" i="7"/>
  <c r="E1537" i="7" s="1"/>
  <c r="F1537" i="7" s="1"/>
  <c r="B1533" i="7"/>
  <c r="B1532" i="7"/>
  <c r="C1531" i="7"/>
  <c r="D1531" i="7" s="1"/>
  <c r="B1531" i="7"/>
  <c r="C1530" i="7"/>
  <c r="D1530" i="7" s="1"/>
  <c r="B1530" i="7"/>
  <c r="C1529" i="7"/>
  <c r="D1529" i="7" s="1"/>
  <c r="B1529" i="7"/>
  <c r="B1528" i="7"/>
  <c r="B1527" i="7"/>
  <c r="E1526" i="7"/>
  <c r="F1526" i="7" s="1"/>
  <c r="B1526" i="7"/>
  <c r="B1525" i="7"/>
  <c r="B1524" i="7"/>
  <c r="C1524" i="7" s="1"/>
  <c r="D1524" i="7" s="1"/>
  <c r="D1523" i="7"/>
  <c r="C1523" i="7"/>
  <c r="B1523" i="7"/>
  <c r="C1522" i="7"/>
  <c r="D1522" i="7" s="1"/>
  <c r="B1522" i="7"/>
  <c r="C1521" i="7"/>
  <c r="D1521" i="7" s="1"/>
  <c r="B1521" i="7"/>
  <c r="B1520" i="7"/>
  <c r="B1519" i="7"/>
  <c r="E1522" i="7" s="1"/>
  <c r="B1518" i="7"/>
  <c r="B1517" i="7"/>
  <c r="B1516" i="7"/>
  <c r="C1515" i="7"/>
  <c r="D1515" i="7" s="1"/>
  <c r="B1515" i="7"/>
  <c r="E1514" i="7"/>
  <c r="D1514" i="7"/>
  <c r="C1514" i="7"/>
  <c r="B1514" i="7"/>
  <c r="C1513" i="7"/>
  <c r="D1513" i="7" s="1"/>
  <c r="B1513" i="7"/>
  <c r="F1512" i="7"/>
  <c r="E1512" i="7"/>
  <c r="B1512" i="7"/>
  <c r="E1515" i="7" s="1"/>
  <c r="B1511" i="7"/>
  <c r="F1510" i="7"/>
  <c r="E1510" i="7"/>
  <c r="B1510" i="7"/>
  <c r="E1509" i="7"/>
  <c r="C1509" i="7"/>
  <c r="D1509" i="7" s="1"/>
  <c r="B1509" i="7"/>
  <c r="C1510" i="7" s="1"/>
  <c r="D1510" i="7" s="1"/>
  <c r="B1508" i="7"/>
  <c r="C1508" i="7" s="1"/>
  <c r="D1508" i="7" s="1"/>
  <c r="C1507" i="7"/>
  <c r="D1507" i="7" s="1"/>
  <c r="B1507" i="7"/>
  <c r="C1506" i="7"/>
  <c r="D1506" i="7" s="1"/>
  <c r="B1506" i="7"/>
  <c r="B1505" i="7"/>
  <c r="B1504" i="7"/>
  <c r="B1503" i="7"/>
  <c r="B1502" i="7"/>
  <c r="E1501" i="7"/>
  <c r="B1501" i="7"/>
  <c r="C1500" i="7"/>
  <c r="D1500" i="7" s="1"/>
  <c r="B1500" i="7"/>
  <c r="C1501" i="7" s="1"/>
  <c r="D1501" i="7" s="1"/>
  <c r="C1499" i="7"/>
  <c r="D1499" i="7" s="1"/>
  <c r="B1499" i="7"/>
  <c r="E1498" i="7"/>
  <c r="D1498" i="7"/>
  <c r="C1498" i="7"/>
  <c r="B1498" i="7"/>
  <c r="C1497" i="7"/>
  <c r="D1497" i="7" s="1"/>
  <c r="B1497" i="7"/>
  <c r="B1496" i="7"/>
  <c r="E1499" i="7" s="1"/>
  <c r="B1495" i="7"/>
  <c r="B1494" i="7"/>
  <c r="B1493" i="7"/>
  <c r="B1492" i="7"/>
  <c r="C1492" i="7" s="1"/>
  <c r="D1492" i="7" s="1"/>
  <c r="C1491" i="7"/>
  <c r="D1491" i="7" s="1"/>
  <c r="B1491" i="7"/>
  <c r="C1490" i="7"/>
  <c r="D1490" i="7" s="1"/>
  <c r="B1490" i="7"/>
  <c r="B1489" i="7"/>
  <c r="B1488" i="7"/>
  <c r="B1487" i="7"/>
  <c r="E1490" i="7" s="1"/>
  <c r="B1486" i="7"/>
  <c r="E1485" i="7"/>
  <c r="B1485" i="7"/>
  <c r="B1484" i="7"/>
  <c r="C1483" i="7"/>
  <c r="D1483" i="7" s="1"/>
  <c r="B1483" i="7"/>
  <c r="C1482" i="7"/>
  <c r="D1482" i="7" s="1"/>
  <c r="B1482" i="7"/>
  <c r="C1481" i="7"/>
  <c r="D1481" i="7" s="1"/>
  <c r="B1481" i="7"/>
  <c r="B1480" i="7"/>
  <c r="E1483" i="7" s="1"/>
  <c r="B1479" i="7"/>
  <c r="B1478" i="7"/>
  <c r="C1477" i="7"/>
  <c r="D1477" i="7" s="1"/>
  <c r="B1477" i="7"/>
  <c r="B1476" i="7"/>
  <c r="C1476" i="7" s="1"/>
  <c r="D1476" i="7" s="1"/>
  <c r="D1475" i="7"/>
  <c r="C1475" i="7"/>
  <c r="B1475" i="7"/>
  <c r="C1474" i="7"/>
  <c r="D1474" i="7" s="1"/>
  <c r="B1474" i="7"/>
  <c r="E1473" i="7"/>
  <c r="F1473" i="7" s="1"/>
  <c r="C1473" i="7"/>
  <c r="D1473" i="7" s="1"/>
  <c r="B1473" i="7"/>
  <c r="B1472" i="7"/>
  <c r="E1471" i="7"/>
  <c r="B1471" i="7"/>
  <c r="E1474" i="7" s="1"/>
  <c r="B1470" i="7"/>
  <c r="B1469" i="7"/>
  <c r="B1468" i="7"/>
  <c r="F1467" i="7"/>
  <c r="C1467" i="7"/>
  <c r="D1467" i="7" s="1"/>
  <c r="B1467" i="7"/>
  <c r="C1466" i="7"/>
  <c r="D1466" i="7" s="1"/>
  <c r="B1466" i="7"/>
  <c r="C1465" i="7"/>
  <c r="D1465" i="7" s="1"/>
  <c r="B1465" i="7"/>
  <c r="B1464" i="7"/>
  <c r="E1467" i="7" s="1"/>
  <c r="B1463" i="7"/>
  <c r="C1464" i="7" s="1"/>
  <c r="D1464" i="7" s="1"/>
  <c r="E1462" i="7"/>
  <c r="F1462" i="7" s="1"/>
  <c r="B1462" i="7"/>
  <c r="E1465" i="7" s="1"/>
  <c r="B1461" i="7"/>
  <c r="C1460" i="7"/>
  <c r="D1460" i="7" s="1"/>
  <c r="B1460" i="7"/>
  <c r="B1459" i="7"/>
  <c r="B1458" i="7"/>
  <c r="B1457" i="7"/>
  <c r="B1456" i="7"/>
  <c r="B1455" i="7"/>
  <c r="C1456" i="7" s="1"/>
  <c r="D1456" i="7" s="1"/>
  <c r="E1454" i="7"/>
  <c r="F1454" i="7" s="1"/>
  <c r="B1454" i="7"/>
  <c r="B1453" i="7"/>
  <c r="E1456" i="7" s="1"/>
  <c r="C1452" i="7"/>
  <c r="D1452" i="7" s="1"/>
  <c r="B1452" i="7"/>
  <c r="B1451" i="7"/>
  <c r="C1450" i="7"/>
  <c r="D1450" i="7" s="1"/>
  <c r="B1450" i="7"/>
  <c r="B1449" i="7"/>
  <c r="E1448" i="7"/>
  <c r="B1448" i="7"/>
  <c r="B1447" i="7"/>
  <c r="C1448" i="7" s="1"/>
  <c r="D1448" i="7" s="1"/>
  <c r="B1446" i="7"/>
  <c r="E1449" i="7" s="1"/>
  <c r="F1449" i="7" s="1"/>
  <c r="B1445" i="7"/>
  <c r="C1444" i="7"/>
  <c r="D1444" i="7" s="1"/>
  <c r="B1444" i="7"/>
  <c r="B1443" i="7"/>
  <c r="B1442" i="7"/>
  <c r="B1441" i="7"/>
  <c r="B1440" i="7"/>
  <c r="B1439" i="7"/>
  <c r="B1438" i="7"/>
  <c r="F1490" i="7" s="1"/>
  <c r="B1437" i="7"/>
  <c r="C1436" i="7"/>
  <c r="D1436" i="7" s="1"/>
  <c r="B1436" i="7"/>
  <c r="E1435" i="7"/>
  <c r="F1435" i="7" s="1"/>
  <c r="B1435" i="7"/>
  <c r="C1434" i="7"/>
  <c r="D1434" i="7" s="1"/>
  <c r="B1434" i="7"/>
  <c r="F1433" i="7"/>
  <c r="B1433" i="7"/>
  <c r="E1432" i="7"/>
  <c r="B1432" i="7"/>
  <c r="B1431" i="7"/>
  <c r="F1483" i="7" s="1"/>
  <c r="F1430" i="7"/>
  <c r="E1430" i="7"/>
  <c r="B1430" i="7"/>
  <c r="E1433" i="7" s="1"/>
  <c r="B1429" i="7"/>
  <c r="C1428" i="7"/>
  <c r="D1428" i="7" s="1"/>
  <c r="B1428" i="7"/>
  <c r="F1427" i="7"/>
  <c r="E1427" i="7"/>
  <c r="B1427" i="7"/>
  <c r="C1426" i="7"/>
  <c r="D1426" i="7" s="1"/>
  <c r="B1426" i="7"/>
  <c r="B1425" i="7"/>
  <c r="E1424" i="7"/>
  <c r="B1424" i="7"/>
  <c r="B1423" i="7"/>
  <c r="C1424" i="7" s="1"/>
  <c r="D1424" i="7" s="1"/>
  <c r="E1422" i="7"/>
  <c r="F1422" i="7" s="1"/>
  <c r="B1422" i="7"/>
  <c r="F1474" i="7" s="1"/>
  <c r="B1421" i="7"/>
  <c r="C1420" i="7"/>
  <c r="D1420" i="7" s="1"/>
  <c r="B1420" i="7"/>
  <c r="E1419" i="7"/>
  <c r="F1419" i="7" s="1"/>
  <c r="B1419" i="7"/>
  <c r="C1418" i="7"/>
  <c r="D1418" i="7" s="1"/>
  <c r="B1418" i="7"/>
  <c r="B1417" i="7"/>
  <c r="E1416" i="7"/>
  <c r="B1416" i="7"/>
  <c r="B1415" i="7"/>
  <c r="C1416" i="7" s="1"/>
  <c r="D1416" i="7" s="1"/>
  <c r="B1414" i="7"/>
  <c r="B1413" i="7"/>
  <c r="C1412" i="7"/>
  <c r="D1412" i="7" s="1"/>
  <c r="B1412" i="7"/>
  <c r="B1411" i="7"/>
  <c r="B1410" i="7"/>
  <c r="B1409" i="7"/>
  <c r="E1411" i="7" s="1"/>
  <c r="F1411" i="7" s="1"/>
  <c r="B1408" i="7"/>
  <c r="B1407" i="7"/>
  <c r="C1408" i="7" s="1"/>
  <c r="D1408" i="7" s="1"/>
  <c r="B1406" i="7"/>
  <c r="B1405" i="7"/>
  <c r="C1404" i="7"/>
  <c r="D1404" i="7" s="1"/>
  <c r="B1404" i="7"/>
  <c r="E1403" i="7"/>
  <c r="F1403" i="7" s="1"/>
  <c r="B1403" i="7"/>
  <c r="B1402" i="7"/>
  <c r="B1401" i="7"/>
  <c r="E1400" i="7"/>
  <c r="B1400" i="7"/>
  <c r="B1399" i="7"/>
  <c r="C1400" i="7" s="1"/>
  <c r="D1400" i="7" s="1"/>
  <c r="E1398" i="7"/>
  <c r="B1398" i="7"/>
  <c r="E1401" i="7" s="1"/>
  <c r="F1401" i="7" s="1"/>
  <c r="B1397" i="7"/>
  <c r="C1396" i="7"/>
  <c r="D1396" i="7" s="1"/>
  <c r="B1396" i="7"/>
  <c r="B1395" i="7"/>
  <c r="B1394" i="7"/>
  <c r="B1393" i="7"/>
  <c r="B1392" i="7"/>
  <c r="B1391" i="7"/>
  <c r="C1392" i="7" s="1"/>
  <c r="D1392" i="7" s="1"/>
  <c r="B1390" i="7"/>
  <c r="B1389" i="7"/>
  <c r="C1388" i="7"/>
  <c r="D1388" i="7" s="1"/>
  <c r="B1388" i="7"/>
  <c r="B1387" i="7"/>
  <c r="C1386" i="7"/>
  <c r="D1386" i="7" s="1"/>
  <c r="B1386" i="7"/>
  <c r="B1385" i="7"/>
  <c r="E1384" i="7"/>
  <c r="B1384" i="7"/>
  <c r="B1383" i="7"/>
  <c r="C1384" i="7" s="1"/>
  <c r="D1384" i="7" s="1"/>
  <c r="B1382" i="7"/>
  <c r="E1385" i="7" s="1"/>
  <c r="F1385" i="7" s="1"/>
  <c r="B1381" i="7"/>
  <c r="C1380" i="7"/>
  <c r="D1380" i="7" s="1"/>
  <c r="B1380" i="7"/>
  <c r="B1379" i="7"/>
  <c r="B1378" i="7"/>
  <c r="B1377" i="7"/>
  <c r="B1376" i="7"/>
  <c r="B1375" i="7"/>
  <c r="C1376" i="7" s="1"/>
  <c r="D1376" i="7" s="1"/>
  <c r="B1374" i="7"/>
  <c r="B1373" i="7"/>
  <c r="C1372" i="7"/>
  <c r="D1372" i="7" s="1"/>
  <c r="B1372" i="7"/>
  <c r="E1371" i="7"/>
  <c r="F1371" i="7" s="1"/>
  <c r="B1371" i="7"/>
  <c r="C1370" i="7"/>
  <c r="D1370" i="7" s="1"/>
  <c r="B1370" i="7"/>
  <c r="B1369" i="7"/>
  <c r="E1368" i="7"/>
  <c r="B1368" i="7"/>
  <c r="B1367" i="7"/>
  <c r="C1368" i="7" s="1"/>
  <c r="D1368" i="7" s="1"/>
  <c r="E1366" i="7"/>
  <c r="B1366" i="7"/>
  <c r="E1369" i="7" s="1"/>
  <c r="F1369" i="7" s="1"/>
  <c r="B1365" i="7"/>
  <c r="C1364" i="7"/>
  <c r="D1364" i="7" s="1"/>
  <c r="B1364" i="7"/>
  <c r="F1363" i="7"/>
  <c r="E1363" i="7"/>
  <c r="B1363" i="7"/>
  <c r="C1362" i="7"/>
  <c r="D1362" i="7" s="1"/>
  <c r="B1362" i="7"/>
  <c r="B1361" i="7"/>
  <c r="E1360" i="7"/>
  <c r="B1360" i="7"/>
  <c r="B1359" i="7"/>
  <c r="C1360" i="7" s="1"/>
  <c r="D1360" i="7" s="1"/>
  <c r="E1358" i="7"/>
  <c r="F1358" i="7" s="1"/>
  <c r="B1358" i="7"/>
  <c r="B1357" i="7"/>
  <c r="C1356" i="7"/>
  <c r="D1356" i="7" s="1"/>
  <c r="B1356" i="7"/>
  <c r="E1359" i="7" s="1"/>
  <c r="E1355" i="7"/>
  <c r="F1355" i="7" s="1"/>
  <c r="B1355" i="7"/>
  <c r="C1354" i="7"/>
  <c r="D1354" i="7" s="1"/>
  <c r="B1354" i="7"/>
  <c r="B1353" i="7"/>
  <c r="E1352" i="7"/>
  <c r="B1352" i="7"/>
  <c r="B1351" i="7"/>
  <c r="C1352" i="7" s="1"/>
  <c r="D1352" i="7" s="1"/>
  <c r="B1350" i="7"/>
  <c r="B1349" i="7"/>
  <c r="C1348" i="7"/>
  <c r="D1348" i="7" s="1"/>
  <c r="B1348" i="7"/>
  <c r="F1347" i="7"/>
  <c r="E1347" i="7"/>
  <c r="B1347" i="7"/>
  <c r="B1346" i="7"/>
  <c r="C1345" i="7"/>
  <c r="D1345" i="7" s="1"/>
  <c r="B1345" i="7"/>
  <c r="D1344" i="7"/>
  <c r="C1344" i="7"/>
  <c r="B1344" i="7"/>
  <c r="E1343" i="7"/>
  <c r="B1343" i="7"/>
  <c r="E1342" i="7"/>
  <c r="B1342" i="7"/>
  <c r="F1341" i="7"/>
  <c r="E1341" i="7"/>
  <c r="B1341" i="7"/>
  <c r="C1340" i="7"/>
  <c r="D1340" i="7" s="1"/>
  <c r="B1340" i="7"/>
  <c r="F1339" i="7"/>
  <c r="E1339" i="7"/>
  <c r="B1339" i="7"/>
  <c r="B1338" i="7"/>
  <c r="C1337" i="7"/>
  <c r="D1337" i="7" s="1"/>
  <c r="B1337" i="7"/>
  <c r="E1338" i="7" s="1"/>
  <c r="D1336" i="7"/>
  <c r="C1336" i="7"/>
  <c r="B1336" i="7"/>
  <c r="E1335" i="7"/>
  <c r="B1335" i="7"/>
  <c r="E1334" i="7"/>
  <c r="B1334" i="7"/>
  <c r="B1333" i="7"/>
  <c r="C1332" i="7"/>
  <c r="D1332" i="7" s="1"/>
  <c r="B1332" i="7"/>
  <c r="B1331" i="7"/>
  <c r="B1330" i="7"/>
  <c r="C1329" i="7"/>
  <c r="D1329" i="7" s="1"/>
  <c r="B1329" i="7"/>
  <c r="D1328" i="7"/>
  <c r="C1328" i="7"/>
  <c r="B1328" i="7"/>
  <c r="E1327" i="7"/>
  <c r="B1327" i="7"/>
  <c r="E1326" i="7"/>
  <c r="B1326" i="7"/>
  <c r="B1325" i="7"/>
  <c r="C1324" i="7"/>
  <c r="D1324" i="7" s="1"/>
  <c r="B1324" i="7"/>
  <c r="B1323" i="7"/>
  <c r="B1322" i="7"/>
  <c r="C1321" i="7"/>
  <c r="D1321" i="7" s="1"/>
  <c r="B1321" i="7"/>
  <c r="D1320" i="7"/>
  <c r="C1320" i="7"/>
  <c r="B1320" i="7"/>
  <c r="E1319" i="7"/>
  <c r="B1319" i="7"/>
  <c r="E1318" i="7"/>
  <c r="B1318" i="7"/>
  <c r="B1317" i="7"/>
  <c r="C1316" i="7"/>
  <c r="D1316" i="7" s="1"/>
  <c r="B1316" i="7"/>
  <c r="B1315" i="7"/>
  <c r="B1314" i="7"/>
  <c r="C1313" i="7"/>
  <c r="D1313" i="7" s="1"/>
  <c r="B1313" i="7"/>
  <c r="D1312" i="7"/>
  <c r="C1312" i="7"/>
  <c r="B1312" i="7"/>
  <c r="E1311" i="7"/>
  <c r="B1311" i="7"/>
  <c r="E1310" i="7"/>
  <c r="B1310" i="7"/>
  <c r="E1309" i="7"/>
  <c r="F1309" i="7" s="1"/>
  <c r="B1309" i="7"/>
  <c r="C1308" i="7"/>
  <c r="D1308" i="7" s="1"/>
  <c r="B1308" i="7"/>
  <c r="B1307" i="7"/>
  <c r="B1306" i="7"/>
  <c r="C1305" i="7"/>
  <c r="D1305" i="7" s="1"/>
  <c r="B1305" i="7"/>
  <c r="E1306" i="7" s="1"/>
  <c r="D1304" i="7"/>
  <c r="C1304" i="7"/>
  <c r="B1304" i="7"/>
  <c r="E1303" i="7"/>
  <c r="B1303" i="7"/>
  <c r="E1302" i="7"/>
  <c r="B1302" i="7"/>
  <c r="B1301" i="7"/>
  <c r="C1300" i="7"/>
  <c r="D1300" i="7" s="1"/>
  <c r="B1300" i="7"/>
  <c r="E1299" i="7"/>
  <c r="F1299" i="7" s="1"/>
  <c r="B1299" i="7"/>
  <c r="B1298" i="7"/>
  <c r="F1297" i="7"/>
  <c r="C1297" i="7"/>
  <c r="D1297" i="7" s="1"/>
  <c r="B1297" i="7"/>
  <c r="D1296" i="7"/>
  <c r="C1296" i="7"/>
  <c r="B1296" i="7"/>
  <c r="E1295" i="7"/>
  <c r="B1295" i="7"/>
  <c r="E1294" i="7"/>
  <c r="B1294" i="7"/>
  <c r="E1297" i="7" s="1"/>
  <c r="B1293" i="7"/>
  <c r="C1292" i="7"/>
  <c r="D1292" i="7" s="1"/>
  <c r="B1292" i="7"/>
  <c r="C1293" i="7" s="1"/>
  <c r="D1293" i="7" s="1"/>
  <c r="F1291" i="7"/>
  <c r="E1291" i="7"/>
  <c r="B1291" i="7"/>
  <c r="B1290" i="7"/>
  <c r="F1289" i="7"/>
  <c r="C1289" i="7"/>
  <c r="D1289" i="7" s="1"/>
  <c r="B1289" i="7"/>
  <c r="E1290" i="7" s="1"/>
  <c r="D1288" i="7"/>
  <c r="C1288" i="7"/>
  <c r="B1288" i="7"/>
  <c r="E1287" i="7"/>
  <c r="B1287" i="7"/>
  <c r="E1286" i="7"/>
  <c r="B1286" i="7"/>
  <c r="E1289" i="7" s="1"/>
  <c r="E1285" i="7"/>
  <c r="F1285" i="7" s="1"/>
  <c r="B1285" i="7"/>
  <c r="C1284" i="7"/>
  <c r="D1284" i="7" s="1"/>
  <c r="B1284" i="7"/>
  <c r="C1285" i="7" s="1"/>
  <c r="D1285" i="7" s="1"/>
  <c r="E1283" i="7"/>
  <c r="F1283" i="7" s="1"/>
  <c r="B1283" i="7"/>
  <c r="B1282" i="7"/>
  <c r="F1281" i="7"/>
  <c r="C1281" i="7"/>
  <c r="D1281" i="7" s="1"/>
  <c r="B1281" i="7"/>
  <c r="E1282" i="7" s="1"/>
  <c r="D1280" i="7"/>
  <c r="C1280" i="7"/>
  <c r="B1280" i="7"/>
  <c r="E1279" i="7"/>
  <c r="B1279" i="7"/>
  <c r="E1278" i="7"/>
  <c r="B1278" i="7"/>
  <c r="E1281" i="7" s="1"/>
  <c r="F1277" i="7"/>
  <c r="E1277" i="7"/>
  <c r="D1277" i="7"/>
  <c r="B1277" i="7"/>
  <c r="C1276" i="7"/>
  <c r="D1276" i="7" s="1"/>
  <c r="B1276" i="7"/>
  <c r="C1277" i="7" s="1"/>
  <c r="F1275" i="7"/>
  <c r="E1275" i="7"/>
  <c r="B1275" i="7"/>
  <c r="B1274" i="7"/>
  <c r="F1273" i="7"/>
  <c r="C1273" i="7"/>
  <c r="D1273" i="7" s="1"/>
  <c r="B1273" i="7"/>
  <c r="E1274" i="7" s="1"/>
  <c r="D1272" i="7"/>
  <c r="C1272" i="7"/>
  <c r="B1272" i="7"/>
  <c r="E1271" i="7"/>
  <c r="B1271" i="7"/>
  <c r="E1270" i="7"/>
  <c r="B1270" i="7"/>
  <c r="E1273" i="7" s="1"/>
  <c r="D1269" i="7"/>
  <c r="B1269" i="7"/>
  <c r="E1272" i="7" s="1"/>
  <c r="C1268" i="7"/>
  <c r="D1268" i="7" s="1"/>
  <c r="B1268" i="7"/>
  <c r="C1269" i="7" s="1"/>
  <c r="B1267" i="7"/>
  <c r="B1266" i="7"/>
  <c r="C1265" i="7"/>
  <c r="D1265" i="7" s="1"/>
  <c r="B1265" i="7"/>
  <c r="D1264" i="7"/>
  <c r="C1264" i="7"/>
  <c r="B1264" i="7"/>
  <c r="E1263" i="7"/>
  <c r="B1263" i="7"/>
  <c r="E1262" i="7"/>
  <c r="B1262" i="7"/>
  <c r="E1265" i="7" s="1"/>
  <c r="D1261" i="7"/>
  <c r="B1261" i="7"/>
  <c r="E1264" i="7" s="1"/>
  <c r="C1260" i="7"/>
  <c r="D1260" i="7" s="1"/>
  <c r="B1260" i="7"/>
  <c r="C1261" i="7" s="1"/>
  <c r="B1259" i="7"/>
  <c r="B1258" i="7"/>
  <c r="F1257" i="7"/>
  <c r="C1257" i="7"/>
  <c r="D1257" i="7" s="1"/>
  <c r="B1257" i="7"/>
  <c r="D1256" i="7"/>
  <c r="C1256" i="7"/>
  <c r="B1256" i="7"/>
  <c r="E1255" i="7"/>
  <c r="B1255" i="7"/>
  <c r="E1258" i="7" s="1"/>
  <c r="E1254" i="7"/>
  <c r="B1254" i="7"/>
  <c r="E1257" i="7" s="1"/>
  <c r="B1253" i="7"/>
  <c r="E1256" i="7" s="1"/>
  <c r="C1252" i="7"/>
  <c r="D1252" i="7" s="1"/>
  <c r="B1252" i="7"/>
  <c r="C1253" i="7" s="1"/>
  <c r="D1253" i="7" s="1"/>
  <c r="B1251" i="7"/>
  <c r="B1250" i="7"/>
  <c r="C1249" i="7"/>
  <c r="D1249" i="7" s="1"/>
  <c r="B1249" i="7"/>
  <c r="D1248" i="7"/>
  <c r="C1248" i="7"/>
  <c r="B1248" i="7"/>
  <c r="E1247" i="7"/>
  <c r="B1247" i="7"/>
  <c r="E1246" i="7"/>
  <c r="B1246" i="7"/>
  <c r="E1249" i="7" s="1"/>
  <c r="E1245" i="7"/>
  <c r="F1245" i="7" s="1"/>
  <c r="D1245" i="7"/>
  <c r="B1245" i="7"/>
  <c r="E1248" i="7" s="1"/>
  <c r="C1244" i="7"/>
  <c r="D1244" i="7" s="1"/>
  <c r="B1244" i="7"/>
  <c r="C1245" i="7" s="1"/>
  <c r="B1243" i="7"/>
  <c r="B1242" i="7"/>
  <c r="C1241" i="7"/>
  <c r="D1241" i="7" s="1"/>
  <c r="B1241" i="7"/>
  <c r="D1240" i="7"/>
  <c r="C1240" i="7"/>
  <c r="B1240" i="7"/>
  <c r="E1239" i="7"/>
  <c r="B1239" i="7"/>
  <c r="E1242" i="7" s="1"/>
  <c r="E1238" i="7"/>
  <c r="B1238" i="7"/>
  <c r="E1241" i="7" s="1"/>
  <c r="B1237" i="7"/>
  <c r="E1240" i="7" s="1"/>
  <c r="C1236" i="7"/>
  <c r="D1236" i="7" s="1"/>
  <c r="B1236" i="7"/>
  <c r="C1237" i="7" s="1"/>
  <c r="D1237" i="7" s="1"/>
  <c r="E1235" i="7"/>
  <c r="F1235" i="7" s="1"/>
  <c r="B1235" i="7"/>
  <c r="B1234" i="7"/>
  <c r="C1233" i="7"/>
  <c r="D1233" i="7" s="1"/>
  <c r="B1233" i="7"/>
  <c r="D1232" i="7"/>
  <c r="C1232" i="7"/>
  <c r="B1232" i="7"/>
  <c r="E1231" i="7"/>
  <c r="B1231" i="7"/>
  <c r="E1230" i="7"/>
  <c r="B1230" i="7"/>
  <c r="E1233" i="7" s="1"/>
  <c r="B1229" i="7"/>
  <c r="E1232" i="7" s="1"/>
  <c r="C1228" i="7"/>
  <c r="D1228" i="7" s="1"/>
  <c r="B1228" i="7"/>
  <c r="C1229" i="7" s="1"/>
  <c r="D1229" i="7" s="1"/>
  <c r="F1227" i="7"/>
  <c r="E1227" i="7"/>
  <c r="B1227" i="7"/>
  <c r="B1226" i="7"/>
  <c r="C1225" i="7"/>
  <c r="D1225" i="7" s="1"/>
  <c r="B1225" i="7"/>
  <c r="D1224" i="7"/>
  <c r="C1224" i="7"/>
  <c r="B1224" i="7"/>
  <c r="E1223" i="7"/>
  <c r="B1223" i="7"/>
  <c r="E1226" i="7" s="1"/>
  <c r="E1222" i="7"/>
  <c r="B1222" i="7"/>
  <c r="E1225" i="7" s="1"/>
  <c r="E1221" i="7"/>
  <c r="F1221" i="7" s="1"/>
  <c r="B1221" i="7"/>
  <c r="E1224" i="7" s="1"/>
  <c r="C1220" i="7"/>
  <c r="D1220" i="7" s="1"/>
  <c r="B1220" i="7"/>
  <c r="C1221" i="7" s="1"/>
  <c r="D1221" i="7" s="1"/>
  <c r="E1219" i="7"/>
  <c r="F1219" i="7" s="1"/>
  <c r="B1219" i="7"/>
  <c r="B1218" i="7"/>
  <c r="C1217" i="7"/>
  <c r="D1217" i="7" s="1"/>
  <c r="B1217" i="7"/>
  <c r="D1216" i="7"/>
  <c r="C1216" i="7"/>
  <c r="B1216" i="7"/>
  <c r="B1215" i="7"/>
  <c r="E1218" i="7" s="1"/>
  <c r="B1214" i="7"/>
  <c r="B1213" i="7"/>
  <c r="B1212" i="7"/>
  <c r="B1211" i="7"/>
  <c r="E1210" i="7"/>
  <c r="F1210" i="7" s="1"/>
  <c r="D1210" i="7"/>
  <c r="C1210" i="7"/>
  <c r="B1210" i="7"/>
  <c r="F1262" i="7" s="1"/>
  <c r="C1209" i="7"/>
  <c r="D1209" i="7" s="1"/>
  <c r="B1209" i="7"/>
  <c r="E1208" i="7"/>
  <c r="D1208" i="7"/>
  <c r="B1208" i="7"/>
  <c r="C1207" i="7"/>
  <c r="D1207" i="7" s="1"/>
  <c r="B1207" i="7"/>
  <c r="C1208" i="7" s="1"/>
  <c r="B1206" i="7"/>
  <c r="B1205" i="7"/>
  <c r="C1206" i="7" s="1"/>
  <c r="D1206" i="7" s="1"/>
  <c r="B1204" i="7"/>
  <c r="B1203" i="7"/>
  <c r="B1202" i="7"/>
  <c r="E1201" i="7"/>
  <c r="B1201" i="7"/>
  <c r="C1200" i="7"/>
  <c r="D1200" i="7" s="1"/>
  <c r="B1200" i="7"/>
  <c r="C1199" i="7"/>
  <c r="D1199" i="7" s="1"/>
  <c r="B1199" i="7"/>
  <c r="B1198" i="7"/>
  <c r="B1197" i="7"/>
  <c r="F1249" i="7" s="1"/>
  <c r="B1196" i="7"/>
  <c r="B1195" i="7"/>
  <c r="B1194" i="7"/>
  <c r="E1193" i="7"/>
  <c r="B1193" i="7"/>
  <c r="C1192" i="7"/>
  <c r="D1192" i="7" s="1"/>
  <c r="B1192" i="7"/>
  <c r="C1191" i="7"/>
  <c r="D1191" i="7" s="1"/>
  <c r="B1191" i="7"/>
  <c r="B1190" i="7"/>
  <c r="B1189" i="7"/>
  <c r="B1188" i="7"/>
  <c r="B1187" i="7"/>
  <c r="B1186" i="7"/>
  <c r="E1185" i="7"/>
  <c r="B1185" i="7"/>
  <c r="C1184" i="7"/>
  <c r="D1184" i="7" s="1"/>
  <c r="B1184" i="7"/>
  <c r="C1183" i="7"/>
  <c r="D1183" i="7" s="1"/>
  <c r="B1183" i="7"/>
  <c r="B1182" i="7"/>
  <c r="B1181" i="7"/>
  <c r="B1180" i="7"/>
  <c r="B1179" i="7"/>
  <c r="B1178" i="7"/>
  <c r="E1177" i="7"/>
  <c r="F1177" i="7" s="1"/>
  <c r="B1177" i="7"/>
  <c r="C1176" i="7"/>
  <c r="D1176" i="7" s="1"/>
  <c r="B1176" i="7"/>
  <c r="C1175" i="7"/>
  <c r="D1175" i="7" s="1"/>
  <c r="B1175" i="7"/>
  <c r="B1174" i="7"/>
  <c r="B1173" i="7"/>
  <c r="B1172" i="7"/>
  <c r="B1171" i="7"/>
  <c r="B1170" i="7"/>
  <c r="E1169" i="7"/>
  <c r="B1169" i="7"/>
  <c r="C1168" i="7"/>
  <c r="D1168" i="7" s="1"/>
  <c r="B1168" i="7"/>
  <c r="C1167" i="7"/>
  <c r="D1167" i="7" s="1"/>
  <c r="B1167" i="7"/>
  <c r="B1166" i="7"/>
  <c r="F1218" i="7" s="1"/>
  <c r="B1165" i="7"/>
  <c r="B1164" i="7"/>
  <c r="B1163" i="7"/>
  <c r="B1162" i="7"/>
  <c r="E1161" i="7"/>
  <c r="F1161" i="7" s="1"/>
  <c r="B1161" i="7"/>
  <c r="C1160" i="7"/>
  <c r="D1160" i="7" s="1"/>
  <c r="B1160" i="7"/>
  <c r="C1159" i="7"/>
  <c r="D1159" i="7" s="1"/>
  <c r="B1159" i="7"/>
  <c r="B1158" i="7"/>
  <c r="B1157" i="7"/>
  <c r="B1156" i="7"/>
  <c r="B1155" i="7"/>
  <c r="B1154" i="7"/>
  <c r="E1153" i="7"/>
  <c r="B1153" i="7"/>
  <c r="C1152" i="7"/>
  <c r="D1152" i="7" s="1"/>
  <c r="B1152" i="7"/>
  <c r="C1151" i="7"/>
  <c r="D1151" i="7" s="1"/>
  <c r="B1151" i="7"/>
  <c r="B1150" i="7"/>
  <c r="B1149" i="7"/>
  <c r="F1201" i="7" s="1"/>
  <c r="B1148" i="7"/>
  <c r="B1147" i="7"/>
  <c r="B1146" i="7"/>
  <c r="E1145" i="7"/>
  <c r="F1145" i="7" s="1"/>
  <c r="B1145" i="7"/>
  <c r="C1144" i="7"/>
  <c r="D1144" i="7" s="1"/>
  <c r="B1144" i="7"/>
  <c r="C1145" i="7" s="1"/>
  <c r="D1145" i="7" s="1"/>
  <c r="C1143" i="7"/>
  <c r="D1143" i="7" s="1"/>
  <c r="B1143" i="7"/>
  <c r="B1142" i="7"/>
  <c r="B1141" i="7"/>
  <c r="B1140" i="7"/>
  <c r="B1139" i="7"/>
  <c r="B1138" i="7"/>
  <c r="E1137" i="7"/>
  <c r="B1137" i="7"/>
  <c r="C1136" i="7"/>
  <c r="D1136" i="7" s="1"/>
  <c r="B1136" i="7"/>
  <c r="C1137" i="7" s="1"/>
  <c r="D1137" i="7" s="1"/>
  <c r="C1135" i="7"/>
  <c r="D1135" i="7" s="1"/>
  <c r="B1135" i="7"/>
  <c r="B1134" i="7"/>
  <c r="E1133" i="7"/>
  <c r="C1133" i="7"/>
  <c r="D1133" i="7" s="1"/>
  <c r="B1133" i="7"/>
  <c r="F1132" i="7"/>
  <c r="B1132" i="7"/>
  <c r="E1131" i="7"/>
  <c r="D1131" i="7"/>
  <c r="C1131" i="7"/>
  <c r="B1131" i="7"/>
  <c r="C1130" i="7"/>
  <c r="D1130" i="7" s="1"/>
  <c r="B1130" i="7"/>
  <c r="E1132" i="7" s="1"/>
  <c r="B1129" i="7"/>
  <c r="E1128" i="7"/>
  <c r="C1128" i="7"/>
  <c r="D1128" i="7" s="1"/>
  <c r="B1128" i="7"/>
  <c r="C1129" i="7" s="1"/>
  <c r="D1129" i="7" s="1"/>
  <c r="B1127" i="7"/>
  <c r="D1126" i="7"/>
  <c r="B1126" i="7"/>
  <c r="E1125" i="7"/>
  <c r="B1125" i="7"/>
  <c r="C1126" i="7" s="1"/>
  <c r="F1124" i="7"/>
  <c r="B1124" i="7"/>
  <c r="E1127" i="7" s="1"/>
  <c r="F1123" i="7"/>
  <c r="E1123" i="7"/>
  <c r="B1123" i="7"/>
  <c r="C1122" i="7"/>
  <c r="D1122" i="7" s="1"/>
  <c r="B1122" i="7"/>
  <c r="E1124" i="7" s="1"/>
  <c r="B1121" i="7"/>
  <c r="C1120" i="7"/>
  <c r="D1120" i="7" s="1"/>
  <c r="B1120" i="7"/>
  <c r="C1121" i="7" s="1"/>
  <c r="D1121" i="7" s="1"/>
  <c r="C1119" i="7"/>
  <c r="D1119" i="7" s="1"/>
  <c r="B1119" i="7"/>
  <c r="B1118" i="7"/>
  <c r="E1117" i="7"/>
  <c r="C1117" i="7"/>
  <c r="D1117" i="7" s="1"/>
  <c r="B1117" i="7"/>
  <c r="C1118" i="7" s="1"/>
  <c r="D1118" i="7" s="1"/>
  <c r="F1116" i="7"/>
  <c r="B1116" i="7"/>
  <c r="E1115" i="7"/>
  <c r="D1115" i="7"/>
  <c r="C1115" i="7"/>
  <c r="B1115" i="7"/>
  <c r="C1114" i="7"/>
  <c r="D1114" i="7" s="1"/>
  <c r="B1114" i="7"/>
  <c r="E1116" i="7" s="1"/>
  <c r="B1113" i="7"/>
  <c r="E1112" i="7"/>
  <c r="C1112" i="7"/>
  <c r="D1112" i="7" s="1"/>
  <c r="B1112" i="7"/>
  <c r="C1113" i="7" s="1"/>
  <c r="D1113" i="7" s="1"/>
  <c r="B1111" i="7"/>
  <c r="D1110" i="7"/>
  <c r="B1110" i="7"/>
  <c r="E1109" i="7"/>
  <c r="B1109" i="7"/>
  <c r="C1110" i="7" s="1"/>
  <c r="F1108" i="7"/>
  <c r="B1108" i="7"/>
  <c r="E1111" i="7" s="1"/>
  <c r="F1107" i="7"/>
  <c r="E1107" i="7"/>
  <c r="B1107" i="7"/>
  <c r="C1106" i="7"/>
  <c r="D1106" i="7" s="1"/>
  <c r="B1106" i="7"/>
  <c r="E1108" i="7" s="1"/>
  <c r="B1105" i="7"/>
  <c r="C1104" i="7"/>
  <c r="D1104" i="7" s="1"/>
  <c r="B1104" i="7"/>
  <c r="C1105" i="7" s="1"/>
  <c r="D1105" i="7" s="1"/>
  <c r="C1103" i="7"/>
  <c r="D1103" i="7" s="1"/>
  <c r="B1103" i="7"/>
  <c r="B1102" i="7"/>
  <c r="E1101" i="7"/>
  <c r="C1101" i="7"/>
  <c r="D1101" i="7" s="1"/>
  <c r="B1101" i="7"/>
  <c r="C1102" i="7" s="1"/>
  <c r="D1102" i="7" s="1"/>
  <c r="F1100" i="7"/>
  <c r="B1100" i="7"/>
  <c r="E1099" i="7"/>
  <c r="D1099" i="7"/>
  <c r="C1099" i="7"/>
  <c r="B1099" i="7"/>
  <c r="C1098" i="7"/>
  <c r="D1098" i="7" s="1"/>
  <c r="B1098" i="7"/>
  <c r="E1100" i="7" s="1"/>
  <c r="B1097" i="7"/>
  <c r="E1096" i="7"/>
  <c r="C1096" i="7"/>
  <c r="D1096" i="7" s="1"/>
  <c r="B1096" i="7"/>
  <c r="C1097" i="7" s="1"/>
  <c r="D1097" i="7" s="1"/>
  <c r="B1095" i="7"/>
  <c r="D1094" i="7"/>
  <c r="B1094" i="7"/>
  <c r="E1093" i="7"/>
  <c r="B1093" i="7"/>
  <c r="C1094" i="7" s="1"/>
  <c r="F1092" i="7"/>
  <c r="B1092" i="7"/>
  <c r="E1095" i="7" s="1"/>
  <c r="E1091" i="7"/>
  <c r="F1091" i="7" s="1"/>
  <c r="B1091" i="7"/>
  <c r="C1090" i="7"/>
  <c r="D1090" i="7" s="1"/>
  <c r="B1090" i="7"/>
  <c r="E1092" i="7" s="1"/>
  <c r="E1089" i="7"/>
  <c r="B1089" i="7"/>
  <c r="C1088" i="7"/>
  <c r="D1088" i="7" s="1"/>
  <c r="B1088" i="7"/>
  <c r="C1089" i="7" s="1"/>
  <c r="D1089" i="7" s="1"/>
  <c r="C1087" i="7"/>
  <c r="D1087" i="7" s="1"/>
  <c r="B1087" i="7"/>
  <c r="B1086" i="7"/>
  <c r="B1085" i="7"/>
  <c r="F1084" i="7"/>
  <c r="B1084" i="7"/>
  <c r="E1083" i="7"/>
  <c r="D1083" i="7"/>
  <c r="C1083" i="7"/>
  <c r="B1083" i="7"/>
  <c r="C1082" i="7"/>
  <c r="D1082" i="7" s="1"/>
  <c r="B1082" i="7"/>
  <c r="E1084" i="7" s="1"/>
  <c r="B1081" i="7"/>
  <c r="F1133" i="7" s="1"/>
  <c r="E1080" i="7"/>
  <c r="C1080" i="7"/>
  <c r="D1080" i="7" s="1"/>
  <c r="B1080" i="7"/>
  <c r="C1081" i="7" s="1"/>
  <c r="D1081" i="7" s="1"/>
  <c r="B1079" i="7"/>
  <c r="E1082" i="7" s="1"/>
  <c r="D1078" i="7"/>
  <c r="B1078" i="7"/>
  <c r="E1077" i="7"/>
  <c r="B1077" i="7"/>
  <c r="C1078" i="7" s="1"/>
  <c r="F1076" i="7"/>
  <c r="B1076" i="7"/>
  <c r="E1079" i="7" s="1"/>
  <c r="E1075" i="7"/>
  <c r="F1075" i="7" s="1"/>
  <c r="B1075" i="7"/>
  <c r="C1074" i="7"/>
  <c r="D1074" i="7" s="1"/>
  <c r="B1074" i="7"/>
  <c r="E1076" i="7" s="1"/>
  <c r="E1073" i="7"/>
  <c r="B1073" i="7"/>
  <c r="C1072" i="7"/>
  <c r="D1072" i="7" s="1"/>
  <c r="B1072" i="7"/>
  <c r="C1073" i="7" s="1"/>
  <c r="D1073" i="7" s="1"/>
  <c r="C1071" i="7"/>
  <c r="D1071" i="7" s="1"/>
  <c r="B1071" i="7"/>
  <c r="E1074" i="7" s="1"/>
  <c r="B1070" i="7"/>
  <c r="B1069" i="7"/>
  <c r="F1068" i="7"/>
  <c r="B1068" i="7"/>
  <c r="E1067" i="7"/>
  <c r="D1067" i="7"/>
  <c r="C1067" i="7"/>
  <c r="B1067" i="7"/>
  <c r="C1066" i="7"/>
  <c r="D1066" i="7" s="1"/>
  <c r="B1066" i="7"/>
  <c r="E1068" i="7" s="1"/>
  <c r="B1065" i="7"/>
  <c r="F1117" i="7" s="1"/>
  <c r="E1064" i="7"/>
  <c r="C1064" i="7"/>
  <c r="D1064" i="7" s="1"/>
  <c r="B1064" i="7"/>
  <c r="C1065" i="7" s="1"/>
  <c r="D1065" i="7" s="1"/>
  <c r="B1063" i="7"/>
  <c r="E1066" i="7" s="1"/>
  <c r="D1062" i="7"/>
  <c r="B1062" i="7"/>
  <c r="E1061" i="7"/>
  <c r="B1061" i="7"/>
  <c r="C1062" i="7" s="1"/>
  <c r="F1060" i="7"/>
  <c r="B1060" i="7"/>
  <c r="E1063" i="7" s="1"/>
  <c r="E1059" i="7"/>
  <c r="F1059" i="7" s="1"/>
  <c r="B1059" i="7"/>
  <c r="C1058" i="7"/>
  <c r="D1058" i="7" s="1"/>
  <c r="B1058" i="7"/>
  <c r="E1060" i="7" s="1"/>
  <c r="E1057" i="7"/>
  <c r="B1057" i="7"/>
  <c r="F1109" i="7" s="1"/>
  <c r="C1056" i="7"/>
  <c r="D1056" i="7" s="1"/>
  <c r="B1056" i="7"/>
  <c r="C1057" i="7" s="1"/>
  <c r="D1057" i="7" s="1"/>
  <c r="C1055" i="7"/>
  <c r="D1055" i="7" s="1"/>
  <c r="B1055" i="7"/>
  <c r="E1058" i="7" s="1"/>
  <c r="B1054" i="7"/>
  <c r="B1053" i="7"/>
  <c r="F1052" i="7"/>
  <c r="B1052" i="7"/>
  <c r="E1051" i="7"/>
  <c r="D1051" i="7"/>
  <c r="C1051" i="7"/>
  <c r="B1051" i="7"/>
  <c r="C1050" i="7"/>
  <c r="D1050" i="7" s="1"/>
  <c r="B1050" i="7"/>
  <c r="E1052" i="7" s="1"/>
  <c r="B1049" i="7"/>
  <c r="F1101" i="7" s="1"/>
  <c r="E1048" i="7"/>
  <c r="C1048" i="7"/>
  <c r="D1048" i="7" s="1"/>
  <c r="B1048" i="7"/>
  <c r="C1049" i="7" s="1"/>
  <c r="D1049" i="7" s="1"/>
  <c r="B1047" i="7"/>
  <c r="E1050" i="7" s="1"/>
  <c r="D1046" i="7"/>
  <c r="B1046" i="7"/>
  <c r="E1045" i="7"/>
  <c r="B1045" i="7"/>
  <c r="C1046" i="7" s="1"/>
  <c r="F1044" i="7"/>
  <c r="B1044" i="7"/>
  <c r="E1047" i="7" s="1"/>
  <c r="E1043" i="7"/>
  <c r="F1043" i="7" s="1"/>
  <c r="B1043" i="7"/>
  <c r="C1042" i="7"/>
  <c r="D1042" i="7" s="1"/>
  <c r="B1042" i="7"/>
  <c r="E1044" i="7" s="1"/>
  <c r="E1041" i="7"/>
  <c r="B1041" i="7"/>
  <c r="F1093" i="7" s="1"/>
  <c r="C1040" i="7"/>
  <c r="D1040" i="7" s="1"/>
  <c r="B1040" i="7"/>
  <c r="C1041" i="7" s="1"/>
  <c r="D1041" i="7" s="1"/>
  <c r="C1039" i="7"/>
  <c r="D1039" i="7" s="1"/>
  <c r="B1039" i="7"/>
  <c r="E1042" i="7" s="1"/>
  <c r="B1038" i="7"/>
  <c r="B1037" i="7"/>
  <c r="F1036" i="7"/>
  <c r="B1036" i="7"/>
  <c r="E1035" i="7"/>
  <c r="D1035" i="7"/>
  <c r="C1035" i="7"/>
  <c r="B1035" i="7"/>
  <c r="C1034" i="7"/>
  <c r="D1034" i="7" s="1"/>
  <c r="B1034" i="7"/>
  <c r="E1036" i="7" s="1"/>
  <c r="B1033" i="7"/>
  <c r="E1032" i="7"/>
  <c r="C1032" i="7"/>
  <c r="D1032" i="7" s="1"/>
  <c r="B1032" i="7"/>
  <c r="C1033" i="7" s="1"/>
  <c r="D1033" i="7" s="1"/>
  <c r="B1031" i="7"/>
  <c r="E1034" i="7" s="1"/>
  <c r="D1030" i="7"/>
  <c r="B1030" i="7"/>
  <c r="F1082" i="7" s="1"/>
  <c r="E1029" i="7"/>
  <c r="B1029" i="7"/>
  <c r="C1030" i="7" s="1"/>
  <c r="F1028" i="7"/>
  <c r="B1028" i="7"/>
  <c r="E1031" i="7" s="1"/>
  <c r="E1027" i="7"/>
  <c r="F1027" i="7" s="1"/>
  <c r="B1027" i="7"/>
  <c r="C1026" i="7"/>
  <c r="D1026" i="7" s="1"/>
  <c r="B1026" i="7"/>
  <c r="E1028" i="7" s="1"/>
  <c r="E1025" i="7"/>
  <c r="B1025" i="7"/>
  <c r="F1077" i="7" s="1"/>
  <c r="C1024" i="7"/>
  <c r="D1024" i="7" s="1"/>
  <c r="B1024" i="7"/>
  <c r="C1025" i="7" s="1"/>
  <c r="D1025" i="7" s="1"/>
  <c r="C1023" i="7"/>
  <c r="D1023" i="7" s="1"/>
  <c r="B1023" i="7"/>
  <c r="E1026" i="7" s="1"/>
  <c r="B1022" i="7"/>
  <c r="B1021" i="7"/>
  <c r="F1020" i="7"/>
  <c r="B1020" i="7"/>
  <c r="E1019" i="7"/>
  <c r="D1019" i="7"/>
  <c r="C1019" i="7"/>
  <c r="B1019" i="7"/>
  <c r="C1018" i="7"/>
  <c r="D1018" i="7" s="1"/>
  <c r="B1018" i="7"/>
  <c r="E1020" i="7" s="1"/>
  <c r="B1017" i="7"/>
  <c r="E1016" i="7"/>
  <c r="C1016" i="7"/>
  <c r="D1016" i="7" s="1"/>
  <c r="B1016" i="7"/>
  <c r="C1017" i="7" s="1"/>
  <c r="D1017" i="7" s="1"/>
  <c r="B1015" i="7"/>
  <c r="E1018" i="7" s="1"/>
  <c r="D1014" i="7"/>
  <c r="B1014" i="7"/>
  <c r="F1066" i="7" s="1"/>
  <c r="E1013" i="7"/>
  <c r="B1013" i="7"/>
  <c r="C1014" i="7" s="1"/>
  <c r="F1012" i="7"/>
  <c r="B1012" i="7"/>
  <c r="E1015" i="7" s="1"/>
  <c r="E1011" i="7"/>
  <c r="F1011" i="7" s="1"/>
  <c r="B1011" i="7"/>
  <c r="C1010" i="7"/>
  <c r="D1010" i="7" s="1"/>
  <c r="B1010" i="7"/>
  <c r="E1012" i="7" s="1"/>
  <c r="E1009" i="7"/>
  <c r="B1009" i="7"/>
  <c r="F1061" i="7" s="1"/>
  <c r="C1008" i="7"/>
  <c r="D1008" i="7" s="1"/>
  <c r="B1008" i="7"/>
  <c r="C1009" i="7" s="1"/>
  <c r="D1009" i="7" s="1"/>
  <c r="C1007" i="7"/>
  <c r="D1007" i="7" s="1"/>
  <c r="B1007" i="7"/>
  <c r="E1010" i="7" s="1"/>
  <c r="B1006" i="7"/>
  <c r="B1005" i="7"/>
  <c r="F1004" i="7"/>
  <c r="B1004" i="7"/>
  <c r="E1003" i="7"/>
  <c r="D1003" i="7"/>
  <c r="C1003" i="7"/>
  <c r="B1003" i="7"/>
  <c r="C1002" i="7"/>
  <c r="D1002" i="7" s="1"/>
  <c r="B1002" i="7"/>
  <c r="E1004" i="7" s="1"/>
  <c r="B1001" i="7"/>
  <c r="E1000" i="7"/>
  <c r="C1000" i="7"/>
  <c r="D1000" i="7" s="1"/>
  <c r="B1000" i="7"/>
  <c r="C1001" i="7" s="1"/>
  <c r="D1001" i="7" s="1"/>
  <c r="B999" i="7"/>
  <c r="E1002" i="7" s="1"/>
  <c r="D998" i="7"/>
  <c r="B998" i="7"/>
  <c r="F1050" i="7" s="1"/>
  <c r="E997" i="7"/>
  <c r="B997" i="7"/>
  <c r="C998" i="7" s="1"/>
  <c r="F996" i="7"/>
  <c r="B996" i="7"/>
  <c r="E999" i="7" s="1"/>
  <c r="E995" i="7"/>
  <c r="F995" i="7" s="1"/>
  <c r="B995" i="7"/>
  <c r="C994" i="7"/>
  <c r="D994" i="7" s="1"/>
  <c r="B994" i="7"/>
  <c r="E996" i="7" s="1"/>
  <c r="E993" i="7"/>
  <c r="B993" i="7"/>
  <c r="F1045" i="7" s="1"/>
  <c r="C992" i="7"/>
  <c r="D992" i="7" s="1"/>
  <c r="B992" i="7"/>
  <c r="C993" i="7" s="1"/>
  <c r="D993" i="7" s="1"/>
  <c r="C991" i="7"/>
  <c r="D991" i="7" s="1"/>
  <c r="B991" i="7"/>
  <c r="E994" i="7" s="1"/>
  <c r="B990" i="7"/>
  <c r="B989" i="7"/>
  <c r="F988" i="7"/>
  <c r="B988" i="7"/>
  <c r="E987" i="7"/>
  <c r="D987" i="7"/>
  <c r="C987" i="7"/>
  <c r="B987" i="7"/>
  <c r="C986" i="7"/>
  <c r="D986" i="7" s="1"/>
  <c r="B986" i="7"/>
  <c r="E988" i="7" s="1"/>
  <c r="B985" i="7"/>
  <c r="E984" i="7"/>
  <c r="C984" i="7"/>
  <c r="D984" i="7" s="1"/>
  <c r="B984" i="7"/>
  <c r="C985" i="7" s="1"/>
  <c r="D985" i="7" s="1"/>
  <c r="B983" i="7"/>
  <c r="E986" i="7" s="1"/>
  <c r="D982" i="7"/>
  <c r="B982" i="7"/>
  <c r="F1034" i="7" s="1"/>
  <c r="E981" i="7"/>
  <c r="B981" i="7"/>
  <c r="C982" i="7" s="1"/>
  <c r="F980" i="7"/>
  <c r="B980" i="7"/>
  <c r="E983" i="7" s="1"/>
  <c r="E979" i="7"/>
  <c r="F979" i="7" s="1"/>
  <c r="B979" i="7"/>
  <c r="C978" i="7"/>
  <c r="D978" i="7" s="1"/>
  <c r="B978" i="7"/>
  <c r="E980" i="7" s="1"/>
  <c r="E977" i="7"/>
  <c r="B977" i="7"/>
  <c r="F1029" i="7" s="1"/>
  <c r="C976" i="7"/>
  <c r="D976" i="7" s="1"/>
  <c r="B976" i="7"/>
  <c r="C977" i="7" s="1"/>
  <c r="D977" i="7" s="1"/>
  <c r="C975" i="7"/>
  <c r="D975" i="7" s="1"/>
  <c r="B975" i="7"/>
  <c r="E978" i="7" s="1"/>
  <c r="B974" i="7"/>
  <c r="B973" i="7"/>
  <c r="F972" i="7"/>
  <c r="B972" i="7"/>
  <c r="E971" i="7"/>
  <c r="D971" i="7"/>
  <c r="C971" i="7"/>
  <c r="B971" i="7"/>
  <c r="C970" i="7"/>
  <c r="D970" i="7" s="1"/>
  <c r="B970" i="7"/>
  <c r="E972" i="7" s="1"/>
  <c r="B969" i="7"/>
  <c r="E968" i="7"/>
  <c r="C968" i="7"/>
  <c r="D968" i="7" s="1"/>
  <c r="B968" i="7"/>
  <c r="C969" i="7" s="1"/>
  <c r="D969" i="7" s="1"/>
  <c r="B967" i="7"/>
  <c r="E970" i="7" s="1"/>
  <c r="D966" i="7"/>
  <c r="B966" i="7"/>
  <c r="F1018" i="7" s="1"/>
  <c r="E965" i="7"/>
  <c r="B965" i="7"/>
  <c r="C966" i="7" s="1"/>
  <c r="F964" i="7"/>
  <c r="B964" i="7"/>
  <c r="E967" i="7" s="1"/>
  <c r="E963" i="7"/>
  <c r="F963" i="7" s="1"/>
  <c r="B963" i="7"/>
  <c r="C962" i="7"/>
  <c r="D962" i="7" s="1"/>
  <c r="B962" i="7"/>
  <c r="E964" i="7" s="1"/>
  <c r="E961" i="7"/>
  <c r="B961" i="7"/>
  <c r="F1013" i="7" s="1"/>
  <c r="C960" i="7"/>
  <c r="D960" i="7" s="1"/>
  <c r="B960" i="7"/>
  <c r="C961" i="7" s="1"/>
  <c r="D961" i="7" s="1"/>
  <c r="C959" i="7"/>
  <c r="D959" i="7" s="1"/>
  <c r="B959" i="7"/>
  <c r="E962" i="7" s="1"/>
  <c r="B958" i="7"/>
  <c r="B957" i="7"/>
  <c r="F956" i="7"/>
  <c r="B956" i="7"/>
  <c r="E955" i="7"/>
  <c r="D955" i="7"/>
  <c r="C955" i="7"/>
  <c r="B955" i="7"/>
  <c r="C954" i="7"/>
  <c r="D954" i="7" s="1"/>
  <c r="B954" i="7"/>
  <c r="E956" i="7" s="1"/>
  <c r="B953" i="7"/>
  <c r="E952" i="7"/>
  <c r="D952" i="7"/>
  <c r="C952" i="7"/>
  <c r="B952" i="7"/>
  <c r="C953" i="7" s="1"/>
  <c r="D953" i="7" s="1"/>
  <c r="B951" i="7"/>
  <c r="E954" i="7" s="1"/>
  <c r="D950" i="7"/>
  <c r="B950" i="7"/>
  <c r="F1002" i="7" s="1"/>
  <c r="E949" i="7"/>
  <c r="B949" i="7"/>
  <c r="C950" i="7" s="1"/>
  <c r="F948" i="7"/>
  <c r="B948" i="7"/>
  <c r="E951" i="7" s="1"/>
  <c r="E947" i="7"/>
  <c r="F947" i="7" s="1"/>
  <c r="B947" i="7"/>
  <c r="C946" i="7"/>
  <c r="D946" i="7" s="1"/>
  <c r="B946" i="7"/>
  <c r="E948" i="7" s="1"/>
  <c r="E945" i="7"/>
  <c r="B945" i="7"/>
  <c r="F997" i="7" s="1"/>
  <c r="C944" i="7"/>
  <c r="D944" i="7" s="1"/>
  <c r="B944" i="7"/>
  <c r="C945" i="7" s="1"/>
  <c r="D945" i="7" s="1"/>
  <c r="C943" i="7"/>
  <c r="D943" i="7" s="1"/>
  <c r="B943" i="7"/>
  <c r="E946" i="7" s="1"/>
  <c r="B942" i="7"/>
  <c r="B941" i="7"/>
  <c r="F940" i="7"/>
  <c r="B940" i="7"/>
  <c r="E939" i="7"/>
  <c r="D939" i="7"/>
  <c r="C939" i="7"/>
  <c r="B939" i="7"/>
  <c r="C938" i="7"/>
  <c r="D938" i="7" s="1"/>
  <c r="B938" i="7"/>
  <c r="E940" i="7" s="1"/>
  <c r="B937" i="7"/>
  <c r="E936" i="7"/>
  <c r="C936" i="7"/>
  <c r="D936" i="7" s="1"/>
  <c r="B936" i="7"/>
  <c r="C937" i="7" s="1"/>
  <c r="D937" i="7" s="1"/>
  <c r="B935" i="7"/>
  <c r="E938" i="7" s="1"/>
  <c r="D934" i="7"/>
  <c r="B934" i="7"/>
  <c r="F986" i="7" s="1"/>
  <c r="E933" i="7"/>
  <c r="B933" i="7"/>
  <c r="C934" i="7" s="1"/>
  <c r="F932" i="7"/>
  <c r="B932" i="7"/>
  <c r="E935" i="7" s="1"/>
  <c r="E931" i="7"/>
  <c r="B931" i="7"/>
  <c r="C930" i="7"/>
  <c r="D930" i="7" s="1"/>
  <c r="B930" i="7"/>
  <c r="E932" i="7" s="1"/>
  <c r="E929" i="7"/>
  <c r="F929" i="7" s="1"/>
  <c r="B929" i="7"/>
  <c r="F981" i="7" s="1"/>
  <c r="C928" i="7"/>
  <c r="D928" i="7" s="1"/>
  <c r="B928" i="7"/>
  <c r="C929" i="7" s="1"/>
  <c r="D929" i="7" s="1"/>
  <c r="C927" i="7"/>
  <c r="D927" i="7" s="1"/>
  <c r="B927" i="7"/>
  <c r="E930" i="7" s="1"/>
  <c r="B926" i="7"/>
  <c r="B925" i="7"/>
  <c r="F924" i="7"/>
  <c r="B924" i="7"/>
  <c r="E923" i="7"/>
  <c r="D923" i="7"/>
  <c r="C923" i="7"/>
  <c r="B923" i="7"/>
  <c r="C922" i="7"/>
  <c r="D922" i="7" s="1"/>
  <c r="B922" i="7"/>
  <c r="E924" i="7" s="1"/>
  <c r="B921" i="7"/>
  <c r="E920" i="7"/>
  <c r="D920" i="7"/>
  <c r="C920" i="7"/>
  <c r="B920" i="7"/>
  <c r="C921" i="7" s="1"/>
  <c r="D921" i="7" s="1"/>
  <c r="B919" i="7"/>
  <c r="E922" i="7" s="1"/>
  <c r="D918" i="7"/>
  <c r="B918" i="7"/>
  <c r="F970" i="7" s="1"/>
  <c r="E917" i="7"/>
  <c r="B917" i="7"/>
  <c r="C918" i="7" s="1"/>
  <c r="F916" i="7"/>
  <c r="B916" i="7"/>
  <c r="E919" i="7" s="1"/>
  <c r="E915" i="7"/>
  <c r="B915" i="7"/>
  <c r="C914" i="7"/>
  <c r="D914" i="7" s="1"/>
  <c r="B914" i="7"/>
  <c r="E916" i="7" s="1"/>
  <c r="E913" i="7"/>
  <c r="F913" i="7" s="1"/>
  <c r="B913" i="7"/>
  <c r="F965" i="7" s="1"/>
  <c r="C912" i="7"/>
  <c r="D912" i="7" s="1"/>
  <c r="B912" i="7"/>
  <c r="C913" i="7" s="1"/>
  <c r="D913" i="7" s="1"/>
  <c r="C911" i="7"/>
  <c r="D911" i="7" s="1"/>
  <c r="B911" i="7"/>
  <c r="E914" i="7" s="1"/>
  <c r="B910" i="7"/>
  <c r="B909" i="7"/>
  <c r="F908" i="7"/>
  <c r="B908" i="7"/>
  <c r="E907" i="7"/>
  <c r="C907" i="7"/>
  <c r="D907" i="7" s="1"/>
  <c r="B907" i="7"/>
  <c r="B906" i="7"/>
  <c r="E908" i="7" s="1"/>
  <c r="C905" i="7"/>
  <c r="D905" i="7" s="1"/>
  <c r="B905" i="7"/>
  <c r="C904" i="7"/>
  <c r="D904" i="7" s="1"/>
  <c r="B904" i="7"/>
  <c r="C903" i="7"/>
  <c r="D903" i="7" s="1"/>
  <c r="B903" i="7"/>
  <c r="F955" i="7" s="1"/>
  <c r="B902" i="7"/>
  <c r="B901" i="7"/>
  <c r="B900" i="7"/>
  <c r="E899" i="7"/>
  <c r="B899" i="7"/>
  <c r="B898" i="7"/>
  <c r="C899" i="7" s="1"/>
  <c r="D899" i="7" s="1"/>
  <c r="C897" i="7"/>
  <c r="D897" i="7" s="1"/>
  <c r="B897" i="7"/>
  <c r="F949" i="7" s="1"/>
  <c r="E896" i="7"/>
  <c r="C896" i="7"/>
  <c r="D896" i="7" s="1"/>
  <c r="B896" i="7"/>
  <c r="C895" i="7"/>
  <c r="D895" i="7" s="1"/>
  <c r="B895" i="7"/>
  <c r="F894" i="7"/>
  <c r="E894" i="7"/>
  <c r="B894" i="7"/>
  <c r="B893" i="7"/>
  <c r="F892" i="7"/>
  <c r="E892" i="7"/>
  <c r="B892" i="7"/>
  <c r="E891" i="7"/>
  <c r="C891" i="7"/>
  <c r="D891" i="7" s="1"/>
  <c r="B891" i="7"/>
  <c r="B890" i="7"/>
  <c r="C890" i="7" s="1"/>
  <c r="D890" i="7" s="1"/>
  <c r="C889" i="7"/>
  <c r="D889" i="7" s="1"/>
  <c r="B889" i="7"/>
  <c r="C888" i="7"/>
  <c r="D888" i="7" s="1"/>
  <c r="B888" i="7"/>
  <c r="C887" i="7"/>
  <c r="D887" i="7" s="1"/>
  <c r="B887" i="7"/>
  <c r="F939" i="7" s="1"/>
  <c r="B886" i="7"/>
  <c r="E885" i="7"/>
  <c r="B885" i="7"/>
  <c r="C884" i="7"/>
  <c r="D884" i="7" s="1"/>
  <c r="B884" i="7"/>
  <c r="B883" i="7"/>
  <c r="E882" i="7"/>
  <c r="B882" i="7"/>
  <c r="B881" i="7"/>
  <c r="B880" i="7"/>
  <c r="E883" i="7" s="1"/>
  <c r="B879" i="7"/>
  <c r="C880" i="7" s="1"/>
  <c r="D880" i="7" s="1"/>
  <c r="C878" i="7"/>
  <c r="D878" i="7" s="1"/>
  <c r="B878" i="7"/>
  <c r="E877" i="7"/>
  <c r="F877" i="7" s="1"/>
  <c r="B877" i="7"/>
  <c r="C876" i="7"/>
  <c r="D876" i="7" s="1"/>
  <c r="B876" i="7"/>
  <c r="B875" i="7"/>
  <c r="E874" i="7"/>
  <c r="B874" i="7"/>
  <c r="B873" i="7"/>
  <c r="B872" i="7"/>
  <c r="E875" i="7" s="1"/>
  <c r="F875" i="7" s="1"/>
  <c r="B871" i="7"/>
  <c r="E872" i="7" s="1"/>
  <c r="F872" i="7" s="1"/>
  <c r="C870" i="7"/>
  <c r="D870" i="7" s="1"/>
  <c r="B870" i="7"/>
  <c r="F922" i="7" s="1"/>
  <c r="E869" i="7"/>
  <c r="F869" i="7" s="1"/>
  <c r="B869" i="7"/>
  <c r="C868" i="7"/>
  <c r="D868" i="7" s="1"/>
  <c r="B868" i="7"/>
  <c r="B867" i="7"/>
  <c r="E866" i="7"/>
  <c r="B866" i="7"/>
  <c r="B865" i="7"/>
  <c r="B864" i="7"/>
  <c r="E867" i="7" s="1"/>
  <c r="B863" i="7"/>
  <c r="C864" i="7" s="1"/>
  <c r="D864" i="7" s="1"/>
  <c r="C862" i="7"/>
  <c r="D862" i="7" s="1"/>
  <c r="B862" i="7"/>
  <c r="E861" i="7"/>
  <c r="F861" i="7" s="1"/>
  <c r="B861" i="7"/>
  <c r="C860" i="7"/>
  <c r="D860" i="7" s="1"/>
  <c r="B860" i="7"/>
  <c r="B859" i="7"/>
  <c r="B858" i="7"/>
  <c r="B857" i="7"/>
  <c r="B856" i="7"/>
  <c r="E859" i="7" s="1"/>
  <c r="B855" i="7"/>
  <c r="E858" i="7" s="1"/>
  <c r="C854" i="7"/>
  <c r="D854" i="7" s="1"/>
  <c r="B854" i="7"/>
  <c r="E853" i="7"/>
  <c r="F853" i="7" s="1"/>
  <c r="B853" i="7"/>
  <c r="C852" i="7"/>
  <c r="D852" i="7" s="1"/>
  <c r="B852" i="7"/>
  <c r="B851" i="7"/>
  <c r="E850" i="7"/>
  <c r="B850" i="7"/>
  <c r="B849" i="7"/>
  <c r="B848" i="7"/>
  <c r="E851" i="7" s="1"/>
  <c r="B847" i="7"/>
  <c r="C846" i="7"/>
  <c r="D846" i="7" s="1"/>
  <c r="B846" i="7"/>
  <c r="E849" i="7" s="1"/>
  <c r="E845" i="7"/>
  <c r="F845" i="7" s="1"/>
  <c r="B845" i="7"/>
  <c r="C844" i="7"/>
  <c r="D844" i="7" s="1"/>
  <c r="B844" i="7"/>
  <c r="B843" i="7"/>
  <c r="E842" i="7"/>
  <c r="B842" i="7"/>
  <c r="B841" i="7"/>
  <c r="B840" i="7"/>
  <c r="B839" i="7"/>
  <c r="C838" i="7"/>
  <c r="D838" i="7" s="1"/>
  <c r="B838" i="7"/>
  <c r="B837" i="7"/>
  <c r="B836" i="7"/>
  <c r="B835" i="7"/>
  <c r="E837" i="7" s="1"/>
  <c r="F837" i="7" s="1"/>
  <c r="B834" i="7"/>
  <c r="B833" i="7"/>
  <c r="B832" i="7"/>
  <c r="B831" i="7"/>
  <c r="E834" i="7" s="1"/>
  <c r="C830" i="7"/>
  <c r="D830" i="7" s="1"/>
  <c r="B830" i="7"/>
  <c r="E829" i="7"/>
  <c r="F829" i="7" s="1"/>
  <c r="B829" i="7"/>
  <c r="B828" i="7"/>
  <c r="B827" i="7"/>
  <c r="E826" i="7"/>
  <c r="B826" i="7"/>
  <c r="D825" i="7"/>
  <c r="B825" i="7"/>
  <c r="C825" i="7" s="1"/>
  <c r="B824" i="7"/>
  <c r="E827" i="7" s="1"/>
  <c r="F827" i="7" s="1"/>
  <c r="B823" i="7"/>
  <c r="C822" i="7"/>
  <c r="D822" i="7" s="1"/>
  <c r="B822" i="7"/>
  <c r="E825" i="7" s="1"/>
  <c r="B821" i="7"/>
  <c r="B820" i="7"/>
  <c r="B819" i="7"/>
  <c r="B818" i="7"/>
  <c r="D817" i="7"/>
  <c r="B817" i="7"/>
  <c r="C817" i="7" s="1"/>
  <c r="E816" i="7"/>
  <c r="F816" i="7" s="1"/>
  <c r="B816" i="7"/>
  <c r="B815" i="7"/>
  <c r="E818" i="7" s="1"/>
  <c r="C814" i="7"/>
  <c r="D814" i="7" s="1"/>
  <c r="B814" i="7"/>
  <c r="B813" i="7"/>
  <c r="C812" i="7"/>
  <c r="D812" i="7" s="1"/>
  <c r="B812" i="7"/>
  <c r="B811" i="7"/>
  <c r="B810" i="7"/>
  <c r="D809" i="7"/>
  <c r="B809" i="7"/>
  <c r="C809" i="7" s="1"/>
  <c r="B808" i="7"/>
  <c r="E811" i="7" s="1"/>
  <c r="F811" i="7" s="1"/>
  <c r="B807" i="7"/>
  <c r="E810" i="7" s="1"/>
  <c r="C806" i="7"/>
  <c r="D806" i="7" s="1"/>
  <c r="B806" i="7"/>
  <c r="B805" i="7"/>
  <c r="B804" i="7"/>
  <c r="B803" i="7"/>
  <c r="B802" i="7"/>
  <c r="D801" i="7"/>
  <c r="B801" i="7"/>
  <c r="C801" i="7" s="1"/>
  <c r="E800" i="7"/>
  <c r="F800" i="7" s="1"/>
  <c r="B800" i="7"/>
  <c r="E803" i="7" s="1"/>
  <c r="B799" i="7"/>
  <c r="C798" i="7"/>
  <c r="D798" i="7" s="1"/>
  <c r="B798" i="7"/>
  <c r="E797" i="7"/>
  <c r="F797" i="7" s="1"/>
  <c r="B797" i="7"/>
  <c r="C796" i="7"/>
  <c r="D796" i="7" s="1"/>
  <c r="B796" i="7"/>
  <c r="B795" i="7"/>
  <c r="E794" i="7"/>
  <c r="B794" i="7"/>
  <c r="D793" i="7"/>
  <c r="B793" i="7"/>
  <c r="C793" i="7" s="1"/>
  <c r="F792" i="7"/>
  <c r="E792" i="7"/>
  <c r="B792" i="7"/>
  <c r="E795" i="7" s="1"/>
  <c r="B791" i="7"/>
  <c r="C790" i="7"/>
  <c r="D790" i="7" s="1"/>
  <c r="B790" i="7"/>
  <c r="E793" i="7" s="1"/>
  <c r="F789" i="7"/>
  <c r="E789" i="7"/>
  <c r="B789" i="7"/>
  <c r="C788" i="7"/>
  <c r="D788" i="7" s="1"/>
  <c r="B788" i="7"/>
  <c r="B787" i="7"/>
  <c r="E786" i="7"/>
  <c r="B786" i="7"/>
  <c r="D785" i="7"/>
  <c r="B785" i="7"/>
  <c r="C785" i="7" s="1"/>
  <c r="F784" i="7"/>
  <c r="E784" i="7"/>
  <c r="B784" i="7"/>
  <c r="B783" i="7"/>
  <c r="C782" i="7"/>
  <c r="D782" i="7" s="1"/>
  <c r="B782" i="7"/>
  <c r="E785" i="7" s="1"/>
  <c r="E781" i="7"/>
  <c r="F781" i="7" s="1"/>
  <c r="B781" i="7"/>
  <c r="C780" i="7"/>
  <c r="D780" i="7" s="1"/>
  <c r="B780" i="7"/>
  <c r="B779" i="7"/>
  <c r="E778" i="7"/>
  <c r="B778" i="7"/>
  <c r="D777" i="7"/>
  <c r="B777" i="7"/>
  <c r="C777" i="7" s="1"/>
  <c r="B776" i="7"/>
  <c r="B775" i="7"/>
  <c r="C774" i="7"/>
  <c r="D774" i="7" s="1"/>
  <c r="B774" i="7"/>
  <c r="E777" i="7" s="1"/>
  <c r="B773" i="7"/>
  <c r="B772" i="7"/>
  <c r="B771" i="7"/>
  <c r="E773" i="7" s="1"/>
  <c r="F773" i="7" s="1"/>
  <c r="B770" i="7"/>
  <c r="D769" i="7"/>
  <c r="B769" i="7"/>
  <c r="C769" i="7" s="1"/>
  <c r="B768" i="7"/>
  <c r="B767" i="7"/>
  <c r="C766" i="7"/>
  <c r="D766" i="7" s="1"/>
  <c r="B766" i="7"/>
  <c r="F765" i="7"/>
  <c r="E765" i="7"/>
  <c r="B765" i="7"/>
  <c r="B764" i="7"/>
  <c r="B763" i="7"/>
  <c r="E762" i="7"/>
  <c r="B762" i="7"/>
  <c r="D761" i="7"/>
  <c r="B761" i="7"/>
  <c r="C761" i="7" s="1"/>
  <c r="B760" i="7"/>
  <c r="E763" i="7" s="1"/>
  <c r="F763" i="7" s="1"/>
  <c r="B759" i="7"/>
  <c r="C758" i="7"/>
  <c r="D758" i="7" s="1"/>
  <c r="B758" i="7"/>
  <c r="E761" i="7" s="1"/>
  <c r="B757" i="7"/>
  <c r="B756" i="7"/>
  <c r="B755" i="7"/>
  <c r="B754" i="7"/>
  <c r="D753" i="7"/>
  <c r="B753" i="7"/>
  <c r="C753" i="7" s="1"/>
  <c r="E752" i="7"/>
  <c r="F752" i="7" s="1"/>
  <c r="B752" i="7"/>
  <c r="B751" i="7"/>
  <c r="F803" i="7" s="1"/>
  <c r="C750" i="7"/>
  <c r="D750" i="7" s="1"/>
  <c r="B750" i="7"/>
  <c r="B749" i="7"/>
  <c r="C748" i="7"/>
  <c r="D748" i="7" s="1"/>
  <c r="B748" i="7"/>
  <c r="B747" i="7"/>
  <c r="B746" i="7"/>
  <c r="D745" i="7"/>
  <c r="B745" i="7"/>
  <c r="C745" i="7" s="1"/>
  <c r="B744" i="7"/>
  <c r="E747" i="7" s="1"/>
  <c r="F747" i="7" s="1"/>
  <c r="B743" i="7"/>
  <c r="F795" i="7" s="1"/>
  <c r="C742" i="7"/>
  <c r="D742" i="7" s="1"/>
  <c r="B742" i="7"/>
  <c r="B741" i="7"/>
  <c r="B740" i="7"/>
  <c r="B739" i="7"/>
  <c r="B738" i="7"/>
  <c r="D737" i="7"/>
  <c r="B737" i="7"/>
  <c r="C737" i="7" s="1"/>
  <c r="E736" i="7"/>
  <c r="F736" i="7" s="1"/>
  <c r="B736" i="7"/>
  <c r="E739" i="7" s="1"/>
  <c r="B735" i="7"/>
  <c r="C734" i="7"/>
  <c r="D734" i="7" s="1"/>
  <c r="B734" i="7"/>
  <c r="E733" i="7"/>
  <c r="F733" i="7" s="1"/>
  <c r="B733" i="7"/>
  <c r="C732" i="7"/>
  <c r="D732" i="7" s="1"/>
  <c r="B732" i="7"/>
  <c r="B731" i="7"/>
  <c r="E730" i="7"/>
  <c r="B730" i="7"/>
  <c r="D729" i="7"/>
  <c r="B729" i="7"/>
  <c r="C729" i="7" s="1"/>
  <c r="F728" i="7"/>
  <c r="E728" i="7"/>
  <c r="B728" i="7"/>
  <c r="E731" i="7" s="1"/>
  <c r="B727" i="7"/>
  <c r="C726" i="7"/>
  <c r="D726" i="7" s="1"/>
  <c r="B726" i="7"/>
  <c r="E729" i="7" s="1"/>
  <c r="F725" i="7"/>
  <c r="E725" i="7"/>
  <c r="B725" i="7"/>
  <c r="C724" i="7"/>
  <c r="D724" i="7" s="1"/>
  <c r="B724" i="7"/>
  <c r="B723" i="7"/>
  <c r="E722" i="7"/>
  <c r="B722" i="7"/>
  <c r="D721" i="7"/>
  <c r="B721" i="7"/>
  <c r="C721" i="7" s="1"/>
  <c r="F720" i="7"/>
  <c r="E720" i="7"/>
  <c r="B720" i="7"/>
  <c r="B719" i="7"/>
  <c r="C718" i="7"/>
  <c r="D718" i="7" s="1"/>
  <c r="B718" i="7"/>
  <c r="E721" i="7" s="1"/>
  <c r="E717" i="7"/>
  <c r="F717" i="7" s="1"/>
  <c r="B717" i="7"/>
  <c r="C716" i="7"/>
  <c r="D716" i="7" s="1"/>
  <c r="B716" i="7"/>
  <c r="B715" i="7"/>
  <c r="E714" i="7"/>
  <c r="B714" i="7"/>
  <c r="D713" i="7"/>
  <c r="B713" i="7"/>
  <c r="C713" i="7" s="1"/>
  <c r="B712" i="7"/>
  <c r="B711" i="7"/>
  <c r="C710" i="7"/>
  <c r="D710" i="7" s="1"/>
  <c r="B710" i="7"/>
  <c r="E713" i="7" s="1"/>
  <c r="B709" i="7"/>
  <c r="B708" i="7"/>
  <c r="B707" i="7"/>
  <c r="E709" i="7" s="1"/>
  <c r="F709" i="7" s="1"/>
  <c r="B706" i="7"/>
  <c r="D705" i="7"/>
  <c r="B705" i="7"/>
  <c r="C705" i="7" s="1"/>
  <c r="B704" i="7"/>
  <c r="B703" i="7"/>
  <c r="C702" i="7"/>
  <c r="D702" i="7" s="1"/>
  <c r="B702" i="7"/>
  <c r="F701" i="7"/>
  <c r="E701" i="7"/>
  <c r="B701" i="7"/>
  <c r="B700" i="7"/>
  <c r="B699" i="7"/>
  <c r="E698" i="7"/>
  <c r="B698" i="7"/>
  <c r="D697" i="7"/>
  <c r="B697" i="7"/>
  <c r="C697" i="7" s="1"/>
  <c r="B696" i="7"/>
  <c r="E699" i="7" s="1"/>
  <c r="F699" i="7" s="1"/>
  <c r="B695" i="7"/>
  <c r="C694" i="7"/>
  <c r="D694" i="7" s="1"/>
  <c r="B694" i="7"/>
  <c r="E697" i="7" s="1"/>
  <c r="B693" i="7"/>
  <c r="B692" i="7"/>
  <c r="B691" i="7"/>
  <c r="B690" i="7"/>
  <c r="D689" i="7"/>
  <c r="B689" i="7"/>
  <c r="C689" i="7" s="1"/>
  <c r="B688" i="7"/>
  <c r="B687" i="7"/>
  <c r="F739" i="7" s="1"/>
  <c r="C686" i="7"/>
  <c r="D686" i="7" s="1"/>
  <c r="B686" i="7"/>
  <c r="B685" i="7"/>
  <c r="C684" i="7"/>
  <c r="D684" i="7" s="1"/>
  <c r="B684" i="7"/>
  <c r="B683" i="7"/>
  <c r="B682" i="7"/>
  <c r="D681" i="7"/>
  <c r="B681" i="7"/>
  <c r="C681" i="7" s="1"/>
  <c r="B680" i="7"/>
  <c r="E683" i="7" s="1"/>
  <c r="F683" i="7" s="1"/>
  <c r="B679" i="7"/>
  <c r="F731" i="7" s="1"/>
  <c r="C678" i="7"/>
  <c r="D678" i="7" s="1"/>
  <c r="B678" i="7"/>
  <c r="B677" i="7"/>
  <c r="B676" i="7"/>
  <c r="B675" i="7"/>
  <c r="B674" i="7"/>
  <c r="D673" i="7"/>
  <c r="B673" i="7"/>
  <c r="C673" i="7" s="1"/>
  <c r="E672" i="7"/>
  <c r="F672" i="7" s="1"/>
  <c r="B672" i="7"/>
  <c r="E675" i="7" s="1"/>
  <c r="B671" i="7"/>
  <c r="C670" i="7"/>
  <c r="D670" i="7" s="1"/>
  <c r="B670" i="7"/>
  <c r="E669" i="7"/>
  <c r="F669" i="7" s="1"/>
  <c r="B669" i="7"/>
  <c r="C668" i="7"/>
  <c r="D668" i="7" s="1"/>
  <c r="B668" i="7"/>
  <c r="B667" i="7"/>
  <c r="E666" i="7"/>
  <c r="B666" i="7"/>
  <c r="D665" i="7"/>
  <c r="B665" i="7"/>
  <c r="C665" i="7" s="1"/>
  <c r="F664" i="7"/>
  <c r="E664" i="7"/>
  <c r="B664" i="7"/>
  <c r="E667" i="7" s="1"/>
  <c r="B663" i="7"/>
  <c r="C662" i="7"/>
  <c r="D662" i="7" s="1"/>
  <c r="B662" i="7"/>
  <c r="E665" i="7" s="1"/>
  <c r="F661" i="7"/>
  <c r="E661" i="7"/>
  <c r="B661" i="7"/>
  <c r="C660" i="7"/>
  <c r="D660" i="7" s="1"/>
  <c r="B660" i="7"/>
  <c r="B659" i="7"/>
  <c r="E658" i="7"/>
  <c r="B658" i="7"/>
  <c r="D657" i="7"/>
  <c r="B657" i="7"/>
  <c r="C657" i="7" s="1"/>
  <c r="F656" i="7"/>
  <c r="E656" i="7"/>
  <c r="B656" i="7"/>
  <c r="B655" i="7"/>
  <c r="C654" i="7"/>
  <c r="D654" i="7" s="1"/>
  <c r="B654" i="7"/>
  <c r="E657" i="7" s="1"/>
  <c r="E653" i="7"/>
  <c r="F653" i="7" s="1"/>
  <c r="B653" i="7"/>
  <c r="C652" i="7"/>
  <c r="D652" i="7" s="1"/>
  <c r="B652" i="7"/>
  <c r="B651" i="7"/>
  <c r="E650" i="7"/>
  <c r="B650" i="7"/>
  <c r="D649" i="7"/>
  <c r="B649" i="7"/>
  <c r="C649" i="7" s="1"/>
  <c r="B648" i="7"/>
  <c r="B647" i="7"/>
  <c r="C646" i="7"/>
  <c r="D646" i="7" s="1"/>
  <c r="B646" i="7"/>
  <c r="E649" i="7" s="1"/>
  <c r="B645" i="7"/>
  <c r="B644" i="7"/>
  <c r="B643" i="7"/>
  <c r="E645" i="7" s="1"/>
  <c r="F645" i="7" s="1"/>
  <c r="B642" i="7"/>
  <c r="D641" i="7"/>
  <c r="B641" i="7"/>
  <c r="C641" i="7" s="1"/>
  <c r="B640" i="7"/>
  <c r="B639" i="7"/>
  <c r="C638" i="7"/>
  <c r="D638" i="7" s="1"/>
  <c r="B638" i="7"/>
  <c r="F637" i="7"/>
  <c r="E637" i="7"/>
  <c r="B637" i="7"/>
  <c r="B636" i="7"/>
  <c r="B635" i="7"/>
  <c r="E634" i="7"/>
  <c r="B634" i="7"/>
  <c r="D633" i="7"/>
  <c r="B633" i="7"/>
  <c r="C633" i="7" s="1"/>
  <c r="B632" i="7"/>
  <c r="E635" i="7" s="1"/>
  <c r="F635" i="7" s="1"/>
  <c r="B631" i="7"/>
  <c r="C630" i="7"/>
  <c r="D630" i="7" s="1"/>
  <c r="B630" i="7"/>
  <c r="E633" i="7" s="1"/>
  <c r="B629" i="7"/>
  <c r="B628" i="7"/>
  <c r="B627" i="7"/>
  <c r="B626" i="7"/>
  <c r="D625" i="7"/>
  <c r="B625" i="7"/>
  <c r="C625" i="7" s="1"/>
  <c r="B624" i="7"/>
  <c r="B623" i="7"/>
  <c r="F675" i="7" s="1"/>
  <c r="C622" i="7"/>
  <c r="D622" i="7" s="1"/>
  <c r="B622" i="7"/>
  <c r="B621" i="7"/>
  <c r="C620" i="7"/>
  <c r="D620" i="7" s="1"/>
  <c r="B620" i="7"/>
  <c r="B619" i="7"/>
  <c r="B618" i="7"/>
  <c r="D617" i="7"/>
  <c r="B617" i="7"/>
  <c r="C617" i="7" s="1"/>
  <c r="B616" i="7"/>
  <c r="E619" i="7" s="1"/>
  <c r="F619" i="7" s="1"/>
  <c r="B615" i="7"/>
  <c r="F667" i="7" s="1"/>
  <c r="C614" i="7"/>
  <c r="D614" i="7" s="1"/>
  <c r="B614" i="7"/>
  <c r="B613" i="7"/>
  <c r="B612" i="7"/>
  <c r="B611" i="7"/>
  <c r="B610" i="7"/>
  <c r="D609" i="7"/>
  <c r="B609" i="7"/>
  <c r="C609" i="7" s="1"/>
  <c r="E608" i="7"/>
  <c r="F608" i="7" s="1"/>
  <c r="B608" i="7"/>
  <c r="E611" i="7" s="1"/>
  <c r="B607" i="7"/>
  <c r="C606" i="7"/>
  <c r="D606" i="7" s="1"/>
  <c r="B606" i="7"/>
  <c r="E605" i="7"/>
  <c r="F605" i="7" s="1"/>
  <c r="B605" i="7"/>
  <c r="C604" i="7"/>
  <c r="D604" i="7" s="1"/>
  <c r="B604" i="7"/>
  <c r="B603" i="7"/>
  <c r="E602" i="7"/>
  <c r="B602" i="7"/>
  <c r="D601" i="7"/>
  <c r="B601" i="7"/>
  <c r="C601" i="7" s="1"/>
  <c r="F600" i="7"/>
  <c r="E600" i="7"/>
  <c r="B600" i="7"/>
  <c r="E603" i="7" s="1"/>
  <c r="B599" i="7"/>
  <c r="C598" i="7"/>
  <c r="D598" i="7" s="1"/>
  <c r="B598" i="7"/>
  <c r="E601" i="7" s="1"/>
  <c r="F597" i="7"/>
  <c r="E597" i="7"/>
  <c r="B597" i="7"/>
  <c r="C596" i="7"/>
  <c r="D596" i="7" s="1"/>
  <c r="B596" i="7"/>
  <c r="B595" i="7"/>
  <c r="E594" i="7"/>
  <c r="B594" i="7"/>
  <c r="D593" i="7"/>
  <c r="B593" i="7"/>
  <c r="C593" i="7" s="1"/>
  <c r="F592" i="7"/>
  <c r="E592" i="7"/>
  <c r="B592" i="7"/>
  <c r="B591" i="7"/>
  <c r="C590" i="7"/>
  <c r="D590" i="7" s="1"/>
  <c r="B590" i="7"/>
  <c r="E593" i="7" s="1"/>
  <c r="E589" i="7"/>
  <c r="F589" i="7" s="1"/>
  <c r="B589" i="7"/>
  <c r="C588" i="7"/>
  <c r="D588" i="7" s="1"/>
  <c r="B588" i="7"/>
  <c r="B587" i="7"/>
  <c r="E586" i="7"/>
  <c r="B586" i="7"/>
  <c r="D585" i="7"/>
  <c r="B585" i="7"/>
  <c r="C585" i="7" s="1"/>
  <c r="B584" i="7"/>
  <c r="B583" i="7"/>
  <c r="C582" i="7"/>
  <c r="D582" i="7" s="1"/>
  <c r="B582" i="7"/>
  <c r="B581" i="7"/>
  <c r="B580" i="7"/>
  <c r="B579" i="7"/>
  <c r="E581" i="7" s="1"/>
  <c r="F581" i="7" s="1"/>
  <c r="B578" i="7"/>
  <c r="D577" i="7"/>
  <c r="B577" i="7"/>
  <c r="C577" i="7" s="1"/>
  <c r="B576" i="7"/>
  <c r="B575" i="7"/>
  <c r="C574" i="7"/>
  <c r="D574" i="7" s="1"/>
  <c r="B574" i="7"/>
  <c r="F573" i="7"/>
  <c r="E573" i="7"/>
  <c r="B573" i="7"/>
  <c r="B572" i="7"/>
  <c r="B571" i="7"/>
  <c r="E570" i="7"/>
  <c r="B570" i="7"/>
  <c r="D569" i="7"/>
  <c r="B569" i="7"/>
  <c r="C569" i="7" s="1"/>
  <c r="B568" i="7"/>
  <c r="E571" i="7" s="1"/>
  <c r="F571" i="7" s="1"/>
  <c r="B567" i="7"/>
  <c r="C566" i="7"/>
  <c r="D566" i="7" s="1"/>
  <c r="B566" i="7"/>
  <c r="E569" i="7" s="1"/>
  <c r="B565" i="7"/>
  <c r="B564" i="7"/>
  <c r="B563" i="7"/>
  <c r="B562" i="7"/>
  <c r="D561" i="7"/>
  <c r="B561" i="7"/>
  <c r="C561" i="7" s="1"/>
  <c r="E560" i="7"/>
  <c r="F560" i="7" s="1"/>
  <c r="B560" i="7"/>
  <c r="B559" i="7"/>
  <c r="F611" i="7" s="1"/>
  <c r="C558" i="7"/>
  <c r="D558" i="7" s="1"/>
  <c r="B558" i="7"/>
  <c r="B557" i="7"/>
  <c r="C556" i="7"/>
  <c r="D556" i="7" s="1"/>
  <c r="B556" i="7"/>
  <c r="B555" i="7"/>
  <c r="B554" i="7"/>
  <c r="D553" i="7"/>
  <c r="B553" i="7"/>
  <c r="C553" i="7" s="1"/>
  <c r="B552" i="7"/>
  <c r="E555" i="7" s="1"/>
  <c r="F555" i="7" s="1"/>
  <c r="B551" i="7"/>
  <c r="F603" i="7" s="1"/>
  <c r="C550" i="7"/>
  <c r="D550" i="7" s="1"/>
  <c r="B550" i="7"/>
  <c r="B549" i="7"/>
  <c r="B548" i="7"/>
  <c r="B547" i="7"/>
  <c r="B546" i="7"/>
  <c r="D545" i="7"/>
  <c r="B545" i="7"/>
  <c r="C545" i="7" s="1"/>
  <c r="E544" i="7"/>
  <c r="F544" i="7" s="1"/>
  <c r="B544" i="7"/>
  <c r="E547" i="7" s="1"/>
  <c r="B543" i="7"/>
  <c r="C542" i="7"/>
  <c r="D542" i="7" s="1"/>
  <c r="B542" i="7"/>
  <c r="E541" i="7"/>
  <c r="F541" i="7" s="1"/>
  <c r="B541" i="7"/>
  <c r="C540" i="7"/>
  <c r="D540" i="7" s="1"/>
  <c r="B540" i="7"/>
  <c r="B539" i="7"/>
  <c r="E538" i="7"/>
  <c r="B538" i="7"/>
  <c r="D537" i="7"/>
  <c r="B537" i="7"/>
  <c r="C537" i="7" s="1"/>
  <c r="F536" i="7"/>
  <c r="E536" i="7"/>
  <c r="B536" i="7"/>
  <c r="E539" i="7" s="1"/>
  <c r="B535" i="7"/>
  <c r="C534" i="7"/>
  <c r="D534" i="7" s="1"/>
  <c r="B534" i="7"/>
  <c r="E537" i="7" s="1"/>
  <c r="F533" i="7"/>
  <c r="E533" i="7"/>
  <c r="B533" i="7"/>
  <c r="C532" i="7"/>
  <c r="D532" i="7" s="1"/>
  <c r="B532" i="7"/>
  <c r="B531" i="7"/>
  <c r="E530" i="7"/>
  <c r="B530" i="7"/>
  <c r="D529" i="7"/>
  <c r="B529" i="7"/>
  <c r="C529" i="7" s="1"/>
  <c r="F528" i="7"/>
  <c r="E528" i="7"/>
  <c r="B528" i="7"/>
  <c r="B527" i="7"/>
  <c r="C526" i="7"/>
  <c r="D526" i="7" s="1"/>
  <c r="B526" i="7"/>
  <c r="E529" i="7" s="1"/>
  <c r="E525" i="7"/>
  <c r="F525" i="7" s="1"/>
  <c r="B525" i="7"/>
  <c r="C524" i="7"/>
  <c r="D524" i="7" s="1"/>
  <c r="B524" i="7"/>
  <c r="B523" i="7"/>
  <c r="E522" i="7"/>
  <c r="B522" i="7"/>
  <c r="D521" i="7"/>
  <c r="B521" i="7"/>
  <c r="C521" i="7" s="1"/>
  <c r="B520" i="7"/>
  <c r="B519" i="7"/>
  <c r="C518" i="7"/>
  <c r="D518" i="7" s="1"/>
  <c r="B518" i="7"/>
  <c r="B517" i="7"/>
  <c r="B516" i="7"/>
  <c r="B515" i="7"/>
  <c r="E517" i="7" s="1"/>
  <c r="F517" i="7" s="1"/>
  <c r="B514" i="7"/>
  <c r="D513" i="7"/>
  <c r="B513" i="7"/>
  <c r="C513" i="7" s="1"/>
  <c r="B512" i="7"/>
  <c r="B511" i="7"/>
  <c r="C510" i="7"/>
  <c r="D510" i="7" s="1"/>
  <c r="B510" i="7"/>
  <c r="F509" i="7"/>
  <c r="E509" i="7"/>
  <c r="B509" i="7"/>
  <c r="B508" i="7"/>
  <c r="B507" i="7"/>
  <c r="E506" i="7"/>
  <c r="B506" i="7"/>
  <c r="D505" i="7"/>
  <c r="B505" i="7"/>
  <c r="C505" i="7" s="1"/>
  <c r="B504" i="7"/>
  <c r="E507" i="7" s="1"/>
  <c r="F507" i="7" s="1"/>
  <c r="B503" i="7"/>
  <c r="C502" i="7"/>
  <c r="D502" i="7" s="1"/>
  <c r="B502" i="7"/>
  <c r="E505" i="7" s="1"/>
  <c r="B501" i="7"/>
  <c r="B500" i="7"/>
  <c r="B499" i="7"/>
  <c r="B498" i="7"/>
  <c r="D497" i="7"/>
  <c r="B497" i="7"/>
  <c r="C497" i="7" s="1"/>
  <c r="B496" i="7"/>
  <c r="B495" i="7"/>
  <c r="F547" i="7" s="1"/>
  <c r="C494" i="7"/>
  <c r="D494" i="7" s="1"/>
  <c r="B494" i="7"/>
  <c r="B493" i="7"/>
  <c r="C492" i="7"/>
  <c r="D492" i="7" s="1"/>
  <c r="B492" i="7"/>
  <c r="B491" i="7"/>
  <c r="B490" i="7"/>
  <c r="D489" i="7"/>
  <c r="B489" i="7"/>
  <c r="C489" i="7" s="1"/>
  <c r="B488" i="7"/>
  <c r="E491" i="7" s="1"/>
  <c r="F491" i="7" s="1"/>
  <c r="B487" i="7"/>
  <c r="F539" i="7" s="1"/>
  <c r="C486" i="7"/>
  <c r="D486" i="7" s="1"/>
  <c r="B486" i="7"/>
  <c r="B485" i="7"/>
  <c r="B484" i="7"/>
  <c r="B483" i="7"/>
  <c r="B482" i="7"/>
  <c r="D481" i="7"/>
  <c r="B481" i="7"/>
  <c r="C481" i="7" s="1"/>
  <c r="E480" i="7"/>
  <c r="F480" i="7" s="1"/>
  <c r="B480" i="7"/>
  <c r="E483" i="7" s="1"/>
  <c r="B479" i="7"/>
  <c r="C478" i="7"/>
  <c r="D478" i="7" s="1"/>
  <c r="B478" i="7"/>
  <c r="E477" i="7"/>
  <c r="F477" i="7" s="1"/>
  <c r="B477" i="7"/>
  <c r="C476" i="7"/>
  <c r="D476" i="7" s="1"/>
  <c r="B476" i="7"/>
  <c r="B475" i="7"/>
  <c r="E474" i="7"/>
  <c r="B474" i="7"/>
  <c r="D473" i="7"/>
  <c r="B473" i="7"/>
  <c r="C473" i="7" s="1"/>
  <c r="F472" i="7"/>
  <c r="E472" i="7"/>
  <c r="B472" i="7"/>
  <c r="E475" i="7" s="1"/>
  <c r="B471" i="7"/>
  <c r="C470" i="7"/>
  <c r="D470" i="7" s="1"/>
  <c r="B470" i="7"/>
  <c r="E473" i="7" s="1"/>
  <c r="F469" i="7"/>
  <c r="E469" i="7"/>
  <c r="B469" i="7"/>
  <c r="C468" i="7"/>
  <c r="D468" i="7" s="1"/>
  <c r="B468" i="7"/>
  <c r="B467" i="7"/>
  <c r="E466" i="7"/>
  <c r="B466" i="7"/>
  <c r="D465" i="7"/>
  <c r="B465" i="7"/>
  <c r="C465" i="7" s="1"/>
  <c r="F464" i="7"/>
  <c r="E464" i="7"/>
  <c r="B464" i="7"/>
  <c r="B463" i="7"/>
  <c r="C462" i="7"/>
  <c r="D462" i="7" s="1"/>
  <c r="B462" i="7"/>
  <c r="E465" i="7" s="1"/>
  <c r="E461" i="7"/>
  <c r="F461" i="7" s="1"/>
  <c r="B461" i="7"/>
  <c r="C460" i="7"/>
  <c r="D460" i="7" s="1"/>
  <c r="B460" i="7"/>
  <c r="B459" i="7"/>
  <c r="E458" i="7"/>
  <c r="B458" i="7"/>
  <c r="D457" i="7"/>
  <c r="B457" i="7"/>
  <c r="C457" i="7" s="1"/>
  <c r="B456" i="7"/>
  <c r="B455" i="7"/>
  <c r="C454" i="7"/>
  <c r="D454" i="7" s="1"/>
  <c r="B454" i="7"/>
  <c r="B453" i="7"/>
  <c r="B452" i="7"/>
  <c r="B451" i="7"/>
  <c r="E453" i="7" s="1"/>
  <c r="F453" i="7" s="1"/>
  <c r="B450" i="7"/>
  <c r="D449" i="7"/>
  <c r="B449" i="7"/>
  <c r="C449" i="7" s="1"/>
  <c r="B448" i="7"/>
  <c r="B447" i="7"/>
  <c r="C446" i="7"/>
  <c r="D446" i="7" s="1"/>
  <c r="B446" i="7"/>
  <c r="F445" i="7"/>
  <c r="E445" i="7"/>
  <c r="B445" i="7"/>
  <c r="B444" i="7"/>
  <c r="B443" i="7"/>
  <c r="E442" i="7"/>
  <c r="B442" i="7"/>
  <c r="D441" i="7"/>
  <c r="B441" i="7"/>
  <c r="C441" i="7" s="1"/>
  <c r="B440" i="7"/>
  <c r="E443" i="7" s="1"/>
  <c r="F443" i="7" s="1"/>
  <c r="B439" i="7"/>
  <c r="C438" i="7"/>
  <c r="D438" i="7" s="1"/>
  <c r="B438" i="7"/>
  <c r="E441" i="7" s="1"/>
  <c r="B437" i="7"/>
  <c r="B436" i="7"/>
  <c r="B435" i="7"/>
  <c r="B434" i="7"/>
  <c r="D433" i="7"/>
  <c r="B433" i="7"/>
  <c r="C433" i="7" s="1"/>
  <c r="B432" i="7"/>
  <c r="B431" i="7"/>
  <c r="F483" i="7" s="1"/>
  <c r="C430" i="7"/>
  <c r="D430" i="7" s="1"/>
  <c r="B430" i="7"/>
  <c r="B429" i="7"/>
  <c r="C428" i="7"/>
  <c r="D428" i="7" s="1"/>
  <c r="B428" i="7"/>
  <c r="B427" i="7"/>
  <c r="B426" i="7"/>
  <c r="D425" i="7"/>
  <c r="B425" i="7"/>
  <c r="C425" i="7" s="1"/>
  <c r="B424" i="7"/>
  <c r="E427" i="7" s="1"/>
  <c r="F427" i="7" s="1"/>
  <c r="B423" i="7"/>
  <c r="F475" i="7" s="1"/>
  <c r="C422" i="7"/>
  <c r="D422" i="7" s="1"/>
  <c r="B422" i="7"/>
  <c r="B421" i="7"/>
  <c r="B420" i="7"/>
  <c r="B419" i="7"/>
  <c r="B418" i="7"/>
  <c r="D417" i="7"/>
  <c r="B417" i="7"/>
  <c r="C417" i="7" s="1"/>
  <c r="E416" i="7"/>
  <c r="B416" i="7"/>
  <c r="E419" i="7" s="1"/>
  <c r="B415" i="7"/>
  <c r="C414" i="7"/>
  <c r="D414" i="7" s="1"/>
  <c r="B414" i="7"/>
  <c r="E413" i="7"/>
  <c r="B413" i="7"/>
  <c r="C412" i="7"/>
  <c r="D412" i="7" s="1"/>
  <c r="B412" i="7"/>
  <c r="B411" i="7"/>
  <c r="E410" i="7"/>
  <c r="B410" i="7"/>
  <c r="D409" i="7"/>
  <c r="B409" i="7"/>
  <c r="C409" i="7" s="1"/>
  <c r="E408" i="7"/>
  <c r="B408" i="7"/>
  <c r="E411" i="7" s="1"/>
  <c r="B407" i="7"/>
  <c r="C406" i="7"/>
  <c r="D406" i="7" s="1"/>
  <c r="B406" i="7"/>
  <c r="E409" i="7" s="1"/>
  <c r="E405" i="7"/>
  <c r="B405" i="7"/>
  <c r="C404" i="7"/>
  <c r="D404" i="7" s="1"/>
  <c r="B404" i="7"/>
  <c r="B403" i="7"/>
  <c r="E402" i="7"/>
  <c r="B402" i="7"/>
  <c r="D401" i="7"/>
  <c r="B401" i="7"/>
  <c r="C401" i="7" s="1"/>
  <c r="E400" i="7"/>
  <c r="B400" i="7"/>
  <c r="B399" i="7"/>
  <c r="C398" i="7"/>
  <c r="D398" i="7" s="1"/>
  <c r="B398" i="7"/>
  <c r="E401" i="7" s="1"/>
  <c r="E397" i="7"/>
  <c r="B397" i="7"/>
  <c r="C396" i="7"/>
  <c r="D396" i="7" s="1"/>
  <c r="B396" i="7"/>
  <c r="B395" i="7"/>
  <c r="E394" i="7"/>
  <c r="B394" i="7"/>
  <c r="D393" i="7"/>
  <c r="B393" i="7"/>
  <c r="C393" i="7" s="1"/>
  <c r="B392" i="7"/>
  <c r="B391" i="7"/>
  <c r="C390" i="7"/>
  <c r="D390" i="7" s="1"/>
  <c r="B390" i="7"/>
  <c r="B389" i="7"/>
  <c r="B388" i="7"/>
  <c r="B387" i="7"/>
  <c r="E389" i="7" s="1"/>
  <c r="B386" i="7"/>
  <c r="D385" i="7"/>
  <c r="B385" i="7"/>
  <c r="C385" i="7" s="1"/>
  <c r="B384" i="7"/>
  <c r="B383" i="7"/>
  <c r="C382" i="7"/>
  <c r="D382" i="7" s="1"/>
  <c r="B382" i="7"/>
  <c r="E381" i="7"/>
  <c r="B381" i="7"/>
  <c r="B380" i="7"/>
  <c r="B379" i="7"/>
  <c r="E378" i="7"/>
  <c r="B378" i="7"/>
  <c r="D377" i="7"/>
  <c r="B377" i="7"/>
  <c r="C377" i="7" s="1"/>
  <c r="B376" i="7"/>
  <c r="E379" i="7" s="1"/>
  <c r="F379" i="7" s="1"/>
  <c r="B375" i="7"/>
  <c r="C374" i="7"/>
  <c r="D374" i="7" s="1"/>
  <c r="B374" i="7"/>
  <c r="E377" i="7" s="1"/>
  <c r="B373" i="7"/>
  <c r="B372" i="7"/>
  <c r="B371" i="7"/>
  <c r="B370" i="7"/>
  <c r="D369" i="7"/>
  <c r="B369" i="7"/>
  <c r="C369" i="7" s="1"/>
  <c r="B368" i="7"/>
  <c r="B367" i="7"/>
  <c r="F419" i="7" s="1"/>
  <c r="C366" i="7"/>
  <c r="D366" i="7" s="1"/>
  <c r="B366" i="7"/>
  <c r="B365" i="7"/>
  <c r="B364" i="7"/>
  <c r="B363" i="7"/>
  <c r="B362" i="7"/>
  <c r="B361" i="7"/>
  <c r="B360" i="7"/>
  <c r="E363" i="7" s="1"/>
  <c r="F363" i="7" s="1"/>
  <c r="B359" i="7"/>
  <c r="F411" i="7" s="1"/>
  <c r="C358" i="7"/>
  <c r="D358" i="7" s="1"/>
  <c r="B358" i="7"/>
  <c r="B357" i="7"/>
  <c r="B356" i="7"/>
  <c r="B355" i="7"/>
  <c r="B354" i="7"/>
  <c r="B353" i="7"/>
  <c r="E352" i="7"/>
  <c r="B352" i="7"/>
  <c r="E355" i="7" s="1"/>
  <c r="B351" i="7"/>
  <c r="C350" i="7"/>
  <c r="D350" i="7" s="1"/>
  <c r="B350" i="7"/>
  <c r="B349" i="7"/>
  <c r="C348" i="7"/>
  <c r="D348" i="7" s="1"/>
  <c r="B348" i="7"/>
  <c r="B347" i="7"/>
  <c r="B346" i="7"/>
  <c r="B345" i="7"/>
  <c r="F344" i="7"/>
  <c r="E344" i="7"/>
  <c r="B344" i="7"/>
  <c r="E347" i="7" s="1"/>
  <c r="F347" i="7" s="1"/>
  <c r="B343" i="7"/>
  <c r="C342" i="7"/>
  <c r="D342" i="7" s="1"/>
  <c r="B342" i="7"/>
  <c r="B341" i="7"/>
  <c r="B340" i="7"/>
  <c r="B339" i="7"/>
  <c r="B338" i="7"/>
  <c r="B337" i="7"/>
  <c r="E336" i="7"/>
  <c r="B336" i="7"/>
  <c r="B335" i="7"/>
  <c r="C334" i="7"/>
  <c r="D334" i="7" s="1"/>
  <c r="B334" i="7"/>
  <c r="E333" i="7"/>
  <c r="B333" i="7"/>
  <c r="C332" i="7"/>
  <c r="D332" i="7" s="1"/>
  <c r="B332" i="7"/>
  <c r="B331" i="7"/>
  <c r="B330" i="7"/>
  <c r="B329" i="7"/>
  <c r="B328" i="7"/>
  <c r="B327" i="7"/>
  <c r="C326" i="7"/>
  <c r="D326" i="7" s="1"/>
  <c r="B326" i="7"/>
  <c r="B325" i="7"/>
  <c r="B324" i="7"/>
  <c r="B323" i="7"/>
  <c r="E325" i="7" s="1"/>
  <c r="F325" i="7" s="1"/>
  <c r="B322" i="7"/>
  <c r="B321" i="7"/>
  <c r="B320" i="7"/>
  <c r="B319" i="7"/>
  <c r="C318" i="7"/>
  <c r="D318" i="7" s="1"/>
  <c r="B318" i="7"/>
  <c r="E317" i="7"/>
  <c r="B317" i="7"/>
  <c r="B316" i="7"/>
  <c r="B315" i="7"/>
  <c r="E314" i="7"/>
  <c r="B314" i="7"/>
  <c r="B313" i="7"/>
  <c r="B312" i="7"/>
  <c r="E315" i="7" s="1"/>
  <c r="B311" i="7"/>
  <c r="C310" i="7"/>
  <c r="D310" i="7" s="1"/>
  <c r="B310" i="7"/>
  <c r="E313" i="7" s="1"/>
  <c r="B309" i="7"/>
  <c r="B308" i="7"/>
  <c r="B307" i="7"/>
  <c r="B306" i="7"/>
  <c r="B305" i="7"/>
  <c r="B304" i="7"/>
  <c r="B303" i="7"/>
  <c r="F355" i="7" s="1"/>
  <c r="C302" i="7"/>
  <c r="D302" i="7" s="1"/>
  <c r="B302" i="7"/>
  <c r="B301" i="7"/>
  <c r="C300" i="7"/>
  <c r="D300" i="7" s="1"/>
  <c r="B300" i="7"/>
  <c r="B299" i="7"/>
  <c r="B298" i="7"/>
  <c r="B297" i="7"/>
  <c r="B296" i="7"/>
  <c r="E295" i="7"/>
  <c r="B295" i="7"/>
  <c r="C294" i="7"/>
  <c r="D294" i="7" s="1"/>
  <c r="B294" i="7"/>
  <c r="D293" i="7"/>
  <c r="B293" i="7"/>
  <c r="E292" i="7"/>
  <c r="D292" i="7"/>
  <c r="C292" i="7"/>
  <c r="B292" i="7"/>
  <c r="C293" i="7" s="1"/>
  <c r="B291" i="7"/>
  <c r="E290" i="7"/>
  <c r="D290" i="7"/>
  <c r="C290" i="7"/>
  <c r="B290" i="7"/>
  <c r="B289" i="7"/>
  <c r="C289" i="7" s="1"/>
  <c r="D289" i="7" s="1"/>
  <c r="E288" i="7"/>
  <c r="B288" i="7"/>
  <c r="E291" i="7" s="1"/>
  <c r="B287" i="7"/>
  <c r="C288" i="7" s="1"/>
  <c r="D288" i="7" s="1"/>
  <c r="C286" i="7"/>
  <c r="D286" i="7" s="1"/>
  <c r="B286" i="7"/>
  <c r="D285" i="7"/>
  <c r="B285" i="7"/>
  <c r="C284" i="7"/>
  <c r="D284" i="7" s="1"/>
  <c r="B284" i="7"/>
  <c r="C285" i="7" s="1"/>
  <c r="B283" i="7"/>
  <c r="B282" i="7"/>
  <c r="B281" i="7"/>
  <c r="B280" i="7"/>
  <c r="B279" i="7"/>
  <c r="C278" i="7"/>
  <c r="D278" i="7" s="1"/>
  <c r="B278" i="7"/>
  <c r="D277" i="7"/>
  <c r="B277" i="7"/>
  <c r="E276" i="7"/>
  <c r="C276" i="7"/>
  <c r="D276" i="7" s="1"/>
  <c r="B276" i="7"/>
  <c r="C277" i="7" s="1"/>
  <c r="B275" i="7"/>
  <c r="F274" i="7"/>
  <c r="E274" i="7"/>
  <c r="D274" i="7"/>
  <c r="C274" i="7"/>
  <c r="B274" i="7"/>
  <c r="B273" i="7"/>
  <c r="C273" i="7" s="1"/>
  <c r="D273" i="7" s="1"/>
  <c r="B272" i="7"/>
  <c r="E275" i="7" s="1"/>
  <c r="F271" i="7"/>
  <c r="E271" i="7"/>
  <c r="B271" i="7"/>
  <c r="C272" i="7" s="1"/>
  <c r="D272" i="7" s="1"/>
  <c r="B270" i="7"/>
  <c r="E272" i="7" s="1"/>
  <c r="D269" i="7"/>
  <c r="B269" i="7"/>
  <c r="C268" i="7"/>
  <c r="D268" i="7" s="1"/>
  <c r="B268" i="7"/>
  <c r="C269" i="7" s="1"/>
  <c r="B267" i="7"/>
  <c r="E269" i="7" s="1"/>
  <c r="B266" i="7"/>
  <c r="B265" i="7"/>
  <c r="B264" i="7"/>
  <c r="B263" i="7"/>
  <c r="C262" i="7"/>
  <c r="D262" i="7" s="1"/>
  <c r="B262" i="7"/>
  <c r="D261" i="7"/>
  <c r="B261" i="7"/>
  <c r="E260" i="7"/>
  <c r="D260" i="7"/>
  <c r="C260" i="7"/>
  <c r="B260" i="7"/>
  <c r="C261" i="7" s="1"/>
  <c r="B259" i="7"/>
  <c r="F258" i="7"/>
  <c r="E258" i="7"/>
  <c r="C258" i="7"/>
  <c r="D258" i="7" s="1"/>
  <c r="B258" i="7"/>
  <c r="B257" i="7"/>
  <c r="C257" i="7" s="1"/>
  <c r="D257" i="7" s="1"/>
  <c r="F256" i="7"/>
  <c r="E256" i="7"/>
  <c r="B256" i="7"/>
  <c r="E259" i="7" s="1"/>
  <c r="B255" i="7"/>
  <c r="C256" i="7" s="1"/>
  <c r="D256" i="7" s="1"/>
  <c r="C254" i="7"/>
  <c r="D254" i="7" s="1"/>
  <c r="B254" i="7"/>
  <c r="E253" i="7"/>
  <c r="D253" i="7"/>
  <c r="B253" i="7"/>
  <c r="B252" i="7"/>
  <c r="C253" i="7" s="1"/>
  <c r="B251" i="7"/>
  <c r="B250" i="7"/>
  <c r="B249" i="7"/>
  <c r="B248" i="7"/>
  <c r="B247" i="7"/>
  <c r="C246" i="7"/>
  <c r="D246" i="7" s="1"/>
  <c r="B246" i="7"/>
  <c r="D245" i="7"/>
  <c r="B245" i="7"/>
  <c r="E244" i="7"/>
  <c r="D244" i="7"/>
  <c r="C244" i="7"/>
  <c r="B244" i="7"/>
  <c r="C245" i="7" s="1"/>
  <c r="B243" i="7"/>
  <c r="E242" i="7"/>
  <c r="D242" i="7"/>
  <c r="C242" i="7"/>
  <c r="B242" i="7"/>
  <c r="B241" i="7"/>
  <c r="B240" i="7"/>
  <c r="E243" i="7" s="1"/>
  <c r="B239" i="7"/>
  <c r="C240" i="7" s="1"/>
  <c r="D240" i="7" s="1"/>
  <c r="C238" i="7"/>
  <c r="D238" i="7" s="1"/>
  <c r="B238" i="7"/>
  <c r="B237" i="7"/>
  <c r="B236" i="7"/>
  <c r="C237" i="7" s="1"/>
  <c r="D237" i="7" s="1"/>
  <c r="B235" i="7"/>
  <c r="B234" i="7"/>
  <c r="B233" i="7"/>
  <c r="B232" i="7"/>
  <c r="E231" i="7"/>
  <c r="B231" i="7"/>
  <c r="C230" i="7"/>
  <c r="D230" i="7" s="1"/>
  <c r="B230" i="7"/>
  <c r="D229" i="7"/>
  <c r="B229" i="7"/>
  <c r="E228" i="7"/>
  <c r="D228" i="7"/>
  <c r="C228" i="7"/>
  <c r="B228" i="7"/>
  <c r="C229" i="7" s="1"/>
  <c r="B227" i="7"/>
  <c r="E226" i="7"/>
  <c r="C226" i="7"/>
  <c r="D226" i="7" s="1"/>
  <c r="B226" i="7"/>
  <c r="B225" i="7"/>
  <c r="E224" i="7"/>
  <c r="B224" i="7"/>
  <c r="E227" i="7" s="1"/>
  <c r="B223" i="7"/>
  <c r="C224" i="7" s="1"/>
  <c r="D224" i="7" s="1"/>
  <c r="C222" i="7"/>
  <c r="D222" i="7" s="1"/>
  <c r="B222" i="7"/>
  <c r="B221" i="7"/>
  <c r="B220" i="7"/>
  <c r="C221" i="7" s="1"/>
  <c r="D221" i="7" s="1"/>
  <c r="B219" i="7"/>
  <c r="B218" i="7"/>
  <c r="B217" i="7"/>
  <c r="B216" i="7"/>
  <c r="B215" i="7"/>
  <c r="C214" i="7"/>
  <c r="D214" i="7" s="1"/>
  <c r="B214" i="7"/>
  <c r="D213" i="7"/>
  <c r="B213" i="7"/>
  <c r="E212" i="7"/>
  <c r="C212" i="7"/>
  <c r="D212" i="7" s="1"/>
  <c r="B212" i="7"/>
  <c r="C213" i="7" s="1"/>
  <c r="B211" i="7"/>
  <c r="E210" i="7"/>
  <c r="F210" i="7" s="1"/>
  <c r="D210" i="7"/>
  <c r="C210" i="7"/>
  <c r="B210" i="7"/>
  <c r="B209" i="7"/>
  <c r="E208" i="7"/>
  <c r="B208" i="7"/>
  <c r="E211" i="7" s="1"/>
  <c r="F207" i="7"/>
  <c r="E207" i="7"/>
  <c r="B207" i="7"/>
  <c r="C208" i="7" s="1"/>
  <c r="D208" i="7" s="1"/>
  <c r="B206" i="7"/>
  <c r="D205" i="7"/>
  <c r="B205" i="7"/>
  <c r="C204" i="7"/>
  <c r="D204" i="7" s="1"/>
  <c r="B204" i="7"/>
  <c r="C205" i="7" s="1"/>
  <c r="B203" i="7"/>
  <c r="E205" i="7" s="1"/>
  <c r="B202" i="7"/>
  <c r="C201" i="7"/>
  <c r="D201" i="7" s="1"/>
  <c r="B201" i="7"/>
  <c r="B200" i="7"/>
  <c r="B199" i="7"/>
  <c r="C198" i="7"/>
  <c r="D198" i="7" s="1"/>
  <c r="B198" i="7"/>
  <c r="D197" i="7"/>
  <c r="B197" i="7"/>
  <c r="E196" i="7"/>
  <c r="D196" i="7"/>
  <c r="C196" i="7"/>
  <c r="B196" i="7"/>
  <c r="C197" i="7" s="1"/>
  <c r="B195" i="7"/>
  <c r="F194" i="7"/>
  <c r="E194" i="7"/>
  <c r="C194" i="7"/>
  <c r="D194" i="7" s="1"/>
  <c r="B194" i="7"/>
  <c r="B193" i="7"/>
  <c r="E192" i="7"/>
  <c r="F192" i="7" s="1"/>
  <c r="B192" i="7"/>
  <c r="E195" i="7" s="1"/>
  <c r="B191" i="7"/>
  <c r="C192" i="7" s="1"/>
  <c r="D192" i="7" s="1"/>
  <c r="C190" i="7"/>
  <c r="D190" i="7" s="1"/>
  <c r="B190" i="7"/>
  <c r="E189" i="7"/>
  <c r="D189" i="7"/>
  <c r="B189" i="7"/>
  <c r="B188" i="7"/>
  <c r="C189" i="7" s="1"/>
  <c r="B187" i="7"/>
  <c r="B186" i="7"/>
  <c r="B185" i="7"/>
  <c r="B184" i="7"/>
  <c r="B183" i="7"/>
  <c r="C182" i="7"/>
  <c r="D182" i="7" s="1"/>
  <c r="B182" i="7"/>
  <c r="D181" i="7"/>
  <c r="B181" i="7"/>
  <c r="E180" i="7"/>
  <c r="C180" i="7"/>
  <c r="D180" i="7" s="1"/>
  <c r="B180" i="7"/>
  <c r="C181" i="7" s="1"/>
  <c r="B179" i="7"/>
  <c r="E178" i="7"/>
  <c r="D178" i="7"/>
  <c r="C178" i="7"/>
  <c r="B178" i="7"/>
  <c r="B177" i="7"/>
  <c r="B176" i="7"/>
  <c r="E179" i="7" s="1"/>
  <c r="B175" i="7"/>
  <c r="C176" i="7" s="1"/>
  <c r="D176" i="7" s="1"/>
  <c r="B174" i="7"/>
  <c r="B173" i="7"/>
  <c r="B172" i="7"/>
  <c r="C173" i="7" s="1"/>
  <c r="D173" i="7" s="1"/>
  <c r="B171" i="7"/>
  <c r="B170" i="7"/>
  <c r="B169" i="7"/>
  <c r="B168" i="7"/>
  <c r="E167" i="7"/>
  <c r="B167" i="7"/>
  <c r="C166" i="7"/>
  <c r="D166" i="7" s="1"/>
  <c r="B166" i="7"/>
  <c r="D165" i="7"/>
  <c r="B165" i="7"/>
  <c r="E164" i="7"/>
  <c r="D164" i="7"/>
  <c r="C164" i="7"/>
  <c r="B164" i="7"/>
  <c r="C165" i="7" s="1"/>
  <c r="B163" i="7"/>
  <c r="E162" i="7"/>
  <c r="C162" i="7"/>
  <c r="D162" i="7" s="1"/>
  <c r="B162" i="7"/>
  <c r="B161" i="7"/>
  <c r="E160" i="7"/>
  <c r="B160" i="7"/>
  <c r="E163" i="7" s="1"/>
  <c r="B159" i="7"/>
  <c r="C160" i="7" s="1"/>
  <c r="D160" i="7" s="1"/>
  <c r="C158" i="7"/>
  <c r="D158" i="7" s="1"/>
  <c r="B158" i="7"/>
  <c r="B157" i="7"/>
  <c r="B156" i="7"/>
  <c r="C157" i="7" s="1"/>
  <c r="D157" i="7" s="1"/>
  <c r="B155" i="7"/>
  <c r="B154" i="7"/>
  <c r="B153" i="7"/>
  <c r="B152" i="7"/>
  <c r="B151" i="7"/>
  <c r="C151" i="7" s="1"/>
  <c r="D151" i="7" s="1"/>
  <c r="C150" i="7"/>
  <c r="D150" i="7" s="1"/>
  <c r="B150" i="7"/>
  <c r="D149" i="7"/>
  <c r="B149" i="7"/>
  <c r="E148" i="7"/>
  <c r="C148" i="7"/>
  <c r="D148" i="7" s="1"/>
  <c r="B148" i="7"/>
  <c r="C149" i="7" s="1"/>
  <c r="B147" i="7"/>
  <c r="E146" i="7"/>
  <c r="F146" i="7" s="1"/>
  <c r="D146" i="7"/>
  <c r="C146" i="7"/>
  <c r="B146" i="7"/>
  <c r="B145" i="7"/>
  <c r="F144" i="7"/>
  <c r="E144" i="7"/>
  <c r="B144" i="7"/>
  <c r="E147" i="7" s="1"/>
  <c r="E143" i="7"/>
  <c r="B143" i="7"/>
  <c r="C144" i="7" s="1"/>
  <c r="D144" i="7" s="1"/>
  <c r="B142" i="7"/>
  <c r="D141" i="7"/>
  <c r="B141" i="7"/>
  <c r="C140" i="7"/>
  <c r="D140" i="7" s="1"/>
  <c r="B140" i="7"/>
  <c r="C141" i="7" s="1"/>
  <c r="B139" i="7"/>
  <c r="E141" i="7" s="1"/>
  <c r="B138" i="7"/>
  <c r="C137" i="7"/>
  <c r="D137" i="7" s="1"/>
  <c r="B137" i="7"/>
  <c r="B136" i="7"/>
  <c r="B135" i="7"/>
  <c r="C134" i="7"/>
  <c r="D134" i="7" s="1"/>
  <c r="B134" i="7"/>
  <c r="D133" i="7"/>
  <c r="B133" i="7"/>
  <c r="E132" i="7"/>
  <c r="D132" i="7"/>
  <c r="C132" i="7"/>
  <c r="B132" i="7"/>
  <c r="C133" i="7" s="1"/>
  <c r="B131" i="7"/>
  <c r="F130" i="7"/>
  <c r="E130" i="7"/>
  <c r="C130" i="7"/>
  <c r="D130" i="7" s="1"/>
  <c r="B130" i="7"/>
  <c r="B129" i="7"/>
  <c r="E128" i="7"/>
  <c r="F128" i="7" s="1"/>
  <c r="B128" i="7"/>
  <c r="E131" i="7" s="1"/>
  <c r="B127" i="7"/>
  <c r="C128" i="7" s="1"/>
  <c r="D128" i="7" s="1"/>
  <c r="C126" i="7"/>
  <c r="D126" i="7" s="1"/>
  <c r="B126" i="7"/>
  <c r="E125" i="7"/>
  <c r="D125" i="7"/>
  <c r="B125" i="7"/>
  <c r="B124" i="7"/>
  <c r="C125" i="7" s="1"/>
  <c r="B123" i="7"/>
  <c r="B122" i="7"/>
  <c r="B121" i="7"/>
  <c r="B120" i="7"/>
  <c r="C119" i="7"/>
  <c r="D119" i="7" s="1"/>
  <c r="B119" i="7"/>
  <c r="C118" i="7"/>
  <c r="D118" i="7" s="1"/>
  <c r="B118" i="7"/>
  <c r="D117" i="7"/>
  <c r="B117" i="7"/>
  <c r="E116" i="7"/>
  <c r="C116" i="7"/>
  <c r="D116" i="7" s="1"/>
  <c r="B116" i="7"/>
  <c r="C117" i="7" s="1"/>
  <c r="B115" i="7"/>
  <c r="E114" i="7"/>
  <c r="F114" i="7" s="1"/>
  <c r="D114" i="7"/>
  <c r="C114" i="7"/>
  <c r="B114" i="7"/>
  <c r="B113" i="7"/>
  <c r="B112" i="7"/>
  <c r="E115" i="7" s="1"/>
  <c r="B111" i="7"/>
  <c r="C112" i="7" s="1"/>
  <c r="D112" i="7" s="1"/>
  <c r="B110" i="7"/>
  <c r="B109" i="7"/>
  <c r="B108" i="7"/>
  <c r="C109" i="7" s="1"/>
  <c r="D109" i="7" s="1"/>
  <c r="B107" i="7"/>
  <c r="B106" i="7"/>
  <c r="B105" i="7"/>
  <c r="B104" i="7"/>
  <c r="E103" i="7"/>
  <c r="B103" i="7"/>
  <c r="D102" i="7"/>
  <c r="C102" i="7"/>
  <c r="B102" i="7"/>
  <c r="D101" i="7"/>
  <c r="B101" i="7"/>
  <c r="B100" i="7"/>
  <c r="C101" i="7" s="1"/>
  <c r="B99" i="7"/>
  <c r="E98" i="7"/>
  <c r="B98" i="7"/>
  <c r="C97" i="7"/>
  <c r="D97" i="7" s="1"/>
  <c r="B97" i="7"/>
  <c r="B96" i="7"/>
  <c r="E95" i="7"/>
  <c r="B95" i="7"/>
  <c r="D94" i="7"/>
  <c r="C94" i="7"/>
  <c r="B94" i="7"/>
  <c r="D93" i="7"/>
  <c r="B93" i="7"/>
  <c r="B92" i="7"/>
  <c r="C93" i="7" s="1"/>
  <c r="B91" i="7"/>
  <c r="B90" i="7"/>
  <c r="B89" i="7"/>
  <c r="C90" i="7" s="1"/>
  <c r="D90" i="7" s="1"/>
  <c r="B88" i="7"/>
  <c r="B87" i="7"/>
  <c r="D86" i="7"/>
  <c r="C86" i="7"/>
  <c r="B86" i="7"/>
  <c r="D85" i="7"/>
  <c r="B85" i="7"/>
  <c r="B84" i="7"/>
  <c r="C85" i="7" s="1"/>
  <c r="C83" i="7"/>
  <c r="D83" i="7" s="1"/>
  <c r="B83" i="7"/>
  <c r="B82" i="7"/>
  <c r="B81" i="7"/>
  <c r="B80" i="7"/>
  <c r="C79" i="7"/>
  <c r="D79" i="7" s="1"/>
  <c r="B79" i="7"/>
  <c r="D78" i="7"/>
  <c r="C78" i="7"/>
  <c r="B78" i="7"/>
  <c r="D77" i="7"/>
  <c r="B77" i="7"/>
  <c r="B76" i="7"/>
  <c r="C77" i="7" s="1"/>
  <c r="C75" i="7"/>
  <c r="D75" i="7" s="1"/>
  <c r="B75" i="7"/>
  <c r="B74" i="7"/>
  <c r="C73" i="7"/>
  <c r="D73" i="7" s="1"/>
  <c r="B73" i="7"/>
  <c r="C74" i="7" s="1"/>
  <c r="D74" i="7" s="1"/>
  <c r="B72" i="7"/>
  <c r="B71" i="7"/>
  <c r="D70" i="7"/>
  <c r="C70" i="7"/>
  <c r="B70" i="7"/>
  <c r="D69" i="7"/>
  <c r="B69" i="7"/>
  <c r="E68" i="7"/>
  <c r="B68" i="7"/>
  <c r="C69" i="7" s="1"/>
  <c r="B67" i="7"/>
  <c r="B66" i="7"/>
  <c r="D65" i="7"/>
  <c r="C65" i="7"/>
  <c r="B65" i="7"/>
  <c r="B64" i="7"/>
  <c r="B63" i="7"/>
  <c r="D62" i="7"/>
  <c r="C62" i="7"/>
  <c r="B62" i="7"/>
  <c r="D61" i="7"/>
  <c r="B61" i="7"/>
  <c r="E60" i="7"/>
  <c r="F60" i="7" s="1"/>
  <c r="B60" i="7"/>
  <c r="C61" i="7" s="1"/>
  <c r="B59" i="7"/>
  <c r="B58" i="7"/>
  <c r="D57" i="7"/>
  <c r="C57" i="7"/>
  <c r="B57" i="7"/>
  <c r="C58" i="7" s="1"/>
  <c r="D58" i="7" s="1"/>
  <c r="B56" i="7"/>
  <c r="B55" i="7"/>
  <c r="C56" i="7" s="1"/>
  <c r="D56" i="7" s="1"/>
  <c r="E54" i="7"/>
  <c r="B54" i="7"/>
  <c r="B53" i="7"/>
  <c r="E52" i="7"/>
  <c r="C52" i="7"/>
  <c r="D52" i="7" s="1"/>
  <c r="B52" i="7"/>
  <c r="E55" i="7" s="1"/>
  <c r="B51" i="7"/>
  <c r="C51" i="7" s="1"/>
  <c r="D51" i="7" s="1"/>
  <c r="E50" i="7"/>
  <c r="C50" i="7"/>
  <c r="D50" i="7" s="1"/>
  <c r="B50" i="7"/>
  <c r="D49" i="7"/>
  <c r="C49" i="7"/>
  <c r="B49" i="7"/>
  <c r="D48" i="7"/>
  <c r="C48" i="7"/>
  <c r="B48" i="7"/>
  <c r="E51" i="7" s="1"/>
  <c r="B47" i="7"/>
  <c r="B46" i="7"/>
  <c r="E49" i="7" s="1"/>
  <c r="B45" i="7"/>
  <c r="B44" i="7"/>
  <c r="B43" i="7"/>
  <c r="E42" i="7"/>
  <c r="B42" i="7"/>
  <c r="B41" i="7"/>
  <c r="B40" i="7"/>
  <c r="C39" i="7"/>
  <c r="D39" i="7" s="1"/>
  <c r="B39" i="7"/>
  <c r="C40" i="7" s="1"/>
  <c r="D40" i="7" s="1"/>
  <c r="B38" i="7"/>
  <c r="B37" i="7"/>
  <c r="D36" i="7"/>
  <c r="C36" i="7"/>
  <c r="B36" i="7"/>
  <c r="B35" i="7"/>
  <c r="B34" i="7"/>
  <c r="B33" i="7"/>
  <c r="B32" i="7"/>
  <c r="B31" i="7"/>
  <c r="C30" i="7"/>
  <c r="D30" i="7" s="1"/>
  <c r="B30" i="7"/>
  <c r="E33" i="7" s="1"/>
  <c r="B29" i="7"/>
  <c r="B28" i="7"/>
  <c r="C29" i="7" s="1"/>
  <c r="D29" i="7" s="1"/>
  <c r="B27" i="7"/>
  <c r="E26" i="7"/>
  <c r="B26" i="7"/>
  <c r="B25" i="7"/>
  <c r="C25" i="7" s="1"/>
  <c r="D25" i="7" s="1"/>
  <c r="D24" i="7"/>
  <c r="B24" i="7"/>
  <c r="C23" i="7"/>
  <c r="D23" i="7" s="1"/>
  <c r="B23" i="7"/>
  <c r="C24" i="7" s="1"/>
  <c r="B22" i="7"/>
  <c r="B21" i="7"/>
  <c r="B20" i="7"/>
  <c r="B19" i="7"/>
  <c r="B18" i="7"/>
  <c r="B17" i="7"/>
  <c r="B16" i="7"/>
  <c r="F68" i="7" s="1"/>
  <c r="C15" i="7"/>
  <c r="D15" i="7" s="1"/>
  <c r="B15" i="7"/>
  <c r="C14" i="7"/>
  <c r="D14" i="7" s="1"/>
  <c r="B14" i="7"/>
  <c r="B13" i="7"/>
  <c r="B12" i="7"/>
  <c r="C11" i="7"/>
  <c r="D11" i="7" s="1"/>
  <c r="B11" i="7"/>
  <c r="B10" i="7"/>
  <c r="C9" i="7"/>
  <c r="D9" i="7" s="1"/>
  <c r="B9" i="7"/>
  <c r="C8" i="7"/>
  <c r="D8" i="7" s="1"/>
  <c r="B8" i="7"/>
  <c r="B7" i="7"/>
  <c r="B6" i="7"/>
  <c r="B760" i="6"/>
  <c r="C760" i="6" s="1"/>
  <c r="B759" i="6"/>
  <c r="C758" i="6"/>
  <c r="B758" i="6"/>
  <c r="B757" i="6"/>
  <c r="B756" i="6"/>
  <c r="C755" i="6"/>
  <c r="B755" i="6"/>
  <c r="C754" i="6"/>
  <c r="B754" i="6"/>
  <c r="B753" i="6"/>
  <c r="B752" i="6"/>
  <c r="B751" i="6"/>
  <c r="C751" i="6" s="1"/>
  <c r="C750" i="6"/>
  <c r="B750" i="6"/>
  <c r="B749" i="6"/>
  <c r="C748" i="6"/>
  <c r="B748" i="6"/>
  <c r="B747" i="6"/>
  <c r="C759" i="6" s="1"/>
  <c r="C746" i="6"/>
  <c r="B746" i="6"/>
  <c r="B745" i="6"/>
  <c r="C757" i="6" s="1"/>
  <c r="C744" i="6"/>
  <c r="B744" i="6"/>
  <c r="C756" i="6" s="1"/>
  <c r="B743" i="6"/>
  <c r="C742" i="6"/>
  <c r="B742" i="6"/>
  <c r="B741" i="6"/>
  <c r="B740" i="6"/>
  <c r="C752" i="6" s="1"/>
  <c r="C739" i="6"/>
  <c r="B739" i="6"/>
  <c r="C738" i="6"/>
  <c r="B738" i="6"/>
  <c r="B737" i="6"/>
  <c r="B736" i="6"/>
  <c r="C736" i="6" s="1"/>
  <c r="C735" i="6"/>
  <c r="B735" i="6"/>
  <c r="C747" i="6" s="1"/>
  <c r="C734" i="6"/>
  <c r="B734" i="6"/>
  <c r="B733" i="6"/>
  <c r="C732" i="6"/>
  <c r="B732" i="6"/>
  <c r="B731" i="6"/>
  <c r="C743" i="6" s="1"/>
  <c r="C730" i="6"/>
  <c r="B730" i="6"/>
  <c r="B729" i="6"/>
  <c r="B728" i="6"/>
  <c r="C728" i="6" s="1"/>
  <c r="B727" i="6"/>
  <c r="C727" i="6" s="1"/>
  <c r="C726" i="6"/>
  <c r="B726" i="6"/>
  <c r="B725" i="6"/>
  <c r="B724" i="6"/>
  <c r="C723" i="6"/>
  <c r="B723" i="6"/>
  <c r="C722" i="6"/>
  <c r="B722" i="6"/>
  <c r="B721" i="6"/>
  <c r="C733" i="6" s="1"/>
  <c r="B720" i="6"/>
  <c r="B719" i="6"/>
  <c r="C719" i="6" s="1"/>
  <c r="C718" i="6"/>
  <c r="B718" i="6"/>
  <c r="B717" i="6"/>
  <c r="C729" i="6" s="1"/>
  <c r="C716" i="6"/>
  <c r="B716" i="6"/>
  <c r="B715" i="6"/>
  <c r="C714" i="6"/>
  <c r="B714" i="6"/>
  <c r="B713" i="6"/>
  <c r="C725" i="6" s="1"/>
  <c r="C712" i="6"/>
  <c r="B712" i="6"/>
  <c r="C724" i="6" s="1"/>
  <c r="B711" i="6"/>
  <c r="C710" i="6"/>
  <c r="B710" i="6"/>
  <c r="B709" i="6"/>
  <c r="B708" i="6"/>
  <c r="C720" i="6" s="1"/>
  <c r="C707" i="6"/>
  <c r="B707" i="6"/>
  <c r="C706" i="6"/>
  <c r="B706" i="6"/>
  <c r="B705" i="6"/>
  <c r="B704" i="6"/>
  <c r="C704" i="6" s="1"/>
  <c r="C703" i="6"/>
  <c r="B703" i="6"/>
  <c r="C715" i="6" s="1"/>
  <c r="C702" i="6"/>
  <c r="B702" i="6"/>
  <c r="B701" i="6"/>
  <c r="B700" i="6"/>
  <c r="B699" i="6"/>
  <c r="C711" i="6" s="1"/>
  <c r="C698" i="6"/>
  <c r="B698" i="6"/>
  <c r="B697" i="6"/>
  <c r="B696" i="6"/>
  <c r="B695" i="6"/>
  <c r="B694" i="6"/>
  <c r="B693" i="6"/>
  <c r="C705" i="6" s="1"/>
  <c r="B692" i="6"/>
  <c r="B691" i="6"/>
  <c r="B690" i="6"/>
  <c r="B689" i="6"/>
  <c r="C701" i="6" s="1"/>
  <c r="C688" i="6"/>
  <c r="B688" i="6"/>
  <c r="C700" i="6" s="1"/>
  <c r="B687" i="6"/>
  <c r="B686" i="6"/>
  <c r="B685" i="6"/>
  <c r="C697" i="6" s="1"/>
  <c r="B684" i="6"/>
  <c r="C696" i="6" s="1"/>
  <c r="B683" i="6"/>
  <c r="C695" i="6" s="1"/>
  <c r="B682" i="6"/>
  <c r="C694" i="6" s="1"/>
  <c r="B681" i="6"/>
  <c r="B680" i="6"/>
  <c r="C692" i="6" s="1"/>
  <c r="B679" i="6"/>
  <c r="C691" i="6" s="1"/>
  <c r="B678" i="6"/>
  <c r="C690" i="6" s="1"/>
  <c r="B677" i="6"/>
  <c r="C689" i="6" s="1"/>
  <c r="B676" i="6"/>
  <c r="B675" i="6"/>
  <c r="C687" i="6" s="1"/>
  <c r="B674" i="6"/>
  <c r="C686" i="6" s="1"/>
  <c r="B673" i="6"/>
  <c r="C685" i="6" s="1"/>
  <c r="B672" i="6"/>
  <c r="C684" i="6" s="1"/>
  <c r="B671" i="6"/>
  <c r="B670" i="6"/>
  <c r="C682" i="6" s="1"/>
  <c r="B669" i="6"/>
  <c r="C681" i="6" s="1"/>
  <c r="B668" i="6"/>
  <c r="C680" i="6" s="1"/>
  <c r="B667" i="6"/>
  <c r="C679" i="6" s="1"/>
  <c r="B666" i="6"/>
  <c r="C678" i="6" s="1"/>
  <c r="B665" i="6"/>
  <c r="B664" i="6"/>
  <c r="C676" i="6" s="1"/>
  <c r="B663" i="6"/>
  <c r="C675" i="6" s="1"/>
  <c r="B662" i="6"/>
  <c r="C674" i="6" s="1"/>
  <c r="B661" i="6"/>
  <c r="C673" i="6" s="1"/>
  <c r="B660" i="6"/>
  <c r="B659" i="6"/>
  <c r="C671" i="6" s="1"/>
  <c r="B658" i="6"/>
  <c r="C670" i="6" s="1"/>
  <c r="B657" i="6"/>
  <c r="C669" i="6" s="1"/>
  <c r="B656" i="6"/>
  <c r="C668" i="6" s="1"/>
  <c r="B655" i="6"/>
  <c r="B654" i="6"/>
  <c r="C666" i="6" s="1"/>
  <c r="B653" i="6"/>
  <c r="C665" i="6" s="1"/>
  <c r="B652" i="6"/>
  <c r="C664" i="6" s="1"/>
  <c r="B651" i="6"/>
  <c r="C663" i="6" s="1"/>
  <c r="B650" i="6"/>
  <c r="C662" i="6" s="1"/>
  <c r="B649" i="6"/>
  <c r="B648" i="6"/>
  <c r="C660" i="6" s="1"/>
  <c r="B647" i="6"/>
  <c r="C659" i="6" s="1"/>
  <c r="B646" i="6"/>
  <c r="C658" i="6" s="1"/>
  <c r="B645" i="6"/>
  <c r="C657" i="6" s="1"/>
  <c r="B644" i="6"/>
  <c r="B643" i="6"/>
  <c r="C655" i="6" s="1"/>
  <c r="B642" i="6"/>
  <c r="C654" i="6" s="1"/>
  <c r="B641" i="6"/>
  <c r="C653" i="6" s="1"/>
  <c r="B640" i="6"/>
  <c r="C652" i="6" s="1"/>
  <c r="B639" i="6"/>
  <c r="B638" i="6"/>
  <c r="C650" i="6" s="1"/>
  <c r="B637" i="6"/>
  <c r="C649" i="6" s="1"/>
  <c r="B636" i="6"/>
  <c r="C648" i="6" s="1"/>
  <c r="B635" i="6"/>
  <c r="C647" i="6" s="1"/>
  <c r="B634" i="6"/>
  <c r="C646" i="6" s="1"/>
  <c r="B633" i="6"/>
  <c r="B632" i="6"/>
  <c r="C644" i="6" s="1"/>
  <c r="B631" i="6"/>
  <c r="C643" i="6" s="1"/>
  <c r="B630" i="6"/>
  <c r="C642" i="6" s="1"/>
  <c r="B629" i="6"/>
  <c r="C641" i="6" s="1"/>
  <c r="B628" i="6"/>
  <c r="B627" i="6"/>
  <c r="C639" i="6" s="1"/>
  <c r="B626" i="6"/>
  <c r="C638" i="6" s="1"/>
  <c r="B625" i="6"/>
  <c r="C637" i="6" s="1"/>
  <c r="B624" i="6"/>
  <c r="C636" i="6" s="1"/>
  <c r="B623" i="6"/>
  <c r="B622" i="6"/>
  <c r="C634" i="6" s="1"/>
  <c r="B621" i="6"/>
  <c r="C633" i="6" s="1"/>
  <c r="B620" i="6"/>
  <c r="C632" i="6" s="1"/>
  <c r="B619" i="6"/>
  <c r="C631" i="6" s="1"/>
  <c r="B618" i="6"/>
  <c r="C630" i="6" s="1"/>
  <c r="B617" i="6"/>
  <c r="B616" i="6"/>
  <c r="C628" i="6" s="1"/>
  <c r="B615" i="6"/>
  <c r="C627" i="6" s="1"/>
  <c r="B614" i="6"/>
  <c r="C626" i="6" s="1"/>
  <c r="B613" i="6"/>
  <c r="C625" i="6" s="1"/>
  <c r="B612" i="6"/>
  <c r="B611" i="6"/>
  <c r="C623" i="6" s="1"/>
  <c r="B610" i="6"/>
  <c r="C622" i="6" s="1"/>
  <c r="B609" i="6"/>
  <c r="C621" i="6" s="1"/>
  <c r="B608" i="6"/>
  <c r="C620" i="6" s="1"/>
  <c r="B607" i="6"/>
  <c r="B606" i="6"/>
  <c r="C618" i="6" s="1"/>
  <c r="B605" i="6"/>
  <c r="C617" i="6" s="1"/>
  <c r="B604" i="6"/>
  <c r="C616" i="6" s="1"/>
  <c r="B603" i="6"/>
  <c r="C615" i="6" s="1"/>
  <c r="B602" i="6"/>
  <c r="C614" i="6" s="1"/>
  <c r="B601" i="6"/>
  <c r="B600" i="6"/>
  <c r="C612" i="6" s="1"/>
  <c r="B599" i="6"/>
  <c r="C611" i="6" s="1"/>
  <c r="B598" i="6"/>
  <c r="C610" i="6" s="1"/>
  <c r="B597" i="6"/>
  <c r="C609" i="6" s="1"/>
  <c r="B596" i="6"/>
  <c r="B595" i="6"/>
  <c r="C607" i="6" s="1"/>
  <c r="B594" i="6"/>
  <c r="C606" i="6" s="1"/>
  <c r="B593" i="6"/>
  <c r="C605" i="6" s="1"/>
  <c r="B592" i="6"/>
  <c r="C604" i="6" s="1"/>
  <c r="B591" i="6"/>
  <c r="B590" i="6"/>
  <c r="C602" i="6" s="1"/>
  <c r="B589" i="6"/>
  <c r="C601" i="6" s="1"/>
  <c r="B588" i="6"/>
  <c r="C600" i="6" s="1"/>
  <c r="B587" i="6"/>
  <c r="C599" i="6" s="1"/>
  <c r="B586" i="6"/>
  <c r="C598" i="6" s="1"/>
  <c r="B585" i="6"/>
  <c r="B584" i="6"/>
  <c r="C596" i="6" s="1"/>
  <c r="B583" i="6"/>
  <c r="C595" i="6" s="1"/>
  <c r="B582" i="6"/>
  <c r="C594" i="6" s="1"/>
  <c r="B581" i="6"/>
  <c r="C593" i="6" s="1"/>
  <c r="B580" i="6"/>
  <c r="B579" i="6"/>
  <c r="C591" i="6" s="1"/>
  <c r="B578" i="6"/>
  <c r="C590" i="6" s="1"/>
  <c r="B577" i="6"/>
  <c r="C589" i="6" s="1"/>
  <c r="B576" i="6"/>
  <c r="C588" i="6" s="1"/>
  <c r="B575" i="6"/>
  <c r="B574" i="6"/>
  <c r="C586" i="6" s="1"/>
  <c r="B573" i="6"/>
  <c r="C585" i="6" s="1"/>
  <c r="B572" i="6"/>
  <c r="C584" i="6" s="1"/>
  <c r="B571" i="6"/>
  <c r="C583" i="6" s="1"/>
  <c r="B570" i="6"/>
  <c r="C582" i="6" s="1"/>
  <c r="B569" i="6"/>
  <c r="B568" i="6"/>
  <c r="C580" i="6" s="1"/>
  <c r="B567" i="6"/>
  <c r="C579" i="6" s="1"/>
  <c r="B566" i="6"/>
  <c r="C578" i="6" s="1"/>
  <c r="B565" i="6"/>
  <c r="C577" i="6" s="1"/>
  <c r="B564" i="6"/>
  <c r="B563" i="6"/>
  <c r="C575" i="6" s="1"/>
  <c r="B562" i="6"/>
  <c r="C574" i="6" s="1"/>
  <c r="B561" i="6"/>
  <c r="C573" i="6" s="1"/>
  <c r="B560" i="6"/>
  <c r="C572" i="6" s="1"/>
  <c r="B559" i="6"/>
  <c r="B558" i="6"/>
  <c r="C570" i="6" s="1"/>
  <c r="B557" i="6"/>
  <c r="C569" i="6" s="1"/>
  <c r="B556" i="6"/>
  <c r="C568" i="6" s="1"/>
  <c r="B555" i="6"/>
  <c r="C567" i="6" s="1"/>
  <c r="B554" i="6"/>
  <c r="C566" i="6" s="1"/>
  <c r="B553" i="6"/>
  <c r="B552" i="6"/>
  <c r="C564" i="6" s="1"/>
  <c r="B551" i="6"/>
  <c r="C563" i="6" s="1"/>
  <c r="B550" i="6"/>
  <c r="C562" i="6" s="1"/>
  <c r="B549" i="6"/>
  <c r="C561" i="6" s="1"/>
  <c r="B548" i="6"/>
  <c r="B547" i="6"/>
  <c r="C559" i="6" s="1"/>
  <c r="B546" i="6"/>
  <c r="C558" i="6" s="1"/>
  <c r="B545" i="6"/>
  <c r="C557" i="6" s="1"/>
  <c r="B544" i="6"/>
  <c r="C556" i="6" s="1"/>
  <c r="B543" i="6"/>
  <c r="B542" i="6"/>
  <c r="C554" i="6" s="1"/>
  <c r="B541" i="6"/>
  <c r="C553" i="6" s="1"/>
  <c r="B540" i="6"/>
  <c r="C552" i="6" s="1"/>
  <c r="B539" i="6"/>
  <c r="C551" i="6" s="1"/>
  <c r="B538" i="6"/>
  <c r="C550" i="6" s="1"/>
  <c r="B537" i="6"/>
  <c r="B536" i="6"/>
  <c r="C548" i="6" s="1"/>
  <c r="B535" i="6"/>
  <c r="C547" i="6" s="1"/>
  <c r="B534" i="6"/>
  <c r="C546" i="6" s="1"/>
  <c r="B533" i="6"/>
  <c r="C545" i="6" s="1"/>
  <c r="B532" i="6"/>
  <c r="B531" i="6"/>
  <c r="C543" i="6" s="1"/>
  <c r="B530" i="6"/>
  <c r="C542" i="6" s="1"/>
  <c r="B529" i="6"/>
  <c r="C541" i="6" s="1"/>
  <c r="B528" i="6"/>
  <c r="C540" i="6" s="1"/>
  <c r="B527" i="6"/>
  <c r="B526" i="6"/>
  <c r="C538" i="6" s="1"/>
  <c r="B525" i="6"/>
  <c r="C537" i="6" s="1"/>
  <c r="B524" i="6"/>
  <c r="C536" i="6" s="1"/>
  <c r="B523" i="6"/>
  <c r="C535" i="6" s="1"/>
  <c r="B522" i="6"/>
  <c r="C534" i="6" s="1"/>
  <c r="B521" i="6"/>
  <c r="B520" i="6"/>
  <c r="C532" i="6" s="1"/>
  <c r="B519" i="6"/>
  <c r="C531" i="6" s="1"/>
  <c r="B518" i="6"/>
  <c r="C530" i="6" s="1"/>
  <c r="B517" i="6"/>
  <c r="C529" i="6" s="1"/>
  <c r="B516" i="6"/>
  <c r="B515" i="6"/>
  <c r="C527" i="6" s="1"/>
  <c r="B514" i="6"/>
  <c r="C526" i="6" s="1"/>
  <c r="B513" i="6"/>
  <c r="C525" i="6" s="1"/>
  <c r="B512" i="6"/>
  <c r="C524" i="6" s="1"/>
  <c r="B511" i="6"/>
  <c r="B510" i="6"/>
  <c r="C522" i="6" s="1"/>
  <c r="B509" i="6"/>
  <c r="C521" i="6" s="1"/>
  <c r="B508" i="6"/>
  <c r="C520" i="6" s="1"/>
  <c r="B507" i="6"/>
  <c r="C519" i="6" s="1"/>
  <c r="B506" i="6"/>
  <c r="C518" i="6" s="1"/>
  <c r="B505" i="6"/>
  <c r="B504" i="6"/>
  <c r="C516" i="6" s="1"/>
  <c r="B503" i="6"/>
  <c r="C515" i="6" s="1"/>
  <c r="B502" i="6"/>
  <c r="C514" i="6" s="1"/>
  <c r="B501" i="6"/>
  <c r="C513" i="6" s="1"/>
  <c r="B500" i="6"/>
  <c r="B499" i="6"/>
  <c r="C511" i="6" s="1"/>
  <c r="B498" i="6"/>
  <c r="C510" i="6" s="1"/>
  <c r="B497" i="6"/>
  <c r="C509" i="6" s="1"/>
  <c r="B496" i="6"/>
  <c r="C508" i="6" s="1"/>
  <c r="B495" i="6"/>
  <c r="B494" i="6"/>
  <c r="C506" i="6" s="1"/>
  <c r="B493" i="6"/>
  <c r="C505" i="6" s="1"/>
  <c r="B492" i="6"/>
  <c r="C504" i="6" s="1"/>
  <c r="B491" i="6"/>
  <c r="C503" i="6" s="1"/>
  <c r="B490" i="6"/>
  <c r="C502" i="6" s="1"/>
  <c r="B489" i="6"/>
  <c r="B488" i="6"/>
  <c r="C500" i="6" s="1"/>
  <c r="B487" i="6"/>
  <c r="C499" i="6" s="1"/>
  <c r="B486" i="6"/>
  <c r="C498" i="6" s="1"/>
  <c r="B485" i="6"/>
  <c r="C497" i="6" s="1"/>
  <c r="B484" i="6"/>
  <c r="B483" i="6"/>
  <c r="C495" i="6" s="1"/>
  <c r="B482" i="6"/>
  <c r="C494" i="6" s="1"/>
  <c r="B481" i="6"/>
  <c r="C493" i="6" s="1"/>
  <c r="B480" i="6"/>
  <c r="C492" i="6" s="1"/>
  <c r="B479" i="6"/>
  <c r="B478" i="6"/>
  <c r="C490" i="6" s="1"/>
  <c r="B477" i="6"/>
  <c r="C489" i="6" s="1"/>
  <c r="B476" i="6"/>
  <c r="C488" i="6" s="1"/>
  <c r="B475" i="6"/>
  <c r="C487" i="6" s="1"/>
  <c r="B474" i="6"/>
  <c r="C486" i="6" s="1"/>
  <c r="B473" i="6"/>
  <c r="B472" i="6"/>
  <c r="C484" i="6" s="1"/>
  <c r="B471" i="6"/>
  <c r="C483" i="6" s="1"/>
  <c r="B470" i="6"/>
  <c r="C482" i="6" s="1"/>
  <c r="B469" i="6"/>
  <c r="C481" i="6" s="1"/>
  <c r="B468" i="6"/>
  <c r="B467" i="6"/>
  <c r="C479" i="6" s="1"/>
  <c r="B466" i="6"/>
  <c r="C478" i="6" s="1"/>
  <c r="B465" i="6"/>
  <c r="C477" i="6" s="1"/>
  <c r="B464" i="6"/>
  <c r="C476" i="6" s="1"/>
  <c r="B463" i="6"/>
  <c r="B462" i="6"/>
  <c r="C474" i="6" s="1"/>
  <c r="B461" i="6"/>
  <c r="C473" i="6" s="1"/>
  <c r="B460" i="6"/>
  <c r="C472" i="6" s="1"/>
  <c r="B459" i="6"/>
  <c r="C471" i="6" s="1"/>
  <c r="B458" i="6"/>
  <c r="C470" i="6" s="1"/>
  <c r="B457" i="6"/>
  <c r="B456" i="6"/>
  <c r="C468" i="6" s="1"/>
  <c r="B455" i="6"/>
  <c r="C467" i="6" s="1"/>
  <c r="B454" i="6"/>
  <c r="C466" i="6" s="1"/>
  <c r="B453" i="6"/>
  <c r="C465" i="6" s="1"/>
  <c r="B452" i="6"/>
  <c r="B451" i="6"/>
  <c r="C463" i="6" s="1"/>
  <c r="B450" i="6"/>
  <c r="C462" i="6" s="1"/>
  <c r="B449" i="6"/>
  <c r="C461" i="6" s="1"/>
  <c r="B448" i="6"/>
  <c r="C448" i="6" s="1"/>
  <c r="B447" i="6"/>
  <c r="B446" i="6"/>
  <c r="C458" i="6" s="1"/>
  <c r="B445" i="6"/>
  <c r="C457" i="6" s="1"/>
  <c r="B444" i="6"/>
  <c r="C456" i="6" s="1"/>
  <c r="B443" i="6"/>
  <c r="C443" i="6" s="1"/>
  <c r="B442" i="6"/>
  <c r="C454" i="6" s="1"/>
  <c r="B441" i="6"/>
  <c r="B440" i="6"/>
  <c r="C452" i="6" s="1"/>
  <c r="B439" i="6"/>
  <c r="C451" i="6" s="1"/>
  <c r="B438" i="6"/>
  <c r="C450" i="6" s="1"/>
  <c r="B437" i="6"/>
  <c r="C449" i="6" s="1"/>
  <c r="B436" i="6"/>
  <c r="B435" i="6"/>
  <c r="C447" i="6" s="1"/>
  <c r="B434" i="6"/>
  <c r="C446" i="6" s="1"/>
  <c r="B433" i="6"/>
  <c r="C445" i="6" s="1"/>
  <c r="B432" i="6"/>
  <c r="C444" i="6" s="1"/>
  <c r="B431" i="6"/>
  <c r="B430" i="6"/>
  <c r="C442" i="6" s="1"/>
  <c r="B429" i="6"/>
  <c r="C441" i="6" s="1"/>
  <c r="B428" i="6"/>
  <c r="C440" i="6" s="1"/>
  <c r="B427" i="6"/>
  <c r="C427" i="6" s="1"/>
  <c r="B426" i="6"/>
  <c r="C438" i="6" s="1"/>
  <c r="B425" i="6"/>
  <c r="B424" i="6"/>
  <c r="C436" i="6" s="1"/>
  <c r="B423" i="6"/>
  <c r="C435" i="6" s="1"/>
  <c r="B422" i="6"/>
  <c r="C434" i="6" s="1"/>
  <c r="B421" i="6"/>
  <c r="C433" i="6" s="1"/>
  <c r="B420" i="6"/>
  <c r="B419" i="6"/>
  <c r="C431" i="6" s="1"/>
  <c r="B418" i="6"/>
  <c r="C430" i="6" s="1"/>
  <c r="B417" i="6"/>
  <c r="C429" i="6" s="1"/>
  <c r="B416" i="6"/>
  <c r="C416" i="6" s="1"/>
  <c r="B415" i="6"/>
  <c r="B414" i="6"/>
  <c r="C426" i="6" s="1"/>
  <c r="B413" i="6"/>
  <c r="C425" i="6" s="1"/>
  <c r="B412" i="6"/>
  <c r="C424" i="6" s="1"/>
  <c r="B411" i="6"/>
  <c r="C423" i="6" s="1"/>
  <c r="B410" i="6"/>
  <c r="C422" i="6" s="1"/>
  <c r="B409" i="6"/>
  <c r="B408" i="6"/>
  <c r="C420" i="6" s="1"/>
  <c r="B407" i="6"/>
  <c r="C419" i="6" s="1"/>
  <c r="B406" i="6"/>
  <c r="C418" i="6" s="1"/>
  <c r="B405" i="6"/>
  <c r="C417" i="6" s="1"/>
  <c r="B404" i="6"/>
  <c r="B403" i="6"/>
  <c r="C415" i="6" s="1"/>
  <c r="B402" i="6"/>
  <c r="C414" i="6" s="1"/>
  <c r="B401" i="6"/>
  <c r="C413" i="6" s="1"/>
  <c r="B400" i="6"/>
  <c r="C412" i="6" s="1"/>
  <c r="B399" i="6"/>
  <c r="B398" i="6"/>
  <c r="C410" i="6" s="1"/>
  <c r="B397" i="6"/>
  <c r="C409" i="6" s="1"/>
  <c r="B396" i="6"/>
  <c r="C408" i="6" s="1"/>
  <c r="B395" i="6"/>
  <c r="C407" i="6" s="1"/>
  <c r="B394" i="6"/>
  <c r="C406" i="6" s="1"/>
  <c r="B393" i="6"/>
  <c r="B392" i="6"/>
  <c r="C404" i="6" s="1"/>
  <c r="B391" i="6"/>
  <c r="C403" i="6" s="1"/>
  <c r="B390" i="6"/>
  <c r="C402" i="6" s="1"/>
  <c r="B389" i="6"/>
  <c r="C401" i="6" s="1"/>
  <c r="B388" i="6"/>
  <c r="B387" i="6"/>
  <c r="C399" i="6" s="1"/>
  <c r="B386" i="6"/>
  <c r="C398" i="6" s="1"/>
  <c r="B385" i="6"/>
  <c r="C397" i="6" s="1"/>
  <c r="B384" i="6"/>
  <c r="C396" i="6" s="1"/>
  <c r="B383" i="6"/>
  <c r="B382" i="6"/>
  <c r="C394" i="6" s="1"/>
  <c r="B381" i="6"/>
  <c r="C393" i="6" s="1"/>
  <c r="B380" i="6"/>
  <c r="C392" i="6" s="1"/>
  <c r="B379" i="6"/>
  <c r="C391" i="6" s="1"/>
  <c r="B378" i="6"/>
  <c r="C390" i="6" s="1"/>
  <c r="B377" i="6"/>
  <c r="B376" i="6"/>
  <c r="C388" i="6" s="1"/>
  <c r="B375" i="6"/>
  <c r="C387" i="6" s="1"/>
  <c r="B374" i="6"/>
  <c r="C386" i="6" s="1"/>
  <c r="B373" i="6"/>
  <c r="C385" i="6" s="1"/>
  <c r="B372" i="6"/>
  <c r="B371" i="6"/>
  <c r="C383" i="6" s="1"/>
  <c r="B370" i="6"/>
  <c r="C382" i="6" s="1"/>
  <c r="B369" i="6"/>
  <c r="C381" i="6" s="1"/>
  <c r="B368" i="6"/>
  <c r="C368" i="6" s="1"/>
  <c r="B367" i="6"/>
  <c r="B366" i="6"/>
  <c r="C378" i="6" s="1"/>
  <c r="B365" i="6"/>
  <c r="C377" i="6" s="1"/>
  <c r="B364" i="6"/>
  <c r="C376" i="6" s="1"/>
  <c r="B363" i="6"/>
  <c r="C363" i="6" s="1"/>
  <c r="B362" i="6"/>
  <c r="C374" i="6" s="1"/>
  <c r="B361" i="6"/>
  <c r="B360" i="6"/>
  <c r="C372" i="6" s="1"/>
  <c r="B359" i="6"/>
  <c r="C371" i="6" s="1"/>
  <c r="B358" i="6"/>
  <c r="C370" i="6" s="1"/>
  <c r="B357" i="6"/>
  <c r="C369" i="6" s="1"/>
  <c r="B356" i="6"/>
  <c r="B355" i="6"/>
  <c r="C367" i="6" s="1"/>
  <c r="B354" i="6"/>
  <c r="C366" i="6" s="1"/>
  <c r="B353" i="6"/>
  <c r="C365" i="6" s="1"/>
  <c r="B352" i="6"/>
  <c r="C364" i="6" s="1"/>
  <c r="B351" i="6"/>
  <c r="B350" i="6"/>
  <c r="C362" i="6" s="1"/>
  <c r="B349" i="6"/>
  <c r="C361" i="6" s="1"/>
  <c r="B348" i="6"/>
  <c r="C360" i="6" s="1"/>
  <c r="B347" i="6"/>
  <c r="C347" i="6" s="1"/>
  <c r="B346" i="6"/>
  <c r="C358" i="6" s="1"/>
  <c r="B345" i="6"/>
  <c r="B344" i="6"/>
  <c r="C356" i="6" s="1"/>
  <c r="B343" i="6"/>
  <c r="C355" i="6" s="1"/>
  <c r="B342" i="6"/>
  <c r="C354" i="6" s="1"/>
  <c r="B341" i="6"/>
  <c r="C353" i="6" s="1"/>
  <c r="B340" i="6"/>
  <c r="B339" i="6"/>
  <c r="C351" i="6" s="1"/>
  <c r="B338" i="6"/>
  <c r="C350" i="6" s="1"/>
  <c r="B337" i="6"/>
  <c r="C349" i="6" s="1"/>
  <c r="B336" i="6"/>
  <c r="C348" i="6" s="1"/>
  <c r="B335" i="6"/>
  <c r="B334" i="6"/>
  <c r="C346" i="6" s="1"/>
  <c r="B333" i="6"/>
  <c r="C345" i="6" s="1"/>
  <c r="B332" i="6"/>
  <c r="C344" i="6" s="1"/>
  <c r="B331" i="6"/>
  <c r="C331" i="6" s="1"/>
  <c r="B330" i="6"/>
  <c r="C342" i="6" s="1"/>
  <c r="B329" i="6"/>
  <c r="B328" i="6"/>
  <c r="C340" i="6" s="1"/>
  <c r="B327" i="6"/>
  <c r="C339" i="6" s="1"/>
  <c r="B326" i="6"/>
  <c r="C338" i="6" s="1"/>
  <c r="B325" i="6"/>
  <c r="C337" i="6" s="1"/>
  <c r="B324" i="6"/>
  <c r="B323" i="6"/>
  <c r="C335" i="6" s="1"/>
  <c r="B322" i="6"/>
  <c r="C334" i="6" s="1"/>
  <c r="B321" i="6"/>
  <c r="C333" i="6" s="1"/>
  <c r="B320" i="6"/>
  <c r="C332" i="6" s="1"/>
  <c r="B319" i="6"/>
  <c r="B318" i="6"/>
  <c r="C330" i="6" s="1"/>
  <c r="B317" i="6"/>
  <c r="C329" i="6" s="1"/>
  <c r="B316" i="6"/>
  <c r="C328" i="6" s="1"/>
  <c r="B315" i="6"/>
  <c r="C315" i="6" s="1"/>
  <c r="B314" i="6"/>
  <c r="C326" i="6" s="1"/>
  <c r="B313" i="6"/>
  <c r="B312" i="6"/>
  <c r="C324" i="6" s="1"/>
  <c r="B311" i="6"/>
  <c r="C323" i="6" s="1"/>
  <c r="B310" i="6"/>
  <c r="C322" i="6" s="1"/>
  <c r="B309" i="6"/>
  <c r="C321" i="6" s="1"/>
  <c r="B308" i="6"/>
  <c r="B307" i="6"/>
  <c r="C319" i="6" s="1"/>
  <c r="B306" i="6"/>
  <c r="C318" i="6" s="1"/>
  <c r="B305" i="6"/>
  <c r="C317" i="6" s="1"/>
  <c r="B304" i="6"/>
  <c r="C304" i="6" s="1"/>
  <c r="B303" i="6"/>
  <c r="B302" i="6"/>
  <c r="C314" i="6" s="1"/>
  <c r="B301" i="6"/>
  <c r="C313" i="6" s="1"/>
  <c r="B300" i="6"/>
  <c r="C312" i="6" s="1"/>
  <c r="B299" i="6"/>
  <c r="C311" i="6" s="1"/>
  <c r="B298" i="6"/>
  <c r="B297" i="6"/>
  <c r="B296" i="6"/>
  <c r="C308" i="6" s="1"/>
  <c r="B295" i="6"/>
  <c r="C307" i="6" s="1"/>
  <c r="B294" i="6"/>
  <c r="C306" i="6" s="1"/>
  <c r="B293" i="6"/>
  <c r="C305" i="6" s="1"/>
  <c r="B292" i="6"/>
  <c r="B291" i="6"/>
  <c r="C303" i="6" s="1"/>
  <c r="B290" i="6"/>
  <c r="C302" i="6" s="1"/>
  <c r="B289" i="6"/>
  <c r="C301" i="6" s="1"/>
  <c r="B288" i="6"/>
  <c r="C300" i="6" s="1"/>
  <c r="B287" i="6"/>
  <c r="B286" i="6"/>
  <c r="C298" i="6" s="1"/>
  <c r="B285" i="6"/>
  <c r="C297" i="6" s="1"/>
  <c r="B284" i="6"/>
  <c r="C296" i="6" s="1"/>
  <c r="B283" i="6"/>
  <c r="C283" i="6" s="1"/>
  <c r="B282" i="6"/>
  <c r="B281" i="6"/>
  <c r="B280" i="6"/>
  <c r="C292" i="6" s="1"/>
  <c r="B279" i="6"/>
  <c r="C291" i="6" s="1"/>
  <c r="B278" i="6"/>
  <c r="C290" i="6" s="1"/>
  <c r="B277" i="6"/>
  <c r="C289" i="6" s="1"/>
  <c r="B276" i="6"/>
  <c r="B275" i="6"/>
  <c r="C287" i="6" s="1"/>
  <c r="B274" i="6"/>
  <c r="C286" i="6" s="1"/>
  <c r="B273" i="6"/>
  <c r="C285" i="6" s="1"/>
  <c r="B272" i="6"/>
  <c r="C272" i="6" s="1"/>
  <c r="B271" i="6"/>
  <c r="B270" i="6"/>
  <c r="C282" i="6" s="1"/>
  <c r="B269" i="6"/>
  <c r="C281" i="6" s="1"/>
  <c r="B268" i="6"/>
  <c r="C280" i="6" s="1"/>
  <c r="B267" i="6"/>
  <c r="C279" i="6" s="1"/>
  <c r="B266" i="6"/>
  <c r="B265" i="6"/>
  <c r="B264" i="6"/>
  <c r="C276" i="6" s="1"/>
  <c r="B263" i="6"/>
  <c r="C275" i="6" s="1"/>
  <c r="B262" i="6"/>
  <c r="C274" i="6" s="1"/>
  <c r="B261" i="6"/>
  <c r="C273" i="6" s="1"/>
  <c r="B260" i="6"/>
  <c r="B259" i="6"/>
  <c r="C271" i="6" s="1"/>
  <c r="B258" i="6"/>
  <c r="C270" i="6" s="1"/>
  <c r="B257" i="6"/>
  <c r="C269" i="6" s="1"/>
  <c r="B256" i="6"/>
  <c r="C256" i="6" s="1"/>
  <c r="B255" i="6"/>
  <c r="B254" i="6"/>
  <c r="C266" i="6" s="1"/>
  <c r="B253" i="6"/>
  <c r="C265" i="6" s="1"/>
  <c r="B252" i="6"/>
  <c r="C264" i="6" s="1"/>
  <c r="B251" i="6"/>
  <c r="C251" i="6" s="1"/>
  <c r="B250" i="6"/>
  <c r="B249" i="6"/>
  <c r="B248" i="6"/>
  <c r="C260" i="6" s="1"/>
  <c r="B247" i="6"/>
  <c r="C259" i="6" s="1"/>
  <c r="B246" i="6"/>
  <c r="C258" i="6" s="1"/>
  <c r="B245" i="6"/>
  <c r="C257" i="6" s="1"/>
  <c r="B244" i="6"/>
  <c r="B243" i="6"/>
  <c r="C255" i="6" s="1"/>
  <c r="B242" i="6"/>
  <c r="C254" i="6" s="1"/>
  <c r="B241" i="6"/>
  <c r="C253" i="6" s="1"/>
  <c r="B240" i="6"/>
  <c r="C240" i="6" s="1"/>
  <c r="B239" i="6"/>
  <c r="B238" i="6"/>
  <c r="C250" i="6" s="1"/>
  <c r="B237" i="6"/>
  <c r="C249" i="6" s="1"/>
  <c r="B236" i="6"/>
  <c r="C248" i="6" s="1"/>
  <c r="B235" i="6"/>
  <c r="C247" i="6" s="1"/>
  <c r="B234" i="6"/>
  <c r="B233" i="6"/>
  <c r="B232" i="6"/>
  <c r="C244" i="6" s="1"/>
  <c r="B231" i="6"/>
  <c r="C243" i="6" s="1"/>
  <c r="B230" i="6"/>
  <c r="C242" i="6" s="1"/>
  <c r="B229" i="6"/>
  <c r="C241" i="6" s="1"/>
  <c r="B228" i="6"/>
  <c r="B227" i="6"/>
  <c r="C239" i="6" s="1"/>
  <c r="B226" i="6"/>
  <c r="C238" i="6" s="1"/>
  <c r="B225" i="6"/>
  <c r="C237" i="6" s="1"/>
  <c r="B224" i="6"/>
  <c r="C224" i="6" s="1"/>
  <c r="B223" i="6"/>
  <c r="B222" i="6"/>
  <c r="C234" i="6" s="1"/>
  <c r="B221" i="6"/>
  <c r="C233" i="6" s="1"/>
  <c r="B220" i="6"/>
  <c r="C232" i="6" s="1"/>
  <c r="B219" i="6"/>
  <c r="C231" i="6" s="1"/>
  <c r="B218" i="6"/>
  <c r="B217" i="6"/>
  <c r="B216" i="6"/>
  <c r="C228" i="6" s="1"/>
  <c r="B215" i="6"/>
  <c r="C227" i="6" s="1"/>
  <c r="B214" i="6"/>
  <c r="C226" i="6" s="1"/>
  <c r="B213" i="6"/>
  <c r="C225" i="6" s="1"/>
  <c r="B212" i="6"/>
  <c r="B211" i="6"/>
  <c r="C223" i="6" s="1"/>
  <c r="B210" i="6"/>
  <c r="C222" i="6" s="1"/>
  <c r="B209" i="6"/>
  <c r="C221" i="6" s="1"/>
  <c r="B208" i="6"/>
  <c r="C208" i="6" s="1"/>
  <c r="B207" i="6"/>
  <c r="B206" i="6"/>
  <c r="C218" i="6" s="1"/>
  <c r="B205" i="6"/>
  <c r="C217" i="6" s="1"/>
  <c r="B204" i="6"/>
  <c r="C216" i="6" s="1"/>
  <c r="B203" i="6"/>
  <c r="C203" i="6" s="1"/>
  <c r="B202" i="6"/>
  <c r="B201" i="6"/>
  <c r="B200" i="6"/>
  <c r="C212" i="6" s="1"/>
  <c r="B199" i="6"/>
  <c r="C211" i="6" s="1"/>
  <c r="B198" i="6"/>
  <c r="C210" i="6" s="1"/>
  <c r="B197" i="6"/>
  <c r="C209" i="6" s="1"/>
  <c r="B196" i="6"/>
  <c r="B195" i="6"/>
  <c r="C207" i="6" s="1"/>
  <c r="B194" i="6"/>
  <c r="C206" i="6" s="1"/>
  <c r="B193" i="6"/>
  <c r="C205" i="6" s="1"/>
  <c r="B192" i="6"/>
  <c r="C192" i="6" s="1"/>
  <c r="B191" i="6"/>
  <c r="B190" i="6"/>
  <c r="C202" i="6" s="1"/>
  <c r="B189" i="6"/>
  <c r="C201" i="6" s="1"/>
  <c r="B188" i="6"/>
  <c r="C200" i="6" s="1"/>
  <c r="B187" i="6"/>
  <c r="C199" i="6" s="1"/>
  <c r="B186" i="6"/>
  <c r="B185" i="6"/>
  <c r="B184" i="6"/>
  <c r="C196" i="6" s="1"/>
  <c r="B183" i="6"/>
  <c r="C195" i="6" s="1"/>
  <c r="B182" i="6"/>
  <c r="C194" i="6" s="1"/>
  <c r="B181" i="6"/>
  <c r="C193" i="6" s="1"/>
  <c r="B180" i="6"/>
  <c r="B179" i="6"/>
  <c r="C191" i="6" s="1"/>
  <c r="B178" i="6"/>
  <c r="C190" i="6" s="1"/>
  <c r="B177" i="6"/>
  <c r="C189" i="6" s="1"/>
  <c r="B176" i="6"/>
  <c r="C188" i="6" s="1"/>
  <c r="B175" i="6"/>
  <c r="B174" i="6"/>
  <c r="C186" i="6" s="1"/>
  <c r="B173" i="6"/>
  <c r="C185" i="6" s="1"/>
  <c r="B172" i="6"/>
  <c r="C184" i="6" s="1"/>
  <c r="B171" i="6"/>
  <c r="C171" i="6" s="1"/>
  <c r="B170" i="6"/>
  <c r="B169" i="6"/>
  <c r="B168" i="6"/>
  <c r="C180" i="6" s="1"/>
  <c r="B167" i="6"/>
  <c r="C179" i="6" s="1"/>
  <c r="B166" i="6"/>
  <c r="C178" i="6" s="1"/>
  <c r="B165" i="6"/>
  <c r="C177" i="6" s="1"/>
  <c r="B164" i="6"/>
  <c r="B163" i="6"/>
  <c r="C175" i="6" s="1"/>
  <c r="B162" i="6"/>
  <c r="C174" i="6" s="1"/>
  <c r="B161" i="6"/>
  <c r="C173" i="6" s="1"/>
  <c r="B160" i="6"/>
  <c r="C160" i="6" s="1"/>
  <c r="B159" i="6"/>
  <c r="B158" i="6"/>
  <c r="C170" i="6" s="1"/>
  <c r="B157" i="6"/>
  <c r="C169" i="6" s="1"/>
  <c r="B156" i="6"/>
  <c r="C168" i="6" s="1"/>
  <c r="B155" i="6"/>
  <c r="C155" i="6" s="1"/>
  <c r="B154" i="6"/>
  <c r="B153" i="6"/>
  <c r="B152" i="6"/>
  <c r="C164" i="6" s="1"/>
  <c r="B151" i="6"/>
  <c r="C163" i="6" s="1"/>
  <c r="B150" i="6"/>
  <c r="C162" i="6" s="1"/>
  <c r="B149" i="6"/>
  <c r="C161" i="6" s="1"/>
  <c r="B148" i="6"/>
  <c r="B147" i="6"/>
  <c r="C159" i="6" s="1"/>
  <c r="B146" i="6"/>
  <c r="C158" i="6" s="1"/>
  <c r="B145" i="6"/>
  <c r="C157" i="6" s="1"/>
  <c r="B144" i="6"/>
  <c r="C156" i="6" s="1"/>
  <c r="B143" i="6"/>
  <c r="B142" i="6"/>
  <c r="C154" i="6" s="1"/>
  <c r="B141" i="6"/>
  <c r="C153" i="6" s="1"/>
  <c r="B140" i="6"/>
  <c r="C152" i="6" s="1"/>
  <c r="B139" i="6"/>
  <c r="C139" i="6" s="1"/>
  <c r="B138" i="6"/>
  <c r="B137" i="6"/>
  <c r="B136" i="6"/>
  <c r="C148" i="6" s="1"/>
  <c r="B135" i="6"/>
  <c r="C147" i="6" s="1"/>
  <c r="B134" i="6"/>
  <c r="C146" i="6" s="1"/>
  <c r="B133" i="6"/>
  <c r="C145" i="6" s="1"/>
  <c r="B132" i="6"/>
  <c r="B131" i="6"/>
  <c r="C143" i="6" s="1"/>
  <c r="B130" i="6"/>
  <c r="C142" i="6" s="1"/>
  <c r="B129" i="6"/>
  <c r="C141" i="6" s="1"/>
  <c r="B128" i="6"/>
  <c r="C140" i="6" s="1"/>
  <c r="B127" i="6"/>
  <c r="B126" i="6"/>
  <c r="C138" i="6" s="1"/>
  <c r="B125" i="6"/>
  <c r="C137" i="6" s="1"/>
  <c r="B124" i="6"/>
  <c r="C136" i="6" s="1"/>
  <c r="B123" i="6"/>
  <c r="C123" i="6" s="1"/>
  <c r="B122" i="6"/>
  <c r="B121" i="6"/>
  <c r="B120" i="6"/>
  <c r="C132" i="6" s="1"/>
  <c r="B119" i="6"/>
  <c r="C131" i="6" s="1"/>
  <c r="B118" i="6"/>
  <c r="C130" i="6" s="1"/>
  <c r="B117" i="6"/>
  <c r="C129" i="6" s="1"/>
  <c r="B116" i="6"/>
  <c r="B115" i="6"/>
  <c r="C127" i="6" s="1"/>
  <c r="B114" i="6"/>
  <c r="C126" i="6" s="1"/>
  <c r="B113" i="6"/>
  <c r="C125" i="6" s="1"/>
  <c r="B112" i="6"/>
  <c r="C124" i="6" s="1"/>
  <c r="B111" i="6"/>
  <c r="B110" i="6"/>
  <c r="C122" i="6" s="1"/>
  <c r="B109" i="6"/>
  <c r="C121" i="6" s="1"/>
  <c r="B108" i="6"/>
  <c r="C120" i="6" s="1"/>
  <c r="B107" i="6"/>
  <c r="C107" i="6" s="1"/>
  <c r="B106" i="6"/>
  <c r="B105" i="6"/>
  <c r="B104" i="6"/>
  <c r="C116" i="6" s="1"/>
  <c r="B103" i="6"/>
  <c r="C115" i="6" s="1"/>
  <c r="B102" i="6"/>
  <c r="C114" i="6" s="1"/>
  <c r="B101" i="6"/>
  <c r="C113" i="6" s="1"/>
  <c r="B100" i="6"/>
  <c r="B99" i="6"/>
  <c r="C111" i="6" s="1"/>
  <c r="B98" i="6"/>
  <c r="C110" i="6" s="1"/>
  <c r="B97" i="6"/>
  <c r="C109" i="6" s="1"/>
  <c r="B96" i="6"/>
  <c r="C108" i="6" s="1"/>
  <c r="B95" i="6"/>
  <c r="B94" i="6"/>
  <c r="C106" i="6" s="1"/>
  <c r="B93" i="6"/>
  <c r="C105" i="6" s="1"/>
  <c r="B92" i="6"/>
  <c r="C104" i="6" s="1"/>
  <c r="B91" i="6"/>
  <c r="C91" i="6" s="1"/>
  <c r="B90" i="6"/>
  <c r="B89" i="6"/>
  <c r="B88" i="6"/>
  <c r="C100" i="6" s="1"/>
  <c r="B87" i="6"/>
  <c r="C99" i="6" s="1"/>
  <c r="B86" i="6"/>
  <c r="C98" i="6" s="1"/>
  <c r="B85" i="6"/>
  <c r="C97" i="6" s="1"/>
  <c r="B84" i="6"/>
  <c r="B83" i="6"/>
  <c r="C95" i="6" s="1"/>
  <c r="B82" i="6"/>
  <c r="C94" i="6" s="1"/>
  <c r="B81" i="6"/>
  <c r="C93" i="6" s="1"/>
  <c r="B80" i="6"/>
  <c r="C80" i="6" s="1"/>
  <c r="B79" i="6"/>
  <c r="B78" i="6"/>
  <c r="C90" i="6" s="1"/>
  <c r="B77" i="6"/>
  <c r="C89" i="6" s="1"/>
  <c r="B76" i="6"/>
  <c r="C88" i="6" s="1"/>
  <c r="B75" i="6"/>
  <c r="C87" i="6" s="1"/>
  <c r="B74" i="6"/>
  <c r="B73" i="6"/>
  <c r="B72" i="6"/>
  <c r="C84" i="6" s="1"/>
  <c r="B71" i="6"/>
  <c r="C83" i="6" s="1"/>
  <c r="B70" i="6"/>
  <c r="C82" i="6" s="1"/>
  <c r="B69" i="6"/>
  <c r="C81" i="6" s="1"/>
  <c r="B68" i="6"/>
  <c r="B67" i="6"/>
  <c r="C79" i="6" s="1"/>
  <c r="B66" i="6"/>
  <c r="C78" i="6" s="1"/>
  <c r="B65" i="6"/>
  <c r="C77" i="6" s="1"/>
  <c r="B64" i="6"/>
  <c r="C64" i="6" s="1"/>
  <c r="B63" i="6"/>
  <c r="B62" i="6"/>
  <c r="C74" i="6" s="1"/>
  <c r="B61" i="6"/>
  <c r="C73" i="6" s="1"/>
  <c r="B60" i="6"/>
  <c r="C72" i="6" s="1"/>
  <c r="B59" i="6"/>
  <c r="C71" i="6" s="1"/>
  <c r="B58" i="6"/>
  <c r="B57" i="6"/>
  <c r="B56" i="6"/>
  <c r="C68" i="6" s="1"/>
  <c r="B55" i="6"/>
  <c r="C67" i="6" s="1"/>
  <c r="B54" i="6"/>
  <c r="C66" i="6" s="1"/>
  <c r="B53" i="6"/>
  <c r="C65" i="6" s="1"/>
  <c r="B52" i="6"/>
  <c r="B51" i="6"/>
  <c r="C63" i="6" s="1"/>
  <c r="B50" i="6"/>
  <c r="C62" i="6" s="1"/>
  <c r="B49" i="6"/>
  <c r="C61" i="6" s="1"/>
  <c r="B48" i="6"/>
  <c r="C48" i="6" s="1"/>
  <c r="B47" i="6"/>
  <c r="B46" i="6"/>
  <c r="C58" i="6" s="1"/>
  <c r="B45" i="6"/>
  <c r="C57" i="6" s="1"/>
  <c r="B44" i="6"/>
  <c r="C56" i="6" s="1"/>
  <c r="B43" i="6"/>
  <c r="C43" i="6" s="1"/>
  <c r="B42" i="6"/>
  <c r="B41" i="6"/>
  <c r="B40" i="6"/>
  <c r="C52" i="6" s="1"/>
  <c r="B39" i="6"/>
  <c r="C51" i="6" s="1"/>
  <c r="B38" i="6"/>
  <c r="C50" i="6" s="1"/>
  <c r="B37" i="6"/>
  <c r="C49" i="6" s="1"/>
  <c r="B36" i="6"/>
  <c r="B35" i="6"/>
  <c r="C47" i="6" s="1"/>
  <c r="B34" i="6"/>
  <c r="C46" i="6" s="1"/>
  <c r="B33" i="6"/>
  <c r="C45" i="6" s="1"/>
  <c r="B32" i="6"/>
  <c r="C44" i="6" s="1"/>
  <c r="B31" i="6"/>
  <c r="B30" i="6"/>
  <c r="C42" i="6" s="1"/>
  <c r="B29" i="6"/>
  <c r="C41" i="6" s="1"/>
  <c r="B28" i="6"/>
  <c r="C40" i="6" s="1"/>
  <c r="B27" i="6"/>
  <c r="C39" i="6" s="1"/>
  <c r="B26" i="6"/>
  <c r="B25" i="6"/>
  <c r="B24" i="6"/>
  <c r="C36" i="6" s="1"/>
  <c r="B23" i="6"/>
  <c r="C35" i="6" s="1"/>
  <c r="B22" i="6"/>
  <c r="C34" i="6" s="1"/>
  <c r="B21" i="6"/>
  <c r="C33" i="6" s="1"/>
  <c r="B20" i="6"/>
  <c r="B19" i="6"/>
  <c r="C31" i="6" s="1"/>
  <c r="B18" i="6"/>
  <c r="C30" i="6" s="1"/>
  <c r="B17" i="6"/>
  <c r="C29" i="6" s="1"/>
  <c r="B16" i="6"/>
  <c r="C28" i="6" s="1"/>
  <c r="B15" i="6"/>
  <c r="C27" i="6" s="1"/>
  <c r="B14" i="6"/>
  <c r="C26" i="6" s="1"/>
  <c r="B13" i="6"/>
  <c r="C25" i="6" s="1"/>
  <c r="B12" i="6"/>
  <c r="C24" i="6" s="1"/>
  <c r="B11" i="6"/>
  <c r="B10" i="6"/>
  <c r="B9" i="6"/>
  <c r="B8" i="6"/>
  <c r="C20" i="6" s="1"/>
  <c r="B7" i="6"/>
  <c r="C19" i="6" s="1"/>
  <c r="B6" i="6"/>
  <c r="C760" i="5"/>
  <c r="B760" i="5"/>
  <c r="B759" i="5"/>
  <c r="B758" i="5"/>
  <c r="B757" i="5"/>
  <c r="C757" i="5" s="1"/>
  <c r="C756" i="5"/>
  <c r="B756" i="5"/>
  <c r="B755" i="5"/>
  <c r="B754" i="5"/>
  <c r="B753" i="5"/>
  <c r="B752" i="5"/>
  <c r="C752" i="5" s="1"/>
  <c r="B751" i="5"/>
  <c r="B750" i="5"/>
  <c r="C749" i="5"/>
  <c r="B749" i="5"/>
  <c r="B748" i="5"/>
  <c r="B747" i="5"/>
  <c r="C759" i="5" s="1"/>
  <c r="B746" i="5"/>
  <c r="C758" i="5" s="1"/>
  <c r="C745" i="5"/>
  <c r="B745" i="5"/>
  <c r="C744" i="5"/>
  <c r="B744" i="5"/>
  <c r="B743" i="5"/>
  <c r="C755" i="5" s="1"/>
  <c r="B742" i="5"/>
  <c r="C754" i="5" s="1"/>
  <c r="B741" i="5"/>
  <c r="C741" i="5" s="1"/>
  <c r="C740" i="5"/>
  <c r="B740" i="5"/>
  <c r="B739" i="5"/>
  <c r="B738" i="5"/>
  <c r="C750" i="5" s="1"/>
  <c r="B737" i="5"/>
  <c r="B736" i="5"/>
  <c r="C748" i="5" s="1"/>
  <c r="B735" i="5"/>
  <c r="C747" i="5" s="1"/>
  <c r="B734" i="5"/>
  <c r="C733" i="5"/>
  <c r="B733" i="5"/>
  <c r="B732" i="5"/>
  <c r="B731" i="5"/>
  <c r="C743" i="5" s="1"/>
  <c r="B730" i="5"/>
  <c r="C742" i="5" s="1"/>
  <c r="C729" i="5"/>
  <c r="B729" i="5"/>
  <c r="C728" i="5"/>
  <c r="B728" i="5"/>
  <c r="B727" i="5"/>
  <c r="C739" i="5" s="1"/>
  <c r="B726" i="5"/>
  <c r="C738" i="5" s="1"/>
  <c r="B725" i="5"/>
  <c r="C737" i="5" s="1"/>
  <c r="C724" i="5"/>
  <c r="B724" i="5"/>
  <c r="B723" i="5"/>
  <c r="B722" i="5"/>
  <c r="C734" i="5" s="1"/>
  <c r="B721" i="5"/>
  <c r="B720" i="5"/>
  <c r="C732" i="5" s="1"/>
  <c r="B719" i="5"/>
  <c r="C731" i="5" s="1"/>
  <c r="B718" i="5"/>
  <c r="C717" i="5"/>
  <c r="B717" i="5"/>
  <c r="B716" i="5"/>
  <c r="B715" i="5"/>
  <c r="C727" i="5" s="1"/>
  <c r="B714" i="5"/>
  <c r="C726" i="5" s="1"/>
  <c r="C713" i="5"/>
  <c r="B713" i="5"/>
  <c r="C712" i="5"/>
  <c r="B712" i="5"/>
  <c r="B711" i="5"/>
  <c r="C723" i="5" s="1"/>
  <c r="B710" i="5"/>
  <c r="C722" i="5" s="1"/>
  <c r="B709" i="5"/>
  <c r="C721" i="5" s="1"/>
  <c r="C708" i="5"/>
  <c r="B708" i="5"/>
  <c r="B707" i="5"/>
  <c r="B706" i="5"/>
  <c r="C718" i="5" s="1"/>
  <c r="B705" i="5"/>
  <c r="B704" i="5"/>
  <c r="C716" i="5" s="1"/>
  <c r="B703" i="5"/>
  <c r="C715" i="5" s="1"/>
  <c r="B702" i="5"/>
  <c r="C701" i="5"/>
  <c r="B701" i="5"/>
  <c r="B700" i="5"/>
  <c r="B699" i="5"/>
  <c r="C711" i="5" s="1"/>
  <c r="B698" i="5"/>
  <c r="C710" i="5" s="1"/>
  <c r="C697" i="5"/>
  <c r="B697" i="5"/>
  <c r="C696" i="5"/>
  <c r="B696" i="5"/>
  <c r="B695" i="5"/>
  <c r="C707" i="5" s="1"/>
  <c r="B694" i="5"/>
  <c r="C706" i="5" s="1"/>
  <c r="B693" i="5"/>
  <c r="C705" i="5" s="1"/>
  <c r="C692" i="5"/>
  <c r="B692" i="5"/>
  <c r="B691" i="5"/>
  <c r="B690" i="5"/>
  <c r="C702" i="5" s="1"/>
  <c r="B689" i="5"/>
  <c r="B688" i="5"/>
  <c r="C700" i="5" s="1"/>
  <c r="B687" i="5"/>
  <c r="C699" i="5" s="1"/>
  <c r="B686" i="5"/>
  <c r="C685" i="5"/>
  <c r="B685" i="5"/>
  <c r="B684" i="5"/>
  <c r="B683" i="5"/>
  <c r="C695" i="5" s="1"/>
  <c r="B682" i="5"/>
  <c r="C694" i="5" s="1"/>
  <c r="C681" i="5"/>
  <c r="B681" i="5"/>
  <c r="C680" i="5"/>
  <c r="B680" i="5"/>
  <c r="B679" i="5"/>
  <c r="C691" i="5" s="1"/>
  <c r="B678" i="5"/>
  <c r="C690" i="5" s="1"/>
  <c r="B677" i="5"/>
  <c r="C689" i="5" s="1"/>
  <c r="C676" i="5"/>
  <c r="B676" i="5"/>
  <c r="B675" i="5"/>
  <c r="B674" i="5"/>
  <c r="C686" i="5" s="1"/>
  <c r="B673" i="5"/>
  <c r="B672" i="5"/>
  <c r="C684" i="5" s="1"/>
  <c r="B671" i="5"/>
  <c r="C683" i="5" s="1"/>
  <c r="B670" i="5"/>
  <c r="C669" i="5"/>
  <c r="B669" i="5"/>
  <c r="B668" i="5"/>
  <c r="B667" i="5"/>
  <c r="C679" i="5" s="1"/>
  <c r="B666" i="5"/>
  <c r="C678" i="5" s="1"/>
  <c r="C665" i="5"/>
  <c r="B665" i="5"/>
  <c r="C664" i="5"/>
  <c r="B664" i="5"/>
  <c r="B663" i="5"/>
  <c r="C675" i="5" s="1"/>
  <c r="B662" i="5"/>
  <c r="C674" i="5" s="1"/>
  <c r="B661" i="5"/>
  <c r="C673" i="5" s="1"/>
  <c r="C660" i="5"/>
  <c r="B660" i="5"/>
  <c r="B659" i="5"/>
  <c r="B658" i="5"/>
  <c r="C670" i="5" s="1"/>
  <c r="B657" i="5"/>
  <c r="B656" i="5"/>
  <c r="C668" i="5" s="1"/>
  <c r="B655" i="5"/>
  <c r="C667" i="5" s="1"/>
  <c r="B654" i="5"/>
  <c r="C653" i="5"/>
  <c r="B653" i="5"/>
  <c r="B652" i="5"/>
  <c r="B651" i="5"/>
  <c r="C663" i="5" s="1"/>
  <c r="B650" i="5"/>
  <c r="C662" i="5" s="1"/>
  <c r="C649" i="5"/>
  <c r="B649" i="5"/>
  <c r="C648" i="5"/>
  <c r="B648" i="5"/>
  <c r="B647" i="5"/>
  <c r="C659" i="5" s="1"/>
  <c r="B646" i="5"/>
  <c r="C658" i="5" s="1"/>
  <c r="B645" i="5"/>
  <c r="C657" i="5" s="1"/>
  <c r="C644" i="5"/>
  <c r="B644" i="5"/>
  <c r="B643" i="5"/>
  <c r="B642" i="5"/>
  <c r="C654" i="5" s="1"/>
  <c r="B641" i="5"/>
  <c r="B640" i="5"/>
  <c r="C652" i="5" s="1"/>
  <c r="B639" i="5"/>
  <c r="C651" i="5" s="1"/>
  <c r="B638" i="5"/>
  <c r="C637" i="5"/>
  <c r="B637" i="5"/>
  <c r="B636" i="5"/>
  <c r="B635" i="5"/>
  <c r="C647" i="5" s="1"/>
  <c r="B634" i="5"/>
  <c r="C646" i="5" s="1"/>
  <c r="C633" i="5"/>
  <c r="B633" i="5"/>
  <c r="C632" i="5"/>
  <c r="B632" i="5"/>
  <c r="B631" i="5"/>
  <c r="C643" i="5" s="1"/>
  <c r="B630" i="5"/>
  <c r="C642" i="5" s="1"/>
  <c r="B629" i="5"/>
  <c r="C641" i="5" s="1"/>
  <c r="C628" i="5"/>
  <c r="B628" i="5"/>
  <c r="B627" i="5"/>
  <c r="B626" i="5"/>
  <c r="C638" i="5" s="1"/>
  <c r="B625" i="5"/>
  <c r="B624" i="5"/>
  <c r="C636" i="5" s="1"/>
  <c r="B623" i="5"/>
  <c r="C635" i="5" s="1"/>
  <c r="B622" i="5"/>
  <c r="C621" i="5"/>
  <c r="B621" i="5"/>
  <c r="B620" i="5"/>
  <c r="B619" i="5"/>
  <c r="C631" i="5" s="1"/>
  <c r="B618" i="5"/>
  <c r="C630" i="5" s="1"/>
  <c r="C617" i="5"/>
  <c r="B617" i="5"/>
  <c r="C616" i="5"/>
  <c r="B616" i="5"/>
  <c r="B615" i="5"/>
  <c r="C627" i="5" s="1"/>
  <c r="B614" i="5"/>
  <c r="C626" i="5" s="1"/>
  <c r="B613" i="5"/>
  <c r="C625" i="5" s="1"/>
  <c r="C612" i="5"/>
  <c r="B612" i="5"/>
  <c r="B611" i="5"/>
  <c r="B610" i="5"/>
  <c r="C622" i="5" s="1"/>
  <c r="B609" i="5"/>
  <c r="B608" i="5"/>
  <c r="C620" i="5" s="1"/>
  <c r="B607" i="5"/>
  <c r="C619" i="5" s="1"/>
  <c r="B606" i="5"/>
  <c r="C605" i="5"/>
  <c r="B605" i="5"/>
  <c r="B604" i="5"/>
  <c r="B603" i="5"/>
  <c r="C615" i="5" s="1"/>
  <c r="B602" i="5"/>
  <c r="C614" i="5" s="1"/>
  <c r="C601" i="5"/>
  <c r="B601" i="5"/>
  <c r="C600" i="5"/>
  <c r="B600" i="5"/>
  <c r="B599" i="5"/>
  <c r="C611" i="5" s="1"/>
  <c r="B598" i="5"/>
  <c r="C610" i="5" s="1"/>
  <c r="B597" i="5"/>
  <c r="C597" i="5" s="1"/>
  <c r="C596" i="5"/>
  <c r="B596" i="5"/>
  <c r="B595" i="5"/>
  <c r="B594" i="5"/>
  <c r="C606" i="5" s="1"/>
  <c r="B593" i="5"/>
  <c r="B592" i="5"/>
  <c r="C604" i="5" s="1"/>
  <c r="B591" i="5"/>
  <c r="C603" i="5" s="1"/>
  <c r="B590" i="5"/>
  <c r="C589" i="5"/>
  <c r="B589" i="5"/>
  <c r="B588" i="5"/>
  <c r="B587" i="5"/>
  <c r="C599" i="5" s="1"/>
  <c r="B586" i="5"/>
  <c r="C598" i="5" s="1"/>
  <c r="C585" i="5"/>
  <c r="B585" i="5"/>
  <c r="C584" i="5"/>
  <c r="B584" i="5"/>
  <c r="B583" i="5"/>
  <c r="C595" i="5" s="1"/>
  <c r="B582" i="5"/>
  <c r="C594" i="5" s="1"/>
  <c r="B581" i="5"/>
  <c r="C581" i="5" s="1"/>
  <c r="C580" i="5"/>
  <c r="B580" i="5"/>
  <c r="B579" i="5"/>
  <c r="B578" i="5"/>
  <c r="C590" i="5" s="1"/>
  <c r="B577" i="5"/>
  <c r="B576" i="5"/>
  <c r="C576" i="5" s="1"/>
  <c r="B575" i="5"/>
  <c r="C587" i="5" s="1"/>
  <c r="B574" i="5"/>
  <c r="C573" i="5"/>
  <c r="B573" i="5"/>
  <c r="B572" i="5"/>
  <c r="B571" i="5"/>
  <c r="C583" i="5" s="1"/>
  <c r="B570" i="5"/>
  <c r="C582" i="5" s="1"/>
  <c r="C569" i="5"/>
  <c r="B569" i="5"/>
  <c r="C568" i="5"/>
  <c r="B568" i="5"/>
  <c r="B567" i="5"/>
  <c r="C579" i="5" s="1"/>
  <c r="B566" i="5"/>
  <c r="C578" i="5" s="1"/>
  <c r="B565" i="5"/>
  <c r="C565" i="5" s="1"/>
  <c r="C564" i="5"/>
  <c r="B564" i="5"/>
  <c r="B563" i="5"/>
  <c r="B562" i="5"/>
  <c r="C574" i="5" s="1"/>
  <c r="B561" i="5"/>
  <c r="B560" i="5"/>
  <c r="C572" i="5" s="1"/>
  <c r="B559" i="5"/>
  <c r="C571" i="5" s="1"/>
  <c r="B558" i="5"/>
  <c r="C557" i="5"/>
  <c r="B557" i="5"/>
  <c r="B556" i="5"/>
  <c r="B555" i="5"/>
  <c r="C567" i="5" s="1"/>
  <c r="B554" i="5"/>
  <c r="C566" i="5" s="1"/>
  <c r="C553" i="5"/>
  <c r="B553" i="5"/>
  <c r="C552" i="5"/>
  <c r="B552" i="5"/>
  <c r="B551" i="5"/>
  <c r="C563" i="5" s="1"/>
  <c r="B550" i="5"/>
  <c r="C562" i="5" s="1"/>
  <c r="B549" i="5"/>
  <c r="C549" i="5" s="1"/>
  <c r="C548" i="5"/>
  <c r="B548" i="5"/>
  <c r="B547" i="5"/>
  <c r="B546" i="5"/>
  <c r="C558" i="5" s="1"/>
  <c r="B545" i="5"/>
  <c r="B544" i="5"/>
  <c r="C544" i="5" s="1"/>
  <c r="B543" i="5"/>
  <c r="C555" i="5" s="1"/>
  <c r="B542" i="5"/>
  <c r="C541" i="5"/>
  <c r="B541" i="5"/>
  <c r="B540" i="5"/>
  <c r="B539" i="5"/>
  <c r="C551" i="5" s="1"/>
  <c r="B538" i="5"/>
  <c r="C550" i="5" s="1"/>
  <c r="C537" i="5"/>
  <c r="B537" i="5"/>
  <c r="C536" i="5"/>
  <c r="B536" i="5"/>
  <c r="B535" i="5"/>
  <c r="C547" i="5" s="1"/>
  <c r="B534" i="5"/>
  <c r="C546" i="5" s="1"/>
  <c r="B533" i="5"/>
  <c r="C545" i="5" s="1"/>
  <c r="C532" i="5"/>
  <c r="B532" i="5"/>
  <c r="B531" i="5"/>
  <c r="B530" i="5"/>
  <c r="C542" i="5" s="1"/>
  <c r="B529" i="5"/>
  <c r="B528" i="5"/>
  <c r="C540" i="5" s="1"/>
  <c r="B527" i="5"/>
  <c r="C539" i="5" s="1"/>
  <c r="B526" i="5"/>
  <c r="C525" i="5"/>
  <c r="B525" i="5"/>
  <c r="B524" i="5"/>
  <c r="B523" i="5"/>
  <c r="C535" i="5" s="1"/>
  <c r="B522" i="5"/>
  <c r="C534" i="5" s="1"/>
  <c r="C521" i="5"/>
  <c r="B521" i="5"/>
  <c r="C520" i="5"/>
  <c r="B520" i="5"/>
  <c r="B519" i="5"/>
  <c r="C531" i="5" s="1"/>
  <c r="B518" i="5"/>
  <c r="C530" i="5" s="1"/>
  <c r="B517" i="5"/>
  <c r="C517" i="5" s="1"/>
  <c r="C516" i="5"/>
  <c r="B516" i="5"/>
  <c r="B515" i="5"/>
  <c r="B514" i="5"/>
  <c r="C526" i="5" s="1"/>
  <c r="B513" i="5"/>
  <c r="B512" i="5"/>
  <c r="C512" i="5" s="1"/>
  <c r="B511" i="5"/>
  <c r="C523" i="5" s="1"/>
  <c r="B510" i="5"/>
  <c r="C509" i="5"/>
  <c r="B509" i="5"/>
  <c r="B508" i="5"/>
  <c r="B507" i="5"/>
  <c r="C519" i="5" s="1"/>
  <c r="B506" i="5"/>
  <c r="C518" i="5" s="1"/>
  <c r="C505" i="5"/>
  <c r="B505" i="5"/>
  <c r="C504" i="5"/>
  <c r="B504" i="5"/>
  <c r="B503" i="5"/>
  <c r="C515" i="5" s="1"/>
  <c r="B502" i="5"/>
  <c r="C514" i="5" s="1"/>
  <c r="B501" i="5"/>
  <c r="C513" i="5" s="1"/>
  <c r="C500" i="5"/>
  <c r="B500" i="5"/>
  <c r="B499" i="5"/>
  <c r="B498" i="5"/>
  <c r="C510" i="5" s="1"/>
  <c r="B497" i="5"/>
  <c r="B496" i="5"/>
  <c r="C508" i="5" s="1"/>
  <c r="B495" i="5"/>
  <c r="C507" i="5" s="1"/>
  <c r="B494" i="5"/>
  <c r="C493" i="5"/>
  <c r="B493" i="5"/>
  <c r="B492" i="5"/>
  <c r="B491" i="5"/>
  <c r="C503" i="5" s="1"/>
  <c r="B490" i="5"/>
  <c r="C502" i="5" s="1"/>
  <c r="C489" i="5"/>
  <c r="B489" i="5"/>
  <c r="C488" i="5"/>
  <c r="B488" i="5"/>
  <c r="B487" i="5"/>
  <c r="C499" i="5" s="1"/>
  <c r="B486" i="5"/>
  <c r="C498" i="5" s="1"/>
  <c r="B485" i="5"/>
  <c r="C497" i="5" s="1"/>
  <c r="C484" i="5"/>
  <c r="B484" i="5"/>
  <c r="B483" i="5"/>
  <c r="B482" i="5"/>
  <c r="C494" i="5" s="1"/>
  <c r="B481" i="5"/>
  <c r="B480" i="5"/>
  <c r="C492" i="5" s="1"/>
  <c r="B479" i="5"/>
  <c r="C491" i="5" s="1"/>
  <c r="B478" i="5"/>
  <c r="C477" i="5"/>
  <c r="B477" i="5"/>
  <c r="B476" i="5"/>
  <c r="B475" i="5"/>
  <c r="C487" i="5" s="1"/>
  <c r="B474" i="5"/>
  <c r="C486" i="5" s="1"/>
  <c r="C473" i="5"/>
  <c r="B473" i="5"/>
  <c r="C472" i="5"/>
  <c r="B472" i="5"/>
  <c r="B471" i="5"/>
  <c r="C483" i="5" s="1"/>
  <c r="B470" i="5"/>
  <c r="C482" i="5" s="1"/>
  <c r="B469" i="5"/>
  <c r="C481" i="5" s="1"/>
  <c r="C468" i="5"/>
  <c r="B468" i="5"/>
  <c r="B467" i="5"/>
  <c r="B466" i="5"/>
  <c r="C478" i="5" s="1"/>
  <c r="B465" i="5"/>
  <c r="B464" i="5"/>
  <c r="C476" i="5" s="1"/>
  <c r="B463" i="5"/>
  <c r="C475" i="5" s="1"/>
  <c r="B462" i="5"/>
  <c r="C461" i="5"/>
  <c r="B461" i="5"/>
  <c r="B460" i="5"/>
  <c r="B459" i="5"/>
  <c r="C471" i="5" s="1"/>
  <c r="B458" i="5"/>
  <c r="C470" i="5" s="1"/>
  <c r="C457" i="5"/>
  <c r="B457" i="5"/>
  <c r="C456" i="5"/>
  <c r="B456" i="5"/>
  <c r="B455" i="5"/>
  <c r="C467" i="5" s="1"/>
  <c r="B454" i="5"/>
  <c r="C466" i="5" s="1"/>
  <c r="B453" i="5"/>
  <c r="C465" i="5" s="1"/>
  <c r="C452" i="5"/>
  <c r="B452" i="5"/>
  <c r="B451" i="5"/>
  <c r="B450" i="5"/>
  <c r="C462" i="5" s="1"/>
  <c r="B449" i="5"/>
  <c r="B448" i="5"/>
  <c r="C448" i="5" s="1"/>
  <c r="B447" i="5"/>
  <c r="C459" i="5" s="1"/>
  <c r="B446" i="5"/>
  <c r="C445" i="5"/>
  <c r="B445" i="5"/>
  <c r="B444" i="5"/>
  <c r="B443" i="5"/>
  <c r="C455" i="5" s="1"/>
  <c r="B442" i="5"/>
  <c r="C454" i="5" s="1"/>
  <c r="C441" i="5"/>
  <c r="B441" i="5"/>
  <c r="C440" i="5"/>
  <c r="B440" i="5"/>
  <c r="B439" i="5"/>
  <c r="C451" i="5" s="1"/>
  <c r="B438" i="5"/>
  <c r="C450" i="5" s="1"/>
  <c r="B437" i="5"/>
  <c r="C449" i="5" s="1"/>
  <c r="C436" i="5"/>
  <c r="B436" i="5"/>
  <c r="B435" i="5"/>
  <c r="B434" i="5"/>
  <c r="C446" i="5" s="1"/>
  <c r="B433" i="5"/>
  <c r="B432" i="5"/>
  <c r="C444" i="5" s="1"/>
  <c r="B431" i="5"/>
  <c r="C443" i="5" s="1"/>
  <c r="B430" i="5"/>
  <c r="C429" i="5"/>
  <c r="B429" i="5"/>
  <c r="B428" i="5"/>
  <c r="B427" i="5"/>
  <c r="C439" i="5" s="1"/>
  <c r="B426" i="5"/>
  <c r="C438" i="5" s="1"/>
  <c r="C425" i="5"/>
  <c r="B425" i="5"/>
  <c r="C424" i="5"/>
  <c r="B424" i="5"/>
  <c r="B423" i="5"/>
  <c r="C435" i="5" s="1"/>
  <c r="B422" i="5"/>
  <c r="C434" i="5" s="1"/>
  <c r="B421" i="5"/>
  <c r="C433" i="5" s="1"/>
  <c r="C420" i="5"/>
  <c r="B420" i="5"/>
  <c r="B419" i="5"/>
  <c r="B418" i="5"/>
  <c r="C430" i="5" s="1"/>
  <c r="B417" i="5"/>
  <c r="B416" i="5"/>
  <c r="C428" i="5" s="1"/>
  <c r="B415" i="5"/>
  <c r="C427" i="5" s="1"/>
  <c r="B414" i="5"/>
  <c r="C413" i="5"/>
  <c r="B413" i="5"/>
  <c r="B412" i="5"/>
  <c r="B411" i="5"/>
  <c r="C423" i="5" s="1"/>
  <c r="B410" i="5"/>
  <c r="C422" i="5" s="1"/>
  <c r="C409" i="5"/>
  <c r="B409" i="5"/>
  <c r="C408" i="5"/>
  <c r="B408" i="5"/>
  <c r="B407" i="5"/>
  <c r="C419" i="5" s="1"/>
  <c r="B406" i="5"/>
  <c r="C418" i="5" s="1"/>
  <c r="B405" i="5"/>
  <c r="C417" i="5" s="1"/>
  <c r="C404" i="5"/>
  <c r="B404" i="5"/>
  <c r="B403" i="5"/>
  <c r="B402" i="5"/>
  <c r="C414" i="5" s="1"/>
  <c r="B401" i="5"/>
  <c r="B400" i="5"/>
  <c r="C412" i="5" s="1"/>
  <c r="B399" i="5"/>
  <c r="C411" i="5" s="1"/>
  <c r="B398" i="5"/>
  <c r="C397" i="5"/>
  <c r="B397" i="5"/>
  <c r="B396" i="5"/>
  <c r="B395" i="5"/>
  <c r="C407" i="5" s="1"/>
  <c r="B394" i="5"/>
  <c r="C406" i="5" s="1"/>
  <c r="C393" i="5"/>
  <c r="B393" i="5"/>
  <c r="C392" i="5"/>
  <c r="B392" i="5"/>
  <c r="B391" i="5"/>
  <c r="C403" i="5" s="1"/>
  <c r="B390" i="5"/>
  <c r="C402" i="5" s="1"/>
  <c r="B389" i="5"/>
  <c r="C401" i="5" s="1"/>
  <c r="C388" i="5"/>
  <c r="B388" i="5"/>
  <c r="B387" i="5"/>
  <c r="B386" i="5"/>
  <c r="C398" i="5" s="1"/>
  <c r="B385" i="5"/>
  <c r="B384" i="5"/>
  <c r="C396" i="5" s="1"/>
  <c r="B383" i="5"/>
  <c r="C395" i="5" s="1"/>
  <c r="B382" i="5"/>
  <c r="B381" i="5"/>
  <c r="B380" i="5"/>
  <c r="B379" i="5"/>
  <c r="C391" i="5" s="1"/>
  <c r="B378" i="5"/>
  <c r="C390" i="5" s="1"/>
  <c r="C377" i="5"/>
  <c r="B377" i="5"/>
  <c r="B376" i="5"/>
  <c r="B375" i="5"/>
  <c r="C387" i="5" s="1"/>
  <c r="B374" i="5"/>
  <c r="C386" i="5" s="1"/>
  <c r="B373" i="5"/>
  <c r="C385" i="5" s="1"/>
  <c r="C372" i="5"/>
  <c r="B372" i="5"/>
  <c r="B371" i="5"/>
  <c r="B370" i="5"/>
  <c r="C382" i="5" s="1"/>
  <c r="B369" i="5"/>
  <c r="C381" i="5" s="1"/>
  <c r="B368" i="5"/>
  <c r="C380" i="5" s="1"/>
  <c r="B367" i="5"/>
  <c r="C379" i="5" s="1"/>
  <c r="B366" i="5"/>
  <c r="B365" i="5"/>
  <c r="B364" i="5"/>
  <c r="C376" i="5" s="1"/>
  <c r="B363" i="5"/>
  <c r="C375" i="5" s="1"/>
  <c r="B362" i="5"/>
  <c r="C374" i="5" s="1"/>
  <c r="C361" i="5"/>
  <c r="B361" i="5"/>
  <c r="B360" i="5"/>
  <c r="B359" i="5"/>
  <c r="C371" i="5" s="1"/>
  <c r="B358" i="5"/>
  <c r="C370" i="5" s="1"/>
  <c r="B357" i="5"/>
  <c r="C357" i="5" s="1"/>
  <c r="C356" i="5"/>
  <c r="B356" i="5"/>
  <c r="B355" i="5"/>
  <c r="B354" i="5"/>
  <c r="C366" i="5" s="1"/>
  <c r="B353" i="5"/>
  <c r="C365" i="5" s="1"/>
  <c r="B352" i="5"/>
  <c r="C364" i="5" s="1"/>
  <c r="B351" i="5"/>
  <c r="C363" i="5" s="1"/>
  <c r="B350" i="5"/>
  <c r="B349" i="5"/>
  <c r="B348" i="5"/>
  <c r="C360" i="5" s="1"/>
  <c r="B347" i="5"/>
  <c r="C359" i="5" s="1"/>
  <c r="B346" i="5"/>
  <c r="C358" i="5" s="1"/>
  <c r="C345" i="5"/>
  <c r="B345" i="5"/>
  <c r="B344" i="5"/>
  <c r="B343" i="5"/>
  <c r="C355" i="5" s="1"/>
  <c r="B342" i="5"/>
  <c r="C354" i="5" s="1"/>
  <c r="B341" i="5"/>
  <c r="C353" i="5" s="1"/>
  <c r="C340" i="5"/>
  <c r="B340" i="5"/>
  <c r="B339" i="5"/>
  <c r="B338" i="5"/>
  <c r="C350" i="5" s="1"/>
  <c r="B337" i="5"/>
  <c r="C349" i="5" s="1"/>
  <c r="B336" i="5"/>
  <c r="C348" i="5" s="1"/>
  <c r="B335" i="5"/>
  <c r="C347" i="5" s="1"/>
  <c r="B334" i="5"/>
  <c r="B333" i="5"/>
  <c r="B332" i="5"/>
  <c r="C344" i="5" s="1"/>
  <c r="B331" i="5"/>
  <c r="C343" i="5" s="1"/>
  <c r="B330" i="5"/>
  <c r="C342" i="5" s="1"/>
  <c r="C329" i="5"/>
  <c r="B329" i="5"/>
  <c r="B328" i="5"/>
  <c r="B327" i="5"/>
  <c r="C339" i="5" s="1"/>
  <c r="B326" i="5"/>
  <c r="C338" i="5" s="1"/>
  <c r="B325" i="5"/>
  <c r="C325" i="5" s="1"/>
  <c r="C324" i="5"/>
  <c r="B324" i="5"/>
  <c r="B323" i="5"/>
  <c r="B322" i="5"/>
  <c r="C334" i="5" s="1"/>
  <c r="B321" i="5"/>
  <c r="C333" i="5" s="1"/>
  <c r="B320" i="5"/>
  <c r="C332" i="5" s="1"/>
  <c r="B319" i="5"/>
  <c r="C331" i="5" s="1"/>
  <c r="B318" i="5"/>
  <c r="B317" i="5"/>
  <c r="B316" i="5"/>
  <c r="C328" i="5" s="1"/>
  <c r="B315" i="5"/>
  <c r="C327" i="5" s="1"/>
  <c r="B314" i="5"/>
  <c r="C326" i="5" s="1"/>
  <c r="C313" i="5"/>
  <c r="B313" i="5"/>
  <c r="B312" i="5"/>
  <c r="B311" i="5"/>
  <c r="C323" i="5" s="1"/>
  <c r="B310" i="5"/>
  <c r="C322" i="5" s="1"/>
  <c r="B309" i="5"/>
  <c r="C321" i="5" s="1"/>
  <c r="C308" i="5"/>
  <c r="B308" i="5"/>
  <c r="B307" i="5"/>
  <c r="B306" i="5"/>
  <c r="C318" i="5" s="1"/>
  <c r="B305" i="5"/>
  <c r="C317" i="5" s="1"/>
  <c r="B304" i="5"/>
  <c r="C316" i="5" s="1"/>
  <c r="B303" i="5"/>
  <c r="C315" i="5" s="1"/>
  <c r="B302" i="5"/>
  <c r="B301" i="5"/>
  <c r="B300" i="5"/>
  <c r="C312" i="5" s="1"/>
  <c r="B299" i="5"/>
  <c r="C311" i="5" s="1"/>
  <c r="B298" i="5"/>
  <c r="C310" i="5" s="1"/>
  <c r="C297" i="5"/>
  <c r="B297" i="5"/>
  <c r="B296" i="5"/>
  <c r="B295" i="5"/>
  <c r="C307" i="5" s="1"/>
  <c r="B294" i="5"/>
  <c r="C306" i="5" s="1"/>
  <c r="B293" i="5"/>
  <c r="C305" i="5" s="1"/>
  <c r="C292" i="5"/>
  <c r="B292" i="5"/>
  <c r="B291" i="5"/>
  <c r="B290" i="5"/>
  <c r="C302" i="5" s="1"/>
  <c r="B289" i="5"/>
  <c r="C301" i="5" s="1"/>
  <c r="B288" i="5"/>
  <c r="C300" i="5" s="1"/>
  <c r="B287" i="5"/>
  <c r="C299" i="5" s="1"/>
  <c r="B286" i="5"/>
  <c r="B285" i="5"/>
  <c r="B284" i="5"/>
  <c r="C296" i="5" s="1"/>
  <c r="B283" i="5"/>
  <c r="C295" i="5" s="1"/>
  <c r="B282" i="5"/>
  <c r="C294" i="5" s="1"/>
  <c r="C281" i="5"/>
  <c r="B281" i="5"/>
  <c r="B280" i="5"/>
  <c r="B279" i="5"/>
  <c r="C291" i="5" s="1"/>
  <c r="B278" i="5"/>
  <c r="C290" i="5" s="1"/>
  <c r="B277" i="5"/>
  <c r="C289" i="5" s="1"/>
  <c r="C276" i="5"/>
  <c r="B276" i="5"/>
  <c r="B275" i="5"/>
  <c r="B274" i="5"/>
  <c r="C286" i="5" s="1"/>
  <c r="B273" i="5"/>
  <c r="C285" i="5" s="1"/>
  <c r="B272" i="5"/>
  <c r="C284" i="5" s="1"/>
  <c r="B271" i="5"/>
  <c r="C283" i="5" s="1"/>
  <c r="B270" i="5"/>
  <c r="B269" i="5"/>
  <c r="B268" i="5"/>
  <c r="C280" i="5" s="1"/>
  <c r="B267" i="5"/>
  <c r="C279" i="5" s="1"/>
  <c r="B266" i="5"/>
  <c r="C278" i="5" s="1"/>
  <c r="C265" i="5"/>
  <c r="B265" i="5"/>
  <c r="B264" i="5"/>
  <c r="B263" i="5"/>
  <c r="C275" i="5" s="1"/>
  <c r="B262" i="5"/>
  <c r="C274" i="5" s="1"/>
  <c r="B261" i="5"/>
  <c r="C261" i="5" s="1"/>
  <c r="C260" i="5"/>
  <c r="B260" i="5"/>
  <c r="B259" i="5"/>
  <c r="B258" i="5"/>
  <c r="C270" i="5" s="1"/>
  <c r="B257" i="5"/>
  <c r="C269" i="5" s="1"/>
  <c r="B256" i="5"/>
  <c r="C256" i="5" s="1"/>
  <c r="B255" i="5"/>
  <c r="C267" i="5" s="1"/>
  <c r="B254" i="5"/>
  <c r="B253" i="5"/>
  <c r="B252" i="5"/>
  <c r="C264" i="5" s="1"/>
  <c r="B251" i="5"/>
  <c r="C263" i="5" s="1"/>
  <c r="B250" i="5"/>
  <c r="C262" i="5" s="1"/>
  <c r="C249" i="5"/>
  <c r="B249" i="5"/>
  <c r="B248" i="5"/>
  <c r="B247" i="5"/>
  <c r="C259" i="5" s="1"/>
  <c r="B246" i="5"/>
  <c r="C258" i="5" s="1"/>
  <c r="B245" i="5"/>
  <c r="C257" i="5" s="1"/>
  <c r="C244" i="5"/>
  <c r="B244" i="5"/>
  <c r="B243" i="5"/>
  <c r="B242" i="5"/>
  <c r="C254" i="5" s="1"/>
  <c r="C241" i="5"/>
  <c r="B241" i="5"/>
  <c r="C253" i="5" s="1"/>
  <c r="B240" i="5"/>
  <c r="C252" i="5" s="1"/>
  <c r="B239" i="5"/>
  <c r="C251" i="5" s="1"/>
  <c r="B238" i="5"/>
  <c r="B237" i="5"/>
  <c r="C236" i="5"/>
  <c r="B236" i="5"/>
  <c r="C248" i="5" s="1"/>
  <c r="B235" i="5"/>
  <c r="C247" i="5" s="1"/>
  <c r="B234" i="5"/>
  <c r="C246" i="5" s="1"/>
  <c r="B233" i="5"/>
  <c r="B232" i="5"/>
  <c r="C232" i="5" s="1"/>
  <c r="B231" i="5"/>
  <c r="C243" i="5" s="1"/>
  <c r="B230" i="5"/>
  <c r="C242" i="5" s="1"/>
  <c r="C229" i="5"/>
  <c r="B229" i="5"/>
  <c r="B228" i="5"/>
  <c r="B227" i="5"/>
  <c r="B226" i="5"/>
  <c r="C238" i="5" s="1"/>
  <c r="B225" i="5"/>
  <c r="C237" i="5" s="1"/>
  <c r="B224" i="5"/>
  <c r="B223" i="5"/>
  <c r="C222" i="5"/>
  <c r="B222" i="5"/>
  <c r="B221" i="5"/>
  <c r="C233" i="5" s="1"/>
  <c r="C220" i="5"/>
  <c r="B220" i="5"/>
  <c r="B219" i="5"/>
  <c r="B218" i="5"/>
  <c r="C218" i="5" s="1"/>
  <c r="B217" i="5"/>
  <c r="C217" i="5" s="1"/>
  <c r="B216" i="5"/>
  <c r="C228" i="5" s="1"/>
  <c r="B215" i="5"/>
  <c r="B214" i="5"/>
  <c r="C213" i="5"/>
  <c r="B213" i="5"/>
  <c r="B212" i="5"/>
  <c r="C224" i="5" s="1"/>
  <c r="B211" i="5"/>
  <c r="C223" i="5" s="1"/>
  <c r="B210" i="5"/>
  <c r="B209" i="5"/>
  <c r="C209" i="5" s="1"/>
  <c r="B208" i="5"/>
  <c r="C208" i="5" s="1"/>
  <c r="B207" i="5"/>
  <c r="C219" i="5" s="1"/>
  <c r="C206" i="5"/>
  <c r="B206" i="5"/>
  <c r="B205" i="5"/>
  <c r="C204" i="5"/>
  <c r="B204" i="5"/>
  <c r="B203" i="5"/>
  <c r="C215" i="5" s="1"/>
  <c r="B202" i="5"/>
  <c r="C214" i="5" s="1"/>
  <c r="B201" i="5"/>
  <c r="B200" i="5"/>
  <c r="C200" i="5" s="1"/>
  <c r="B199" i="5"/>
  <c r="B198" i="5"/>
  <c r="C210" i="5" s="1"/>
  <c r="C197" i="5"/>
  <c r="B197" i="5"/>
  <c r="B196" i="5"/>
  <c r="B195" i="5"/>
  <c r="B194" i="5"/>
  <c r="C194" i="5" s="1"/>
  <c r="B193" i="5"/>
  <c r="C193" i="5" s="1"/>
  <c r="B192" i="5"/>
  <c r="B191" i="5"/>
  <c r="C190" i="5"/>
  <c r="B190" i="5"/>
  <c r="B189" i="5"/>
  <c r="C201" i="5" s="1"/>
  <c r="C188" i="5"/>
  <c r="B188" i="5"/>
  <c r="B187" i="5"/>
  <c r="B186" i="5"/>
  <c r="C186" i="5" s="1"/>
  <c r="B185" i="5"/>
  <c r="C185" i="5" s="1"/>
  <c r="B184" i="5"/>
  <c r="C196" i="5" s="1"/>
  <c r="B183" i="5"/>
  <c r="B182" i="5"/>
  <c r="C181" i="5"/>
  <c r="B181" i="5"/>
  <c r="B180" i="5"/>
  <c r="C192" i="5" s="1"/>
  <c r="B179" i="5"/>
  <c r="C191" i="5" s="1"/>
  <c r="B178" i="5"/>
  <c r="B177" i="5"/>
  <c r="C177" i="5" s="1"/>
  <c r="B176" i="5"/>
  <c r="C176" i="5" s="1"/>
  <c r="B175" i="5"/>
  <c r="C187" i="5" s="1"/>
  <c r="C174" i="5"/>
  <c r="B174" i="5"/>
  <c r="B173" i="5"/>
  <c r="C172" i="5"/>
  <c r="B172" i="5"/>
  <c r="B171" i="5"/>
  <c r="C183" i="5" s="1"/>
  <c r="B170" i="5"/>
  <c r="C182" i="5" s="1"/>
  <c r="B169" i="5"/>
  <c r="B168" i="5"/>
  <c r="C168" i="5" s="1"/>
  <c r="B167" i="5"/>
  <c r="B166" i="5"/>
  <c r="C178" i="5" s="1"/>
  <c r="C165" i="5"/>
  <c r="B165" i="5"/>
  <c r="B164" i="5"/>
  <c r="B163" i="5"/>
  <c r="B162" i="5"/>
  <c r="C162" i="5" s="1"/>
  <c r="B161" i="5"/>
  <c r="C173" i="5" s="1"/>
  <c r="B160" i="5"/>
  <c r="B159" i="5"/>
  <c r="C158" i="5"/>
  <c r="B158" i="5"/>
  <c r="B157" i="5"/>
  <c r="C169" i="5" s="1"/>
  <c r="C156" i="5"/>
  <c r="B156" i="5"/>
  <c r="B155" i="5"/>
  <c r="B154" i="5"/>
  <c r="C154" i="5" s="1"/>
  <c r="B153" i="5"/>
  <c r="C153" i="5" s="1"/>
  <c r="B152" i="5"/>
  <c r="C164" i="5" s="1"/>
  <c r="B151" i="5"/>
  <c r="B150" i="5"/>
  <c r="C149" i="5"/>
  <c r="B149" i="5"/>
  <c r="B148" i="5"/>
  <c r="C160" i="5" s="1"/>
  <c r="B147" i="5"/>
  <c r="C159" i="5" s="1"/>
  <c r="B146" i="5"/>
  <c r="B145" i="5"/>
  <c r="C145" i="5" s="1"/>
  <c r="B144" i="5"/>
  <c r="C144" i="5" s="1"/>
  <c r="B143" i="5"/>
  <c r="C155" i="5" s="1"/>
  <c r="C142" i="5"/>
  <c r="B142" i="5"/>
  <c r="B141" i="5"/>
  <c r="C140" i="5"/>
  <c r="B140" i="5"/>
  <c r="B139" i="5"/>
  <c r="C151" i="5" s="1"/>
  <c r="B138" i="5"/>
  <c r="C150" i="5" s="1"/>
  <c r="B137" i="5"/>
  <c r="B136" i="5"/>
  <c r="C136" i="5" s="1"/>
  <c r="B135" i="5"/>
  <c r="B134" i="5"/>
  <c r="C146" i="5" s="1"/>
  <c r="C133" i="5"/>
  <c r="B133" i="5"/>
  <c r="B132" i="5"/>
  <c r="B131" i="5"/>
  <c r="B130" i="5"/>
  <c r="C130" i="5" s="1"/>
  <c r="B129" i="5"/>
  <c r="C141" i="5" s="1"/>
  <c r="B128" i="5"/>
  <c r="B127" i="5"/>
  <c r="C126" i="5"/>
  <c r="B126" i="5"/>
  <c r="B125" i="5"/>
  <c r="C137" i="5" s="1"/>
  <c r="C124" i="5"/>
  <c r="B124" i="5"/>
  <c r="B123" i="5"/>
  <c r="B122" i="5"/>
  <c r="C122" i="5" s="1"/>
  <c r="B121" i="5"/>
  <c r="C121" i="5" s="1"/>
  <c r="B120" i="5"/>
  <c r="C132" i="5" s="1"/>
  <c r="B119" i="5"/>
  <c r="B118" i="5"/>
  <c r="C117" i="5"/>
  <c r="B117" i="5"/>
  <c r="B116" i="5"/>
  <c r="C128" i="5" s="1"/>
  <c r="B115" i="5"/>
  <c r="C127" i="5" s="1"/>
  <c r="B114" i="5"/>
  <c r="B113" i="5"/>
  <c r="C113" i="5" s="1"/>
  <c r="B112" i="5"/>
  <c r="C112" i="5" s="1"/>
  <c r="B111" i="5"/>
  <c r="C123" i="5" s="1"/>
  <c r="C110" i="5"/>
  <c r="B110" i="5"/>
  <c r="B109" i="5"/>
  <c r="C108" i="5"/>
  <c r="B108" i="5"/>
  <c r="B107" i="5"/>
  <c r="C119" i="5" s="1"/>
  <c r="B106" i="5"/>
  <c r="C118" i="5" s="1"/>
  <c r="B105" i="5"/>
  <c r="B104" i="5"/>
  <c r="C104" i="5" s="1"/>
  <c r="B103" i="5"/>
  <c r="B102" i="5"/>
  <c r="C114" i="5" s="1"/>
  <c r="C101" i="5"/>
  <c r="B101" i="5"/>
  <c r="B100" i="5"/>
  <c r="B99" i="5"/>
  <c r="B98" i="5"/>
  <c r="C98" i="5" s="1"/>
  <c r="B97" i="5"/>
  <c r="C109" i="5" s="1"/>
  <c r="B96" i="5"/>
  <c r="B95" i="5"/>
  <c r="C94" i="5"/>
  <c r="B94" i="5"/>
  <c r="B93" i="5"/>
  <c r="C105" i="5" s="1"/>
  <c r="C92" i="5"/>
  <c r="B92" i="5"/>
  <c r="B91" i="5"/>
  <c r="B90" i="5"/>
  <c r="C90" i="5" s="1"/>
  <c r="B89" i="5"/>
  <c r="C89" i="5" s="1"/>
  <c r="B88" i="5"/>
  <c r="C100" i="5" s="1"/>
  <c r="B87" i="5"/>
  <c r="B86" i="5"/>
  <c r="C85" i="5"/>
  <c r="B85" i="5"/>
  <c r="B84" i="5"/>
  <c r="C96" i="5" s="1"/>
  <c r="B83" i="5"/>
  <c r="C95" i="5" s="1"/>
  <c r="B82" i="5"/>
  <c r="B81" i="5"/>
  <c r="C81" i="5" s="1"/>
  <c r="B80" i="5"/>
  <c r="C80" i="5" s="1"/>
  <c r="B79" i="5"/>
  <c r="C91" i="5" s="1"/>
  <c r="C78" i="5"/>
  <c r="B78" i="5"/>
  <c r="B77" i="5"/>
  <c r="C77" i="5" s="1"/>
  <c r="C76" i="5"/>
  <c r="B76" i="5"/>
  <c r="B75" i="5"/>
  <c r="C87" i="5" s="1"/>
  <c r="B74" i="5"/>
  <c r="C86" i="5" s="1"/>
  <c r="B73" i="5"/>
  <c r="B72" i="5"/>
  <c r="B71" i="5"/>
  <c r="B70" i="5"/>
  <c r="C82" i="5" s="1"/>
  <c r="C69" i="5"/>
  <c r="B69" i="5"/>
  <c r="B68" i="5"/>
  <c r="C67" i="5"/>
  <c r="B67" i="5"/>
  <c r="B66" i="5"/>
  <c r="C65" i="5"/>
  <c r="B65" i="5"/>
  <c r="B64" i="5"/>
  <c r="C63" i="5"/>
  <c r="B63" i="5"/>
  <c r="B62" i="5"/>
  <c r="C74" i="5" s="1"/>
  <c r="C61" i="5"/>
  <c r="B61" i="5"/>
  <c r="C73" i="5" s="1"/>
  <c r="B60" i="5"/>
  <c r="C72" i="5" s="1"/>
  <c r="C59" i="5"/>
  <c r="B59" i="5"/>
  <c r="C71" i="5" s="1"/>
  <c r="B58" i="5"/>
  <c r="C70" i="5" s="1"/>
  <c r="C57" i="5"/>
  <c r="B57" i="5"/>
  <c r="B56" i="5"/>
  <c r="C68" i="5" s="1"/>
  <c r="C55" i="5"/>
  <c r="B55" i="5"/>
  <c r="B54" i="5"/>
  <c r="C66" i="5" s="1"/>
  <c r="C53" i="5"/>
  <c r="B53" i="5"/>
  <c r="B52" i="5"/>
  <c r="C64" i="5" s="1"/>
  <c r="C51" i="5"/>
  <c r="B51" i="5"/>
  <c r="B50" i="5"/>
  <c r="C62" i="5" s="1"/>
  <c r="C49" i="5"/>
  <c r="B49" i="5"/>
  <c r="B48" i="5"/>
  <c r="C60" i="5" s="1"/>
  <c r="C47" i="5"/>
  <c r="B47" i="5"/>
  <c r="B46" i="5"/>
  <c r="C58" i="5" s="1"/>
  <c r="C45" i="5"/>
  <c r="B45" i="5"/>
  <c r="B44" i="5"/>
  <c r="C56" i="5" s="1"/>
  <c r="C43" i="5"/>
  <c r="B43" i="5"/>
  <c r="B42" i="5"/>
  <c r="C54" i="5" s="1"/>
  <c r="C41" i="5"/>
  <c r="B41" i="5"/>
  <c r="B40" i="5"/>
  <c r="C52" i="5" s="1"/>
  <c r="C39" i="5"/>
  <c r="B39" i="5"/>
  <c r="B38" i="5"/>
  <c r="C50" i="5" s="1"/>
  <c r="C37" i="5"/>
  <c r="B37" i="5"/>
  <c r="B36" i="5"/>
  <c r="C48" i="5" s="1"/>
  <c r="C35" i="5"/>
  <c r="B35" i="5"/>
  <c r="B34" i="5"/>
  <c r="C46" i="5" s="1"/>
  <c r="C33" i="5"/>
  <c r="B33" i="5"/>
  <c r="B32" i="5"/>
  <c r="C44" i="5" s="1"/>
  <c r="C31" i="5"/>
  <c r="B31" i="5"/>
  <c r="B30" i="5"/>
  <c r="C42" i="5" s="1"/>
  <c r="B29" i="5"/>
  <c r="B28" i="5"/>
  <c r="C40" i="5" s="1"/>
  <c r="C27" i="5"/>
  <c r="B27" i="5"/>
  <c r="B26" i="5"/>
  <c r="C38" i="5" s="1"/>
  <c r="C25" i="5"/>
  <c r="B25" i="5"/>
  <c r="B24" i="5"/>
  <c r="C36" i="5" s="1"/>
  <c r="B23" i="5"/>
  <c r="B22" i="5"/>
  <c r="C34" i="5" s="1"/>
  <c r="C21" i="5"/>
  <c r="B21" i="5"/>
  <c r="B20" i="5"/>
  <c r="C32" i="5" s="1"/>
  <c r="C19" i="5"/>
  <c r="B19" i="5"/>
  <c r="B18" i="5"/>
  <c r="C18" i="5" s="1"/>
  <c r="B17" i="5"/>
  <c r="C29" i="5" s="1"/>
  <c r="B16" i="5"/>
  <c r="B15" i="5"/>
  <c r="B14" i="5"/>
  <c r="B13" i="5"/>
  <c r="B12" i="5"/>
  <c r="C24" i="5" s="1"/>
  <c r="B11" i="5"/>
  <c r="C23" i="5" s="1"/>
  <c r="B10" i="5"/>
  <c r="C22" i="5" s="1"/>
  <c r="B9" i="5"/>
  <c r="B8" i="5"/>
  <c r="B7" i="5"/>
  <c r="B6" i="5"/>
  <c r="C541" i="8" l="1"/>
  <c r="D541" i="8" s="1"/>
  <c r="C558" i="8"/>
  <c r="D558" i="8" s="1"/>
  <c r="C566" i="8"/>
  <c r="D566" i="8" s="1"/>
  <c r="C590" i="8"/>
  <c r="D590" i="8" s="1"/>
  <c r="C598" i="8"/>
  <c r="D598" i="8" s="1"/>
  <c r="C606" i="8"/>
  <c r="D606" i="8" s="1"/>
  <c r="C646" i="8"/>
  <c r="D646" i="8" s="1"/>
  <c r="C654" i="8"/>
  <c r="D654" i="8" s="1"/>
  <c r="C670" i="8"/>
  <c r="D670" i="8" s="1"/>
  <c r="C678" i="8"/>
  <c r="D678" i="8" s="1"/>
  <c r="C702" i="8"/>
  <c r="D702" i="8" s="1"/>
  <c r="C758" i="8"/>
  <c r="D758" i="8" s="1"/>
  <c r="C717" i="8"/>
  <c r="D717" i="8" s="1"/>
  <c r="C725" i="8"/>
  <c r="D725" i="8" s="1"/>
  <c r="C733" i="8"/>
  <c r="D733" i="8" s="1"/>
  <c r="E14" i="7"/>
  <c r="C12" i="7"/>
  <c r="D12" i="7" s="1"/>
  <c r="E86" i="7"/>
  <c r="C84" i="7"/>
  <c r="D84" i="7" s="1"/>
  <c r="E85" i="7"/>
  <c r="F85" i="7" s="1"/>
  <c r="C120" i="7"/>
  <c r="D120" i="7" s="1"/>
  <c r="E122" i="7"/>
  <c r="F122" i="7" s="1"/>
  <c r="E140" i="7"/>
  <c r="C138" i="7"/>
  <c r="D138" i="7" s="1"/>
  <c r="C184" i="7"/>
  <c r="D184" i="7" s="1"/>
  <c r="E186" i="7"/>
  <c r="F186" i="7" s="1"/>
  <c r="E204" i="7"/>
  <c r="C202" i="7"/>
  <c r="D202" i="7" s="1"/>
  <c r="C248" i="7"/>
  <c r="D248" i="7" s="1"/>
  <c r="E250" i="7"/>
  <c r="F250" i="7" s="1"/>
  <c r="E268" i="7"/>
  <c r="C266" i="7"/>
  <c r="D266" i="7" s="1"/>
  <c r="E305" i="7"/>
  <c r="C321" i="7"/>
  <c r="D321" i="7" s="1"/>
  <c r="C322" i="7"/>
  <c r="D322" i="7" s="1"/>
  <c r="E324" i="7"/>
  <c r="C341" i="7"/>
  <c r="D341" i="7" s="1"/>
  <c r="E343" i="7"/>
  <c r="C352" i="7"/>
  <c r="D352" i="7" s="1"/>
  <c r="C351" i="7"/>
  <c r="D351" i="7" s="1"/>
  <c r="E358" i="7"/>
  <c r="C355" i="7"/>
  <c r="D355" i="7" s="1"/>
  <c r="E362" i="7"/>
  <c r="E369" i="7"/>
  <c r="C416" i="7"/>
  <c r="D416" i="7" s="1"/>
  <c r="C415" i="7"/>
  <c r="D415" i="7" s="1"/>
  <c r="E422" i="7"/>
  <c r="C419" i="7"/>
  <c r="D419" i="7" s="1"/>
  <c r="E426" i="7"/>
  <c r="E433" i="7"/>
  <c r="C480" i="7"/>
  <c r="D480" i="7" s="1"/>
  <c r="C479" i="7"/>
  <c r="D479" i="7" s="1"/>
  <c r="E486" i="7"/>
  <c r="C483" i="7"/>
  <c r="D483" i="7" s="1"/>
  <c r="E490" i="7"/>
  <c r="E497" i="7"/>
  <c r="C544" i="7"/>
  <c r="D544" i="7" s="1"/>
  <c r="C543" i="7"/>
  <c r="D543" i="7" s="1"/>
  <c r="E550" i="7"/>
  <c r="C547" i="7"/>
  <c r="D547" i="7" s="1"/>
  <c r="E554" i="7"/>
  <c r="E561" i="7"/>
  <c r="C608" i="7"/>
  <c r="D608" i="7" s="1"/>
  <c r="C607" i="7"/>
  <c r="D607" i="7" s="1"/>
  <c r="E614" i="7"/>
  <c r="C611" i="7"/>
  <c r="D611" i="7" s="1"/>
  <c r="E618" i="7"/>
  <c r="E625" i="7"/>
  <c r="C672" i="7"/>
  <c r="D672" i="7" s="1"/>
  <c r="C671" i="7"/>
  <c r="D671" i="7" s="1"/>
  <c r="E678" i="7"/>
  <c r="C675" i="7"/>
  <c r="D675" i="7" s="1"/>
  <c r="E682" i="7"/>
  <c r="E689" i="7"/>
  <c r="C736" i="7"/>
  <c r="D736" i="7" s="1"/>
  <c r="C735" i="7"/>
  <c r="D735" i="7" s="1"/>
  <c r="E742" i="7"/>
  <c r="C739" i="7"/>
  <c r="D739" i="7" s="1"/>
  <c r="E746" i="7"/>
  <c r="E753" i="7"/>
  <c r="C800" i="7"/>
  <c r="D800" i="7" s="1"/>
  <c r="C799" i="7"/>
  <c r="D799" i="7" s="1"/>
  <c r="E806" i="7"/>
  <c r="C803" i="7"/>
  <c r="D803" i="7" s="1"/>
  <c r="E817" i="7"/>
  <c r="C170" i="5"/>
  <c r="C187" i="6"/>
  <c r="C267" i="6"/>
  <c r="C336" i="6"/>
  <c r="C379" i="6"/>
  <c r="C384" i="6"/>
  <c r="C395" i="6"/>
  <c r="C400" i="6"/>
  <c r="C411" i="6"/>
  <c r="C432" i="6"/>
  <c r="C459" i="6"/>
  <c r="C464" i="6"/>
  <c r="C475" i="6"/>
  <c r="C480" i="6"/>
  <c r="C491" i="6"/>
  <c r="C496" i="6"/>
  <c r="C507" i="6"/>
  <c r="C512" i="6"/>
  <c r="C523" i="6"/>
  <c r="C528" i="6"/>
  <c r="C539" i="6"/>
  <c r="C544" i="6"/>
  <c r="C555" i="6"/>
  <c r="C560" i="6"/>
  <c r="C571" i="6"/>
  <c r="C576" i="6"/>
  <c r="C587" i="6"/>
  <c r="C592" i="6"/>
  <c r="C603" i="6"/>
  <c r="C608" i="6"/>
  <c r="C619" i="6"/>
  <c r="C624" i="6"/>
  <c r="C635" i="6"/>
  <c r="C640" i="6"/>
  <c r="C651" i="6"/>
  <c r="C656" i="6"/>
  <c r="C667" i="6"/>
  <c r="C672" i="6"/>
  <c r="C683" i="6"/>
  <c r="E21" i="7"/>
  <c r="C19" i="7"/>
  <c r="D19" i="7" s="1"/>
  <c r="E20" i="7"/>
  <c r="E30" i="7"/>
  <c r="C28" i="7"/>
  <c r="D28" i="7" s="1"/>
  <c r="C64" i="7"/>
  <c r="D64" i="7" s="1"/>
  <c r="E64" i="7"/>
  <c r="F115" i="7"/>
  <c r="C82" i="7"/>
  <c r="D82" i="7" s="1"/>
  <c r="E94" i="7"/>
  <c r="C92" i="7"/>
  <c r="D92" i="7" s="1"/>
  <c r="E93" i="7"/>
  <c r="F98" i="7"/>
  <c r="E110" i="7"/>
  <c r="C107" i="7"/>
  <c r="D107" i="7" s="1"/>
  <c r="E113" i="7"/>
  <c r="C111" i="7"/>
  <c r="D111" i="7" s="1"/>
  <c r="F143" i="7"/>
  <c r="E174" i="7"/>
  <c r="F174" i="7" s="1"/>
  <c r="C171" i="7"/>
  <c r="D171" i="7" s="1"/>
  <c r="E177" i="7"/>
  <c r="C175" i="7"/>
  <c r="D175" i="7" s="1"/>
  <c r="C183" i="7"/>
  <c r="D183" i="7" s="1"/>
  <c r="E238" i="7"/>
  <c r="F238" i="7" s="1"/>
  <c r="C235" i="7"/>
  <c r="D235" i="7" s="1"/>
  <c r="E241" i="7"/>
  <c r="C239" i="7"/>
  <c r="D239" i="7" s="1"/>
  <c r="C247" i="7"/>
  <c r="D247" i="7" s="1"/>
  <c r="C265" i="7"/>
  <c r="D265" i="7" s="1"/>
  <c r="E302" i="7"/>
  <c r="F302" i="7" s="1"/>
  <c r="C299" i="7"/>
  <c r="D299" i="7" s="1"/>
  <c r="E306" i="7"/>
  <c r="F306" i="7" s="1"/>
  <c r="F317" i="7"/>
  <c r="C329" i="7"/>
  <c r="D329" i="7" s="1"/>
  <c r="C330" i="7"/>
  <c r="D330" i="7" s="1"/>
  <c r="E332" i="7"/>
  <c r="F336" i="7"/>
  <c r="C340" i="7"/>
  <c r="D340" i="7" s="1"/>
  <c r="C349" i="7"/>
  <c r="D349" i="7" s="1"/>
  <c r="E351" i="7"/>
  <c r="F351" i="7" s="1"/>
  <c r="C360" i="7"/>
  <c r="D360" i="7" s="1"/>
  <c r="C359" i="7"/>
  <c r="D359" i="7" s="1"/>
  <c r="E366" i="7"/>
  <c r="C363" i="7"/>
  <c r="D363" i="7" s="1"/>
  <c r="E370" i="7"/>
  <c r="F381" i="7"/>
  <c r="F400" i="7"/>
  <c r="C424" i="7"/>
  <c r="D424" i="7" s="1"/>
  <c r="C423" i="7"/>
  <c r="D423" i="7" s="1"/>
  <c r="E430" i="7"/>
  <c r="C427" i="7"/>
  <c r="D427" i="7" s="1"/>
  <c r="E434" i="7"/>
  <c r="C488" i="7"/>
  <c r="D488" i="7" s="1"/>
  <c r="C487" i="7"/>
  <c r="D487" i="7" s="1"/>
  <c r="E494" i="7"/>
  <c r="C491" i="7"/>
  <c r="D491" i="7" s="1"/>
  <c r="E498" i="7"/>
  <c r="C552" i="7"/>
  <c r="D552" i="7" s="1"/>
  <c r="C551" i="7"/>
  <c r="D551" i="7" s="1"/>
  <c r="E558" i="7"/>
  <c r="C555" i="7"/>
  <c r="D555" i="7" s="1"/>
  <c r="E562" i="7"/>
  <c r="C616" i="7"/>
  <c r="D616" i="7" s="1"/>
  <c r="C615" i="7"/>
  <c r="D615" i="7" s="1"/>
  <c r="E622" i="7"/>
  <c r="C619" i="7"/>
  <c r="D619" i="7" s="1"/>
  <c r="E626" i="7"/>
  <c r="C680" i="7"/>
  <c r="D680" i="7" s="1"/>
  <c r="C679" i="7"/>
  <c r="D679" i="7" s="1"/>
  <c r="E686" i="7"/>
  <c r="C683" i="7"/>
  <c r="D683" i="7" s="1"/>
  <c r="E690" i="7"/>
  <c r="C744" i="7"/>
  <c r="D744" i="7" s="1"/>
  <c r="C743" i="7"/>
  <c r="D743" i="7" s="1"/>
  <c r="E750" i="7"/>
  <c r="C747" i="7"/>
  <c r="D747" i="7" s="1"/>
  <c r="E754" i="7"/>
  <c r="C808" i="7"/>
  <c r="D808" i="7" s="1"/>
  <c r="C807" i="7"/>
  <c r="D807" i="7" s="1"/>
  <c r="E814" i="7"/>
  <c r="C811" i="7"/>
  <c r="D811" i="7" s="1"/>
  <c r="C901" i="7"/>
  <c r="D901" i="7" s="1"/>
  <c r="F952" i="7"/>
  <c r="E903" i="7"/>
  <c r="C32" i="6"/>
  <c r="C144" i="6"/>
  <c r="C230" i="5"/>
  <c r="C405" i="5"/>
  <c r="C464" i="5"/>
  <c r="C533" i="5"/>
  <c r="C699" i="6"/>
  <c r="C708" i="6"/>
  <c r="C731" i="6"/>
  <c r="C740" i="6"/>
  <c r="C18" i="7"/>
  <c r="D18" i="7" s="1"/>
  <c r="E46" i="7"/>
  <c r="F95" i="7"/>
  <c r="C44" i="7"/>
  <c r="D44" i="7" s="1"/>
  <c r="C136" i="7"/>
  <c r="D136" i="7" s="1"/>
  <c r="E138" i="7"/>
  <c r="F138" i="7" s="1"/>
  <c r="E156" i="7"/>
  <c r="C154" i="7"/>
  <c r="D154" i="7" s="1"/>
  <c r="C156" i="7"/>
  <c r="D156" i="7" s="1"/>
  <c r="E159" i="7"/>
  <c r="F159" i="7" s="1"/>
  <c r="C174" i="7"/>
  <c r="D174" i="7" s="1"/>
  <c r="F189" i="7"/>
  <c r="C200" i="7"/>
  <c r="D200" i="7" s="1"/>
  <c r="E202" i="7"/>
  <c r="F202" i="7" s="1"/>
  <c r="E220" i="7"/>
  <c r="C218" i="7"/>
  <c r="D218" i="7" s="1"/>
  <c r="C220" i="7"/>
  <c r="D220" i="7" s="1"/>
  <c r="E223" i="7"/>
  <c r="F253" i="7"/>
  <c r="C264" i="7"/>
  <c r="D264" i="7" s="1"/>
  <c r="E266" i="7"/>
  <c r="F266" i="7" s="1"/>
  <c r="E284" i="7"/>
  <c r="C282" i="7"/>
  <c r="D282" i="7" s="1"/>
  <c r="E287" i="7"/>
  <c r="C304" i="7"/>
  <c r="D304" i="7" s="1"/>
  <c r="C303" i="7"/>
  <c r="D303" i="7" s="1"/>
  <c r="E310" i="7"/>
  <c r="F310" i="7" s="1"/>
  <c r="C307" i="7"/>
  <c r="D307" i="7" s="1"/>
  <c r="E321" i="7"/>
  <c r="C337" i="7"/>
  <c r="D337" i="7" s="1"/>
  <c r="C338" i="7"/>
  <c r="D338" i="7" s="1"/>
  <c r="E340" i="7"/>
  <c r="C357" i="7"/>
  <c r="D357" i="7" s="1"/>
  <c r="E359" i="7"/>
  <c r="F359" i="7" s="1"/>
  <c r="C368" i="7"/>
  <c r="D368" i="7" s="1"/>
  <c r="C367" i="7"/>
  <c r="D367" i="7" s="1"/>
  <c r="E374" i="7"/>
  <c r="C371" i="7"/>
  <c r="D371" i="7" s="1"/>
  <c r="E385" i="7"/>
  <c r="F389" i="7"/>
  <c r="F408" i="7"/>
  <c r="C432" i="7"/>
  <c r="D432" i="7" s="1"/>
  <c r="C431" i="7"/>
  <c r="D431" i="7" s="1"/>
  <c r="E438" i="7"/>
  <c r="C435" i="7"/>
  <c r="D435" i="7" s="1"/>
  <c r="E449" i="7"/>
  <c r="C496" i="7"/>
  <c r="D496" i="7" s="1"/>
  <c r="C495" i="7"/>
  <c r="D495" i="7" s="1"/>
  <c r="E502" i="7"/>
  <c r="C499" i="7"/>
  <c r="D499" i="7" s="1"/>
  <c r="E513" i="7"/>
  <c r="C560" i="7"/>
  <c r="D560" i="7" s="1"/>
  <c r="C559" i="7"/>
  <c r="D559" i="7" s="1"/>
  <c r="E566" i="7"/>
  <c r="C563" i="7"/>
  <c r="D563" i="7" s="1"/>
  <c r="E577" i="7"/>
  <c r="C624" i="7"/>
  <c r="D624" i="7" s="1"/>
  <c r="C623" i="7"/>
  <c r="D623" i="7" s="1"/>
  <c r="E630" i="7"/>
  <c r="C627" i="7"/>
  <c r="D627" i="7" s="1"/>
  <c r="E641" i="7"/>
  <c r="C688" i="7"/>
  <c r="D688" i="7" s="1"/>
  <c r="C687" i="7"/>
  <c r="D687" i="7" s="1"/>
  <c r="E694" i="7"/>
  <c r="C691" i="7"/>
  <c r="D691" i="7" s="1"/>
  <c r="E705" i="7"/>
  <c r="C752" i="7"/>
  <c r="D752" i="7" s="1"/>
  <c r="C751" i="7"/>
  <c r="D751" i="7" s="1"/>
  <c r="E758" i="7"/>
  <c r="C755" i="7"/>
  <c r="D755" i="7" s="1"/>
  <c r="E769" i="7"/>
  <c r="C816" i="7"/>
  <c r="D816" i="7" s="1"/>
  <c r="C815" i="7"/>
  <c r="D815" i="7" s="1"/>
  <c r="E822" i="7"/>
  <c r="C819" i="7"/>
  <c r="D819" i="7" s="1"/>
  <c r="E833" i="7"/>
  <c r="E857" i="7"/>
  <c r="F867" i="7"/>
  <c r="C910" i="7"/>
  <c r="D910" i="7" s="1"/>
  <c r="E910" i="7"/>
  <c r="F910" i="7" s="1"/>
  <c r="E912" i="7"/>
  <c r="F961" i="7"/>
  <c r="E909" i="7"/>
  <c r="C909" i="7"/>
  <c r="D909" i="7" s="1"/>
  <c r="C88" i="5"/>
  <c r="C97" i="5"/>
  <c r="C152" i="5"/>
  <c r="C161" i="5"/>
  <c r="C225" i="5"/>
  <c r="C59" i="6"/>
  <c r="C75" i="6"/>
  <c r="C96" i="6"/>
  <c r="C112" i="6"/>
  <c r="C128" i="6"/>
  <c r="C176" i="6"/>
  <c r="C219" i="6"/>
  <c r="C235" i="6"/>
  <c r="C288" i="6"/>
  <c r="C299" i="6"/>
  <c r="C320" i="6"/>
  <c r="C352" i="6"/>
  <c r="C26" i="5"/>
  <c r="C93" i="5"/>
  <c r="C293" i="5"/>
  <c r="C309" i="5"/>
  <c r="C368" i="5"/>
  <c r="C384" i="5"/>
  <c r="C389" i="5"/>
  <c r="C400" i="5"/>
  <c r="C421" i="5"/>
  <c r="C437" i="5"/>
  <c r="C453" i="5"/>
  <c r="C480" i="5"/>
  <c r="C496" i="5"/>
  <c r="C560" i="5"/>
  <c r="C613" i="5"/>
  <c r="C624" i="5"/>
  <c r="C640" i="5"/>
  <c r="C656" i="5"/>
  <c r="C672" i="5"/>
  <c r="C693" i="5"/>
  <c r="C709" i="5"/>
  <c r="C720" i="5"/>
  <c r="C736" i="5"/>
  <c r="C27" i="7"/>
  <c r="D27" i="7" s="1"/>
  <c r="F86" i="7"/>
  <c r="E37" i="7"/>
  <c r="C35" i="7"/>
  <c r="D35" i="7" s="1"/>
  <c r="E36" i="7"/>
  <c r="C46" i="7"/>
  <c r="D46" i="7" s="1"/>
  <c r="C63" i="7"/>
  <c r="D63" i="7" s="1"/>
  <c r="E65" i="7"/>
  <c r="C72" i="7"/>
  <c r="D72" i="7" s="1"/>
  <c r="E72" i="7"/>
  <c r="C81" i="7"/>
  <c r="D81" i="7" s="1"/>
  <c r="C91" i="7"/>
  <c r="D91" i="7" s="1"/>
  <c r="E102" i="7"/>
  <c r="F102" i="7" s="1"/>
  <c r="C100" i="7"/>
  <c r="D100" i="7" s="1"/>
  <c r="E101" i="7"/>
  <c r="F101" i="7" s="1"/>
  <c r="C110" i="7"/>
  <c r="D110" i="7" s="1"/>
  <c r="F125" i="7"/>
  <c r="C75" i="5"/>
  <c r="C79" i="5"/>
  <c r="C83" i="5"/>
  <c r="C115" i="5"/>
  <c r="C147" i="5"/>
  <c r="C179" i="5"/>
  <c r="C211" i="5"/>
  <c r="C226" i="5"/>
  <c r="C22" i="6"/>
  <c r="C23" i="6"/>
  <c r="C55" i="6"/>
  <c r="C60" i="6"/>
  <c r="C76" i="6"/>
  <c r="C92" i="6"/>
  <c r="C103" i="6"/>
  <c r="C119" i="6"/>
  <c r="C135" i="6"/>
  <c r="C151" i="6"/>
  <c r="C167" i="6"/>
  <c r="C172" i="6"/>
  <c r="C183" i="6"/>
  <c r="C204" i="6"/>
  <c r="C215" i="6"/>
  <c r="C220" i="6"/>
  <c r="C236" i="6"/>
  <c r="C252" i="6"/>
  <c r="C263" i="6"/>
  <c r="C268" i="6"/>
  <c r="C284" i="6"/>
  <c r="C295" i="6"/>
  <c r="C316" i="6"/>
  <c r="C327" i="6"/>
  <c r="C343" i="6"/>
  <c r="C359" i="6"/>
  <c r="C375" i="6"/>
  <c r="C380" i="6"/>
  <c r="C428" i="6"/>
  <c r="C439" i="6"/>
  <c r="C455" i="6"/>
  <c r="C460" i="6"/>
  <c r="C721" i="6"/>
  <c r="C753" i="6"/>
  <c r="E12" i="7"/>
  <c r="C10" i="7"/>
  <c r="D10" i="7" s="1"/>
  <c r="E15" i="7"/>
  <c r="E24" i="7"/>
  <c r="C31" i="7"/>
  <c r="D31" i="7" s="1"/>
  <c r="C34" i="7"/>
  <c r="D34" i="7" s="1"/>
  <c r="C43" i="7"/>
  <c r="D43" i="7" s="1"/>
  <c r="C55" i="7"/>
  <c r="D55" i="7" s="1"/>
  <c r="E58" i="7"/>
  <c r="F58" i="7" s="1"/>
  <c r="F113" i="7"/>
  <c r="C71" i="7"/>
  <c r="D71" i="7" s="1"/>
  <c r="E73" i="7"/>
  <c r="F73" i="7" s="1"/>
  <c r="E76" i="7"/>
  <c r="F76" i="7" s="1"/>
  <c r="C80" i="7"/>
  <c r="D80" i="7" s="1"/>
  <c r="E80" i="7"/>
  <c r="F80" i="7" s="1"/>
  <c r="F131" i="7"/>
  <c r="C89" i="7"/>
  <c r="D89" i="7" s="1"/>
  <c r="C98" i="7"/>
  <c r="D98" i="7" s="1"/>
  <c r="C99" i="7"/>
  <c r="D99" i="7" s="1"/>
  <c r="E119" i="7"/>
  <c r="E126" i="7"/>
  <c r="C123" i="7"/>
  <c r="D123" i="7" s="1"/>
  <c r="E129" i="7"/>
  <c r="C127" i="7"/>
  <c r="D127" i="7" s="1"/>
  <c r="C135" i="7"/>
  <c r="D135" i="7" s="1"/>
  <c r="C153" i="7"/>
  <c r="D153" i="7" s="1"/>
  <c r="E183" i="7"/>
  <c r="E190" i="7"/>
  <c r="F190" i="7" s="1"/>
  <c r="C187" i="7"/>
  <c r="D187" i="7" s="1"/>
  <c r="E193" i="7"/>
  <c r="C191" i="7"/>
  <c r="D191" i="7" s="1"/>
  <c r="C199" i="7"/>
  <c r="D199" i="7" s="1"/>
  <c r="C217" i="7"/>
  <c r="D217" i="7" s="1"/>
  <c r="F223" i="7"/>
  <c r="E247" i="7"/>
  <c r="E254" i="7"/>
  <c r="F254" i="7" s="1"/>
  <c r="C251" i="7"/>
  <c r="D251" i="7" s="1"/>
  <c r="F303" i="7"/>
  <c r="E257" i="7"/>
  <c r="C255" i="7"/>
  <c r="D255" i="7" s="1"/>
  <c r="C263" i="7"/>
  <c r="D263" i="7" s="1"/>
  <c r="C281" i="7"/>
  <c r="D281" i="7" s="1"/>
  <c r="F287" i="7"/>
  <c r="C301" i="7"/>
  <c r="D301" i="7" s="1"/>
  <c r="E303" i="7"/>
  <c r="E307" i="7"/>
  <c r="F307" i="7" s="1"/>
  <c r="C312" i="7"/>
  <c r="D312" i="7" s="1"/>
  <c r="C311" i="7"/>
  <c r="D311" i="7" s="1"/>
  <c r="E318" i="7"/>
  <c r="F318" i="7" s="1"/>
  <c r="C315" i="7"/>
  <c r="D315" i="7" s="1"/>
  <c r="F367" i="7"/>
  <c r="E322" i="7"/>
  <c r="F322" i="7" s="1"/>
  <c r="E329" i="7"/>
  <c r="F329" i="7" s="1"/>
  <c r="F333" i="7"/>
  <c r="E341" i="7"/>
  <c r="F341" i="7" s="1"/>
  <c r="C345" i="7"/>
  <c r="D345" i="7" s="1"/>
  <c r="C346" i="7"/>
  <c r="D346" i="7" s="1"/>
  <c r="E348" i="7"/>
  <c r="F352" i="7"/>
  <c r="C356" i="7"/>
  <c r="D356" i="7" s="1"/>
  <c r="E360" i="7"/>
  <c r="C365" i="7"/>
  <c r="D365" i="7" s="1"/>
  <c r="E367" i="7"/>
  <c r="E371" i="7"/>
  <c r="F371" i="7" s="1"/>
  <c r="C376" i="7"/>
  <c r="D376" i="7" s="1"/>
  <c r="C375" i="7"/>
  <c r="D375" i="7" s="1"/>
  <c r="E382" i="7"/>
  <c r="C379" i="7"/>
  <c r="D379" i="7" s="1"/>
  <c r="E386" i="7"/>
  <c r="E393" i="7"/>
  <c r="F397" i="7"/>
  <c r="F416" i="7"/>
  <c r="C420" i="7"/>
  <c r="D420" i="7" s="1"/>
  <c r="E424" i="7"/>
  <c r="F424" i="7" s="1"/>
  <c r="E435" i="7"/>
  <c r="F435" i="7" s="1"/>
  <c r="C440" i="7"/>
  <c r="D440" i="7" s="1"/>
  <c r="C439" i="7"/>
  <c r="D439" i="7" s="1"/>
  <c r="E446" i="7"/>
  <c r="C443" i="7"/>
  <c r="D443" i="7" s="1"/>
  <c r="E450" i="7"/>
  <c r="E457" i="7"/>
  <c r="C484" i="7"/>
  <c r="D484" i="7" s="1"/>
  <c r="E488" i="7"/>
  <c r="F488" i="7" s="1"/>
  <c r="E499" i="7"/>
  <c r="F499" i="7" s="1"/>
  <c r="C504" i="7"/>
  <c r="D504" i="7" s="1"/>
  <c r="C503" i="7"/>
  <c r="D503" i="7" s="1"/>
  <c r="E510" i="7"/>
  <c r="C507" i="7"/>
  <c r="D507" i="7" s="1"/>
  <c r="E514" i="7"/>
  <c r="E521" i="7"/>
  <c r="C548" i="7"/>
  <c r="D548" i="7" s="1"/>
  <c r="E552" i="7"/>
  <c r="F552" i="7" s="1"/>
  <c r="E563" i="7"/>
  <c r="F563" i="7" s="1"/>
  <c r="C568" i="7"/>
  <c r="D568" i="7" s="1"/>
  <c r="C567" i="7"/>
  <c r="D567" i="7" s="1"/>
  <c r="E574" i="7"/>
  <c r="F574" i="7" s="1"/>
  <c r="C571" i="7"/>
  <c r="D571" i="7" s="1"/>
  <c r="E578" i="7"/>
  <c r="E585" i="7"/>
  <c r="C612" i="7"/>
  <c r="D612" i="7" s="1"/>
  <c r="E616" i="7"/>
  <c r="F616" i="7" s="1"/>
  <c r="E627" i="7"/>
  <c r="F627" i="7" s="1"/>
  <c r="C632" i="7"/>
  <c r="D632" i="7" s="1"/>
  <c r="C631" i="7"/>
  <c r="D631" i="7" s="1"/>
  <c r="E638" i="7"/>
  <c r="C635" i="7"/>
  <c r="D635" i="7" s="1"/>
  <c r="E642" i="7"/>
  <c r="C676" i="7"/>
  <c r="D676" i="7" s="1"/>
  <c r="E680" i="7"/>
  <c r="F680" i="7" s="1"/>
  <c r="E691" i="7"/>
  <c r="F691" i="7" s="1"/>
  <c r="C696" i="7"/>
  <c r="D696" i="7" s="1"/>
  <c r="C695" i="7"/>
  <c r="D695" i="7" s="1"/>
  <c r="E702" i="7"/>
  <c r="C699" i="7"/>
  <c r="D699" i="7" s="1"/>
  <c r="E706" i="7"/>
  <c r="C740" i="7"/>
  <c r="D740" i="7" s="1"/>
  <c r="E744" i="7"/>
  <c r="F744" i="7" s="1"/>
  <c r="E755" i="7"/>
  <c r="F755" i="7" s="1"/>
  <c r="C760" i="7"/>
  <c r="D760" i="7" s="1"/>
  <c r="C759" i="7"/>
  <c r="D759" i="7" s="1"/>
  <c r="E766" i="7"/>
  <c r="C763" i="7"/>
  <c r="D763" i="7" s="1"/>
  <c r="E770" i="7"/>
  <c r="C804" i="7"/>
  <c r="D804" i="7" s="1"/>
  <c r="E808" i="7"/>
  <c r="F808" i="7" s="1"/>
  <c r="E819" i="7"/>
  <c r="F819" i="7" s="1"/>
  <c r="C824" i="7"/>
  <c r="D824" i="7" s="1"/>
  <c r="C823" i="7"/>
  <c r="D823" i="7" s="1"/>
  <c r="E830" i="7"/>
  <c r="F830" i="7" s="1"/>
  <c r="C827" i="7"/>
  <c r="D827" i="7" s="1"/>
  <c r="E841" i="7"/>
  <c r="C926" i="7"/>
  <c r="D926" i="7" s="1"/>
  <c r="E928" i="7"/>
  <c r="F977" i="7"/>
  <c r="E925" i="7"/>
  <c r="C925" i="7"/>
  <c r="D925" i="7" s="1"/>
  <c r="C942" i="7"/>
  <c r="D942" i="7" s="1"/>
  <c r="E944" i="7"/>
  <c r="F944" i="7" s="1"/>
  <c r="F993" i="7"/>
  <c r="E941" i="7"/>
  <c r="F941" i="7" s="1"/>
  <c r="C941" i="7"/>
  <c r="D941" i="7" s="1"/>
  <c r="C106" i="5"/>
  <c r="C148" i="5"/>
  <c r="C272" i="5"/>
  <c r="C341" i="5"/>
  <c r="C528" i="5"/>
  <c r="C592" i="5"/>
  <c r="C661" i="5"/>
  <c r="C268" i="5"/>
  <c r="C460" i="5"/>
  <c r="C561" i="5"/>
  <c r="C47" i="7"/>
  <c r="D47" i="7" s="1"/>
  <c r="C172" i="7"/>
  <c r="D172" i="7" s="1"/>
  <c r="F246" i="7"/>
  <c r="E236" i="7"/>
  <c r="C234" i="7"/>
  <c r="D234" i="7" s="1"/>
  <c r="C236" i="7"/>
  <c r="D236" i="7" s="1"/>
  <c r="E239" i="7"/>
  <c r="F251" i="7"/>
  <c r="C280" i="7"/>
  <c r="D280" i="7" s="1"/>
  <c r="E282" i="7"/>
  <c r="F282" i="7" s="1"/>
  <c r="F290" i="7"/>
  <c r="E300" i="7"/>
  <c r="C298" i="7"/>
  <c r="D298" i="7" s="1"/>
  <c r="E304" i="7"/>
  <c r="F304" i="7" s="1"/>
  <c r="C309" i="7"/>
  <c r="D309" i="7" s="1"/>
  <c r="E311" i="7"/>
  <c r="F315" i="7"/>
  <c r="C320" i="7"/>
  <c r="D320" i="7" s="1"/>
  <c r="C319" i="7"/>
  <c r="D319" i="7" s="1"/>
  <c r="E326" i="7"/>
  <c r="C323" i="7"/>
  <c r="D323" i="7" s="1"/>
  <c r="E330" i="7"/>
  <c r="E337" i="7"/>
  <c r="E349" i="7"/>
  <c r="C353" i="7"/>
  <c r="D353" i="7" s="1"/>
  <c r="C354" i="7"/>
  <c r="D354" i="7" s="1"/>
  <c r="E356" i="7"/>
  <c r="F360" i="7"/>
  <c r="C364" i="7"/>
  <c r="D364" i="7" s="1"/>
  <c r="E368" i="7"/>
  <c r="F368" i="7" s="1"/>
  <c r="C384" i="7"/>
  <c r="D384" i="7" s="1"/>
  <c r="C383" i="7"/>
  <c r="D383" i="7" s="1"/>
  <c r="E390" i="7"/>
  <c r="C387" i="7"/>
  <c r="D387" i="7" s="1"/>
  <c r="F405" i="7"/>
  <c r="E432" i="7"/>
  <c r="F432" i="7" s="1"/>
  <c r="C448" i="7"/>
  <c r="D448" i="7" s="1"/>
  <c r="C447" i="7"/>
  <c r="D447" i="7" s="1"/>
  <c r="E454" i="7"/>
  <c r="F454" i="7" s="1"/>
  <c r="C451" i="7"/>
  <c r="D451" i="7" s="1"/>
  <c r="E496" i="7"/>
  <c r="F496" i="7" s="1"/>
  <c r="C512" i="7"/>
  <c r="D512" i="7" s="1"/>
  <c r="C511" i="7"/>
  <c r="D511" i="7" s="1"/>
  <c r="E518" i="7"/>
  <c r="F518" i="7" s="1"/>
  <c r="C515" i="7"/>
  <c r="D515" i="7" s="1"/>
  <c r="C576" i="7"/>
  <c r="D576" i="7" s="1"/>
  <c r="C575" i="7"/>
  <c r="D575" i="7" s="1"/>
  <c r="E582" i="7"/>
  <c r="C579" i="7"/>
  <c r="D579" i="7" s="1"/>
  <c r="E624" i="7"/>
  <c r="F624" i="7" s="1"/>
  <c r="C640" i="7"/>
  <c r="D640" i="7" s="1"/>
  <c r="C639" i="7"/>
  <c r="D639" i="7" s="1"/>
  <c r="E646" i="7"/>
  <c r="F646" i="7" s="1"/>
  <c r="C643" i="7"/>
  <c r="D643" i="7" s="1"/>
  <c r="E688" i="7"/>
  <c r="F688" i="7" s="1"/>
  <c r="C704" i="7"/>
  <c r="D704" i="7" s="1"/>
  <c r="C703" i="7"/>
  <c r="D703" i="7" s="1"/>
  <c r="E710" i="7"/>
  <c r="C707" i="7"/>
  <c r="D707" i="7" s="1"/>
  <c r="C768" i="7"/>
  <c r="D768" i="7" s="1"/>
  <c r="C767" i="7"/>
  <c r="D767" i="7" s="1"/>
  <c r="E774" i="7"/>
  <c r="C771" i="7"/>
  <c r="D771" i="7" s="1"/>
  <c r="C832" i="7"/>
  <c r="D832" i="7" s="1"/>
  <c r="C831" i="7"/>
  <c r="D831" i="7" s="1"/>
  <c r="E838" i="7"/>
  <c r="F838" i="7" s="1"/>
  <c r="C835" i="7"/>
  <c r="D835" i="7" s="1"/>
  <c r="C856" i="7"/>
  <c r="D856" i="7" s="1"/>
  <c r="F907" i="7"/>
  <c r="C855" i="7"/>
  <c r="D855" i="7" s="1"/>
  <c r="E856" i="7"/>
  <c r="F856" i="7" s="1"/>
  <c r="F859" i="7"/>
  <c r="C958" i="7"/>
  <c r="D958" i="7" s="1"/>
  <c r="E960" i="7"/>
  <c r="F960" i="7" s="1"/>
  <c r="F1009" i="7"/>
  <c r="E957" i="7"/>
  <c r="C957" i="7"/>
  <c r="D957" i="7" s="1"/>
  <c r="C974" i="7"/>
  <c r="D974" i="7" s="1"/>
  <c r="E976" i="7"/>
  <c r="F1025" i="7"/>
  <c r="E973" i="7"/>
  <c r="C973" i="7"/>
  <c r="D973" i="7" s="1"/>
  <c r="C990" i="7"/>
  <c r="D990" i="7" s="1"/>
  <c r="E992" i="7"/>
  <c r="F1041" i="7"/>
  <c r="E989" i="7"/>
  <c r="C989" i="7"/>
  <c r="D989" i="7" s="1"/>
  <c r="C129" i="5"/>
  <c r="C84" i="5"/>
  <c r="C102" i="5"/>
  <c r="C166" i="5"/>
  <c r="C189" i="5"/>
  <c r="C198" i="5"/>
  <c r="C212" i="5"/>
  <c r="C221" i="5"/>
  <c r="C240" i="5"/>
  <c r="C352" i="5"/>
  <c r="C373" i="5"/>
  <c r="C416" i="5"/>
  <c r="C469" i="5"/>
  <c r="C485" i="5"/>
  <c r="C629" i="5"/>
  <c r="C688" i="5"/>
  <c r="C704" i="5"/>
  <c r="C21" i="6"/>
  <c r="C175" i="5"/>
  <c r="C273" i="5"/>
  <c r="C369" i="5"/>
  <c r="C524" i="5"/>
  <c r="C529" i="5"/>
  <c r="C556" i="5"/>
  <c r="C588" i="5"/>
  <c r="C593" i="5"/>
  <c r="C609" i="5"/>
  <c r="C749" i="6"/>
  <c r="E19" i="7"/>
  <c r="C17" i="7"/>
  <c r="D17" i="7" s="1"/>
  <c r="E18" i="7"/>
  <c r="C22" i="7"/>
  <c r="D22" i="7" s="1"/>
  <c r="E66" i="7"/>
  <c r="F66" i="7" s="1"/>
  <c r="E81" i="7"/>
  <c r="F182" i="7"/>
  <c r="F141" i="7"/>
  <c r="F272" i="7"/>
  <c r="C107" i="5"/>
  <c r="C139" i="5"/>
  <c r="C171" i="5"/>
  <c r="C203" i="5"/>
  <c r="C235" i="5"/>
  <c r="C713" i="6"/>
  <c r="C745" i="6"/>
  <c r="C13" i="7"/>
  <c r="D13" i="7" s="1"/>
  <c r="C16" i="7"/>
  <c r="D16" i="7" s="1"/>
  <c r="F81" i="7"/>
  <c r="E32" i="7"/>
  <c r="E35" i="7"/>
  <c r="C33" i="7"/>
  <c r="D33" i="7" s="1"/>
  <c r="E34" i="7"/>
  <c r="C38" i="7"/>
  <c r="D38" i="7" s="1"/>
  <c r="E44" i="7"/>
  <c r="C42" i="7"/>
  <c r="D42" i="7" s="1"/>
  <c r="F93" i="7"/>
  <c r="E47" i="7"/>
  <c r="C53" i="7"/>
  <c r="D53" i="7" s="1"/>
  <c r="E62" i="7"/>
  <c r="C60" i="7"/>
  <c r="D60" i="7" s="1"/>
  <c r="E61" i="7"/>
  <c r="F61" i="7" s="1"/>
  <c r="E71" i="7"/>
  <c r="F71" i="7" s="1"/>
  <c r="E74" i="7"/>
  <c r="F74" i="7" s="1"/>
  <c r="F129" i="7"/>
  <c r="F84" i="7"/>
  <c r="C87" i="7"/>
  <c r="D87" i="7" s="1"/>
  <c r="E89" i="7"/>
  <c r="F89" i="7" s="1"/>
  <c r="E92" i="7"/>
  <c r="F92" i="7" s="1"/>
  <c r="C96" i="7"/>
  <c r="D96" i="7" s="1"/>
  <c r="E96" i="7"/>
  <c r="F96" i="7" s="1"/>
  <c r="F147" i="7"/>
  <c r="C105" i="7"/>
  <c r="D105" i="7" s="1"/>
  <c r="E135" i="7"/>
  <c r="F135" i="7" s="1"/>
  <c r="E142" i="7"/>
  <c r="C139" i="7"/>
  <c r="D139" i="7" s="1"/>
  <c r="E145" i="7"/>
  <c r="F145" i="7" s="1"/>
  <c r="C143" i="7"/>
  <c r="D143" i="7" s="1"/>
  <c r="F197" i="7"/>
  <c r="E157" i="7"/>
  <c r="F157" i="7" s="1"/>
  <c r="C169" i="7"/>
  <c r="D169" i="7" s="1"/>
  <c r="E199" i="7"/>
  <c r="E206" i="7"/>
  <c r="F206" i="7" s="1"/>
  <c r="C203" i="7"/>
  <c r="D203" i="7" s="1"/>
  <c r="E209" i="7"/>
  <c r="C207" i="7"/>
  <c r="D207" i="7" s="1"/>
  <c r="F261" i="7"/>
  <c r="C215" i="7"/>
  <c r="D215" i="7" s="1"/>
  <c r="E221" i="7"/>
  <c r="F221" i="7" s="1"/>
  <c r="C233" i="7"/>
  <c r="D233" i="7" s="1"/>
  <c r="F239" i="7"/>
  <c r="E263" i="7"/>
  <c r="F263" i="7" s="1"/>
  <c r="E270" i="7"/>
  <c r="F270" i="7" s="1"/>
  <c r="C267" i="7"/>
  <c r="D267" i="7" s="1"/>
  <c r="E273" i="7"/>
  <c r="C271" i="7"/>
  <c r="D271" i="7" s="1"/>
  <c r="C279" i="7"/>
  <c r="D279" i="7" s="1"/>
  <c r="F334" i="7"/>
  <c r="E285" i="7"/>
  <c r="C297" i="7"/>
  <c r="D297" i="7" s="1"/>
  <c r="C308" i="7"/>
  <c r="D308" i="7" s="1"/>
  <c r="E312" i="7"/>
  <c r="F312" i="7" s="1"/>
  <c r="C317" i="7"/>
  <c r="D317" i="7" s="1"/>
  <c r="E319" i="7"/>
  <c r="F319" i="7" s="1"/>
  <c r="E323" i="7"/>
  <c r="F323" i="7" s="1"/>
  <c r="C328" i="7"/>
  <c r="D328" i="7" s="1"/>
  <c r="C327" i="7"/>
  <c r="D327" i="7" s="1"/>
  <c r="E334" i="7"/>
  <c r="C331" i="7"/>
  <c r="D331" i="7" s="1"/>
  <c r="E338" i="7"/>
  <c r="E345" i="7"/>
  <c r="F345" i="7" s="1"/>
  <c r="F349" i="7"/>
  <c r="E357" i="7"/>
  <c r="C361" i="7"/>
  <c r="D361" i="7" s="1"/>
  <c r="C362" i="7"/>
  <c r="D362" i="7" s="1"/>
  <c r="E364" i="7"/>
  <c r="C372" i="7"/>
  <c r="D372" i="7" s="1"/>
  <c r="E376" i="7"/>
  <c r="E387" i="7"/>
  <c r="F387" i="7" s="1"/>
  <c r="C392" i="7"/>
  <c r="D392" i="7" s="1"/>
  <c r="C391" i="7"/>
  <c r="D391" i="7" s="1"/>
  <c r="E398" i="7"/>
  <c r="C395" i="7"/>
  <c r="D395" i="7" s="1"/>
  <c r="F413" i="7"/>
  <c r="E421" i="7"/>
  <c r="F421" i="7" s="1"/>
  <c r="C436" i="7"/>
  <c r="D436" i="7" s="1"/>
  <c r="E440" i="7"/>
  <c r="F440" i="7" s="1"/>
  <c r="E451" i="7"/>
  <c r="F451" i="7" s="1"/>
  <c r="C456" i="7"/>
  <c r="D456" i="7" s="1"/>
  <c r="C455" i="7"/>
  <c r="D455" i="7" s="1"/>
  <c r="E462" i="7"/>
  <c r="C459" i="7"/>
  <c r="D459" i="7" s="1"/>
  <c r="E485" i="7"/>
  <c r="F485" i="7" s="1"/>
  <c r="C500" i="7"/>
  <c r="D500" i="7" s="1"/>
  <c r="E504" i="7"/>
  <c r="F504" i="7" s="1"/>
  <c r="E515" i="7"/>
  <c r="F515" i="7" s="1"/>
  <c r="C520" i="7"/>
  <c r="D520" i="7" s="1"/>
  <c r="C519" i="7"/>
  <c r="D519" i="7" s="1"/>
  <c r="E526" i="7"/>
  <c r="F526" i="7" s="1"/>
  <c r="C523" i="7"/>
  <c r="D523" i="7" s="1"/>
  <c r="F575" i="7"/>
  <c r="E549" i="7"/>
  <c r="F549" i="7" s="1"/>
  <c r="C564" i="7"/>
  <c r="D564" i="7" s="1"/>
  <c r="E568" i="7"/>
  <c r="F568" i="7" s="1"/>
  <c r="E579" i="7"/>
  <c r="F579" i="7" s="1"/>
  <c r="C584" i="7"/>
  <c r="D584" i="7" s="1"/>
  <c r="C583" i="7"/>
  <c r="D583" i="7" s="1"/>
  <c r="E590" i="7"/>
  <c r="C587" i="7"/>
  <c r="D587" i="7" s="1"/>
  <c r="F639" i="7"/>
  <c r="E613" i="7"/>
  <c r="F613" i="7" s="1"/>
  <c r="C628" i="7"/>
  <c r="D628" i="7" s="1"/>
  <c r="E632" i="7"/>
  <c r="F632" i="7" s="1"/>
  <c r="E643" i="7"/>
  <c r="F643" i="7" s="1"/>
  <c r="C648" i="7"/>
  <c r="D648" i="7" s="1"/>
  <c r="C647" i="7"/>
  <c r="D647" i="7" s="1"/>
  <c r="E654" i="7"/>
  <c r="F654" i="7" s="1"/>
  <c r="C651" i="7"/>
  <c r="D651" i="7" s="1"/>
  <c r="F703" i="7"/>
  <c r="E677" i="7"/>
  <c r="F677" i="7" s="1"/>
  <c r="C692" i="7"/>
  <c r="D692" i="7" s="1"/>
  <c r="E696" i="7"/>
  <c r="F696" i="7" s="1"/>
  <c r="E707" i="7"/>
  <c r="F707" i="7" s="1"/>
  <c r="C712" i="7"/>
  <c r="D712" i="7" s="1"/>
  <c r="C711" i="7"/>
  <c r="D711" i="7" s="1"/>
  <c r="E718" i="7"/>
  <c r="F718" i="7" s="1"/>
  <c r="C715" i="7"/>
  <c r="D715" i="7" s="1"/>
  <c r="E741" i="7"/>
  <c r="F741" i="7" s="1"/>
  <c r="C756" i="7"/>
  <c r="D756" i="7" s="1"/>
  <c r="E760" i="7"/>
  <c r="F760" i="7" s="1"/>
  <c r="E771" i="7"/>
  <c r="F771" i="7" s="1"/>
  <c r="C776" i="7"/>
  <c r="D776" i="7" s="1"/>
  <c r="C775" i="7"/>
  <c r="D775" i="7" s="1"/>
  <c r="E782" i="7"/>
  <c r="F782" i="7" s="1"/>
  <c r="C779" i="7"/>
  <c r="D779" i="7" s="1"/>
  <c r="E805" i="7"/>
  <c r="F805" i="7" s="1"/>
  <c r="C820" i="7"/>
  <c r="D820" i="7" s="1"/>
  <c r="E824" i="7"/>
  <c r="F824" i="7" s="1"/>
  <c r="E835" i="7"/>
  <c r="F835" i="7" s="1"/>
  <c r="C840" i="7"/>
  <c r="D840" i="7" s="1"/>
  <c r="F891" i="7"/>
  <c r="C839" i="7"/>
  <c r="D839" i="7" s="1"/>
  <c r="E846" i="7"/>
  <c r="C843" i="7"/>
  <c r="D843" i="7" s="1"/>
  <c r="C848" i="7"/>
  <c r="D848" i="7" s="1"/>
  <c r="C847" i="7"/>
  <c r="D847" i="7" s="1"/>
  <c r="F899" i="7"/>
  <c r="E848" i="7"/>
  <c r="F848" i="7" s="1"/>
  <c r="F851" i="7"/>
  <c r="C120" i="5"/>
  <c r="C138" i="5"/>
  <c r="C184" i="5"/>
  <c r="C202" i="5"/>
  <c r="C216" i="5"/>
  <c r="C30" i="5"/>
  <c r="C125" i="5"/>
  <c r="C134" i="5"/>
  <c r="C288" i="5"/>
  <c r="C320" i="5"/>
  <c r="C336" i="5"/>
  <c r="C432" i="5"/>
  <c r="C501" i="5"/>
  <c r="C608" i="5"/>
  <c r="C143" i="5"/>
  <c r="C239" i="5"/>
  <c r="C337" i="5"/>
  <c r="C577" i="5"/>
  <c r="C753" i="5"/>
  <c r="E28" i="7"/>
  <c r="C26" i="7"/>
  <c r="D26" i="7" s="1"/>
  <c r="E40" i="7"/>
  <c r="E63" i="7"/>
  <c r="F63" i="7" s="1"/>
  <c r="E84" i="7"/>
  <c r="C108" i="7"/>
  <c r="D108" i="7" s="1"/>
  <c r="C152" i="7"/>
  <c r="D152" i="7" s="1"/>
  <c r="E154" i="7"/>
  <c r="F154" i="7" s="1"/>
  <c r="F162" i="7"/>
  <c r="F269" i="7"/>
  <c r="C103" i="5"/>
  <c r="C135" i="5"/>
  <c r="C167" i="5"/>
  <c r="C199" i="5"/>
  <c r="C205" i="5"/>
  <c r="C231" i="5"/>
  <c r="C255" i="5"/>
  <c r="C271" i="5"/>
  <c r="C319" i="5"/>
  <c r="C351" i="5"/>
  <c r="C367" i="5"/>
  <c r="C383" i="5"/>
  <c r="C399" i="5"/>
  <c r="C415" i="5"/>
  <c r="C431" i="5"/>
  <c r="C447" i="5"/>
  <c r="C463" i="5"/>
  <c r="C479" i="5"/>
  <c r="C495" i="5"/>
  <c r="C511" i="5"/>
  <c r="C527" i="5"/>
  <c r="C543" i="5"/>
  <c r="C559" i="5"/>
  <c r="C575" i="5"/>
  <c r="C591" i="5"/>
  <c r="C607" i="5"/>
  <c r="C623" i="5"/>
  <c r="C639" i="5"/>
  <c r="C655" i="5"/>
  <c r="C671" i="5"/>
  <c r="C687" i="5"/>
  <c r="C703" i="5"/>
  <c r="C719" i="5"/>
  <c r="C735" i="5"/>
  <c r="C751" i="5"/>
  <c r="C37" i="6"/>
  <c r="C53" i="6"/>
  <c r="C69" i="6"/>
  <c r="C85" i="6"/>
  <c r="C101" i="6"/>
  <c r="C117" i="6"/>
  <c r="C133" i="6"/>
  <c r="C149" i="6"/>
  <c r="C165" i="6"/>
  <c r="C181" i="6"/>
  <c r="C197" i="6"/>
  <c r="C213" i="6"/>
  <c r="C229" i="6"/>
  <c r="C245" i="6"/>
  <c r="C261" i="6"/>
  <c r="C277" i="6"/>
  <c r="C293" i="6"/>
  <c r="C309" i="6"/>
  <c r="C325" i="6"/>
  <c r="C341" i="6"/>
  <c r="C357" i="6"/>
  <c r="C373" i="6"/>
  <c r="C389" i="6"/>
  <c r="C405" i="6"/>
  <c r="C421" i="6"/>
  <c r="C437" i="6"/>
  <c r="C453" i="6"/>
  <c r="C469" i="6"/>
  <c r="C485" i="6"/>
  <c r="C501" i="6"/>
  <c r="C517" i="6"/>
  <c r="C533" i="6"/>
  <c r="C549" i="6"/>
  <c r="C565" i="6"/>
  <c r="C581" i="6"/>
  <c r="C597" i="6"/>
  <c r="C613" i="6"/>
  <c r="C629" i="6"/>
  <c r="C645" i="6"/>
  <c r="C661" i="6"/>
  <c r="C677" i="6"/>
  <c r="C693" i="6"/>
  <c r="C709" i="6"/>
  <c r="C741" i="6"/>
  <c r="E9" i="7"/>
  <c r="C7" i="7"/>
  <c r="D7" i="7" s="1"/>
  <c r="E23" i="7"/>
  <c r="C21" i="7"/>
  <c r="D21" i="7" s="1"/>
  <c r="E22" i="7"/>
  <c r="C32" i="7"/>
  <c r="D32" i="7" s="1"/>
  <c r="F87" i="7"/>
  <c r="C41" i="7"/>
  <c r="D41" i="7" s="1"/>
  <c r="E48" i="7"/>
  <c r="E56" i="7"/>
  <c r="C59" i="7"/>
  <c r="D59" i="7" s="1"/>
  <c r="F64" i="7"/>
  <c r="E70" i="7"/>
  <c r="F70" i="7" s="1"/>
  <c r="C68" i="7"/>
  <c r="D68" i="7" s="1"/>
  <c r="F119" i="7"/>
  <c r="E69" i="7"/>
  <c r="F69" i="7" s="1"/>
  <c r="E79" i="7"/>
  <c r="F79" i="7" s="1"/>
  <c r="E82" i="7"/>
  <c r="C95" i="7"/>
  <c r="D95" i="7" s="1"/>
  <c r="E97" i="7"/>
  <c r="F97" i="7" s="1"/>
  <c r="E100" i="7"/>
  <c r="F100" i="7" s="1"/>
  <c r="C104" i="7"/>
  <c r="D104" i="7" s="1"/>
  <c r="E106" i="7"/>
  <c r="F106" i="7" s="1"/>
  <c r="E104" i="7"/>
  <c r="F104" i="7" s="1"/>
  <c r="E124" i="7"/>
  <c r="C122" i="7"/>
  <c r="D122" i="7" s="1"/>
  <c r="C124" i="7"/>
  <c r="D124" i="7" s="1"/>
  <c r="E127" i="7"/>
  <c r="F127" i="7" s="1"/>
  <c r="C142" i="7"/>
  <c r="D142" i="7" s="1"/>
  <c r="F160" i="7"/>
  <c r="C168" i="7"/>
  <c r="D168" i="7" s="1"/>
  <c r="E170" i="7"/>
  <c r="F170" i="7" s="1"/>
  <c r="F178" i="7"/>
  <c r="E188" i="7"/>
  <c r="C186" i="7"/>
  <c r="D186" i="7" s="1"/>
  <c r="C188" i="7"/>
  <c r="D188" i="7" s="1"/>
  <c r="E191" i="7"/>
  <c r="F191" i="7" s="1"/>
  <c r="C206" i="7"/>
  <c r="D206" i="7" s="1"/>
  <c r="F224" i="7"/>
  <c r="C232" i="7"/>
  <c r="D232" i="7" s="1"/>
  <c r="E234" i="7"/>
  <c r="F234" i="7" s="1"/>
  <c r="F242" i="7"/>
  <c r="E252" i="7"/>
  <c r="C250" i="7"/>
  <c r="D250" i="7" s="1"/>
  <c r="C252" i="7"/>
  <c r="D252" i="7" s="1"/>
  <c r="E255" i="7"/>
  <c r="F255" i="7" s="1"/>
  <c r="F313" i="7"/>
  <c r="C270" i="7"/>
  <c r="D270" i="7" s="1"/>
  <c r="F326" i="7"/>
  <c r="F285" i="7"/>
  <c r="F288" i="7"/>
  <c r="C296" i="7"/>
  <c r="D296" i="7" s="1"/>
  <c r="E298" i="7"/>
  <c r="F298" i="7" s="1"/>
  <c r="E301" i="7"/>
  <c r="C305" i="7"/>
  <c r="D305" i="7" s="1"/>
  <c r="C306" i="7"/>
  <c r="D306" i="7" s="1"/>
  <c r="E308" i="7"/>
  <c r="C316" i="7"/>
  <c r="D316" i="7" s="1"/>
  <c r="E320" i="7"/>
  <c r="C325" i="7"/>
  <c r="D325" i="7" s="1"/>
  <c r="E327" i="7"/>
  <c r="E331" i="7"/>
  <c r="F331" i="7"/>
  <c r="C336" i="7"/>
  <c r="D336" i="7" s="1"/>
  <c r="C335" i="7"/>
  <c r="D335" i="7" s="1"/>
  <c r="E342" i="7"/>
  <c r="F342" i="7" s="1"/>
  <c r="C339" i="7"/>
  <c r="D339" i="7" s="1"/>
  <c r="E346" i="7"/>
  <c r="E353" i="7"/>
  <c r="F357" i="7"/>
  <c r="E365" i="7"/>
  <c r="F376" i="7"/>
  <c r="C380" i="7"/>
  <c r="D380" i="7" s="1"/>
  <c r="E384" i="7"/>
  <c r="E395" i="7"/>
  <c r="F395" i="7" s="1"/>
  <c r="C400" i="7"/>
  <c r="D400" i="7" s="1"/>
  <c r="C399" i="7"/>
  <c r="D399" i="7" s="1"/>
  <c r="E406" i="7"/>
  <c r="F406" i="7" s="1"/>
  <c r="C403" i="7"/>
  <c r="D403" i="7" s="1"/>
  <c r="E417" i="7"/>
  <c r="E429" i="7"/>
  <c r="F429" i="7" s="1"/>
  <c r="C444" i="7"/>
  <c r="D444" i="7" s="1"/>
  <c r="E448" i="7"/>
  <c r="F448" i="7" s="1"/>
  <c r="E459" i="7"/>
  <c r="F459" i="7" s="1"/>
  <c r="C464" i="7"/>
  <c r="D464" i="7" s="1"/>
  <c r="C463" i="7"/>
  <c r="D463" i="7" s="1"/>
  <c r="E470" i="7"/>
  <c r="C467" i="7"/>
  <c r="D467" i="7" s="1"/>
  <c r="E481" i="7"/>
  <c r="E493" i="7"/>
  <c r="F493" i="7" s="1"/>
  <c r="C508" i="7"/>
  <c r="D508" i="7" s="1"/>
  <c r="E512" i="7"/>
  <c r="F512" i="7" s="1"/>
  <c r="E523" i="7"/>
  <c r="F523" i="7" s="1"/>
  <c r="C528" i="7"/>
  <c r="D528" i="7" s="1"/>
  <c r="C527" i="7"/>
  <c r="D527" i="7" s="1"/>
  <c r="E534" i="7"/>
  <c r="C531" i="7"/>
  <c r="D531" i="7" s="1"/>
  <c r="E545" i="7"/>
  <c r="E557" i="7"/>
  <c r="F557" i="7" s="1"/>
  <c r="C572" i="7"/>
  <c r="D572" i="7" s="1"/>
  <c r="E576" i="7"/>
  <c r="F576" i="7" s="1"/>
  <c r="E587" i="7"/>
  <c r="F587" i="7" s="1"/>
  <c r="C592" i="7"/>
  <c r="D592" i="7" s="1"/>
  <c r="C591" i="7"/>
  <c r="D591" i="7" s="1"/>
  <c r="E598" i="7"/>
  <c r="C595" i="7"/>
  <c r="D595" i="7" s="1"/>
  <c r="E609" i="7"/>
  <c r="E621" i="7"/>
  <c r="F621" i="7" s="1"/>
  <c r="C636" i="7"/>
  <c r="D636" i="7" s="1"/>
  <c r="E640" i="7"/>
  <c r="F640" i="7" s="1"/>
  <c r="E651" i="7"/>
  <c r="F651" i="7" s="1"/>
  <c r="C656" i="7"/>
  <c r="D656" i="7" s="1"/>
  <c r="C655" i="7"/>
  <c r="D655" i="7" s="1"/>
  <c r="E662" i="7"/>
  <c r="C659" i="7"/>
  <c r="D659" i="7" s="1"/>
  <c r="E673" i="7"/>
  <c r="E685" i="7"/>
  <c r="F685" i="7" s="1"/>
  <c r="C700" i="7"/>
  <c r="D700" i="7" s="1"/>
  <c r="E704" i="7"/>
  <c r="F704" i="7" s="1"/>
  <c r="E715" i="7"/>
  <c r="F715" i="7" s="1"/>
  <c r="C720" i="7"/>
  <c r="D720" i="7" s="1"/>
  <c r="C719" i="7"/>
  <c r="D719" i="7" s="1"/>
  <c r="E726" i="7"/>
  <c r="C723" i="7"/>
  <c r="D723" i="7" s="1"/>
  <c r="E737" i="7"/>
  <c r="E749" i="7"/>
  <c r="F749" i="7" s="1"/>
  <c r="C764" i="7"/>
  <c r="D764" i="7" s="1"/>
  <c r="E768" i="7"/>
  <c r="F768" i="7" s="1"/>
  <c r="E779" i="7"/>
  <c r="F779" i="7" s="1"/>
  <c r="C784" i="7"/>
  <c r="D784" i="7" s="1"/>
  <c r="C783" i="7"/>
  <c r="D783" i="7" s="1"/>
  <c r="E790" i="7"/>
  <c r="C787" i="7"/>
  <c r="D787" i="7" s="1"/>
  <c r="E801" i="7"/>
  <c r="E813" i="7"/>
  <c r="F813" i="7" s="1"/>
  <c r="C828" i="7"/>
  <c r="D828" i="7" s="1"/>
  <c r="E832" i="7"/>
  <c r="F832" i="7" s="1"/>
  <c r="E843" i="7"/>
  <c r="F843" i="7" s="1"/>
  <c r="F883" i="7"/>
  <c r="C234" i="5"/>
  <c r="C116" i="5"/>
  <c r="C157" i="5"/>
  <c r="C180" i="5"/>
  <c r="C245" i="5"/>
  <c r="C277" i="5"/>
  <c r="C304" i="5"/>
  <c r="C645" i="5"/>
  <c r="C677" i="5"/>
  <c r="C725" i="5"/>
  <c r="C111" i="5"/>
  <c r="C207" i="5"/>
  <c r="C717" i="6"/>
  <c r="F65" i="7"/>
  <c r="E16" i="7"/>
  <c r="E31" i="7"/>
  <c r="C88" i="7"/>
  <c r="D88" i="7" s="1"/>
  <c r="E88" i="7"/>
  <c r="F88" i="7" s="1"/>
  <c r="E108" i="7"/>
  <c r="F108" i="7" s="1"/>
  <c r="C106" i="7"/>
  <c r="D106" i="7" s="1"/>
  <c r="E111" i="7"/>
  <c r="F111" i="7" s="1"/>
  <c r="E172" i="7"/>
  <c r="C170" i="7"/>
  <c r="D170" i="7" s="1"/>
  <c r="E175" i="7"/>
  <c r="F175" i="7" s="1"/>
  <c r="F205" i="7"/>
  <c r="F208" i="7"/>
  <c r="C216" i="7"/>
  <c r="D216" i="7" s="1"/>
  <c r="E218" i="7"/>
  <c r="F218" i="7" s="1"/>
  <c r="F226" i="7"/>
  <c r="C20" i="5"/>
  <c r="C28" i="5"/>
  <c r="C287" i="5"/>
  <c r="C303" i="5"/>
  <c r="C335" i="5"/>
  <c r="C99" i="5"/>
  <c r="C131" i="5"/>
  <c r="C163" i="5"/>
  <c r="C195" i="5"/>
  <c r="C227" i="5"/>
  <c r="C250" i="5"/>
  <c r="C266" i="5"/>
  <c r="C282" i="5"/>
  <c r="C298" i="5"/>
  <c r="C314" i="5"/>
  <c r="C330" i="5"/>
  <c r="C346" i="5"/>
  <c r="C362" i="5"/>
  <c r="C378" i="5"/>
  <c r="C394" i="5"/>
  <c r="C410" i="5"/>
  <c r="C426" i="5"/>
  <c r="C442" i="5"/>
  <c r="C458" i="5"/>
  <c r="C474" i="5"/>
  <c r="C490" i="5"/>
  <c r="C506" i="5"/>
  <c r="C522" i="5"/>
  <c r="C538" i="5"/>
  <c r="C554" i="5"/>
  <c r="C570" i="5"/>
  <c r="C586" i="5"/>
  <c r="C602" i="5"/>
  <c r="C618" i="5"/>
  <c r="C634" i="5"/>
  <c r="C650" i="5"/>
  <c r="C666" i="5"/>
  <c r="C682" i="5"/>
  <c r="C698" i="5"/>
  <c r="C714" i="5"/>
  <c r="C730" i="5"/>
  <c r="C746" i="5"/>
  <c r="C18" i="6"/>
  <c r="C38" i="6"/>
  <c r="C54" i="6"/>
  <c r="C70" i="6"/>
  <c r="C86" i="6"/>
  <c r="C102" i="6"/>
  <c r="C118" i="6"/>
  <c r="C134" i="6"/>
  <c r="C150" i="6"/>
  <c r="C166" i="6"/>
  <c r="C182" i="6"/>
  <c r="C198" i="6"/>
  <c r="C214" i="6"/>
  <c r="C230" i="6"/>
  <c r="C246" i="6"/>
  <c r="C262" i="6"/>
  <c r="C278" i="6"/>
  <c r="C294" i="6"/>
  <c r="C310" i="6"/>
  <c r="C737" i="6"/>
  <c r="E10" i="7"/>
  <c r="E17" i="7"/>
  <c r="C20" i="7"/>
  <c r="D20" i="7" s="1"/>
  <c r="E39" i="7"/>
  <c r="C37" i="7"/>
  <c r="D37" i="7" s="1"/>
  <c r="E38" i="7"/>
  <c r="C45" i="7"/>
  <c r="D45" i="7" s="1"/>
  <c r="C54" i="7"/>
  <c r="D54" i="7" s="1"/>
  <c r="C66" i="7"/>
  <c r="D66" i="7" s="1"/>
  <c r="C67" i="7"/>
  <c r="D67" i="7" s="1"/>
  <c r="F72" i="7"/>
  <c r="E78" i="7"/>
  <c r="C76" i="7"/>
  <c r="D76" i="7" s="1"/>
  <c r="E77" i="7"/>
  <c r="F77" i="7" s="1"/>
  <c r="F82" i="7"/>
  <c r="E87" i="7"/>
  <c r="E90" i="7"/>
  <c r="F90" i="7" s="1"/>
  <c r="C103" i="7"/>
  <c r="D103" i="7" s="1"/>
  <c r="F158" i="7"/>
  <c r="E109" i="7"/>
  <c r="F109" i="7" s="1"/>
  <c r="E112" i="7"/>
  <c r="F112" i="7" s="1"/>
  <c r="C121" i="7"/>
  <c r="D121" i="7" s="1"/>
  <c r="E151" i="7"/>
  <c r="F151" i="7" s="1"/>
  <c r="E158" i="7"/>
  <c r="C155" i="7"/>
  <c r="D155" i="7" s="1"/>
  <c r="E161" i="7"/>
  <c r="C159" i="7"/>
  <c r="D159" i="7" s="1"/>
  <c r="F213" i="7"/>
  <c r="C167" i="7"/>
  <c r="D167" i="7" s="1"/>
  <c r="E173" i="7"/>
  <c r="F173" i="7" s="1"/>
  <c r="E176" i="7"/>
  <c r="F176" i="7" s="1"/>
  <c r="C185" i="7"/>
  <c r="D185" i="7" s="1"/>
  <c r="E215" i="7"/>
  <c r="E222" i="7"/>
  <c r="F222" i="7" s="1"/>
  <c r="C219" i="7"/>
  <c r="D219" i="7" s="1"/>
  <c r="E225" i="7"/>
  <c r="C223" i="7"/>
  <c r="D223" i="7" s="1"/>
  <c r="C231" i="7"/>
  <c r="D231" i="7" s="1"/>
  <c r="F286" i="7"/>
  <c r="E237" i="7"/>
  <c r="F237" i="7" s="1"/>
  <c r="E240" i="7"/>
  <c r="F240" i="7" s="1"/>
  <c r="C249" i="7"/>
  <c r="D249" i="7" s="1"/>
  <c r="E279" i="7"/>
  <c r="E286" i="7"/>
  <c r="C283" i="7"/>
  <c r="D283" i="7" s="1"/>
  <c r="E289" i="7"/>
  <c r="F289" i="7" s="1"/>
  <c r="F338" i="7"/>
  <c r="C287" i="7"/>
  <c r="D287" i="7" s="1"/>
  <c r="C295" i="7"/>
  <c r="D295" i="7" s="1"/>
  <c r="F301" i="7"/>
  <c r="E309" i="7"/>
  <c r="F309" i="7" s="1"/>
  <c r="C313" i="7"/>
  <c r="D313" i="7" s="1"/>
  <c r="C314" i="7"/>
  <c r="D314" i="7" s="1"/>
  <c r="E316" i="7"/>
  <c r="F320" i="7"/>
  <c r="C324" i="7"/>
  <c r="D324" i="7" s="1"/>
  <c r="E328" i="7"/>
  <c r="F328" i="7" s="1"/>
  <c r="C333" i="7"/>
  <c r="D333" i="7" s="1"/>
  <c r="E335" i="7"/>
  <c r="F335" i="7" s="1"/>
  <c r="E339" i="7"/>
  <c r="F339" i="7" s="1"/>
  <c r="C344" i="7"/>
  <c r="D344" i="7" s="1"/>
  <c r="C343" i="7"/>
  <c r="D343" i="7" s="1"/>
  <c r="E350" i="7"/>
  <c r="F350" i="7" s="1"/>
  <c r="C347" i="7"/>
  <c r="D347" i="7" s="1"/>
  <c r="E354" i="7"/>
  <c r="E361" i="7"/>
  <c r="F361" i="7" s="1"/>
  <c r="F365" i="7"/>
  <c r="E373" i="7"/>
  <c r="F373" i="7" s="1"/>
  <c r="F384" i="7"/>
  <c r="C388" i="7"/>
  <c r="D388" i="7" s="1"/>
  <c r="E392" i="7"/>
  <c r="F392" i="7" s="1"/>
  <c r="E403" i="7"/>
  <c r="F403" i="7"/>
  <c r="C408" i="7"/>
  <c r="D408" i="7" s="1"/>
  <c r="C407" i="7"/>
  <c r="D407" i="7" s="1"/>
  <c r="E414" i="7"/>
  <c r="F414" i="7" s="1"/>
  <c r="C411" i="7"/>
  <c r="D411" i="7" s="1"/>
  <c r="E418" i="7"/>
  <c r="E425" i="7"/>
  <c r="E437" i="7"/>
  <c r="F437" i="7" s="1"/>
  <c r="C452" i="7"/>
  <c r="D452" i="7" s="1"/>
  <c r="E456" i="7"/>
  <c r="F456" i="7" s="1"/>
  <c r="E467" i="7"/>
  <c r="F467" i="7" s="1"/>
  <c r="C472" i="7"/>
  <c r="D472" i="7" s="1"/>
  <c r="C471" i="7"/>
  <c r="D471" i="7" s="1"/>
  <c r="E478" i="7"/>
  <c r="C475" i="7"/>
  <c r="D475" i="7" s="1"/>
  <c r="E482" i="7"/>
  <c r="E489" i="7"/>
  <c r="F489" i="7" s="1"/>
  <c r="E501" i="7"/>
  <c r="F501" i="7" s="1"/>
  <c r="C516" i="7"/>
  <c r="D516" i="7" s="1"/>
  <c r="E520" i="7"/>
  <c r="F520" i="7" s="1"/>
  <c r="E531" i="7"/>
  <c r="F531" i="7"/>
  <c r="C536" i="7"/>
  <c r="D536" i="7" s="1"/>
  <c r="C535" i="7"/>
  <c r="D535" i="7" s="1"/>
  <c r="E542" i="7"/>
  <c r="F542" i="7" s="1"/>
  <c r="C539" i="7"/>
  <c r="D539" i="7" s="1"/>
  <c r="E546" i="7"/>
  <c r="E553" i="7"/>
  <c r="E565" i="7"/>
  <c r="F565" i="7" s="1"/>
  <c r="C580" i="7"/>
  <c r="D580" i="7" s="1"/>
  <c r="E584" i="7"/>
  <c r="F584" i="7" s="1"/>
  <c r="E595" i="7"/>
  <c r="F595" i="7" s="1"/>
  <c r="C600" i="7"/>
  <c r="D600" i="7" s="1"/>
  <c r="C599" i="7"/>
  <c r="D599" i="7" s="1"/>
  <c r="E606" i="7"/>
  <c r="C603" i="7"/>
  <c r="D603" i="7" s="1"/>
  <c r="E610" i="7"/>
  <c r="E617" i="7"/>
  <c r="F617" i="7" s="1"/>
  <c r="E629" i="7"/>
  <c r="F629" i="7" s="1"/>
  <c r="C644" i="7"/>
  <c r="D644" i="7" s="1"/>
  <c r="E648" i="7"/>
  <c r="F648" i="7" s="1"/>
  <c r="E659" i="7"/>
  <c r="F659" i="7"/>
  <c r="C664" i="7"/>
  <c r="D664" i="7" s="1"/>
  <c r="C663" i="7"/>
  <c r="D663" i="7" s="1"/>
  <c r="E670" i="7"/>
  <c r="F670" i="7" s="1"/>
  <c r="C667" i="7"/>
  <c r="D667" i="7" s="1"/>
  <c r="E674" i="7"/>
  <c r="E681" i="7"/>
  <c r="E693" i="7"/>
  <c r="F693" i="7" s="1"/>
  <c r="C708" i="7"/>
  <c r="D708" i="7" s="1"/>
  <c r="E712" i="7"/>
  <c r="F712" i="7" s="1"/>
  <c r="E723" i="7"/>
  <c r="F723" i="7"/>
  <c r="C728" i="7"/>
  <c r="D728" i="7" s="1"/>
  <c r="C727" i="7"/>
  <c r="D727" i="7" s="1"/>
  <c r="E734" i="7"/>
  <c r="C731" i="7"/>
  <c r="D731" i="7" s="1"/>
  <c r="E738" i="7"/>
  <c r="E745" i="7"/>
  <c r="F745" i="7" s="1"/>
  <c r="E757" i="7"/>
  <c r="F757" i="7" s="1"/>
  <c r="C772" i="7"/>
  <c r="D772" i="7" s="1"/>
  <c r="E776" i="7"/>
  <c r="F776" i="7" s="1"/>
  <c r="E787" i="7"/>
  <c r="F787" i="7"/>
  <c r="C792" i="7"/>
  <c r="D792" i="7" s="1"/>
  <c r="C791" i="7"/>
  <c r="D791" i="7" s="1"/>
  <c r="E798" i="7"/>
  <c r="F798" i="7" s="1"/>
  <c r="C795" i="7"/>
  <c r="D795" i="7" s="1"/>
  <c r="E802" i="7"/>
  <c r="E809" i="7"/>
  <c r="E821" i="7"/>
  <c r="F821" i="7" s="1"/>
  <c r="C836" i="7"/>
  <c r="D836" i="7" s="1"/>
  <c r="E840" i="7"/>
  <c r="F840" i="7" s="1"/>
  <c r="F973" i="7"/>
  <c r="F989" i="7"/>
  <c r="F1005" i="7"/>
  <c r="F1069" i="7"/>
  <c r="F1085" i="7"/>
  <c r="F1114" i="7"/>
  <c r="E1148" i="7"/>
  <c r="F1148" i="7" s="1"/>
  <c r="C1146" i="7"/>
  <c r="D1146" i="7" s="1"/>
  <c r="C1147" i="7"/>
  <c r="D1147" i="7" s="1"/>
  <c r="E1149" i="7"/>
  <c r="F1149" i="7" s="1"/>
  <c r="F1440" i="7"/>
  <c r="E1444" i="7"/>
  <c r="C1441" i="7"/>
  <c r="D1441" i="7" s="1"/>
  <c r="E1443" i="7"/>
  <c r="F1443" i="7" s="1"/>
  <c r="C1442" i="7"/>
  <c r="D1442" i="7" s="1"/>
  <c r="E1507" i="7"/>
  <c r="F1507" i="7" s="1"/>
  <c r="C1504" i="7"/>
  <c r="D1504" i="7" s="1"/>
  <c r="C1505" i="7"/>
  <c r="D1505" i="7" s="1"/>
  <c r="C1838" i="7"/>
  <c r="D1838" i="7" s="1"/>
  <c r="F1889" i="7"/>
  <c r="C1837" i="7"/>
  <c r="D1837" i="7" s="1"/>
  <c r="E1838" i="7"/>
  <c r="E1840" i="7"/>
  <c r="F1840" i="7" s="1"/>
  <c r="E854" i="7"/>
  <c r="C851" i="7"/>
  <c r="D851" i="7" s="1"/>
  <c r="E862" i="7"/>
  <c r="C859" i="7"/>
  <c r="D859" i="7" s="1"/>
  <c r="E864" i="7"/>
  <c r="F864" i="7" s="1"/>
  <c r="F919" i="7"/>
  <c r="E870" i="7"/>
  <c r="F870" i="7" s="1"/>
  <c r="C867" i="7"/>
  <c r="D867" i="7" s="1"/>
  <c r="F927" i="7"/>
  <c r="E878" i="7"/>
  <c r="C875" i="7"/>
  <c r="D875" i="7" s="1"/>
  <c r="E880" i="7"/>
  <c r="F880" i="7" s="1"/>
  <c r="F935" i="7"/>
  <c r="E886" i="7"/>
  <c r="C883" i="7"/>
  <c r="D883" i="7" s="1"/>
  <c r="F938" i="7"/>
  <c r="E889" i="7"/>
  <c r="F889" i="7" s="1"/>
  <c r="C886" i="7"/>
  <c r="D886" i="7" s="1"/>
  <c r="C1006" i="7"/>
  <c r="D1006" i="7" s="1"/>
  <c r="E1008" i="7"/>
  <c r="C1022" i="7"/>
  <c r="D1022" i="7" s="1"/>
  <c r="E1024" i="7"/>
  <c r="C1038" i="7"/>
  <c r="D1038" i="7" s="1"/>
  <c r="E1040" i="7"/>
  <c r="C1054" i="7"/>
  <c r="D1054" i="7" s="1"/>
  <c r="E1056" i="7"/>
  <c r="C1070" i="7"/>
  <c r="D1070" i="7" s="1"/>
  <c r="E1072" i="7"/>
  <c r="C1086" i="7"/>
  <c r="D1086" i="7" s="1"/>
  <c r="E1088" i="7"/>
  <c r="F1137" i="7"/>
  <c r="E1151" i="7"/>
  <c r="E1150" i="7"/>
  <c r="F1150" i="7" s="1"/>
  <c r="C1149" i="7"/>
  <c r="D1149" i="7" s="1"/>
  <c r="F1216" i="7"/>
  <c r="E1167" i="7"/>
  <c r="E1166" i="7"/>
  <c r="F1166" i="7" s="1"/>
  <c r="C1165" i="7"/>
  <c r="D1165" i="7" s="1"/>
  <c r="F1232" i="7"/>
  <c r="E1183" i="7"/>
  <c r="F1183" i="7" s="1"/>
  <c r="E1182" i="7"/>
  <c r="F1182" i="7" s="1"/>
  <c r="C1181" i="7"/>
  <c r="D1181" i="7" s="1"/>
  <c r="F1248" i="7"/>
  <c r="E1199" i="7"/>
  <c r="F1199" i="7" s="1"/>
  <c r="E1198" i="7"/>
  <c r="C1197" i="7"/>
  <c r="D1197" i="7" s="1"/>
  <c r="E1380" i="7"/>
  <c r="C1377" i="7"/>
  <c r="D1377" i="7" s="1"/>
  <c r="E1379" i="7"/>
  <c r="F1379" i="7" s="1"/>
  <c r="C1378" i="7"/>
  <c r="D1378" i="7" s="1"/>
  <c r="E1812" i="7"/>
  <c r="C1809" i="7"/>
  <c r="D1809" i="7" s="1"/>
  <c r="C1810" i="7"/>
  <c r="D1810" i="7" s="1"/>
  <c r="E1811" i="7"/>
  <c r="F1811" i="7" s="1"/>
  <c r="F1861" i="7"/>
  <c r="C373" i="7"/>
  <c r="D373" i="7" s="1"/>
  <c r="E375" i="7"/>
  <c r="F375" i="7" s="1"/>
  <c r="C381" i="7"/>
  <c r="D381" i="7" s="1"/>
  <c r="E383" i="7"/>
  <c r="F383" i="7" s="1"/>
  <c r="C389" i="7"/>
  <c r="D389" i="7" s="1"/>
  <c r="E391" i="7"/>
  <c r="F391" i="7" s="1"/>
  <c r="C397" i="7"/>
  <c r="D397" i="7" s="1"/>
  <c r="E399" i="7"/>
  <c r="F399" i="7" s="1"/>
  <c r="C405" i="7"/>
  <c r="D405" i="7" s="1"/>
  <c r="E407" i="7"/>
  <c r="F407" i="7" s="1"/>
  <c r="C413" i="7"/>
  <c r="D413" i="7" s="1"/>
  <c r="E415" i="7"/>
  <c r="F415" i="7" s="1"/>
  <c r="C421" i="7"/>
  <c r="D421" i="7" s="1"/>
  <c r="E423" i="7"/>
  <c r="F423" i="7" s="1"/>
  <c r="C429" i="7"/>
  <c r="D429" i="7" s="1"/>
  <c r="E431" i="7"/>
  <c r="F431" i="7" s="1"/>
  <c r="C437" i="7"/>
  <c r="D437" i="7" s="1"/>
  <c r="E439" i="7"/>
  <c r="F439" i="7" s="1"/>
  <c r="C445" i="7"/>
  <c r="D445" i="7" s="1"/>
  <c r="E447" i="7"/>
  <c r="F447" i="7" s="1"/>
  <c r="C453" i="7"/>
  <c r="D453" i="7" s="1"/>
  <c r="E455" i="7"/>
  <c r="F455" i="7" s="1"/>
  <c r="C461" i="7"/>
  <c r="D461" i="7" s="1"/>
  <c r="E463" i="7"/>
  <c r="F463" i="7" s="1"/>
  <c r="C469" i="7"/>
  <c r="D469" i="7" s="1"/>
  <c r="E471" i="7"/>
  <c r="F471" i="7" s="1"/>
  <c r="C477" i="7"/>
  <c r="D477" i="7" s="1"/>
  <c r="E479" i="7"/>
  <c r="F479" i="7" s="1"/>
  <c r="C485" i="7"/>
  <c r="D485" i="7" s="1"/>
  <c r="E487" i="7"/>
  <c r="F487" i="7" s="1"/>
  <c r="C493" i="7"/>
  <c r="D493" i="7" s="1"/>
  <c r="E495" i="7"/>
  <c r="F495" i="7" s="1"/>
  <c r="C501" i="7"/>
  <c r="D501" i="7" s="1"/>
  <c r="E503" i="7"/>
  <c r="F503" i="7" s="1"/>
  <c r="C509" i="7"/>
  <c r="D509" i="7" s="1"/>
  <c r="E511" i="7"/>
  <c r="F511" i="7" s="1"/>
  <c r="C517" i="7"/>
  <c r="D517" i="7" s="1"/>
  <c r="E519" i="7"/>
  <c r="F519" i="7" s="1"/>
  <c r="C525" i="7"/>
  <c r="D525" i="7" s="1"/>
  <c r="E527" i="7"/>
  <c r="F527" i="7" s="1"/>
  <c r="C533" i="7"/>
  <c r="D533" i="7" s="1"/>
  <c r="E535" i="7"/>
  <c r="F535" i="7" s="1"/>
  <c r="C541" i="7"/>
  <c r="D541" i="7" s="1"/>
  <c r="E543" i="7"/>
  <c r="F543" i="7" s="1"/>
  <c r="C549" i="7"/>
  <c r="D549" i="7" s="1"/>
  <c r="E551" i="7"/>
  <c r="F551" i="7" s="1"/>
  <c r="C557" i="7"/>
  <c r="D557" i="7" s="1"/>
  <c r="E559" i="7"/>
  <c r="F559" i="7" s="1"/>
  <c r="C565" i="7"/>
  <c r="D565" i="7" s="1"/>
  <c r="E567" i="7"/>
  <c r="F567" i="7" s="1"/>
  <c r="C573" i="7"/>
  <c r="D573" i="7" s="1"/>
  <c r="E575" i="7"/>
  <c r="C581" i="7"/>
  <c r="D581" i="7" s="1"/>
  <c r="E583" i="7"/>
  <c r="F583" i="7" s="1"/>
  <c r="C589" i="7"/>
  <c r="D589" i="7" s="1"/>
  <c r="E591" i="7"/>
  <c r="F591" i="7" s="1"/>
  <c r="C597" i="7"/>
  <c r="D597" i="7" s="1"/>
  <c r="E599" i="7"/>
  <c r="F599" i="7" s="1"/>
  <c r="C605" i="7"/>
  <c r="D605" i="7" s="1"/>
  <c r="E607" i="7"/>
  <c r="F607" i="7" s="1"/>
  <c r="C613" i="7"/>
  <c r="D613" i="7" s="1"/>
  <c r="E615" i="7"/>
  <c r="F615" i="7" s="1"/>
  <c r="C621" i="7"/>
  <c r="D621" i="7" s="1"/>
  <c r="E623" i="7"/>
  <c r="F623" i="7" s="1"/>
  <c r="C629" i="7"/>
  <c r="D629" i="7" s="1"/>
  <c r="E631" i="7"/>
  <c r="F631" i="7" s="1"/>
  <c r="C637" i="7"/>
  <c r="D637" i="7" s="1"/>
  <c r="E639" i="7"/>
  <c r="C645" i="7"/>
  <c r="D645" i="7" s="1"/>
  <c r="E647" i="7"/>
  <c r="F647" i="7" s="1"/>
  <c r="C653" i="7"/>
  <c r="D653" i="7" s="1"/>
  <c r="E655" i="7"/>
  <c r="F655" i="7" s="1"/>
  <c r="C661" i="7"/>
  <c r="D661" i="7" s="1"/>
  <c r="E663" i="7"/>
  <c r="F663" i="7" s="1"/>
  <c r="C669" i="7"/>
  <c r="D669" i="7" s="1"/>
  <c r="E671" i="7"/>
  <c r="F671" i="7" s="1"/>
  <c r="C677" i="7"/>
  <c r="D677" i="7" s="1"/>
  <c r="E679" i="7"/>
  <c r="F679" i="7" s="1"/>
  <c r="C685" i="7"/>
  <c r="D685" i="7" s="1"/>
  <c r="E687" i="7"/>
  <c r="F687" i="7" s="1"/>
  <c r="C693" i="7"/>
  <c r="D693" i="7" s="1"/>
  <c r="E695" i="7"/>
  <c r="F695" i="7" s="1"/>
  <c r="C701" i="7"/>
  <c r="D701" i="7" s="1"/>
  <c r="E703" i="7"/>
  <c r="C709" i="7"/>
  <c r="D709" i="7" s="1"/>
  <c r="E711" i="7"/>
  <c r="F711" i="7" s="1"/>
  <c r="C717" i="7"/>
  <c r="D717" i="7" s="1"/>
  <c r="E719" i="7"/>
  <c r="F719" i="7" s="1"/>
  <c r="C725" i="7"/>
  <c r="D725" i="7" s="1"/>
  <c r="E727" i="7"/>
  <c r="F727" i="7" s="1"/>
  <c r="C733" i="7"/>
  <c r="D733" i="7" s="1"/>
  <c r="E735" i="7"/>
  <c r="F735" i="7" s="1"/>
  <c r="C741" i="7"/>
  <c r="D741" i="7" s="1"/>
  <c r="E743" i="7"/>
  <c r="F743" i="7" s="1"/>
  <c r="C749" i="7"/>
  <c r="D749" i="7" s="1"/>
  <c r="E751" i="7"/>
  <c r="F751" i="7" s="1"/>
  <c r="C757" i="7"/>
  <c r="D757" i="7" s="1"/>
  <c r="E759" i="7"/>
  <c r="F759" i="7" s="1"/>
  <c r="C765" i="7"/>
  <c r="D765" i="7" s="1"/>
  <c r="E767" i="7"/>
  <c r="F767" i="7" s="1"/>
  <c r="C773" i="7"/>
  <c r="D773" i="7" s="1"/>
  <c r="E775" i="7"/>
  <c r="F775" i="7" s="1"/>
  <c r="C781" i="7"/>
  <c r="D781" i="7" s="1"/>
  <c r="E783" i="7"/>
  <c r="F783" i="7" s="1"/>
  <c r="C789" i="7"/>
  <c r="D789" i="7" s="1"/>
  <c r="E791" i="7"/>
  <c r="F791" i="7" s="1"/>
  <c r="C797" i="7"/>
  <c r="D797" i="7" s="1"/>
  <c r="E799" i="7"/>
  <c r="F799" i="7" s="1"/>
  <c r="C805" i="7"/>
  <c r="D805" i="7" s="1"/>
  <c r="E807" i="7"/>
  <c r="F807" i="7" s="1"/>
  <c r="C813" i="7"/>
  <c r="D813" i="7" s="1"/>
  <c r="E815" i="7"/>
  <c r="F815" i="7" s="1"/>
  <c r="C821" i="7"/>
  <c r="D821" i="7" s="1"/>
  <c r="E823" i="7"/>
  <c r="F823" i="7" s="1"/>
  <c r="C829" i="7"/>
  <c r="D829" i="7" s="1"/>
  <c r="E831" i="7"/>
  <c r="F831" i="7" s="1"/>
  <c r="F885" i="7"/>
  <c r="C833" i="7"/>
  <c r="D833" i="7" s="1"/>
  <c r="C837" i="7"/>
  <c r="D837" i="7" s="1"/>
  <c r="E839" i="7"/>
  <c r="F839" i="7" s="1"/>
  <c r="F893" i="7"/>
  <c r="C841" i="7"/>
  <c r="D841" i="7" s="1"/>
  <c r="C845" i="7"/>
  <c r="D845" i="7" s="1"/>
  <c r="F896" i="7"/>
  <c r="E847" i="7"/>
  <c r="F847" i="7" s="1"/>
  <c r="C849" i="7"/>
  <c r="D849" i="7" s="1"/>
  <c r="F904" i="7"/>
  <c r="C853" i="7"/>
  <c r="D853" i="7" s="1"/>
  <c r="E855" i="7"/>
  <c r="F855" i="7" s="1"/>
  <c r="F909" i="7"/>
  <c r="C857" i="7"/>
  <c r="D857" i="7" s="1"/>
  <c r="F912" i="7"/>
  <c r="C861" i="7"/>
  <c r="D861" i="7" s="1"/>
  <c r="E863" i="7"/>
  <c r="F863" i="7" s="1"/>
  <c r="F917" i="7"/>
  <c r="C865" i="7"/>
  <c r="D865" i="7" s="1"/>
  <c r="C869" i="7"/>
  <c r="D869" i="7" s="1"/>
  <c r="F920" i="7"/>
  <c r="E871" i="7"/>
  <c r="F871" i="7" s="1"/>
  <c r="F925" i="7"/>
  <c r="C873" i="7"/>
  <c r="D873" i="7" s="1"/>
  <c r="F928" i="7"/>
  <c r="C877" i="7"/>
  <c r="D877" i="7" s="1"/>
  <c r="E879" i="7"/>
  <c r="F879" i="7" s="1"/>
  <c r="F933" i="7"/>
  <c r="C881" i="7"/>
  <c r="D881" i="7" s="1"/>
  <c r="C885" i="7"/>
  <c r="D885" i="7" s="1"/>
  <c r="F936" i="7"/>
  <c r="E900" i="7"/>
  <c r="F915" i="7"/>
  <c r="F931" i="7"/>
  <c r="C1005" i="7"/>
  <c r="D1005" i="7" s="1"/>
  <c r="C1021" i="7"/>
  <c r="D1021" i="7" s="1"/>
  <c r="C1037" i="7"/>
  <c r="D1037" i="7" s="1"/>
  <c r="C1053" i="7"/>
  <c r="D1053" i="7" s="1"/>
  <c r="C1069" i="7"/>
  <c r="D1069" i="7" s="1"/>
  <c r="F1125" i="7"/>
  <c r="C1085" i="7"/>
  <c r="D1085" i="7" s="1"/>
  <c r="F1151" i="7"/>
  <c r="E1572" i="7"/>
  <c r="F1621" i="7"/>
  <c r="E1571" i="7"/>
  <c r="F1571" i="7" s="1"/>
  <c r="C1570" i="7"/>
  <c r="D1570" i="7" s="1"/>
  <c r="F923" i="7"/>
  <c r="C872" i="7"/>
  <c r="D872" i="7" s="1"/>
  <c r="F903" i="7"/>
  <c r="F991" i="7"/>
  <c r="F1023" i="7"/>
  <c r="F1055" i="7"/>
  <c r="E1005" i="7"/>
  <c r="E1021" i="7"/>
  <c r="F1021" i="7" s="1"/>
  <c r="F1087" i="7"/>
  <c r="E1037" i="7"/>
  <c r="F1037" i="7" s="1"/>
  <c r="E1053" i="7"/>
  <c r="F1053" i="7" s="1"/>
  <c r="F1119" i="7"/>
  <c r="E1069" i="7"/>
  <c r="E1085" i="7"/>
  <c r="E1140" i="7"/>
  <c r="F1140" i="7" s="1"/>
  <c r="C1138" i="7"/>
  <c r="D1138" i="7" s="1"/>
  <c r="C1139" i="7"/>
  <c r="D1139" i="7" s="1"/>
  <c r="E1141" i="7"/>
  <c r="F1141" i="7" s="1"/>
  <c r="C1438" i="7"/>
  <c r="D1438" i="7" s="1"/>
  <c r="E1439" i="7"/>
  <c r="C1437" i="7"/>
  <c r="D1437" i="7" s="1"/>
  <c r="E1440" i="7"/>
  <c r="E1438" i="7"/>
  <c r="F1438" i="7" s="1"/>
  <c r="E1785" i="7"/>
  <c r="F1785" i="7" s="1"/>
  <c r="F1834" i="7"/>
  <c r="C1783" i="7"/>
  <c r="D1783" i="7" s="1"/>
  <c r="F62" i="7"/>
  <c r="E13" i="7"/>
  <c r="F78" i="7"/>
  <c r="E29" i="7"/>
  <c r="F94" i="7"/>
  <c r="E45" i="7"/>
  <c r="F110" i="7"/>
  <c r="F126" i="7"/>
  <c r="F134" i="7"/>
  <c r="F142" i="7"/>
  <c r="F103" i="7"/>
  <c r="E118" i="7"/>
  <c r="F118" i="7" s="1"/>
  <c r="C115" i="7"/>
  <c r="D115" i="7" s="1"/>
  <c r="E117" i="7"/>
  <c r="F117" i="7" s="1"/>
  <c r="E134" i="7"/>
  <c r="C131" i="7"/>
  <c r="D131" i="7" s="1"/>
  <c r="E133" i="7"/>
  <c r="F133" i="7" s="1"/>
  <c r="E150" i="7"/>
  <c r="F150" i="7" s="1"/>
  <c r="C147" i="7"/>
  <c r="D147" i="7" s="1"/>
  <c r="E149" i="7"/>
  <c r="F149" i="7" s="1"/>
  <c r="E166" i="7"/>
  <c r="F166" i="7" s="1"/>
  <c r="C163" i="7"/>
  <c r="D163" i="7" s="1"/>
  <c r="E165" i="7"/>
  <c r="F165" i="7" s="1"/>
  <c r="F167" i="7"/>
  <c r="E182" i="7"/>
  <c r="C179" i="7"/>
  <c r="D179" i="7" s="1"/>
  <c r="E181" i="7"/>
  <c r="F181" i="7" s="1"/>
  <c r="F183" i="7"/>
  <c r="E198" i="7"/>
  <c r="F198" i="7" s="1"/>
  <c r="C195" i="7"/>
  <c r="D195" i="7" s="1"/>
  <c r="E197" i="7"/>
  <c r="F199" i="7"/>
  <c r="E214" i="7"/>
  <c r="F214" i="7" s="1"/>
  <c r="C211" i="7"/>
  <c r="D211" i="7" s="1"/>
  <c r="E213" i="7"/>
  <c r="F215" i="7"/>
  <c r="E230" i="7"/>
  <c r="F230" i="7" s="1"/>
  <c r="C227" i="7"/>
  <c r="D227" i="7" s="1"/>
  <c r="E229" i="7"/>
  <c r="F229" i="7" s="1"/>
  <c r="F231" i="7"/>
  <c r="E246" i="7"/>
  <c r="C243" i="7"/>
  <c r="D243" i="7" s="1"/>
  <c r="E245" i="7"/>
  <c r="F245" i="7" s="1"/>
  <c r="F247" i="7"/>
  <c r="E262" i="7"/>
  <c r="F262" i="7" s="1"/>
  <c r="C259" i="7"/>
  <c r="D259" i="7" s="1"/>
  <c r="E261" i="7"/>
  <c r="E278" i="7"/>
  <c r="F278" i="7" s="1"/>
  <c r="C275" i="7"/>
  <c r="D275" i="7" s="1"/>
  <c r="E277" i="7"/>
  <c r="F277" i="7" s="1"/>
  <c r="F279" i="7"/>
  <c r="E294" i="7"/>
  <c r="F294" i="7" s="1"/>
  <c r="C291" i="7"/>
  <c r="D291" i="7" s="1"/>
  <c r="E293" i="7"/>
  <c r="F293" i="7" s="1"/>
  <c r="F295" i="7"/>
  <c r="F358" i="7"/>
  <c r="F366" i="7"/>
  <c r="F374" i="7"/>
  <c r="F382" i="7"/>
  <c r="F390" i="7"/>
  <c r="F398" i="7"/>
  <c r="F422" i="7"/>
  <c r="E372" i="7"/>
  <c r="F430" i="7"/>
  <c r="E380" i="7"/>
  <c r="F438" i="7"/>
  <c r="E388" i="7"/>
  <c r="F388" i="7" s="1"/>
  <c r="F446" i="7"/>
  <c r="E396" i="7"/>
  <c r="E404" i="7"/>
  <c r="F404" i="7" s="1"/>
  <c r="F462" i="7"/>
  <c r="E412" i="7"/>
  <c r="F470" i="7"/>
  <c r="E420" i="7"/>
  <c r="F420" i="7" s="1"/>
  <c r="F478" i="7"/>
  <c r="E428" i="7"/>
  <c r="F486" i="7"/>
  <c r="E436" i="7"/>
  <c r="F494" i="7"/>
  <c r="E444" i="7"/>
  <c r="F502" i="7"/>
  <c r="E452" i="7"/>
  <c r="F452" i="7" s="1"/>
  <c r="F510" i="7"/>
  <c r="E460" i="7"/>
  <c r="E468" i="7"/>
  <c r="F468" i="7" s="1"/>
  <c r="E476" i="7"/>
  <c r="F534" i="7"/>
  <c r="E484" i="7"/>
  <c r="F484" i="7" s="1"/>
  <c r="E492" i="7"/>
  <c r="F550" i="7"/>
  <c r="E500" i="7"/>
  <c r="F558" i="7"/>
  <c r="E508" i="7"/>
  <c r="F566" i="7"/>
  <c r="E516" i="7"/>
  <c r="F516" i="7" s="1"/>
  <c r="E524" i="7"/>
  <c r="F582" i="7"/>
  <c r="E532" i="7"/>
  <c r="F532" i="7" s="1"/>
  <c r="F590" i="7"/>
  <c r="E540" i="7"/>
  <c r="F598" i="7"/>
  <c r="E548" i="7"/>
  <c r="F548" i="7" s="1"/>
  <c r="F606" i="7"/>
  <c r="E556" i="7"/>
  <c r="F614" i="7"/>
  <c r="E564" i="7"/>
  <c r="F622" i="7"/>
  <c r="E572" i="7"/>
  <c r="F630" i="7"/>
  <c r="E580" i="7"/>
  <c r="F580" i="7" s="1"/>
  <c r="F638" i="7"/>
  <c r="E588" i="7"/>
  <c r="E596" i="7"/>
  <c r="F596" i="7" s="1"/>
  <c r="E604" i="7"/>
  <c r="F662" i="7"/>
  <c r="E612" i="7"/>
  <c r="F612" i="7" s="1"/>
  <c r="E620" i="7"/>
  <c r="F678" i="7"/>
  <c r="E628" i="7"/>
  <c r="F686" i="7"/>
  <c r="E636" i="7"/>
  <c r="F694" i="7"/>
  <c r="E644" i="7"/>
  <c r="F644" i="7" s="1"/>
  <c r="F702" i="7"/>
  <c r="E652" i="7"/>
  <c r="F710" i="7"/>
  <c r="E660" i="7"/>
  <c r="F660" i="7" s="1"/>
  <c r="E668" i="7"/>
  <c r="F726" i="7"/>
  <c r="E676" i="7"/>
  <c r="F676" i="7" s="1"/>
  <c r="F734" i="7"/>
  <c r="E684" i="7"/>
  <c r="F742" i="7"/>
  <c r="E692" i="7"/>
  <c r="F750" i="7"/>
  <c r="E700" i="7"/>
  <c r="F758" i="7"/>
  <c r="E708" i="7"/>
  <c r="F708" i="7" s="1"/>
  <c r="F766" i="7"/>
  <c r="E716" i="7"/>
  <c r="F774" i="7"/>
  <c r="E724" i="7"/>
  <c r="F724" i="7" s="1"/>
  <c r="E732" i="7"/>
  <c r="F790" i="7"/>
  <c r="E740" i="7"/>
  <c r="F740" i="7" s="1"/>
  <c r="E748" i="7"/>
  <c r="F806" i="7"/>
  <c r="E756" i="7"/>
  <c r="F814" i="7"/>
  <c r="E764" i="7"/>
  <c r="F822" i="7"/>
  <c r="E772" i="7"/>
  <c r="F772" i="7" s="1"/>
  <c r="E780" i="7"/>
  <c r="E788" i="7"/>
  <c r="F788" i="7" s="1"/>
  <c r="F846" i="7"/>
  <c r="E796" i="7"/>
  <c r="F854" i="7"/>
  <c r="E804" i="7"/>
  <c r="F804" i="7" s="1"/>
  <c r="F862" i="7"/>
  <c r="E812" i="7"/>
  <c r="E820" i="7"/>
  <c r="F878" i="7"/>
  <c r="E828" i="7"/>
  <c r="F886" i="7"/>
  <c r="E836" i="7"/>
  <c r="F836" i="7" s="1"/>
  <c r="E844" i="7"/>
  <c r="E852" i="7"/>
  <c r="E860" i="7"/>
  <c r="C863" i="7"/>
  <c r="D863" i="7" s="1"/>
  <c r="E868" i="7"/>
  <c r="C871" i="7"/>
  <c r="D871" i="7" s="1"/>
  <c r="E876" i="7"/>
  <c r="C879" i="7"/>
  <c r="D879" i="7" s="1"/>
  <c r="E884" i="7"/>
  <c r="E887" i="7"/>
  <c r="F887" i="7" s="1"/>
  <c r="C894" i="7"/>
  <c r="D894" i="7" s="1"/>
  <c r="E895" i="7"/>
  <c r="F895" i="7" s="1"/>
  <c r="C893" i="7"/>
  <c r="D893" i="7" s="1"/>
  <c r="C898" i="7"/>
  <c r="D898" i="7" s="1"/>
  <c r="F959" i="7"/>
  <c r="F945" i="7"/>
  <c r="F1057" i="7"/>
  <c r="F1073" i="7"/>
  <c r="F1089" i="7"/>
  <c r="F1198" i="7"/>
  <c r="C1331" i="7"/>
  <c r="D1331" i="7" s="1"/>
  <c r="C1330" i="7"/>
  <c r="D1330" i="7" s="1"/>
  <c r="F1382" i="7"/>
  <c r="E1331" i="7"/>
  <c r="F1331" i="7" s="1"/>
  <c r="E1333" i="7"/>
  <c r="F1333" i="7" s="1"/>
  <c r="E27" i="7"/>
  <c r="E43" i="7"/>
  <c r="E59" i="7"/>
  <c r="F59" i="7" s="1"/>
  <c r="E67" i="7"/>
  <c r="F67" i="7" s="1"/>
  <c r="F116" i="7"/>
  <c r="E75" i="7"/>
  <c r="F75" i="7" s="1"/>
  <c r="F124" i="7"/>
  <c r="E83" i="7"/>
  <c r="F83" i="7" s="1"/>
  <c r="F132" i="7"/>
  <c r="E91" i="7"/>
  <c r="F91" i="7" s="1"/>
  <c r="F140" i="7"/>
  <c r="E99" i="7"/>
  <c r="F99" i="7" s="1"/>
  <c r="F148" i="7"/>
  <c r="E105" i="7"/>
  <c r="F105" i="7" s="1"/>
  <c r="E107" i="7"/>
  <c r="F107" i="7" s="1"/>
  <c r="C113" i="7"/>
  <c r="D113" i="7" s="1"/>
  <c r="E123" i="7"/>
  <c r="F123" i="7" s="1"/>
  <c r="C129" i="7"/>
  <c r="D129" i="7" s="1"/>
  <c r="E139" i="7"/>
  <c r="F139" i="7" s="1"/>
  <c r="C145" i="7"/>
  <c r="D145" i="7" s="1"/>
  <c r="E155" i="7"/>
  <c r="F155" i="7" s="1"/>
  <c r="C161" i="7"/>
  <c r="D161" i="7" s="1"/>
  <c r="F163" i="7"/>
  <c r="E171" i="7"/>
  <c r="F171" i="7" s="1"/>
  <c r="C177" i="7"/>
  <c r="D177" i="7" s="1"/>
  <c r="F179" i="7"/>
  <c r="E187" i="7"/>
  <c r="F187" i="7" s="1"/>
  <c r="C193" i="7"/>
  <c r="D193" i="7" s="1"/>
  <c r="F195" i="7"/>
  <c r="E203" i="7"/>
  <c r="F203" i="7" s="1"/>
  <c r="C209" i="7"/>
  <c r="D209" i="7" s="1"/>
  <c r="F211" i="7"/>
  <c r="E219" i="7"/>
  <c r="F219" i="7" s="1"/>
  <c r="C225" i="7"/>
  <c r="D225" i="7" s="1"/>
  <c r="F227" i="7"/>
  <c r="E235" i="7"/>
  <c r="F235" i="7" s="1"/>
  <c r="C241" i="7"/>
  <c r="D241" i="7" s="1"/>
  <c r="F243" i="7"/>
  <c r="E251" i="7"/>
  <c r="F259" i="7"/>
  <c r="E267" i="7"/>
  <c r="F267" i="7" s="1"/>
  <c r="F275" i="7"/>
  <c r="E283" i="7"/>
  <c r="F283" i="7" s="1"/>
  <c r="F291" i="7"/>
  <c r="E299" i="7"/>
  <c r="F299" i="7" s="1"/>
  <c r="F353" i="7"/>
  <c r="F369" i="7"/>
  <c r="F377" i="7"/>
  <c r="F385" i="7"/>
  <c r="F393" i="7"/>
  <c r="F401" i="7"/>
  <c r="F409" i="7"/>
  <c r="F417" i="7"/>
  <c r="C370" i="7"/>
  <c r="D370" i="7" s="1"/>
  <c r="F425" i="7"/>
  <c r="C378" i="7"/>
  <c r="D378" i="7" s="1"/>
  <c r="F433" i="7"/>
  <c r="C386" i="7"/>
  <c r="D386" i="7" s="1"/>
  <c r="F441" i="7"/>
  <c r="C394" i="7"/>
  <c r="D394" i="7" s="1"/>
  <c r="F449" i="7"/>
  <c r="C402" i="7"/>
  <c r="D402" i="7" s="1"/>
  <c r="F457" i="7"/>
  <c r="C410" i="7"/>
  <c r="D410" i="7" s="1"/>
  <c r="F465" i="7"/>
  <c r="C418" i="7"/>
  <c r="D418" i="7" s="1"/>
  <c r="F473" i="7"/>
  <c r="C426" i="7"/>
  <c r="D426" i="7" s="1"/>
  <c r="F481" i="7"/>
  <c r="C434" i="7"/>
  <c r="D434" i="7" s="1"/>
  <c r="C442" i="7"/>
  <c r="D442" i="7" s="1"/>
  <c r="F497" i="7"/>
  <c r="C450" i="7"/>
  <c r="D450" i="7" s="1"/>
  <c r="F505" i="7"/>
  <c r="C458" i="7"/>
  <c r="D458" i="7" s="1"/>
  <c r="F513" i="7"/>
  <c r="C466" i="7"/>
  <c r="D466" i="7" s="1"/>
  <c r="F521" i="7"/>
  <c r="C474" i="7"/>
  <c r="D474" i="7" s="1"/>
  <c r="F529" i="7"/>
  <c r="C482" i="7"/>
  <c r="D482" i="7" s="1"/>
  <c r="F537" i="7"/>
  <c r="C490" i="7"/>
  <c r="D490" i="7" s="1"/>
  <c r="F545" i="7"/>
  <c r="C498" i="7"/>
  <c r="D498" i="7" s="1"/>
  <c r="F553" i="7"/>
  <c r="C506" i="7"/>
  <c r="D506" i="7" s="1"/>
  <c r="F561" i="7"/>
  <c r="C514" i="7"/>
  <c r="D514" i="7" s="1"/>
  <c r="F569" i="7"/>
  <c r="C522" i="7"/>
  <c r="D522" i="7" s="1"/>
  <c r="F577" i="7"/>
  <c r="C530" i="7"/>
  <c r="D530" i="7" s="1"/>
  <c r="F585" i="7"/>
  <c r="C538" i="7"/>
  <c r="D538" i="7" s="1"/>
  <c r="F593" i="7"/>
  <c r="C546" i="7"/>
  <c r="D546" i="7" s="1"/>
  <c r="F601" i="7"/>
  <c r="C554" i="7"/>
  <c r="D554" i="7" s="1"/>
  <c r="F609" i="7"/>
  <c r="C562" i="7"/>
  <c r="D562" i="7" s="1"/>
  <c r="C570" i="7"/>
  <c r="D570" i="7" s="1"/>
  <c r="F625" i="7"/>
  <c r="C578" i="7"/>
  <c r="D578" i="7" s="1"/>
  <c r="F633" i="7"/>
  <c r="C586" i="7"/>
  <c r="D586" i="7" s="1"/>
  <c r="F641" i="7"/>
  <c r="C594" i="7"/>
  <c r="D594" i="7" s="1"/>
  <c r="F649" i="7"/>
  <c r="C602" i="7"/>
  <c r="D602" i="7" s="1"/>
  <c r="F657" i="7"/>
  <c r="C610" i="7"/>
  <c r="D610" i="7" s="1"/>
  <c r="F665" i="7"/>
  <c r="C618" i="7"/>
  <c r="D618" i="7" s="1"/>
  <c r="F673" i="7"/>
  <c r="C626" i="7"/>
  <c r="D626" i="7" s="1"/>
  <c r="F681" i="7"/>
  <c r="C634" i="7"/>
  <c r="D634" i="7" s="1"/>
  <c r="F689" i="7"/>
  <c r="C642" i="7"/>
  <c r="D642" i="7" s="1"/>
  <c r="F697" i="7"/>
  <c r="C650" i="7"/>
  <c r="D650" i="7" s="1"/>
  <c r="F705" i="7"/>
  <c r="C658" i="7"/>
  <c r="D658" i="7" s="1"/>
  <c r="F713" i="7"/>
  <c r="C666" i="7"/>
  <c r="D666" i="7" s="1"/>
  <c r="F721" i="7"/>
  <c r="C674" i="7"/>
  <c r="D674" i="7" s="1"/>
  <c r="F729" i="7"/>
  <c r="C682" i="7"/>
  <c r="D682" i="7" s="1"/>
  <c r="F737" i="7"/>
  <c r="C690" i="7"/>
  <c r="D690" i="7" s="1"/>
  <c r="C698" i="7"/>
  <c r="D698" i="7" s="1"/>
  <c r="F753" i="7"/>
  <c r="C706" i="7"/>
  <c r="D706" i="7" s="1"/>
  <c r="F761" i="7"/>
  <c r="C714" i="7"/>
  <c r="D714" i="7" s="1"/>
  <c r="F769" i="7"/>
  <c r="C722" i="7"/>
  <c r="D722" i="7" s="1"/>
  <c r="F777" i="7"/>
  <c r="C730" i="7"/>
  <c r="D730" i="7" s="1"/>
  <c r="F785" i="7"/>
  <c r="C738" i="7"/>
  <c r="D738" i="7" s="1"/>
  <c r="F793" i="7"/>
  <c r="C746" i="7"/>
  <c r="D746" i="7" s="1"/>
  <c r="F801" i="7"/>
  <c r="C754" i="7"/>
  <c r="D754" i="7" s="1"/>
  <c r="F809" i="7"/>
  <c r="C762" i="7"/>
  <c r="D762" i="7" s="1"/>
  <c r="F817" i="7"/>
  <c r="C770" i="7"/>
  <c r="D770" i="7" s="1"/>
  <c r="F825" i="7"/>
  <c r="C778" i="7"/>
  <c r="D778" i="7" s="1"/>
  <c r="F833" i="7"/>
  <c r="C786" i="7"/>
  <c r="D786" i="7" s="1"/>
  <c r="F841" i="7"/>
  <c r="C794" i="7"/>
  <c r="D794" i="7" s="1"/>
  <c r="F849" i="7"/>
  <c r="C802" i="7"/>
  <c r="D802" i="7" s="1"/>
  <c r="F857" i="7"/>
  <c r="C810" i="7"/>
  <c r="D810" i="7" s="1"/>
  <c r="F865" i="7"/>
  <c r="C818" i="7"/>
  <c r="D818" i="7" s="1"/>
  <c r="C826" i="7"/>
  <c r="D826" i="7" s="1"/>
  <c r="F881" i="7"/>
  <c r="C834" i="7"/>
  <c r="D834" i="7" s="1"/>
  <c r="C842" i="7"/>
  <c r="D842" i="7" s="1"/>
  <c r="C850" i="7"/>
  <c r="D850" i="7" s="1"/>
  <c r="C858" i="7"/>
  <c r="D858" i="7" s="1"/>
  <c r="C866" i="7"/>
  <c r="D866" i="7" s="1"/>
  <c r="C874" i="7"/>
  <c r="D874" i="7" s="1"/>
  <c r="C882" i="7"/>
  <c r="D882" i="7" s="1"/>
  <c r="E901" i="7"/>
  <c r="F901" i="7" s="1"/>
  <c r="E1143" i="7"/>
  <c r="F1143" i="7" s="1"/>
  <c r="E1142" i="7"/>
  <c r="F1142" i="7" s="1"/>
  <c r="C1141" i="7"/>
  <c r="D1141" i="7" s="1"/>
  <c r="E1159" i="7"/>
  <c r="E1158" i="7"/>
  <c r="F1158" i="7" s="1"/>
  <c r="F1208" i="7"/>
  <c r="C1157" i="7"/>
  <c r="D1157" i="7" s="1"/>
  <c r="F1224" i="7"/>
  <c r="E1175" i="7"/>
  <c r="E1174" i="7"/>
  <c r="F1174" i="7" s="1"/>
  <c r="C1173" i="7"/>
  <c r="D1173" i="7" s="1"/>
  <c r="F1240" i="7"/>
  <c r="E1191" i="7"/>
  <c r="F1191" i="7" s="1"/>
  <c r="E1190" i="7"/>
  <c r="F1190" i="7" s="1"/>
  <c r="C1189" i="7"/>
  <c r="D1189" i="7" s="1"/>
  <c r="F1256" i="7"/>
  <c r="C1205" i="7"/>
  <c r="D1205" i="7" s="1"/>
  <c r="E1207" i="7"/>
  <c r="E1216" i="7"/>
  <c r="F1265" i="7"/>
  <c r="C1214" i="7"/>
  <c r="D1214" i="7" s="1"/>
  <c r="F1332" i="7"/>
  <c r="C1374" i="7"/>
  <c r="D1374" i="7" s="1"/>
  <c r="E1375" i="7"/>
  <c r="C1373" i="7"/>
  <c r="D1373" i="7" s="1"/>
  <c r="E1376" i="7"/>
  <c r="E1374" i="7"/>
  <c r="C1494" i="7"/>
  <c r="D1494" i="7" s="1"/>
  <c r="F1545" i="7"/>
  <c r="E1494" i="7"/>
  <c r="E1496" i="7"/>
  <c r="F1496" i="7" s="1"/>
  <c r="E1493" i="7"/>
  <c r="F1493" i="7" s="1"/>
  <c r="C1493" i="7"/>
  <c r="D1493" i="7" s="1"/>
  <c r="E1633" i="7"/>
  <c r="F1633" i="7" s="1"/>
  <c r="E1634" i="7"/>
  <c r="C1632" i="7"/>
  <c r="D1632" i="7" s="1"/>
  <c r="C1631" i="7"/>
  <c r="D1631" i="7" s="1"/>
  <c r="F1683" i="7"/>
  <c r="E11" i="7"/>
  <c r="E25" i="7"/>
  <c r="E41" i="7"/>
  <c r="E57" i="7"/>
  <c r="F161" i="7"/>
  <c r="E121" i="7"/>
  <c r="F121" i="7" s="1"/>
  <c r="E120" i="7"/>
  <c r="F120" i="7" s="1"/>
  <c r="F177" i="7"/>
  <c r="E137" i="7"/>
  <c r="F137" i="7" s="1"/>
  <c r="E136" i="7"/>
  <c r="F136" i="7" s="1"/>
  <c r="F193" i="7"/>
  <c r="E153" i="7"/>
  <c r="F153" i="7" s="1"/>
  <c r="E152" i="7"/>
  <c r="F152" i="7" s="1"/>
  <c r="F209" i="7"/>
  <c r="E169" i="7"/>
  <c r="F169" i="7" s="1"/>
  <c r="E168" i="7"/>
  <c r="F168" i="7" s="1"/>
  <c r="F225" i="7"/>
  <c r="E185" i="7"/>
  <c r="F185" i="7" s="1"/>
  <c r="E184" i="7"/>
  <c r="F184" i="7" s="1"/>
  <c r="F241" i="7"/>
  <c r="E201" i="7"/>
  <c r="F201" i="7" s="1"/>
  <c r="E200" i="7"/>
  <c r="F200" i="7" s="1"/>
  <c r="F257" i="7"/>
  <c r="E217" i="7"/>
  <c r="F217" i="7" s="1"/>
  <c r="E216" i="7"/>
  <c r="F216" i="7" s="1"/>
  <c r="F273" i="7"/>
  <c r="E233" i="7"/>
  <c r="F233" i="7" s="1"/>
  <c r="E232" i="7"/>
  <c r="F232" i="7" s="1"/>
  <c r="E249" i="7"/>
  <c r="F249" i="7" s="1"/>
  <c r="E248" i="7"/>
  <c r="F248" i="7" s="1"/>
  <c r="F305" i="7"/>
  <c r="E265" i="7"/>
  <c r="F265" i="7" s="1"/>
  <c r="F314" i="7"/>
  <c r="E264" i="7"/>
  <c r="F264" i="7" s="1"/>
  <c r="F321" i="7"/>
  <c r="E281" i="7"/>
  <c r="F281" i="7" s="1"/>
  <c r="F330" i="7"/>
  <c r="E280" i="7"/>
  <c r="F280" i="7" s="1"/>
  <c r="F337" i="7"/>
  <c r="E297" i="7"/>
  <c r="F297" i="7" s="1"/>
  <c r="F346" i="7"/>
  <c r="E296" i="7"/>
  <c r="F296" i="7" s="1"/>
  <c r="F311" i="7"/>
  <c r="F327" i="7"/>
  <c r="F343" i="7"/>
  <c r="C892" i="7"/>
  <c r="D892" i="7" s="1"/>
  <c r="F954" i="7"/>
  <c r="E905" i="7"/>
  <c r="F905" i="7" s="1"/>
  <c r="C902" i="7"/>
  <c r="D902" i="7" s="1"/>
  <c r="F957" i="7"/>
  <c r="E1090" i="7"/>
  <c r="F1139" i="7"/>
  <c r="F1152" i="7"/>
  <c r="F1167" i="7"/>
  <c r="C1142" i="7"/>
  <c r="D1142" i="7" s="1"/>
  <c r="E1144" i="7"/>
  <c r="F1193" i="7"/>
  <c r="C1267" i="7"/>
  <c r="D1267" i="7" s="1"/>
  <c r="F1318" i="7"/>
  <c r="C1266" i="7"/>
  <c r="D1266" i="7" s="1"/>
  <c r="E1267" i="7"/>
  <c r="F1267" i="7" s="1"/>
  <c r="E1269" i="7"/>
  <c r="F1269" i="7" s="1"/>
  <c r="E1106" i="7"/>
  <c r="E1105" i="7"/>
  <c r="F1105" i="7" s="1"/>
  <c r="F1162" i="7"/>
  <c r="E1122" i="7"/>
  <c r="E1121" i="7"/>
  <c r="F1121" i="7" s="1"/>
  <c r="C1134" i="7"/>
  <c r="D1134" i="7" s="1"/>
  <c r="E1136" i="7"/>
  <c r="F1136" i="7" s="1"/>
  <c r="E1138" i="7"/>
  <c r="E1146" i="7"/>
  <c r="F1146" i="7" s="1"/>
  <c r="E1154" i="7"/>
  <c r="F1154" i="7" s="1"/>
  <c r="F1153" i="7"/>
  <c r="E1170" i="7"/>
  <c r="F1169" i="7"/>
  <c r="E1178" i="7"/>
  <c r="F1178" i="7" s="1"/>
  <c r="E1186" i="7"/>
  <c r="F1186" i="7" s="1"/>
  <c r="F1185" i="7"/>
  <c r="E1194" i="7"/>
  <c r="F1194" i="7" s="1"/>
  <c r="E1202" i="7"/>
  <c r="E1250" i="7"/>
  <c r="C1259" i="7"/>
  <c r="D1259" i="7" s="1"/>
  <c r="F1310" i="7"/>
  <c r="C1258" i="7"/>
  <c r="D1258" i="7" s="1"/>
  <c r="E1298" i="7"/>
  <c r="C1323" i="7"/>
  <c r="D1323" i="7" s="1"/>
  <c r="C1322" i="7"/>
  <c r="D1322" i="7" s="1"/>
  <c r="E1377" i="7"/>
  <c r="F1377" i="7" s="1"/>
  <c r="C1382" i="7"/>
  <c r="D1382" i="7" s="1"/>
  <c r="E1383" i="7"/>
  <c r="C1381" i="7"/>
  <c r="D1381" i="7" s="1"/>
  <c r="E1388" i="7"/>
  <c r="F1388" i="7" s="1"/>
  <c r="C1385" i="7"/>
  <c r="D1385" i="7" s="1"/>
  <c r="F1437" i="7"/>
  <c r="E1392" i="7"/>
  <c r="F1448" i="7"/>
  <c r="C1446" i="7"/>
  <c r="D1446" i="7" s="1"/>
  <c r="E1447" i="7"/>
  <c r="C1445" i="7"/>
  <c r="D1445" i="7" s="1"/>
  <c r="E1452" i="7"/>
  <c r="F1452" i="7" s="1"/>
  <c r="C1449" i="7"/>
  <c r="D1449" i="7" s="1"/>
  <c r="F1501" i="7"/>
  <c r="C1519" i="7"/>
  <c r="D1519" i="7" s="1"/>
  <c r="E1521" i="7"/>
  <c r="F1521" i="7" s="1"/>
  <c r="C1150" i="7"/>
  <c r="D1150" i="7" s="1"/>
  <c r="E1152" i="7"/>
  <c r="E1156" i="7"/>
  <c r="F1156" i="7" s="1"/>
  <c r="C1154" i="7"/>
  <c r="D1154" i="7" s="1"/>
  <c r="C1158" i="7"/>
  <c r="D1158" i="7" s="1"/>
  <c r="E1160" i="7"/>
  <c r="E1164" i="7"/>
  <c r="F1164" i="7" s="1"/>
  <c r="C1162" i="7"/>
  <c r="D1162" i="7" s="1"/>
  <c r="C1166" i="7"/>
  <c r="D1166" i="7" s="1"/>
  <c r="E1168" i="7"/>
  <c r="F1168" i="7" s="1"/>
  <c r="E1172" i="7"/>
  <c r="F1172" i="7" s="1"/>
  <c r="F1222" i="7"/>
  <c r="C1170" i="7"/>
  <c r="D1170" i="7" s="1"/>
  <c r="C1174" i="7"/>
  <c r="D1174" i="7" s="1"/>
  <c r="E1176" i="7"/>
  <c r="E1180" i="7"/>
  <c r="F1180" i="7" s="1"/>
  <c r="F1230" i="7"/>
  <c r="C1178" i="7"/>
  <c r="D1178" i="7" s="1"/>
  <c r="C1182" i="7"/>
  <c r="D1182" i="7" s="1"/>
  <c r="E1184" i="7"/>
  <c r="F1184" i="7" s="1"/>
  <c r="E1188" i="7"/>
  <c r="F1188" i="7" s="1"/>
  <c r="F1238" i="7"/>
  <c r="C1186" i="7"/>
  <c r="D1186" i="7" s="1"/>
  <c r="C1190" i="7"/>
  <c r="D1190" i="7" s="1"/>
  <c r="E1192" i="7"/>
  <c r="F1192" i="7" s="1"/>
  <c r="E1196" i="7"/>
  <c r="F1196" i="7" s="1"/>
  <c r="F1246" i="7"/>
  <c r="C1194" i="7"/>
  <c r="D1194" i="7" s="1"/>
  <c r="C1198" i="7"/>
  <c r="D1198" i="7" s="1"/>
  <c r="E1200" i="7"/>
  <c r="F1200" i="7" s="1"/>
  <c r="E1204" i="7"/>
  <c r="F1254" i="7"/>
  <c r="E1205" i="7"/>
  <c r="F1205" i="7" s="1"/>
  <c r="C1202" i="7"/>
  <c r="D1202" i="7" s="1"/>
  <c r="E1217" i="7"/>
  <c r="C1215" i="7"/>
  <c r="D1215" i="7" s="1"/>
  <c r="F1241" i="7"/>
  <c r="C1251" i="7"/>
  <c r="D1251" i="7" s="1"/>
  <c r="F1302" i="7"/>
  <c r="C1250" i="7"/>
  <c r="D1250" i="7" s="1"/>
  <c r="C1315" i="7"/>
  <c r="D1315" i="7" s="1"/>
  <c r="C1314" i="7"/>
  <c r="D1314" i="7" s="1"/>
  <c r="F1380" i="7"/>
  <c r="F1366" i="7"/>
  <c r="C1390" i="7"/>
  <c r="D1390" i="7" s="1"/>
  <c r="E1391" i="7"/>
  <c r="C1389" i="7"/>
  <c r="D1389" i="7" s="1"/>
  <c r="E1396" i="7"/>
  <c r="F1396" i="7" s="1"/>
  <c r="C1393" i="7"/>
  <c r="D1393" i="7" s="1"/>
  <c r="F1456" i="7"/>
  <c r="C1454" i="7"/>
  <c r="D1454" i="7" s="1"/>
  <c r="E1455" i="7"/>
  <c r="C1453" i="7"/>
  <c r="D1453" i="7" s="1"/>
  <c r="E1460" i="7"/>
  <c r="F1509" i="7"/>
  <c r="C1457" i="7"/>
  <c r="D1457" i="7" s="1"/>
  <c r="C1469" i="7"/>
  <c r="D1469" i="7" s="1"/>
  <c r="E1469" i="7"/>
  <c r="C1468" i="7"/>
  <c r="D1468" i="7" s="1"/>
  <c r="C1480" i="7"/>
  <c r="D1480" i="7" s="1"/>
  <c r="E1481" i="7"/>
  <c r="C1479" i="7"/>
  <c r="D1479" i="7" s="1"/>
  <c r="E1482" i="7"/>
  <c r="C1535" i="7"/>
  <c r="D1535" i="7" s="1"/>
  <c r="E1601" i="7"/>
  <c r="E1602" i="7"/>
  <c r="F1602" i="7" s="1"/>
  <c r="C1600" i="7"/>
  <c r="D1600" i="7" s="1"/>
  <c r="F1651" i="7"/>
  <c r="E1636" i="7"/>
  <c r="F1685" i="7"/>
  <c r="E1635" i="7"/>
  <c r="C1634" i="7"/>
  <c r="D1634" i="7" s="1"/>
  <c r="E1697" i="7"/>
  <c r="F1697" i="7" s="1"/>
  <c r="E1698" i="7"/>
  <c r="C1696" i="7"/>
  <c r="D1696" i="7" s="1"/>
  <c r="C1695" i="7"/>
  <c r="D1695" i="7" s="1"/>
  <c r="F1747" i="7"/>
  <c r="E1820" i="7"/>
  <c r="F1820" i="7" s="1"/>
  <c r="F1869" i="7"/>
  <c r="C1818" i="7"/>
  <c r="D1818" i="7" s="1"/>
  <c r="C1817" i="7"/>
  <c r="D1817" i="7" s="1"/>
  <c r="E1819" i="7"/>
  <c r="E1885" i="7"/>
  <c r="E1883" i="7"/>
  <c r="C1883" i="7"/>
  <c r="D1883" i="7" s="1"/>
  <c r="F1934" i="7"/>
  <c r="F354" i="7"/>
  <c r="F362" i="7"/>
  <c r="F370" i="7"/>
  <c r="F378" i="7"/>
  <c r="F386" i="7"/>
  <c r="F394" i="7"/>
  <c r="F402" i="7"/>
  <c r="F410" i="7"/>
  <c r="F418" i="7"/>
  <c r="F426" i="7"/>
  <c r="F434" i="7"/>
  <c r="F442" i="7"/>
  <c r="F450" i="7"/>
  <c r="F458" i="7"/>
  <c r="F466" i="7"/>
  <c r="F474" i="7"/>
  <c r="F482" i="7"/>
  <c r="F490" i="7"/>
  <c r="F498" i="7"/>
  <c r="F506" i="7"/>
  <c r="F514" i="7"/>
  <c r="F522" i="7"/>
  <c r="F530" i="7"/>
  <c r="F538" i="7"/>
  <c r="F546" i="7"/>
  <c r="F554" i="7"/>
  <c r="F562" i="7"/>
  <c r="F570" i="7"/>
  <c r="F578" i="7"/>
  <c r="F586" i="7"/>
  <c r="F594" i="7"/>
  <c r="F602" i="7"/>
  <c r="F610" i="7"/>
  <c r="F618" i="7"/>
  <c r="F626" i="7"/>
  <c r="F634" i="7"/>
  <c r="F642" i="7"/>
  <c r="F650" i="7"/>
  <c r="F658" i="7"/>
  <c r="F666" i="7"/>
  <c r="F674" i="7"/>
  <c r="F682" i="7"/>
  <c r="F690" i="7"/>
  <c r="F698" i="7"/>
  <c r="F706" i="7"/>
  <c r="F714" i="7"/>
  <c r="F722" i="7"/>
  <c r="F730" i="7"/>
  <c r="F738" i="7"/>
  <c r="F746" i="7"/>
  <c r="F754" i="7"/>
  <c r="F762" i="7"/>
  <c r="F770" i="7"/>
  <c r="F778" i="7"/>
  <c r="F786" i="7"/>
  <c r="F794" i="7"/>
  <c r="F802" i="7"/>
  <c r="F810" i="7"/>
  <c r="F818" i="7"/>
  <c r="F826" i="7"/>
  <c r="F834" i="7"/>
  <c r="F842" i="7"/>
  <c r="F850" i="7"/>
  <c r="F858" i="7"/>
  <c r="F914" i="7"/>
  <c r="F866" i="7"/>
  <c r="F874" i="7"/>
  <c r="F930" i="7"/>
  <c r="F882" i="7"/>
  <c r="E898" i="7"/>
  <c r="F898" i="7" s="1"/>
  <c r="E918" i="7"/>
  <c r="F918" i="7" s="1"/>
  <c r="E934" i="7"/>
  <c r="F934" i="7" s="1"/>
  <c r="E950" i="7"/>
  <c r="F950" i="7" s="1"/>
  <c r="E966" i="7"/>
  <c r="F966" i="7" s="1"/>
  <c r="F968" i="7"/>
  <c r="E982" i="7"/>
  <c r="F982" i="7" s="1"/>
  <c r="F984" i="7"/>
  <c r="E998" i="7"/>
  <c r="F998" i="7" s="1"/>
  <c r="F1000" i="7"/>
  <c r="E1014" i="7"/>
  <c r="F1014" i="7" s="1"/>
  <c r="F1016" i="7"/>
  <c r="E1030" i="7"/>
  <c r="F1030" i="7" s="1"/>
  <c r="F1032" i="7"/>
  <c r="E1046" i="7"/>
  <c r="F1046" i="7" s="1"/>
  <c r="F1048" i="7"/>
  <c r="E1062" i="7"/>
  <c r="F1062" i="7" s="1"/>
  <c r="F1064" i="7"/>
  <c r="E1078" i="7"/>
  <c r="F1078" i="7" s="1"/>
  <c r="F1080" i="7"/>
  <c r="E1094" i="7"/>
  <c r="F1094" i="7" s="1"/>
  <c r="F1096" i="7"/>
  <c r="E1110" i="7"/>
  <c r="F1110" i="7" s="1"/>
  <c r="F1112" i="7"/>
  <c r="E1126" i="7"/>
  <c r="F1126" i="7" s="1"/>
  <c r="F1128" i="7"/>
  <c r="F1204" i="7"/>
  <c r="C1153" i="7"/>
  <c r="D1153" i="7" s="1"/>
  <c r="C1161" i="7"/>
  <c r="D1161" i="7" s="1"/>
  <c r="C1169" i="7"/>
  <c r="D1169" i="7" s="1"/>
  <c r="C1177" i="7"/>
  <c r="D1177" i="7" s="1"/>
  <c r="F1236" i="7"/>
  <c r="C1185" i="7"/>
  <c r="D1185" i="7" s="1"/>
  <c r="C1193" i="7"/>
  <c r="D1193" i="7" s="1"/>
  <c r="C1201" i="7"/>
  <c r="D1201" i="7" s="1"/>
  <c r="E1234" i="7"/>
  <c r="F1234" i="7" s="1"/>
  <c r="F1233" i="7"/>
  <c r="C1243" i="7"/>
  <c r="D1243" i="7" s="1"/>
  <c r="F1294" i="7"/>
  <c r="C1242" i="7"/>
  <c r="D1242" i="7" s="1"/>
  <c r="E1261" i="7"/>
  <c r="F1261" i="7" s="1"/>
  <c r="C1307" i="7"/>
  <c r="D1307" i="7" s="1"/>
  <c r="C1306" i="7"/>
  <c r="D1306" i="7" s="1"/>
  <c r="E1325" i="7"/>
  <c r="F1325" i="7" s="1"/>
  <c r="E1351" i="7"/>
  <c r="F1374" i="7"/>
  <c r="E1382" i="7"/>
  <c r="E1393" i="7"/>
  <c r="F1393" i="7" s="1"/>
  <c r="C1398" i="7"/>
  <c r="D1398" i="7" s="1"/>
  <c r="E1399" i="7"/>
  <c r="F1399" i="7" s="1"/>
  <c r="C1397" i="7"/>
  <c r="D1397" i="7" s="1"/>
  <c r="E1404" i="7"/>
  <c r="C1401" i="7"/>
  <c r="D1401" i="7" s="1"/>
  <c r="E1408" i="7"/>
  <c r="E1446" i="7"/>
  <c r="F1446" i="7" s="1"/>
  <c r="C1462" i="7"/>
  <c r="D1462" i="7" s="1"/>
  <c r="E1463" i="7"/>
  <c r="E1464" i="7"/>
  <c r="F1464" i="7" s="1"/>
  <c r="C1461" i="7"/>
  <c r="D1461" i="7" s="1"/>
  <c r="E1534" i="7"/>
  <c r="F1534" i="7" s="1"/>
  <c r="E1585" i="7"/>
  <c r="F1585" i="7" s="1"/>
  <c r="E1586" i="7"/>
  <c r="F1586" i="7" s="1"/>
  <c r="C1584" i="7"/>
  <c r="D1584" i="7" s="1"/>
  <c r="F1635" i="7"/>
  <c r="C1583" i="7"/>
  <c r="D1583" i="7" s="1"/>
  <c r="C1599" i="7"/>
  <c r="D1599" i="7" s="1"/>
  <c r="E1620" i="7"/>
  <c r="C1618" i="7"/>
  <c r="D1618" i="7" s="1"/>
  <c r="E1837" i="7"/>
  <c r="C1835" i="7"/>
  <c r="D1835" i="7" s="1"/>
  <c r="E1835" i="7"/>
  <c r="F1165" i="7"/>
  <c r="F1181" i="7"/>
  <c r="F1207" i="7"/>
  <c r="E1157" i="7"/>
  <c r="F1157" i="7" s="1"/>
  <c r="C1164" i="7"/>
  <c r="D1164" i="7" s="1"/>
  <c r="E1165" i="7"/>
  <c r="C1172" i="7"/>
  <c r="D1172" i="7" s="1"/>
  <c r="E1173" i="7"/>
  <c r="F1173" i="7" s="1"/>
  <c r="C1180" i="7"/>
  <c r="D1180" i="7" s="1"/>
  <c r="E1181" i="7"/>
  <c r="C1188" i="7"/>
  <c r="D1188" i="7" s="1"/>
  <c r="E1189" i="7"/>
  <c r="C1196" i="7"/>
  <c r="D1196" i="7" s="1"/>
  <c r="E1197" i="7"/>
  <c r="F1197" i="7" s="1"/>
  <c r="C1204" i="7"/>
  <c r="D1204" i="7" s="1"/>
  <c r="F1263" i="7"/>
  <c r="E1214" i="7"/>
  <c r="F1214" i="7"/>
  <c r="F1225" i="7"/>
  <c r="C1235" i="7"/>
  <c r="D1235" i="7" s="1"/>
  <c r="F1286" i="7"/>
  <c r="C1234" i="7"/>
  <c r="D1234" i="7" s="1"/>
  <c r="F1300" i="7"/>
  <c r="E1253" i="7"/>
  <c r="F1253" i="7" s="1"/>
  <c r="C1299" i="7"/>
  <c r="D1299" i="7" s="1"/>
  <c r="C1298" i="7"/>
  <c r="D1298" i="7" s="1"/>
  <c r="E1317" i="7"/>
  <c r="F1317" i="7" s="1"/>
  <c r="E1390" i="7"/>
  <c r="F1390" i="7" s="1"/>
  <c r="C1406" i="7"/>
  <c r="D1406" i="7" s="1"/>
  <c r="E1407" i="7"/>
  <c r="F1407" i="7" s="1"/>
  <c r="C1405" i="7"/>
  <c r="D1405" i="7" s="1"/>
  <c r="E1412" i="7"/>
  <c r="C1409" i="7"/>
  <c r="D1409" i="7" s="1"/>
  <c r="F1472" i="7"/>
  <c r="E1556" i="7"/>
  <c r="F1556" i="7" s="1"/>
  <c r="C1554" i="7"/>
  <c r="D1554" i="7" s="1"/>
  <c r="F1636" i="7"/>
  <c r="C1614" i="7"/>
  <c r="D1614" i="7" s="1"/>
  <c r="E1616" i="7"/>
  <c r="F1616" i="7" s="1"/>
  <c r="E1613" i="7"/>
  <c r="F1613" i="7" s="1"/>
  <c r="E1665" i="7"/>
  <c r="F1665" i="7" s="1"/>
  <c r="E1666" i="7"/>
  <c r="C1664" i="7"/>
  <c r="D1664" i="7" s="1"/>
  <c r="F1715" i="7"/>
  <c r="E1700" i="7"/>
  <c r="E1699" i="7"/>
  <c r="C1698" i="7"/>
  <c r="D1698" i="7" s="1"/>
  <c r="F1800" i="7"/>
  <c r="C1749" i="7"/>
  <c r="D1749" i="7" s="1"/>
  <c r="E1750" i="7"/>
  <c r="E1751" i="7"/>
  <c r="C1748" i="7"/>
  <c r="D1748" i="7" s="1"/>
  <c r="F156" i="7"/>
  <c r="F164" i="7"/>
  <c r="F172" i="7"/>
  <c r="F180" i="7"/>
  <c r="F188" i="7"/>
  <c r="F196" i="7"/>
  <c r="F204" i="7"/>
  <c r="F212" i="7"/>
  <c r="F220" i="7"/>
  <c r="F228" i="7"/>
  <c r="F236" i="7"/>
  <c r="F244" i="7"/>
  <c r="F252" i="7"/>
  <c r="F260" i="7"/>
  <c r="F268" i="7"/>
  <c r="F276" i="7"/>
  <c r="F284" i="7"/>
  <c r="F292" i="7"/>
  <c r="F300" i="7"/>
  <c r="F308" i="7"/>
  <c r="F316" i="7"/>
  <c r="F324" i="7"/>
  <c r="F332" i="7"/>
  <c r="F340" i="7"/>
  <c r="F348" i="7"/>
  <c r="F356" i="7"/>
  <c r="F364" i="7"/>
  <c r="F372" i="7"/>
  <c r="F380" i="7"/>
  <c r="F396" i="7"/>
  <c r="F412" i="7"/>
  <c r="F428" i="7"/>
  <c r="F436" i="7"/>
  <c r="F444" i="7"/>
  <c r="F460" i="7"/>
  <c r="F476" i="7"/>
  <c r="F492" i="7"/>
  <c r="F500" i="7"/>
  <c r="F508" i="7"/>
  <c r="F524" i="7"/>
  <c r="F540" i="7"/>
  <c r="F556" i="7"/>
  <c r="F564" i="7"/>
  <c r="F572" i="7"/>
  <c r="F588" i="7"/>
  <c r="F604" i="7"/>
  <c r="F620" i="7"/>
  <c r="F628" i="7"/>
  <c r="F636" i="7"/>
  <c r="F652" i="7"/>
  <c r="F668" i="7"/>
  <c r="F684" i="7"/>
  <c r="F692" i="7"/>
  <c r="F700" i="7"/>
  <c r="F716" i="7"/>
  <c r="F732" i="7"/>
  <c r="F748" i="7"/>
  <c r="F756" i="7"/>
  <c r="F764" i="7"/>
  <c r="F780" i="7"/>
  <c r="F796" i="7"/>
  <c r="F812" i="7"/>
  <c r="F820" i="7"/>
  <c r="F828" i="7"/>
  <c r="F844" i="7"/>
  <c r="F852" i="7"/>
  <c r="F860" i="7"/>
  <c r="E865" i="7"/>
  <c r="F868" i="7"/>
  <c r="E873" i="7"/>
  <c r="F873" i="7" s="1"/>
  <c r="F876" i="7"/>
  <c r="E881" i="7"/>
  <c r="F884" i="7"/>
  <c r="E893" i="7"/>
  <c r="F951" i="7"/>
  <c r="C900" i="7"/>
  <c r="D900" i="7" s="1"/>
  <c r="F900" i="7"/>
  <c r="E902" i="7"/>
  <c r="F902" i="7" s="1"/>
  <c r="F962" i="7"/>
  <c r="E921" i="7"/>
  <c r="F921" i="7" s="1"/>
  <c r="F978" i="7"/>
  <c r="E937" i="7"/>
  <c r="F937" i="7" s="1"/>
  <c r="F994" i="7"/>
  <c r="E953" i="7"/>
  <c r="F953" i="7" s="1"/>
  <c r="F1010" i="7"/>
  <c r="E969" i="7"/>
  <c r="F1026" i="7"/>
  <c r="E985" i="7"/>
  <c r="F1042" i="7"/>
  <c r="E1001" i="7"/>
  <c r="F1058" i="7"/>
  <c r="E1017" i="7"/>
  <c r="F1017" i="7" s="1"/>
  <c r="F1074" i="7"/>
  <c r="E1033" i="7"/>
  <c r="F1090" i="7"/>
  <c r="E1049" i="7"/>
  <c r="F1106" i="7"/>
  <c r="E1065" i="7"/>
  <c r="F1065" i="7" s="1"/>
  <c r="F1122" i="7"/>
  <c r="E1081" i="7"/>
  <c r="F1138" i="7"/>
  <c r="E1098" i="7"/>
  <c r="F1098" i="7" s="1"/>
  <c r="F1147" i="7"/>
  <c r="E1097" i="7"/>
  <c r="E1114" i="7"/>
  <c r="F1163" i="7"/>
  <c r="E1113" i="7"/>
  <c r="F1113" i="7" s="1"/>
  <c r="F1170" i="7"/>
  <c r="E1130" i="7"/>
  <c r="F1130" i="7" s="1"/>
  <c r="E1129" i="7"/>
  <c r="F1202" i="7"/>
  <c r="C1155" i="7"/>
  <c r="D1155" i="7" s="1"/>
  <c r="C1163" i="7"/>
  <c r="D1163" i="7" s="1"/>
  <c r="C1171" i="7"/>
  <c r="D1171" i="7" s="1"/>
  <c r="F1226" i="7"/>
  <c r="C1179" i="7"/>
  <c r="D1179" i="7" s="1"/>
  <c r="C1187" i="7"/>
  <c r="D1187" i="7" s="1"/>
  <c r="F1242" i="7"/>
  <c r="C1195" i="7"/>
  <c r="D1195" i="7" s="1"/>
  <c r="F1250" i="7"/>
  <c r="C1203" i="7"/>
  <c r="D1203" i="7" s="1"/>
  <c r="F1264" i="7"/>
  <c r="C1213" i="7"/>
  <c r="D1213" i="7" s="1"/>
  <c r="F1217" i="7"/>
  <c r="C1227" i="7"/>
  <c r="D1227" i="7" s="1"/>
  <c r="F1278" i="7"/>
  <c r="C1226" i="7"/>
  <c r="D1226" i="7" s="1"/>
  <c r="E1259" i="7"/>
  <c r="F1259" i="7" s="1"/>
  <c r="C1291" i="7"/>
  <c r="D1291" i="7" s="1"/>
  <c r="F1342" i="7"/>
  <c r="C1290" i="7"/>
  <c r="D1290" i="7" s="1"/>
  <c r="E1323" i="7"/>
  <c r="F1323" i="7" s="1"/>
  <c r="E1330" i="7"/>
  <c r="C1350" i="7"/>
  <c r="D1350" i="7" s="1"/>
  <c r="C1349" i="7"/>
  <c r="D1349" i="7" s="1"/>
  <c r="E1356" i="7"/>
  <c r="F1356" i="7" s="1"/>
  <c r="C1353" i="7"/>
  <c r="D1353" i="7" s="1"/>
  <c r="F1416" i="7"/>
  <c r="C1394" i="7"/>
  <c r="D1394" i="7" s="1"/>
  <c r="E1409" i="7"/>
  <c r="F1409" i="7" s="1"/>
  <c r="F1465" i="7"/>
  <c r="C1414" i="7"/>
  <c r="D1414" i="7" s="1"/>
  <c r="E1415" i="7"/>
  <c r="F1415" i="7" s="1"/>
  <c r="C1413" i="7"/>
  <c r="D1413" i="7" s="1"/>
  <c r="E1420" i="7"/>
  <c r="C1417" i="7"/>
  <c r="D1417" i="7" s="1"/>
  <c r="F1469" i="7"/>
  <c r="C1458" i="7"/>
  <c r="D1458" i="7" s="1"/>
  <c r="F1522" i="7"/>
  <c r="C1471" i="7"/>
  <c r="D1471" i="7" s="1"/>
  <c r="C1485" i="7"/>
  <c r="D1485" i="7" s="1"/>
  <c r="E1486" i="7"/>
  <c r="E1487" i="7"/>
  <c r="F1554" i="7"/>
  <c r="C1503" i="7"/>
  <c r="D1503" i="7" s="1"/>
  <c r="E1505" i="7"/>
  <c r="F1505" i="7" s="1"/>
  <c r="E1502" i="7"/>
  <c r="C1517" i="7"/>
  <c r="D1517" i="7" s="1"/>
  <c r="E1519" i="7"/>
  <c r="C1516" i="7"/>
  <c r="D1516" i="7" s="1"/>
  <c r="E1518" i="7"/>
  <c r="F1518" i="7" s="1"/>
  <c r="E1535" i="7"/>
  <c r="F1535" i="7" s="1"/>
  <c r="E1604" i="7"/>
  <c r="C1602" i="7"/>
  <c r="D1602" i="7" s="1"/>
  <c r="C1613" i="7"/>
  <c r="D1613" i="7" s="1"/>
  <c r="E1649" i="7"/>
  <c r="E1650" i="7"/>
  <c r="C1648" i="7"/>
  <c r="D1648" i="7" s="1"/>
  <c r="F1699" i="7"/>
  <c r="C1647" i="7"/>
  <c r="D1647" i="7" s="1"/>
  <c r="C1663" i="7"/>
  <c r="D1663" i="7" s="1"/>
  <c r="E1684" i="7"/>
  <c r="C1682" i="7"/>
  <c r="D1682" i="7" s="1"/>
  <c r="E1805" i="7"/>
  <c r="F1854" i="7"/>
  <c r="C1803" i="7"/>
  <c r="D1803" i="7" s="1"/>
  <c r="E1868" i="7"/>
  <c r="F1868" i="7" s="1"/>
  <c r="F1917" i="7"/>
  <c r="C1866" i="7"/>
  <c r="D1866" i="7" s="1"/>
  <c r="E1865" i="7"/>
  <c r="F1865" i="7" s="1"/>
  <c r="C1865" i="7"/>
  <c r="D1865" i="7" s="1"/>
  <c r="E1867" i="7"/>
  <c r="E53" i="7"/>
  <c r="E888" i="7"/>
  <c r="F888" i="7" s="1"/>
  <c r="F946" i="7"/>
  <c r="E904" i="7"/>
  <c r="C906" i="7"/>
  <c r="D906" i="7" s="1"/>
  <c r="E911" i="7"/>
  <c r="F911" i="7" s="1"/>
  <c r="F967" i="7"/>
  <c r="C917" i="7"/>
  <c r="D917" i="7" s="1"/>
  <c r="C919" i="7"/>
  <c r="D919" i="7" s="1"/>
  <c r="F983" i="7"/>
  <c r="C933" i="7"/>
  <c r="D933" i="7" s="1"/>
  <c r="C935" i="7"/>
  <c r="D935" i="7" s="1"/>
  <c r="F999" i="7"/>
  <c r="C949" i="7"/>
  <c r="D949" i="7" s="1"/>
  <c r="C951" i="7"/>
  <c r="D951" i="7" s="1"/>
  <c r="F1015" i="7"/>
  <c r="C965" i="7"/>
  <c r="D965" i="7" s="1"/>
  <c r="C967" i="7"/>
  <c r="D967" i="7" s="1"/>
  <c r="F969" i="7"/>
  <c r="F971" i="7"/>
  <c r="F1031" i="7"/>
  <c r="C981" i="7"/>
  <c r="D981" i="7" s="1"/>
  <c r="C983" i="7"/>
  <c r="D983" i="7" s="1"/>
  <c r="F985" i="7"/>
  <c r="F987" i="7"/>
  <c r="F1047" i="7"/>
  <c r="C997" i="7"/>
  <c r="D997" i="7" s="1"/>
  <c r="C999" i="7"/>
  <c r="D999" i="7" s="1"/>
  <c r="F1001" i="7"/>
  <c r="F1003" i="7"/>
  <c r="F1063" i="7"/>
  <c r="C1013" i="7"/>
  <c r="D1013" i="7" s="1"/>
  <c r="C1015" i="7"/>
  <c r="D1015" i="7" s="1"/>
  <c r="F1019" i="7"/>
  <c r="F1079" i="7"/>
  <c r="C1029" i="7"/>
  <c r="D1029" i="7" s="1"/>
  <c r="C1031" i="7"/>
  <c r="D1031" i="7" s="1"/>
  <c r="F1033" i="7"/>
  <c r="F1035" i="7"/>
  <c r="F1095" i="7"/>
  <c r="C1045" i="7"/>
  <c r="D1045" i="7" s="1"/>
  <c r="C1047" i="7"/>
  <c r="D1047" i="7" s="1"/>
  <c r="F1049" i="7"/>
  <c r="F1051" i="7"/>
  <c r="F1111" i="7"/>
  <c r="C1061" i="7"/>
  <c r="D1061" i="7" s="1"/>
  <c r="C1063" i="7"/>
  <c r="D1063" i="7" s="1"/>
  <c r="F1067" i="7"/>
  <c r="F1127" i="7"/>
  <c r="C1077" i="7"/>
  <c r="D1077" i="7" s="1"/>
  <c r="C1079" i="7"/>
  <c r="D1079" i="7" s="1"/>
  <c r="F1081" i="7"/>
  <c r="F1083" i="7"/>
  <c r="C1093" i="7"/>
  <c r="D1093" i="7" s="1"/>
  <c r="C1095" i="7"/>
  <c r="D1095" i="7" s="1"/>
  <c r="F1097" i="7"/>
  <c r="F1099" i="7"/>
  <c r="E1104" i="7"/>
  <c r="F1159" i="7"/>
  <c r="C1109" i="7"/>
  <c r="D1109" i="7" s="1"/>
  <c r="C1111" i="7"/>
  <c r="D1111" i="7" s="1"/>
  <c r="F1115" i="7"/>
  <c r="E1120" i="7"/>
  <c r="F1175" i="7"/>
  <c r="C1125" i="7"/>
  <c r="D1125" i="7" s="1"/>
  <c r="C1127" i="7"/>
  <c r="D1127" i="7" s="1"/>
  <c r="F1129" i="7"/>
  <c r="F1131" i="7"/>
  <c r="F1144" i="7"/>
  <c r="F1160" i="7"/>
  <c r="F1176" i="7"/>
  <c r="F1206" i="7"/>
  <c r="E1211" i="7"/>
  <c r="F1211" i="7" s="1"/>
  <c r="C1212" i="7"/>
  <c r="D1212" i="7" s="1"/>
  <c r="E1215" i="7"/>
  <c r="F1215" i="7" s="1"/>
  <c r="C1219" i="7"/>
  <c r="D1219" i="7" s="1"/>
  <c r="F1270" i="7"/>
  <c r="C1218" i="7"/>
  <c r="D1218" i="7" s="1"/>
  <c r="F1284" i="7"/>
  <c r="E1237" i="7"/>
  <c r="F1237" i="7" s="1"/>
  <c r="E1251" i="7"/>
  <c r="F1251" i="7" s="1"/>
  <c r="C1283" i="7"/>
  <c r="D1283" i="7" s="1"/>
  <c r="F1334" i="7"/>
  <c r="C1282" i="7"/>
  <c r="D1282" i="7" s="1"/>
  <c r="E1301" i="7"/>
  <c r="F1301" i="7" s="1"/>
  <c r="E1315" i="7"/>
  <c r="F1315" i="7" s="1"/>
  <c r="E1322" i="7"/>
  <c r="C1347" i="7"/>
  <c r="D1347" i="7" s="1"/>
  <c r="E1349" i="7"/>
  <c r="C1346" i="7"/>
  <c r="D1346" i="7" s="1"/>
  <c r="E1353" i="7"/>
  <c r="F1353" i="7" s="1"/>
  <c r="C1358" i="7"/>
  <c r="D1358" i="7" s="1"/>
  <c r="C1357" i="7"/>
  <c r="D1357" i="7" s="1"/>
  <c r="E1364" i="7"/>
  <c r="F1364" i="7" s="1"/>
  <c r="C1361" i="7"/>
  <c r="D1361" i="7" s="1"/>
  <c r="F1413" i="7"/>
  <c r="F1424" i="7"/>
  <c r="E1387" i="7"/>
  <c r="F1387" i="7" s="1"/>
  <c r="F1398" i="7"/>
  <c r="C1402" i="7"/>
  <c r="D1402" i="7" s="1"/>
  <c r="E1406" i="7"/>
  <c r="F1406" i="7" s="1"/>
  <c r="E1417" i="7"/>
  <c r="F1417" i="7" s="1"/>
  <c r="C1422" i="7"/>
  <c r="D1422" i="7" s="1"/>
  <c r="E1423" i="7"/>
  <c r="C1421" i="7"/>
  <c r="D1421" i="7" s="1"/>
  <c r="E1428" i="7"/>
  <c r="F1428" i="7" s="1"/>
  <c r="C1425" i="7"/>
  <c r="D1425" i="7" s="1"/>
  <c r="E1451" i="7"/>
  <c r="F1451" i="7" s="1"/>
  <c r="E1470" i="7"/>
  <c r="C1484" i="7"/>
  <c r="D1484" i="7" s="1"/>
  <c r="F1559" i="7"/>
  <c r="F1531" i="7"/>
  <c r="E1569" i="7"/>
  <c r="F1569" i="7" s="1"/>
  <c r="E1570" i="7"/>
  <c r="F1570" i="7" s="1"/>
  <c r="C1568" i="7"/>
  <c r="D1568" i="7" s="1"/>
  <c r="C1567" i="7"/>
  <c r="D1567" i="7" s="1"/>
  <c r="F1605" i="7"/>
  <c r="F1700" i="7"/>
  <c r="C1678" i="7"/>
  <c r="D1678" i="7" s="1"/>
  <c r="E1680" i="7"/>
  <c r="F1680" i="7" s="1"/>
  <c r="E1677" i="7"/>
  <c r="E1713" i="7"/>
  <c r="F1713" i="7" s="1"/>
  <c r="E1714" i="7"/>
  <c r="F1763" i="7"/>
  <c r="C1712" i="7"/>
  <c r="D1712" i="7" s="1"/>
  <c r="C1711" i="7"/>
  <c r="D1711" i="7" s="1"/>
  <c r="F1795" i="7"/>
  <c r="E1746" i="7"/>
  <c r="F1746" i="7" s="1"/>
  <c r="C1744" i="7"/>
  <c r="D1744" i="7" s="1"/>
  <c r="C1743" i="7"/>
  <c r="D1743" i="7" s="1"/>
  <c r="E1817" i="7"/>
  <c r="F1817" i="7" s="1"/>
  <c r="C1815" i="7"/>
  <c r="D1815" i="7" s="1"/>
  <c r="E890" i="7"/>
  <c r="F890" i="7" s="1"/>
  <c r="E897" i="7"/>
  <c r="F897" i="7" s="1"/>
  <c r="E906" i="7"/>
  <c r="F906" i="7" s="1"/>
  <c r="C915" i="7"/>
  <c r="D915" i="7" s="1"/>
  <c r="E927" i="7"/>
  <c r="E926" i="7"/>
  <c r="F926" i="7" s="1"/>
  <c r="C931" i="7"/>
  <c r="D931" i="7" s="1"/>
  <c r="E943" i="7"/>
  <c r="F943" i="7" s="1"/>
  <c r="E942" i="7"/>
  <c r="F942" i="7" s="1"/>
  <c r="C947" i="7"/>
  <c r="D947" i="7" s="1"/>
  <c r="E959" i="7"/>
  <c r="E958" i="7"/>
  <c r="F958" i="7" s="1"/>
  <c r="C963" i="7"/>
  <c r="D963" i="7" s="1"/>
  <c r="E975" i="7"/>
  <c r="F975" i="7" s="1"/>
  <c r="E974" i="7"/>
  <c r="F974" i="7" s="1"/>
  <c r="F976" i="7"/>
  <c r="C979" i="7"/>
  <c r="D979" i="7" s="1"/>
  <c r="E991" i="7"/>
  <c r="E990" i="7"/>
  <c r="F990" i="7" s="1"/>
  <c r="F992" i="7"/>
  <c r="C995" i="7"/>
  <c r="D995" i="7" s="1"/>
  <c r="E1007" i="7"/>
  <c r="F1007" i="7" s="1"/>
  <c r="E1006" i="7"/>
  <c r="F1006" i="7" s="1"/>
  <c r="F1008" i="7"/>
  <c r="C1011" i="7"/>
  <c r="D1011" i="7" s="1"/>
  <c r="E1023" i="7"/>
  <c r="E1022" i="7"/>
  <c r="F1022" i="7" s="1"/>
  <c r="F1024" i="7"/>
  <c r="C1027" i="7"/>
  <c r="D1027" i="7" s="1"/>
  <c r="E1039" i="7"/>
  <c r="F1039" i="7" s="1"/>
  <c r="E1038" i="7"/>
  <c r="F1038" i="7" s="1"/>
  <c r="F1040" i="7"/>
  <c r="C1043" i="7"/>
  <c r="D1043" i="7" s="1"/>
  <c r="E1055" i="7"/>
  <c r="E1054" i="7"/>
  <c r="F1054" i="7" s="1"/>
  <c r="F1056" i="7"/>
  <c r="C1059" i="7"/>
  <c r="D1059" i="7" s="1"/>
  <c r="E1071" i="7"/>
  <c r="F1071" i="7" s="1"/>
  <c r="E1070" i="7"/>
  <c r="F1070" i="7" s="1"/>
  <c r="F1072" i="7"/>
  <c r="C1075" i="7"/>
  <c r="D1075" i="7" s="1"/>
  <c r="E1087" i="7"/>
  <c r="E1086" i="7"/>
  <c r="F1086" i="7" s="1"/>
  <c r="F1088" i="7"/>
  <c r="C1091" i="7"/>
  <c r="D1091" i="7" s="1"/>
  <c r="E1103" i="7"/>
  <c r="F1103" i="7" s="1"/>
  <c r="E1102" i="7"/>
  <c r="F1102" i="7" s="1"/>
  <c r="F1104" i="7"/>
  <c r="C1107" i="7"/>
  <c r="D1107" i="7" s="1"/>
  <c r="E1119" i="7"/>
  <c r="E1118" i="7"/>
  <c r="F1118" i="7" s="1"/>
  <c r="F1120" i="7"/>
  <c r="C1123" i="7"/>
  <c r="D1123" i="7" s="1"/>
  <c r="E1135" i="7"/>
  <c r="F1135" i="7" s="1"/>
  <c r="E1134" i="7"/>
  <c r="F1134" i="7" s="1"/>
  <c r="F1189" i="7"/>
  <c r="E1139" i="7"/>
  <c r="E1147" i="7"/>
  <c r="E1155" i="7"/>
  <c r="F1155" i="7" s="1"/>
  <c r="E1163" i="7"/>
  <c r="E1171" i="7"/>
  <c r="F1171" i="7" s="1"/>
  <c r="E1179" i="7"/>
  <c r="F1179" i="7" s="1"/>
  <c r="E1187" i="7"/>
  <c r="F1187" i="7" s="1"/>
  <c r="E1195" i="7"/>
  <c r="E1203" i="7"/>
  <c r="E1229" i="7"/>
  <c r="F1229" i="7" s="1"/>
  <c r="E1243" i="7"/>
  <c r="F1243" i="7" s="1"/>
  <c r="E1266" i="7"/>
  <c r="F1266" i="7" s="1"/>
  <c r="C1275" i="7"/>
  <c r="D1275" i="7" s="1"/>
  <c r="F1326" i="7"/>
  <c r="C1274" i="7"/>
  <c r="D1274" i="7" s="1"/>
  <c r="E1293" i="7"/>
  <c r="F1293" i="7" s="1"/>
  <c r="E1307" i="7"/>
  <c r="F1307" i="7" s="1"/>
  <c r="E1314" i="7"/>
  <c r="C1339" i="7"/>
  <c r="D1339" i="7" s="1"/>
  <c r="C1338" i="7"/>
  <c r="D1338" i="7" s="1"/>
  <c r="E1346" i="7"/>
  <c r="E1350" i="7"/>
  <c r="F1350" i="7" s="1"/>
  <c r="E1361" i="7"/>
  <c r="F1361" i="7" s="1"/>
  <c r="C1366" i="7"/>
  <c r="D1366" i="7" s="1"/>
  <c r="E1367" i="7"/>
  <c r="C1365" i="7"/>
  <c r="D1365" i="7" s="1"/>
  <c r="E1372" i="7"/>
  <c r="F1372" i="7" s="1"/>
  <c r="C1369" i="7"/>
  <c r="D1369" i="7" s="1"/>
  <c r="F1421" i="7"/>
  <c r="F1432" i="7"/>
  <c r="E1395" i="7"/>
  <c r="F1395" i="7" s="1"/>
  <c r="C1410" i="7"/>
  <c r="D1410" i="7" s="1"/>
  <c r="E1414" i="7"/>
  <c r="F1414" i="7" s="1"/>
  <c r="F1481" i="7"/>
  <c r="C1430" i="7"/>
  <c r="D1430" i="7" s="1"/>
  <c r="E1431" i="7"/>
  <c r="F1431" i="7" s="1"/>
  <c r="C1429" i="7"/>
  <c r="D1429" i="7" s="1"/>
  <c r="E1436" i="7"/>
  <c r="C1433" i="7"/>
  <c r="D1433" i="7" s="1"/>
  <c r="F1485" i="7"/>
  <c r="E1459" i="7"/>
  <c r="F1459" i="7" s="1"/>
  <c r="E1503" i="7"/>
  <c r="E1517" i="7"/>
  <c r="F1517" i="7" s="1"/>
  <c r="C1533" i="7"/>
  <c r="D1533" i="7" s="1"/>
  <c r="E1533" i="7"/>
  <c r="F1533" i="7" s="1"/>
  <c r="C1532" i="7"/>
  <c r="D1532" i="7" s="1"/>
  <c r="C1544" i="7"/>
  <c r="D1544" i="7" s="1"/>
  <c r="E1545" i="7"/>
  <c r="C1543" i="7"/>
  <c r="D1543" i="7" s="1"/>
  <c r="C1560" i="7"/>
  <c r="D1560" i="7" s="1"/>
  <c r="E1561" i="7"/>
  <c r="C1559" i="7"/>
  <c r="D1559" i="7" s="1"/>
  <c r="E1619" i="7"/>
  <c r="F1619" i="7" s="1"/>
  <c r="E1668" i="7"/>
  <c r="F1668" i="7" s="1"/>
  <c r="C1666" i="7"/>
  <c r="D1666" i="7" s="1"/>
  <c r="C1677" i="7"/>
  <c r="D1677" i="7" s="1"/>
  <c r="F1764" i="7"/>
  <c r="E1729" i="7"/>
  <c r="F1729" i="7" s="1"/>
  <c r="E1730" i="7"/>
  <c r="C1728" i="7"/>
  <c r="D1728" i="7" s="1"/>
  <c r="F1779" i="7"/>
  <c r="C1727" i="7"/>
  <c r="D1727" i="7" s="1"/>
  <c r="F1928" i="7"/>
  <c r="C1877" i="7"/>
  <c r="D1877" i="7" s="1"/>
  <c r="E1878" i="7"/>
  <c r="C1876" i="7"/>
  <c r="D1876" i="7" s="1"/>
  <c r="E1773" i="7"/>
  <c r="F1822" i="7"/>
  <c r="E1780" i="7"/>
  <c r="F1780" i="7" s="1"/>
  <c r="C1778" i="7"/>
  <c r="D1778" i="7" s="1"/>
  <c r="E1788" i="7"/>
  <c r="F1788" i="7" s="1"/>
  <c r="F1837" i="7"/>
  <c r="C1786" i="7"/>
  <c r="D1786" i="7" s="1"/>
  <c r="C1813" i="7"/>
  <c r="D1813" i="7" s="1"/>
  <c r="E1814" i="7"/>
  <c r="F1814" i="7" s="1"/>
  <c r="E1815" i="7"/>
  <c r="C1812" i="7"/>
  <c r="D1812" i="7" s="1"/>
  <c r="F1926" i="7"/>
  <c r="C1875" i="7"/>
  <c r="D1875" i="7" s="1"/>
  <c r="E1877" i="7"/>
  <c r="E1961" i="7"/>
  <c r="F1961" i="7" s="1"/>
  <c r="C1959" i="7"/>
  <c r="D1959" i="7" s="1"/>
  <c r="E1960" i="7"/>
  <c r="F1960" i="7" s="1"/>
  <c r="E2073" i="7"/>
  <c r="F2122" i="7"/>
  <c r="C2071" i="7"/>
  <c r="D2073" i="7"/>
  <c r="C2070" i="7"/>
  <c r="C1779" i="7"/>
  <c r="D1779" i="7" s="1"/>
  <c r="E1781" i="7"/>
  <c r="F1781" i="7" s="1"/>
  <c r="C1785" i="7"/>
  <c r="D1785" i="7" s="1"/>
  <c r="C1891" i="7"/>
  <c r="D1891" i="7" s="1"/>
  <c r="E1891" i="7"/>
  <c r="F1891" i="7" s="1"/>
  <c r="E1893" i="7"/>
  <c r="F1893" i="7" s="1"/>
  <c r="E1981" i="7"/>
  <c r="C1981" i="7"/>
  <c r="D1981" i="7" s="1"/>
  <c r="F2032" i="7"/>
  <c r="E1983" i="7"/>
  <c r="F1983" i="7" s="1"/>
  <c r="C1980" i="7"/>
  <c r="D1980" i="7" s="1"/>
  <c r="E1982" i="7"/>
  <c r="C1990" i="7"/>
  <c r="D1990" i="7" s="1"/>
  <c r="F2041" i="7"/>
  <c r="E1992" i="7"/>
  <c r="F1992" i="7" s="1"/>
  <c r="E1991" i="7"/>
  <c r="E1989" i="7"/>
  <c r="C1989" i="7"/>
  <c r="D1989" i="7" s="1"/>
  <c r="C2131" i="7"/>
  <c r="D2133" i="7"/>
  <c r="E2133" i="7"/>
  <c r="E2132" i="7"/>
  <c r="F1195" i="7"/>
  <c r="F1203" i="7"/>
  <c r="E1212" i="7"/>
  <c r="F1212" i="7" s="1"/>
  <c r="F1352" i="7"/>
  <c r="E1305" i="7"/>
  <c r="F1305" i="7" s="1"/>
  <c r="F1360" i="7"/>
  <c r="E1313" i="7"/>
  <c r="F1313" i="7" s="1"/>
  <c r="F1362" i="7"/>
  <c r="F1368" i="7"/>
  <c r="E1321" i="7"/>
  <c r="F1321" i="7" s="1"/>
  <c r="F1376" i="7"/>
  <c r="E1329" i="7"/>
  <c r="F1329" i="7" s="1"/>
  <c r="F1384" i="7"/>
  <c r="E1337" i="7"/>
  <c r="F1337" i="7" s="1"/>
  <c r="F1392" i="7"/>
  <c r="E1345" i="7"/>
  <c r="F1345" i="7" s="1"/>
  <c r="C1355" i="7"/>
  <c r="D1355" i="7" s="1"/>
  <c r="E1357" i="7"/>
  <c r="F1357" i="7" s="1"/>
  <c r="C1363" i="7"/>
  <c r="D1363" i="7" s="1"/>
  <c r="E1365" i="7"/>
  <c r="C1371" i="7"/>
  <c r="D1371" i="7" s="1"/>
  <c r="E1373" i="7"/>
  <c r="C1379" i="7"/>
  <c r="D1379" i="7" s="1"/>
  <c r="E1381" i="7"/>
  <c r="C1387" i="7"/>
  <c r="D1387" i="7" s="1"/>
  <c r="E1389" i="7"/>
  <c r="F1389" i="7" s="1"/>
  <c r="C1395" i="7"/>
  <c r="D1395" i="7" s="1"/>
  <c r="E1397" i="7"/>
  <c r="F1397" i="7" s="1"/>
  <c r="C1403" i="7"/>
  <c r="D1403" i="7" s="1"/>
  <c r="E1405" i="7"/>
  <c r="F1405" i="7" s="1"/>
  <c r="C1411" i="7"/>
  <c r="D1411" i="7" s="1"/>
  <c r="E1413" i="7"/>
  <c r="C1419" i="7"/>
  <c r="D1419" i="7" s="1"/>
  <c r="F1470" i="7"/>
  <c r="E1421" i="7"/>
  <c r="C1427" i="7"/>
  <c r="D1427" i="7" s="1"/>
  <c r="E1429" i="7"/>
  <c r="F1429" i="7" s="1"/>
  <c r="C1435" i="7"/>
  <c r="D1435" i="7" s="1"/>
  <c r="F1486" i="7"/>
  <c r="E1437" i="7"/>
  <c r="C1443" i="7"/>
  <c r="D1443" i="7" s="1"/>
  <c r="E1445" i="7"/>
  <c r="F1445" i="7" s="1"/>
  <c r="C1451" i="7"/>
  <c r="D1451" i="7" s="1"/>
  <c r="F1502" i="7"/>
  <c r="E1453" i="7"/>
  <c r="F1453" i="7" s="1"/>
  <c r="C1459" i="7"/>
  <c r="D1459" i="7" s="1"/>
  <c r="E1461" i="7"/>
  <c r="F1461" i="7" s="1"/>
  <c r="C1478" i="7"/>
  <c r="D1478" i="7" s="1"/>
  <c r="E1491" i="7"/>
  <c r="F1491" i="7" s="1"/>
  <c r="C1488" i="7"/>
  <c r="D1488" i="7" s="1"/>
  <c r="F1551" i="7"/>
  <c r="F1515" i="7"/>
  <c r="C1528" i="7"/>
  <c r="D1528" i="7" s="1"/>
  <c r="E1529" i="7"/>
  <c r="F1529" i="7" s="1"/>
  <c r="C1527" i="7"/>
  <c r="D1527" i="7" s="1"/>
  <c r="C1542" i="7"/>
  <c r="D1542" i="7" s="1"/>
  <c r="F1593" i="7"/>
  <c r="C1558" i="7"/>
  <c r="D1558" i="7" s="1"/>
  <c r="F1609" i="7"/>
  <c r="F1642" i="7"/>
  <c r="C1598" i="7"/>
  <c r="D1598" i="7" s="1"/>
  <c r="E1600" i="7"/>
  <c r="F1600" i="7" s="1"/>
  <c r="F1706" i="7"/>
  <c r="C1662" i="7"/>
  <c r="D1662" i="7" s="1"/>
  <c r="E1664" i="7"/>
  <c r="F1664" i="7" s="1"/>
  <c r="C1751" i="7"/>
  <c r="D1751" i="7" s="1"/>
  <c r="C1771" i="7"/>
  <c r="D1771" i="7" s="1"/>
  <c r="C1811" i="7"/>
  <c r="D1811" i="7" s="1"/>
  <c r="E1813" i="7"/>
  <c r="F1813" i="7" s="1"/>
  <c r="E1901" i="7"/>
  <c r="C1899" i="7"/>
  <c r="D1899" i="7" s="1"/>
  <c r="C1902" i="7"/>
  <c r="D1902" i="7" s="1"/>
  <c r="F1953" i="7"/>
  <c r="C1901" i="7"/>
  <c r="D1901" i="7" s="1"/>
  <c r="E1902" i="7"/>
  <c r="E1904" i="7"/>
  <c r="F1904" i="7" s="1"/>
  <c r="E1932" i="7"/>
  <c r="F1932" i="7" s="1"/>
  <c r="F1981" i="7"/>
  <c r="C1930" i="7"/>
  <c r="D1930" i="7" s="1"/>
  <c r="E1929" i="7"/>
  <c r="F1929" i="7" s="1"/>
  <c r="E1931" i="7"/>
  <c r="F1931" i="7" s="1"/>
  <c r="D2238" i="7"/>
  <c r="E2238" i="7"/>
  <c r="F2238" i="7" s="1"/>
  <c r="C2236" i="7"/>
  <c r="F2287" i="7"/>
  <c r="E2236" i="7"/>
  <c r="F2236" i="7" s="1"/>
  <c r="D2235" i="7"/>
  <c r="E2237" i="7"/>
  <c r="C908" i="7"/>
  <c r="D908" i="7" s="1"/>
  <c r="C916" i="7"/>
  <c r="D916" i="7" s="1"/>
  <c r="C924" i="7"/>
  <c r="D924" i="7" s="1"/>
  <c r="C932" i="7"/>
  <c r="D932" i="7" s="1"/>
  <c r="C940" i="7"/>
  <c r="D940" i="7" s="1"/>
  <c r="C948" i="7"/>
  <c r="D948" i="7" s="1"/>
  <c r="C956" i="7"/>
  <c r="D956" i="7" s="1"/>
  <c r="C964" i="7"/>
  <c r="D964" i="7" s="1"/>
  <c r="C972" i="7"/>
  <c r="D972" i="7" s="1"/>
  <c r="C980" i="7"/>
  <c r="D980" i="7" s="1"/>
  <c r="C988" i="7"/>
  <c r="D988" i="7" s="1"/>
  <c r="C996" i="7"/>
  <c r="D996" i="7" s="1"/>
  <c r="C1004" i="7"/>
  <c r="D1004" i="7" s="1"/>
  <c r="C1012" i="7"/>
  <c r="D1012" i="7" s="1"/>
  <c r="C1020" i="7"/>
  <c r="D1020" i="7" s="1"/>
  <c r="C1028" i="7"/>
  <c r="D1028" i="7" s="1"/>
  <c r="C1036" i="7"/>
  <c r="D1036" i="7" s="1"/>
  <c r="C1044" i="7"/>
  <c r="D1044" i="7" s="1"/>
  <c r="C1052" i="7"/>
  <c r="D1052" i="7" s="1"/>
  <c r="C1060" i="7"/>
  <c r="D1060" i="7" s="1"/>
  <c r="C1068" i="7"/>
  <c r="D1068" i="7" s="1"/>
  <c r="C1076" i="7"/>
  <c r="D1076" i="7" s="1"/>
  <c r="C1084" i="7"/>
  <c r="D1084" i="7" s="1"/>
  <c r="C1092" i="7"/>
  <c r="D1092" i="7" s="1"/>
  <c r="C1100" i="7"/>
  <c r="D1100" i="7" s="1"/>
  <c r="C1108" i="7"/>
  <c r="D1108" i="7" s="1"/>
  <c r="C1116" i="7"/>
  <c r="D1116" i="7" s="1"/>
  <c r="C1124" i="7"/>
  <c r="D1124" i="7" s="1"/>
  <c r="C1132" i="7"/>
  <c r="D1132" i="7" s="1"/>
  <c r="C1140" i="7"/>
  <c r="D1140" i="7" s="1"/>
  <c r="C1148" i="7"/>
  <c r="D1148" i="7" s="1"/>
  <c r="C1156" i="7"/>
  <c r="D1156" i="7" s="1"/>
  <c r="E1162" i="7"/>
  <c r="E1209" i="7"/>
  <c r="F1209" i="7" s="1"/>
  <c r="E1280" i="7"/>
  <c r="E1288" i="7"/>
  <c r="F1288" i="7" s="1"/>
  <c r="E1296" i="7"/>
  <c r="E1304" i="7"/>
  <c r="F1304" i="7" s="1"/>
  <c r="E1312" i="7"/>
  <c r="E1320" i="7"/>
  <c r="E1328" i="7"/>
  <c r="F1328" i="7" s="1"/>
  <c r="E1336" i="7"/>
  <c r="F1336" i="7" s="1"/>
  <c r="E1344" i="7"/>
  <c r="F1346" i="7"/>
  <c r="F1404" i="7"/>
  <c r="E1354" i="7"/>
  <c r="F1354" i="7" s="1"/>
  <c r="F1412" i="7"/>
  <c r="E1362" i="7"/>
  <c r="F1420" i="7"/>
  <c r="E1370" i="7"/>
  <c r="F1370" i="7" s="1"/>
  <c r="E1378" i="7"/>
  <c r="F1378" i="7" s="1"/>
  <c r="F1436" i="7"/>
  <c r="E1386" i="7"/>
  <c r="F1386" i="7" s="1"/>
  <c r="F1444" i="7"/>
  <c r="E1394" i="7"/>
  <c r="F1394" i="7" s="1"/>
  <c r="E1402" i="7"/>
  <c r="F1402" i="7" s="1"/>
  <c r="F1460" i="7"/>
  <c r="E1410" i="7"/>
  <c r="F1410" i="7" s="1"/>
  <c r="E1418" i="7"/>
  <c r="E1426" i="7"/>
  <c r="F1426" i="7" s="1"/>
  <c r="E1434" i="7"/>
  <c r="E1442" i="7"/>
  <c r="E1450" i="7"/>
  <c r="E1458" i="7"/>
  <c r="F1458" i="7" s="1"/>
  <c r="E1475" i="7"/>
  <c r="F1475" i="7" s="1"/>
  <c r="C1472" i="7"/>
  <c r="D1472" i="7" s="1"/>
  <c r="F1527" i="7"/>
  <c r="E1477" i="7"/>
  <c r="F1477" i="7" s="1"/>
  <c r="E1480" i="7"/>
  <c r="F1480" i="7" s="1"/>
  <c r="F1499" i="7"/>
  <c r="C1512" i="7"/>
  <c r="D1512" i="7" s="1"/>
  <c r="F1563" i="7"/>
  <c r="E1513" i="7"/>
  <c r="F1513" i="7" s="1"/>
  <c r="C1511" i="7"/>
  <c r="D1511" i="7" s="1"/>
  <c r="C1526" i="7"/>
  <c r="D1526" i="7" s="1"/>
  <c r="F1577" i="7"/>
  <c r="F1588" i="7"/>
  <c r="E1539" i="7"/>
  <c r="F1539" i="7" s="1"/>
  <c r="C1536" i="7"/>
  <c r="D1536" i="7" s="1"/>
  <c r="F1591" i="7"/>
  <c r="E1541" i="7"/>
  <c r="F1541" i="7" s="1"/>
  <c r="C1552" i="7"/>
  <c r="D1552" i="7" s="1"/>
  <c r="E1553" i="7"/>
  <c r="F1553" i="7" s="1"/>
  <c r="C1551" i="7"/>
  <c r="D1551" i="7" s="1"/>
  <c r="E1554" i="7"/>
  <c r="E1557" i="7"/>
  <c r="F1557" i="7" s="1"/>
  <c r="F1626" i="7"/>
  <c r="C1582" i="7"/>
  <c r="D1582" i="7" s="1"/>
  <c r="E1584" i="7"/>
  <c r="F1584" i="7" s="1"/>
  <c r="E1597" i="7"/>
  <c r="F1597" i="7" s="1"/>
  <c r="F1601" i="7"/>
  <c r="F1690" i="7"/>
  <c r="C1646" i="7"/>
  <c r="D1646" i="7" s="1"/>
  <c r="E1648" i="7"/>
  <c r="F1648" i="7" s="1"/>
  <c r="E1661" i="7"/>
  <c r="F1661" i="7" s="1"/>
  <c r="F1761" i="7"/>
  <c r="C1710" i="7"/>
  <c r="D1710" i="7" s="1"/>
  <c r="E1712" i="7"/>
  <c r="F1712" i="7" s="1"/>
  <c r="F1777" i="7"/>
  <c r="C1726" i="7"/>
  <c r="D1726" i="7" s="1"/>
  <c r="E1728" i="7"/>
  <c r="F1728" i="7" s="1"/>
  <c r="F1793" i="7"/>
  <c r="C1742" i="7"/>
  <c r="D1742" i="7" s="1"/>
  <c r="E1744" i="7"/>
  <c r="F1744" i="7" s="1"/>
  <c r="F1827" i="7"/>
  <c r="E1778" i="7"/>
  <c r="F1778" i="7" s="1"/>
  <c r="C1776" i="7"/>
  <c r="D1776" i="7" s="1"/>
  <c r="C1775" i="7"/>
  <c r="D1775" i="7" s="1"/>
  <c r="F1974" i="7"/>
  <c r="C1923" i="7"/>
  <c r="D1923" i="7" s="1"/>
  <c r="E1925" i="7"/>
  <c r="F1925" i="7" s="1"/>
  <c r="E1933" i="7"/>
  <c r="F1982" i="7"/>
  <c r="C1931" i="7"/>
  <c r="D1931" i="7" s="1"/>
  <c r="C1939" i="7"/>
  <c r="D1939" i="7" s="1"/>
  <c r="E1941" i="7"/>
  <c r="F1941" i="7" s="1"/>
  <c r="C2046" i="7"/>
  <c r="E2048" i="7"/>
  <c r="F2048" i="7" s="1"/>
  <c r="F2097" i="7"/>
  <c r="C2045" i="7"/>
  <c r="D2048" i="7"/>
  <c r="E2047" i="7"/>
  <c r="F2204" i="7"/>
  <c r="D2228" i="7"/>
  <c r="C2225" i="7"/>
  <c r="F2277" i="7"/>
  <c r="D2225" i="7"/>
  <c r="E2227" i="7"/>
  <c r="C2226" i="7"/>
  <c r="E2228" i="7"/>
  <c r="C1222" i="7"/>
  <c r="D1222" i="7" s="1"/>
  <c r="C1230" i="7"/>
  <c r="D1230" i="7" s="1"/>
  <c r="C1238" i="7"/>
  <c r="D1238" i="7" s="1"/>
  <c r="C1246" i="7"/>
  <c r="D1246" i="7" s="1"/>
  <c r="C1254" i="7"/>
  <c r="D1254" i="7" s="1"/>
  <c r="F1258" i="7"/>
  <c r="C1262" i="7"/>
  <c r="D1262" i="7" s="1"/>
  <c r="C1270" i="7"/>
  <c r="D1270" i="7" s="1"/>
  <c r="F1272" i="7"/>
  <c r="F1274" i="7"/>
  <c r="C1278" i="7"/>
  <c r="D1278" i="7" s="1"/>
  <c r="F1280" i="7"/>
  <c r="F1282" i="7"/>
  <c r="C1286" i="7"/>
  <c r="D1286" i="7" s="1"/>
  <c r="F1290" i="7"/>
  <c r="C1294" i="7"/>
  <c r="D1294" i="7" s="1"/>
  <c r="F1296" i="7"/>
  <c r="F1298" i="7"/>
  <c r="C1302" i="7"/>
  <c r="D1302" i="7" s="1"/>
  <c r="F1306" i="7"/>
  <c r="C1310" i="7"/>
  <c r="D1310" i="7" s="1"/>
  <c r="F1312" i="7"/>
  <c r="F1314" i="7"/>
  <c r="C1318" i="7"/>
  <c r="D1318" i="7" s="1"/>
  <c r="F1320" i="7"/>
  <c r="F1322" i="7"/>
  <c r="C1326" i="7"/>
  <c r="D1326" i="7" s="1"/>
  <c r="F1330" i="7"/>
  <c r="C1334" i="7"/>
  <c r="D1334" i="7" s="1"/>
  <c r="F1338" i="7"/>
  <c r="C1342" i="7"/>
  <c r="D1342" i="7" s="1"/>
  <c r="F1344" i="7"/>
  <c r="F1423" i="7"/>
  <c r="F1439" i="7"/>
  <c r="F1447" i="7"/>
  <c r="F1455" i="7"/>
  <c r="C1432" i="7"/>
  <c r="D1432" i="7" s="1"/>
  <c r="C1440" i="7"/>
  <c r="D1440" i="7" s="1"/>
  <c r="E1466" i="7"/>
  <c r="F1538" i="7"/>
  <c r="C1487" i="7"/>
  <c r="D1487" i="7" s="1"/>
  <c r="C1489" i="7"/>
  <c r="D1489" i="7" s="1"/>
  <c r="F1494" i="7"/>
  <c r="E1506" i="7"/>
  <c r="F1506" i="7" s="1"/>
  <c r="C1525" i="7"/>
  <c r="D1525" i="7" s="1"/>
  <c r="E1530" i="7"/>
  <c r="F1530" i="7" s="1"/>
  <c r="E1548" i="7"/>
  <c r="F1548" i="7" s="1"/>
  <c r="C1546" i="7"/>
  <c r="D1546" i="7" s="1"/>
  <c r="E1564" i="7"/>
  <c r="F1564" i="7" s="1"/>
  <c r="C1562" i="7"/>
  <c r="D1562" i="7" s="1"/>
  <c r="F1620" i="7"/>
  <c r="C1581" i="7"/>
  <c r="D1581" i="7" s="1"/>
  <c r="E1617" i="7"/>
  <c r="F1617" i="7" s="1"/>
  <c r="E1618" i="7"/>
  <c r="C1616" i="7"/>
  <c r="D1616" i="7" s="1"/>
  <c r="F1684" i="7"/>
  <c r="C1645" i="7"/>
  <c r="D1645" i="7" s="1"/>
  <c r="E1681" i="7"/>
  <c r="F1681" i="7" s="1"/>
  <c r="E1682" i="7"/>
  <c r="C1680" i="7"/>
  <c r="D1680" i="7" s="1"/>
  <c r="F1748" i="7"/>
  <c r="C1709" i="7"/>
  <c r="D1709" i="7" s="1"/>
  <c r="C1725" i="7"/>
  <c r="D1725" i="7" s="1"/>
  <c r="C1741" i="7"/>
  <c r="D1741" i="7" s="1"/>
  <c r="E1748" i="7"/>
  <c r="C1746" i="7"/>
  <c r="D1746" i="7" s="1"/>
  <c r="E1756" i="7"/>
  <c r="F1756" i="7" s="1"/>
  <c r="F1805" i="7"/>
  <c r="C1754" i="7"/>
  <c r="D1754" i="7" s="1"/>
  <c r="F1765" i="7"/>
  <c r="F1828" i="7"/>
  <c r="C1781" i="7"/>
  <c r="D1781" i="7" s="1"/>
  <c r="E1782" i="7"/>
  <c r="E1783" i="7"/>
  <c r="C1780" i="7"/>
  <c r="D1780" i="7" s="1"/>
  <c r="C1859" i="7"/>
  <c r="D1859" i="7" s="1"/>
  <c r="E1861" i="7"/>
  <c r="E1869" i="7"/>
  <c r="C1867" i="7"/>
  <c r="D1867" i="7" s="1"/>
  <c r="E1899" i="7"/>
  <c r="F1899" i="7" s="1"/>
  <c r="F1223" i="7"/>
  <c r="F1231" i="7"/>
  <c r="F1239" i="7"/>
  <c r="F1247" i="7"/>
  <c r="F1255" i="7"/>
  <c r="E1206" i="7"/>
  <c r="C1211" i="7"/>
  <c r="D1211" i="7" s="1"/>
  <c r="E1213" i="7"/>
  <c r="F1213" i="7" s="1"/>
  <c r="E1220" i="7"/>
  <c r="F1220" i="7" s="1"/>
  <c r="F1271" i="7"/>
  <c r="C1223" i="7"/>
  <c r="D1223" i="7" s="1"/>
  <c r="E1228" i="7"/>
  <c r="F1228" i="7" s="1"/>
  <c r="F1279" i="7"/>
  <c r="C1231" i="7"/>
  <c r="D1231" i="7" s="1"/>
  <c r="E1236" i="7"/>
  <c r="F1287" i="7"/>
  <c r="C1239" i="7"/>
  <c r="D1239" i="7" s="1"/>
  <c r="E1244" i="7"/>
  <c r="F1244" i="7" s="1"/>
  <c r="F1295" i="7"/>
  <c r="C1247" i="7"/>
  <c r="D1247" i="7" s="1"/>
  <c r="E1252" i="7"/>
  <c r="F1252" i="7" s="1"/>
  <c r="F1303" i="7"/>
  <c r="C1255" i="7"/>
  <c r="D1255" i="7" s="1"/>
  <c r="E1260" i="7"/>
  <c r="F1260" i="7" s="1"/>
  <c r="F1311" i="7"/>
  <c r="C1263" i="7"/>
  <c r="D1263" i="7" s="1"/>
  <c r="E1268" i="7"/>
  <c r="F1268" i="7" s="1"/>
  <c r="F1319" i="7"/>
  <c r="C1271" i="7"/>
  <c r="D1271" i="7" s="1"/>
  <c r="E1276" i="7"/>
  <c r="F1276" i="7" s="1"/>
  <c r="F1327" i="7"/>
  <c r="C1279" i="7"/>
  <c r="D1279" i="7" s="1"/>
  <c r="E1284" i="7"/>
  <c r="F1335" i="7"/>
  <c r="C1287" i="7"/>
  <c r="D1287" i="7" s="1"/>
  <c r="E1292" i="7"/>
  <c r="F1292" i="7" s="1"/>
  <c r="F1343" i="7"/>
  <c r="C1295" i="7"/>
  <c r="D1295" i="7" s="1"/>
  <c r="E1300" i="7"/>
  <c r="F1351" i="7"/>
  <c r="C1301" i="7"/>
  <c r="D1301" i="7" s="1"/>
  <c r="C1303" i="7"/>
  <c r="D1303" i="7" s="1"/>
  <c r="E1308" i="7"/>
  <c r="F1308" i="7" s="1"/>
  <c r="F1359" i="7"/>
  <c r="C1309" i="7"/>
  <c r="D1309" i="7" s="1"/>
  <c r="C1311" i="7"/>
  <c r="D1311" i="7" s="1"/>
  <c r="E1316" i="7"/>
  <c r="F1316" i="7" s="1"/>
  <c r="F1367" i="7"/>
  <c r="C1317" i="7"/>
  <c r="D1317" i="7" s="1"/>
  <c r="C1319" i="7"/>
  <c r="D1319" i="7" s="1"/>
  <c r="E1324" i="7"/>
  <c r="F1324" i="7" s="1"/>
  <c r="F1375" i="7"/>
  <c r="C1325" i="7"/>
  <c r="D1325" i="7" s="1"/>
  <c r="C1327" i="7"/>
  <c r="D1327" i="7" s="1"/>
  <c r="E1332" i="7"/>
  <c r="F1383" i="7"/>
  <c r="C1333" i="7"/>
  <c r="D1333" i="7" s="1"/>
  <c r="C1335" i="7"/>
  <c r="D1335" i="7" s="1"/>
  <c r="E1340" i="7"/>
  <c r="F1340" i="7" s="1"/>
  <c r="F1391" i="7"/>
  <c r="C1341" i="7"/>
  <c r="D1341" i="7" s="1"/>
  <c r="C1343" i="7"/>
  <c r="D1343" i="7" s="1"/>
  <c r="E1348" i="7"/>
  <c r="F1348" i="7" s="1"/>
  <c r="F1349" i="7"/>
  <c r="F1365" i="7"/>
  <c r="F1373" i="7"/>
  <c r="F1381" i="7"/>
  <c r="F1519" i="7"/>
  <c r="E1478" i="7"/>
  <c r="F1478" i="7" s="1"/>
  <c r="E1489" i="7"/>
  <c r="F1489" i="7" s="1"/>
  <c r="C1496" i="7"/>
  <c r="D1496" i="7" s="1"/>
  <c r="F1547" i="7"/>
  <c r="E1497" i="7"/>
  <c r="F1497" i="7" s="1"/>
  <c r="C1495" i="7"/>
  <c r="D1495" i="7" s="1"/>
  <c r="F1572" i="7"/>
  <c r="E1523" i="7"/>
  <c r="F1523" i="7" s="1"/>
  <c r="C1520" i="7"/>
  <c r="D1520" i="7" s="1"/>
  <c r="E1525" i="7"/>
  <c r="F1525" i="7" s="1"/>
  <c r="E1528" i="7"/>
  <c r="F1528" i="7" s="1"/>
  <c r="E1542" i="7"/>
  <c r="F1542" i="7" s="1"/>
  <c r="E1558" i="7"/>
  <c r="F1558" i="7" s="1"/>
  <c r="F1561" i="7"/>
  <c r="C1566" i="7"/>
  <c r="D1566" i="7" s="1"/>
  <c r="E1568" i="7"/>
  <c r="F1568" i="7" s="1"/>
  <c r="E1581" i="7"/>
  <c r="F1581" i="7" s="1"/>
  <c r="F1674" i="7"/>
  <c r="C1630" i="7"/>
  <c r="D1630" i="7" s="1"/>
  <c r="E1632" i="7"/>
  <c r="F1632" i="7" s="1"/>
  <c r="E1645" i="7"/>
  <c r="F1649" i="7"/>
  <c r="F1738" i="7"/>
  <c r="F1745" i="7"/>
  <c r="C1694" i="7"/>
  <c r="D1694" i="7" s="1"/>
  <c r="E1696" i="7"/>
  <c r="F1696" i="7" s="1"/>
  <c r="E1709" i="7"/>
  <c r="E1725" i="7"/>
  <c r="E1741" i="7"/>
  <c r="C1747" i="7"/>
  <c r="D1747" i="7" s="1"/>
  <c r="E1749" i="7"/>
  <c r="F1749" i="7" s="1"/>
  <c r="F1812" i="7"/>
  <c r="E1787" i="7"/>
  <c r="E1810" i="7"/>
  <c r="F1810" i="7" s="1"/>
  <c r="C1808" i="7"/>
  <c r="D1808" i="7" s="1"/>
  <c r="C1807" i="7"/>
  <c r="D1807" i="7" s="1"/>
  <c r="E1876" i="7"/>
  <c r="F1876" i="7" s="1"/>
  <c r="C1873" i="7"/>
  <c r="D1873" i="7" s="1"/>
  <c r="E1875" i="7"/>
  <c r="F1875" i="7" s="1"/>
  <c r="C1874" i="7"/>
  <c r="D1874" i="7" s="1"/>
  <c r="E1923" i="7"/>
  <c r="F1923" i="7" s="1"/>
  <c r="D2380" i="7"/>
  <c r="C2377" i="7"/>
  <c r="E2380" i="7"/>
  <c r="C2378" i="7"/>
  <c r="E2379" i="7"/>
  <c r="D2377" i="7"/>
  <c r="E1963" i="7"/>
  <c r="C1961" i="7"/>
  <c r="D1961" i="7" s="1"/>
  <c r="E1962" i="7"/>
  <c r="F1962" i="7" s="1"/>
  <c r="F2034" i="7"/>
  <c r="C1983" i="7"/>
  <c r="D1983" i="7" s="1"/>
  <c r="C1992" i="7"/>
  <c r="D1992" i="7" s="1"/>
  <c r="E1994" i="7"/>
  <c r="E2006" i="7"/>
  <c r="E2005" i="7"/>
  <c r="C2005" i="7"/>
  <c r="D2005" i="7" s="1"/>
  <c r="E2007" i="7"/>
  <c r="E2038" i="7"/>
  <c r="F2038" i="7" s="1"/>
  <c r="E2039" i="7"/>
  <c r="D2039" i="7"/>
  <c r="C2037" i="7"/>
  <c r="C2036" i="7"/>
  <c r="E2040" i="7"/>
  <c r="F2040" i="7" s="1"/>
  <c r="D2080" i="7"/>
  <c r="C2078" i="7"/>
  <c r="E2077" i="7"/>
  <c r="F2077" i="7" s="1"/>
  <c r="E2144" i="7"/>
  <c r="F2144" i="7" s="1"/>
  <c r="D2144" i="7"/>
  <c r="C2142" i="7"/>
  <c r="C2141" i="7"/>
  <c r="D2141" i="7"/>
  <c r="F2220" i="7"/>
  <c r="E2192" i="7"/>
  <c r="F2192" i="7" s="1"/>
  <c r="D2192" i="7"/>
  <c r="C2190" i="7"/>
  <c r="C2189" i="7"/>
  <c r="D2196" i="7"/>
  <c r="C2193" i="7"/>
  <c r="D2193" i="7"/>
  <c r="E2195" i="7"/>
  <c r="F2195" i="7" s="1"/>
  <c r="F2245" i="7"/>
  <c r="C2194" i="7"/>
  <c r="E2210" i="7"/>
  <c r="D2210" i="7"/>
  <c r="C2208" i="7"/>
  <c r="C2207" i="7"/>
  <c r="C2259" i="7"/>
  <c r="E2261" i="7"/>
  <c r="F2261" i="7" s="1"/>
  <c r="F2310" i="7"/>
  <c r="E2259" i="7"/>
  <c r="F2259" i="7" s="1"/>
  <c r="E2258" i="7"/>
  <c r="D2261" i="7"/>
  <c r="E2260" i="7"/>
  <c r="F3" i="8"/>
  <c r="E1940" i="7"/>
  <c r="F1940" i="7" s="1"/>
  <c r="F1989" i="7"/>
  <c r="C1937" i="7"/>
  <c r="D1937" i="7" s="1"/>
  <c r="C1941" i="7"/>
  <c r="D1941" i="7" s="1"/>
  <c r="E1942" i="7"/>
  <c r="F1942" i="7" s="1"/>
  <c r="C1940" i="7"/>
  <c r="D1940" i="7" s="1"/>
  <c r="C1974" i="7"/>
  <c r="D1974" i="7" s="1"/>
  <c r="E1973" i="7"/>
  <c r="F1973" i="7" s="1"/>
  <c r="E1975" i="7"/>
  <c r="C1999" i="7"/>
  <c r="D1999" i="7" s="1"/>
  <c r="E2001" i="7"/>
  <c r="C2017" i="7"/>
  <c r="D2017" i="7" s="1"/>
  <c r="E2019" i="7"/>
  <c r="F2019" i="7" s="1"/>
  <c r="E2018" i="7"/>
  <c r="F2018" i="7" s="1"/>
  <c r="C2024" i="7"/>
  <c r="E2026" i="7"/>
  <c r="F2026" i="7" s="1"/>
  <c r="F2075" i="7"/>
  <c r="D2026" i="7"/>
  <c r="C2038" i="7"/>
  <c r="D2040" i="7"/>
  <c r="C2049" i="7"/>
  <c r="D2051" i="7"/>
  <c r="D2057" i="7"/>
  <c r="D2054" i="7"/>
  <c r="E2057" i="7"/>
  <c r="C2055" i="7"/>
  <c r="D2058" i="7"/>
  <c r="C2069" i="7"/>
  <c r="D2071" i="7"/>
  <c r="E2071" i="7"/>
  <c r="F2071" i="7" s="1"/>
  <c r="C2068" i="7"/>
  <c r="C2091" i="7"/>
  <c r="E2091" i="7"/>
  <c r="E2093" i="7"/>
  <c r="F2093" i="7" s="1"/>
  <c r="E2090" i="7"/>
  <c r="F2090" i="7" s="1"/>
  <c r="D2093" i="7"/>
  <c r="C2101" i="7"/>
  <c r="F2152" i="7"/>
  <c r="E2103" i="7"/>
  <c r="F2103" i="7" s="1"/>
  <c r="D2103" i="7"/>
  <c r="E2102" i="7"/>
  <c r="C2100" i="7"/>
  <c r="F2156" i="7"/>
  <c r="F2107" i="7"/>
  <c r="C2119" i="7"/>
  <c r="E2122" i="7"/>
  <c r="D2189" i="7"/>
  <c r="C2195" i="7"/>
  <c r="D2197" i="7"/>
  <c r="F2246" i="7"/>
  <c r="E2197" i="7"/>
  <c r="D2207" i="7"/>
  <c r="C2258" i="7"/>
  <c r="D2346" i="7"/>
  <c r="C2343" i="7"/>
  <c r="E2346" i="7"/>
  <c r="F2346" i="7" s="1"/>
  <c r="C2344" i="7"/>
  <c r="D2343" i="7"/>
  <c r="E2344" i="7"/>
  <c r="C1973" i="7"/>
  <c r="D1973" i="7" s="1"/>
  <c r="C2006" i="7"/>
  <c r="D2006" i="7" s="1"/>
  <c r="F2057" i="7"/>
  <c r="E2008" i="7"/>
  <c r="E2012" i="7"/>
  <c r="F2012" i="7" s="1"/>
  <c r="C2010" i="7"/>
  <c r="D2010" i="7" s="1"/>
  <c r="F2079" i="7"/>
  <c r="E2037" i="7"/>
  <c r="F2037" i="7" s="1"/>
  <c r="D2037" i="7"/>
  <c r="C2035" i="7"/>
  <c r="D2034" i="7"/>
  <c r="E2044" i="7"/>
  <c r="C2042" i="7"/>
  <c r="D2044" i="7"/>
  <c r="C2041" i="7"/>
  <c r="E2051" i="7"/>
  <c r="F2051" i="7" s="1"/>
  <c r="E2058" i="7"/>
  <c r="F2058" i="7" s="1"/>
  <c r="C2062" i="7"/>
  <c r="E2062" i="7"/>
  <c r="F2062" i="7" s="1"/>
  <c r="E2064" i="7"/>
  <c r="D2064" i="7"/>
  <c r="C2061" i="7"/>
  <c r="D2068" i="7"/>
  <c r="E2080" i="7"/>
  <c r="F2080" i="7" s="1"/>
  <c r="C2090" i="7"/>
  <c r="D2100" i="7"/>
  <c r="F2142" i="7"/>
  <c r="E2176" i="7"/>
  <c r="F2176" i="7" s="1"/>
  <c r="D2176" i="7"/>
  <c r="C2174" i="7"/>
  <c r="C2173" i="7"/>
  <c r="D2173" i="7"/>
  <c r="E2189" i="7"/>
  <c r="F2189" i="7" s="1"/>
  <c r="D2206" i="7"/>
  <c r="E2206" i="7"/>
  <c r="F2206" i="7" s="1"/>
  <c r="C2204" i="7"/>
  <c r="E2205" i="7"/>
  <c r="E2204" i="7"/>
  <c r="F2300" i="7"/>
  <c r="F2255" i="7"/>
  <c r="D2262" i="7"/>
  <c r="E2262" i="7"/>
  <c r="F2262" i="7" s="1"/>
  <c r="C2260" i="7"/>
  <c r="F2311" i="7"/>
  <c r="D2259" i="7"/>
  <c r="E2280" i="7"/>
  <c r="F2280" i="7" s="1"/>
  <c r="C2278" i="7"/>
  <c r="C2277" i="7"/>
  <c r="D2280" i="7"/>
  <c r="D2362" i="7"/>
  <c r="C2359" i="7"/>
  <c r="E2362" i="7"/>
  <c r="C2360" i="7"/>
  <c r="D2359" i="7"/>
  <c r="C1351" i="7"/>
  <c r="D1351" i="7" s="1"/>
  <c r="C1359" i="7"/>
  <c r="D1359" i="7" s="1"/>
  <c r="C1367" i="7"/>
  <c r="D1367" i="7" s="1"/>
  <c r="C1375" i="7"/>
  <c r="D1375" i="7" s="1"/>
  <c r="C1383" i="7"/>
  <c r="D1383" i="7" s="1"/>
  <c r="C1391" i="7"/>
  <c r="D1391" i="7" s="1"/>
  <c r="C1399" i="7"/>
  <c r="D1399" i="7" s="1"/>
  <c r="F1400" i="7"/>
  <c r="C1407" i="7"/>
  <c r="D1407" i="7" s="1"/>
  <c r="F1408" i="7"/>
  <c r="C1415" i="7"/>
  <c r="D1415" i="7" s="1"/>
  <c r="C1423" i="7"/>
  <c r="D1423" i="7" s="1"/>
  <c r="C1431" i="7"/>
  <c r="D1431" i="7" s="1"/>
  <c r="C1439" i="7"/>
  <c r="D1439" i="7" s="1"/>
  <c r="C1447" i="7"/>
  <c r="D1447" i="7" s="1"/>
  <c r="C1455" i="7"/>
  <c r="D1455" i="7" s="1"/>
  <c r="C1463" i="7"/>
  <c r="D1463" i="7" s="1"/>
  <c r="E1468" i="7"/>
  <c r="F1468" i="7" s="1"/>
  <c r="F1466" i="7"/>
  <c r="E1484" i="7"/>
  <c r="F1484" i="7" s="1"/>
  <c r="F1482" i="7"/>
  <c r="E1500" i="7"/>
  <c r="F1500" i="7" s="1"/>
  <c r="F1498" i="7"/>
  <c r="E1516" i="7"/>
  <c r="F1516" i="7" s="1"/>
  <c r="F1514" i="7"/>
  <c r="E1532" i="7"/>
  <c r="F1532" i="7" s="1"/>
  <c r="E1575" i="7"/>
  <c r="F1575" i="7" s="1"/>
  <c r="E1574" i="7"/>
  <c r="F1574" i="7" s="1"/>
  <c r="E1576" i="7"/>
  <c r="F1576" i="7" s="1"/>
  <c r="E1591" i="7"/>
  <c r="E1590" i="7"/>
  <c r="F1590" i="7" s="1"/>
  <c r="E1592" i="7"/>
  <c r="F1592" i="7" s="1"/>
  <c r="E1607" i="7"/>
  <c r="F1607" i="7" s="1"/>
  <c r="E1606" i="7"/>
  <c r="F1606" i="7" s="1"/>
  <c r="E1608" i="7"/>
  <c r="F1608" i="7" s="1"/>
  <c r="E1623" i="7"/>
  <c r="E1622" i="7"/>
  <c r="F1622" i="7" s="1"/>
  <c r="E1624" i="7"/>
  <c r="F1624" i="7" s="1"/>
  <c r="F1679" i="7"/>
  <c r="E1639" i="7"/>
  <c r="F1639" i="7" s="1"/>
  <c r="E1638" i="7"/>
  <c r="F1638" i="7" s="1"/>
  <c r="E1640" i="7"/>
  <c r="F1640" i="7" s="1"/>
  <c r="E1655" i="7"/>
  <c r="E1654" i="7"/>
  <c r="F1654" i="7" s="1"/>
  <c r="E1656" i="7"/>
  <c r="F1656" i="7" s="1"/>
  <c r="E1671" i="7"/>
  <c r="E1670" i="7"/>
  <c r="F1670" i="7" s="1"/>
  <c r="E1672" i="7"/>
  <c r="F1672" i="7" s="1"/>
  <c r="E1687" i="7"/>
  <c r="E1686" i="7"/>
  <c r="F1686" i="7" s="1"/>
  <c r="E1688" i="7"/>
  <c r="F1688" i="7" s="1"/>
  <c r="F1743" i="7"/>
  <c r="C1699" i="7"/>
  <c r="D1699" i="7" s="1"/>
  <c r="F1750" i="7"/>
  <c r="E1703" i="7"/>
  <c r="E1702" i="7"/>
  <c r="F1702" i="7" s="1"/>
  <c r="E1704" i="7"/>
  <c r="F1704" i="7" s="1"/>
  <c r="C1715" i="7"/>
  <c r="D1715" i="7" s="1"/>
  <c r="E1719" i="7"/>
  <c r="F1719" i="7" s="1"/>
  <c r="E1718" i="7"/>
  <c r="F1718" i="7" s="1"/>
  <c r="C1731" i="7"/>
  <c r="D1731" i="7" s="1"/>
  <c r="F1782" i="7"/>
  <c r="E1735" i="7"/>
  <c r="E1734" i="7"/>
  <c r="F1734" i="7" s="1"/>
  <c r="E1754" i="7"/>
  <c r="F1754" i="7" s="1"/>
  <c r="E1759" i="7"/>
  <c r="E1760" i="7"/>
  <c r="F1760" i="7" s="1"/>
  <c r="C1774" i="7"/>
  <c r="D1774" i="7" s="1"/>
  <c r="F1825" i="7"/>
  <c r="E1786" i="7"/>
  <c r="F1786" i="7" s="1"/>
  <c r="E1791" i="7"/>
  <c r="F1791" i="7" s="1"/>
  <c r="E1792" i="7"/>
  <c r="F1792" i="7" s="1"/>
  <c r="C1806" i="7"/>
  <c r="D1806" i="7" s="1"/>
  <c r="F1857" i="7"/>
  <c r="E1818" i="7"/>
  <c r="E1823" i="7"/>
  <c r="F1823" i="7" s="1"/>
  <c r="E1824" i="7"/>
  <c r="F1824" i="7" s="1"/>
  <c r="E1852" i="7"/>
  <c r="F1852" i="7" s="1"/>
  <c r="F1901" i="7"/>
  <c r="C1850" i="7"/>
  <c r="D1850" i="7" s="1"/>
  <c r="E1860" i="7"/>
  <c r="F1860" i="7" s="1"/>
  <c r="C1857" i="7"/>
  <c r="D1857" i="7" s="1"/>
  <c r="C1861" i="7"/>
  <c r="D1861" i="7" s="1"/>
  <c r="E1862" i="7"/>
  <c r="F1862" i="7" s="1"/>
  <c r="C1860" i="7"/>
  <c r="D1860" i="7" s="1"/>
  <c r="E1866" i="7"/>
  <c r="F1866" i="7" s="1"/>
  <c r="E1874" i="7"/>
  <c r="F1874" i="7" s="1"/>
  <c r="C1886" i="7"/>
  <c r="D1886" i="7" s="1"/>
  <c r="C1885" i="7"/>
  <c r="D1885" i="7" s="1"/>
  <c r="E1916" i="7"/>
  <c r="F1916" i="7" s="1"/>
  <c r="C1914" i="7"/>
  <c r="D1914" i="7" s="1"/>
  <c r="E1924" i="7"/>
  <c r="F1924" i="7" s="1"/>
  <c r="C1921" i="7"/>
  <c r="D1921" i="7" s="1"/>
  <c r="C1925" i="7"/>
  <c r="D1925" i="7" s="1"/>
  <c r="E1926" i="7"/>
  <c r="C1924" i="7"/>
  <c r="D1924" i="7" s="1"/>
  <c r="C1938" i="7"/>
  <c r="D1938" i="7" s="1"/>
  <c r="C1950" i="7"/>
  <c r="D1950" i="7" s="1"/>
  <c r="F2001" i="7"/>
  <c r="C1949" i="7"/>
  <c r="D1949" i="7" s="1"/>
  <c r="E1965" i="7"/>
  <c r="F1965" i="7" s="1"/>
  <c r="C1965" i="7"/>
  <c r="D1965" i="7" s="1"/>
  <c r="E1976" i="7"/>
  <c r="F1976" i="7" s="1"/>
  <c r="C2009" i="7"/>
  <c r="D2009" i="7" s="1"/>
  <c r="E2022" i="7"/>
  <c r="F2022" i="7" s="1"/>
  <c r="E2023" i="7"/>
  <c r="C2034" i="7"/>
  <c r="D2041" i="7"/>
  <c r="D2038" i="7"/>
  <c r="E2041" i="7"/>
  <c r="F2044" i="7"/>
  <c r="E2059" i="7"/>
  <c r="F2059" i="7" s="1"/>
  <c r="D2059" i="7"/>
  <c r="F2149" i="7"/>
  <c r="E2100" i="7"/>
  <c r="F2100" i="7" s="1"/>
  <c r="C2098" i="7"/>
  <c r="C2120" i="7"/>
  <c r="F2177" i="7"/>
  <c r="E2128" i="7"/>
  <c r="F2128" i="7" s="1"/>
  <c r="D2128" i="7"/>
  <c r="C2126" i="7"/>
  <c r="C2125" i="7"/>
  <c r="D2132" i="7"/>
  <c r="C2129" i="7"/>
  <c r="F2181" i="7"/>
  <c r="D2129" i="7"/>
  <c r="E2131" i="7"/>
  <c r="F2131" i="7" s="1"/>
  <c r="C2130" i="7"/>
  <c r="E2146" i="7"/>
  <c r="D2146" i="7"/>
  <c r="C2144" i="7"/>
  <c r="C2143" i="7"/>
  <c r="D2158" i="7"/>
  <c r="E2158" i="7"/>
  <c r="F2158" i="7" s="1"/>
  <c r="C2156" i="7"/>
  <c r="E2156" i="7"/>
  <c r="D2155" i="7"/>
  <c r="D2203" i="7"/>
  <c r="D2277" i="7"/>
  <c r="F1418" i="7"/>
  <c r="F1434" i="7"/>
  <c r="F1442" i="7"/>
  <c r="F1450" i="7"/>
  <c r="C1470" i="7"/>
  <c r="D1470" i="7" s="1"/>
  <c r="E1472" i="7"/>
  <c r="E1479" i="7"/>
  <c r="C1486" i="7"/>
  <c r="D1486" i="7" s="1"/>
  <c r="E1488" i="7"/>
  <c r="F1488" i="7" s="1"/>
  <c r="E1495" i="7"/>
  <c r="C1502" i="7"/>
  <c r="D1502" i="7" s="1"/>
  <c r="E1504" i="7"/>
  <c r="F1504" i="7" s="1"/>
  <c r="E1511" i="7"/>
  <c r="C1518" i="7"/>
  <c r="D1518" i="7" s="1"/>
  <c r="E1520" i="7"/>
  <c r="F1520" i="7" s="1"/>
  <c r="E1527" i="7"/>
  <c r="C1534" i="7"/>
  <c r="D1534" i="7" s="1"/>
  <c r="E1536" i="7"/>
  <c r="F1536" i="7" s="1"/>
  <c r="E1543" i="7"/>
  <c r="F1543" i="7" s="1"/>
  <c r="F1596" i="7"/>
  <c r="C1545" i="7"/>
  <c r="D1545" i="7" s="1"/>
  <c r="F1549" i="7"/>
  <c r="F1604" i="7"/>
  <c r="C1553" i="7"/>
  <c r="D1553" i="7" s="1"/>
  <c r="F1612" i="7"/>
  <c r="C1561" i="7"/>
  <c r="D1561" i="7" s="1"/>
  <c r="F1565" i="7"/>
  <c r="E1579" i="7"/>
  <c r="F1579" i="7" s="1"/>
  <c r="E1595" i="7"/>
  <c r="F1595" i="7" s="1"/>
  <c r="E1611" i="7"/>
  <c r="F1611" i="7" s="1"/>
  <c r="E1627" i="7"/>
  <c r="F1627" i="7" s="1"/>
  <c r="F1629" i="7"/>
  <c r="E1643" i="7"/>
  <c r="F1645" i="7"/>
  <c r="E1659" i="7"/>
  <c r="E1675" i="7"/>
  <c r="F1677" i="7"/>
  <c r="E1691" i="7"/>
  <c r="F1693" i="7"/>
  <c r="E1705" i="7"/>
  <c r="F1705" i="7" s="1"/>
  <c r="F1755" i="7"/>
  <c r="F1757" i="7"/>
  <c r="E1708" i="7"/>
  <c r="F1708" i="7" s="1"/>
  <c r="E1707" i="7"/>
  <c r="F1709" i="7"/>
  <c r="E1721" i="7"/>
  <c r="F1771" i="7"/>
  <c r="F1773" i="7"/>
  <c r="E1724" i="7"/>
  <c r="F1724" i="7" s="1"/>
  <c r="E1723" i="7"/>
  <c r="F1725" i="7"/>
  <c r="E1737" i="7"/>
  <c r="F1787" i="7"/>
  <c r="F1789" i="7"/>
  <c r="E1740" i="7"/>
  <c r="F1740" i="7" s="1"/>
  <c r="E1739" i="7"/>
  <c r="F1739" i="7" s="1"/>
  <c r="F1741" i="7"/>
  <c r="E1764" i="7"/>
  <c r="E1772" i="7"/>
  <c r="F1772" i="7" s="1"/>
  <c r="F1821" i="7"/>
  <c r="C1770" i="7"/>
  <c r="D1770" i="7" s="1"/>
  <c r="E1796" i="7"/>
  <c r="F1796" i="7" s="1"/>
  <c r="C1793" i="7"/>
  <c r="D1793" i="7" s="1"/>
  <c r="E1804" i="7"/>
  <c r="F1804" i="7" s="1"/>
  <c r="F1853" i="7"/>
  <c r="C1802" i="7"/>
  <c r="D1802" i="7" s="1"/>
  <c r="E1828" i="7"/>
  <c r="C1825" i="7"/>
  <c r="D1825" i="7" s="1"/>
  <c r="E1836" i="7"/>
  <c r="F1836" i="7" s="1"/>
  <c r="F1885" i="7"/>
  <c r="C1834" i="7"/>
  <c r="D1834" i="7" s="1"/>
  <c r="E1839" i="7"/>
  <c r="F1839" i="7" s="1"/>
  <c r="E1844" i="7"/>
  <c r="F1844" i="7" s="1"/>
  <c r="C1841" i="7"/>
  <c r="D1841" i="7" s="1"/>
  <c r="C1845" i="7"/>
  <c r="D1845" i="7" s="1"/>
  <c r="E1846" i="7"/>
  <c r="F1846" i="7" s="1"/>
  <c r="C1844" i="7"/>
  <c r="D1844" i="7" s="1"/>
  <c r="E1850" i="7"/>
  <c r="F1850" i="7" s="1"/>
  <c r="E1849" i="7"/>
  <c r="F1849" i="7" s="1"/>
  <c r="E1858" i="7"/>
  <c r="F1858" i="7" s="1"/>
  <c r="C1858" i="7"/>
  <c r="D1858" i="7" s="1"/>
  <c r="C1870" i="7"/>
  <c r="D1870" i="7" s="1"/>
  <c r="F1921" i="7"/>
  <c r="C1869" i="7"/>
  <c r="D1869" i="7" s="1"/>
  <c r="E1900" i="7"/>
  <c r="F1900" i="7" s="1"/>
  <c r="F1949" i="7"/>
  <c r="C1898" i="7"/>
  <c r="D1898" i="7" s="1"/>
  <c r="E1903" i="7"/>
  <c r="F1903" i="7" s="1"/>
  <c r="E1908" i="7"/>
  <c r="F1908" i="7" s="1"/>
  <c r="C1905" i="7"/>
  <c r="D1905" i="7" s="1"/>
  <c r="C1909" i="7"/>
  <c r="D1909" i="7" s="1"/>
  <c r="E1910" i="7"/>
  <c r="F1910" i="7" s="1"/>
  <c r="C1908" i="7"/>
  <c r="D1908" i="7" s="1"/>
  <c r="E1913" i="7"/>
  <c r="F1913" i="7" s="1"/>
  <c r="C1922" i="7"/>
  <c r="D1922" i="7" s="1"/>
  <c r="C1934" i="7"/>
  <c r="D1934" i="7" s="1"/>
  <c r="F1985" i="7"/>
  <c r="C1933" i="7"/>
  <c r="D1933" i="7" s="1"/>
  <c r="C1947" i="7"/>
  <c r="D1947" i="7" s="1"/>
  <c r="E1955" i="7"/>
  <c r="F1955" i="7" s="1"/>
  <c r="E1986" i="7"/>
  <c r="F1986" i="7" s="1"/>
  <c r="C1993" i="7"/>
  <c r="D1993" i="7" s="1"/>
  <c r="E1997" i="7"/>
  <c r="F1997" i="7" s="1"/>
  <c r="C1997" i="7"/>
  <c r="D1997" i="7" s="1"/>
  <c r="E1999" i="7"/>
  <c r="F1999" i="7" s="1"/>
  <c r="E1998" i="7"/>
  <c r="F1998" i="7" s="1"/>
  <c r="C1996" i="7"/>
  <c r="D1996" i="7" s="1"/>
  <c r="F2006" i="7"/>
  <c r="E2028" i="7"/>
  <c r="F2028" i="7" s="1"/>
  <c r="C2026" i="7"/>
  <c r="D2028" i="7"/>
  <c r="D2031" i="7"/>
  <c r="E2029" i="7"/>
  <c r="F2029" i="7" s="1"/>
  <c r="E2030" i="7"/>
  <c r="F2030" i="7" s="1"/>
  <c r="C2028" i="7"/>
  <c r="F2084" i="7"/>
  <c r="C2033" i="7"/>
  <c r="D2035" i="7"/>
  <c r="E2042" i="7"/>
  <c r="F2042" i="7" s="1"/>
  <c r="F2056" i="7"/>
  <c r="C2083" i="7"/>
  <c r="D2085" i="7"/>
  <c r="E2082" i="7"/>
  <c r="F2082" i="7" s="1"/>
  <c r="F2134" i="7"/>
  <c r="E2084" i="7"/>
  <c r="D2082" i="7"/>
  <c r="C2082" i="7"/>
  <c r="C2093" i="7"/>
  <c r="E2095" i="7"/>
  <c r="E2098" i="7"/>
  <c r="F2098" i="7" s="1"/>
  <c r="C2099" i="7"/>
  <c r="E2101" i="7"/>
  <c r="F2101" i="7" s="1"/>
  <c r="D2101" i="7"/>
  <c r="D2098" i="7"/>
  <c r="E2105" i="7"/>
  <c r="F2154" i="7"/>
  <c r="D2105" i="7"/>
  <c r="C2103" i="7"/>
  <c r="E2125" i="7"/>
  <c r="F2125" i="7" s="1"/>
  <c r="D2142" i="7"/>
  <c r="E2142" i="7"/>
  <c r="C2140" i="7"/>
  <c r="E2141" i="7"/>
  <c r="F2141" i="7" s="1"/>
  <c r="E2140" i="7"/>
  <c r="F2140" i="7" s="1"/>
  <c r="E2160" i="7"/>
  <c r="F2160" i="7" s="1"/>
  <c r="D2160" i="7"/>
  <c r="C2158" i="7"/>
  <c r="C2157" i="7"/>
  <c r="D2164" i="7"/>
  <c r="C2161" i="7"/>
  <c r="F2213" i="7"/>
  <c r="D2161" i="7"/>
  <c r="E2163" i="7"/>
  <c r="F2163" i="7" s="1"/>
  <c r="C2162" i="7"/>
  <c r="F2227" i="7"/>
  <c r="E2178" i="7"/>
  <c r="D2178" i="7"/>
  <c r="C2176" i="7"/>
  <c r="C2175" i="7"/>
  <c r="F2257" i="7"/>
  <c r="E2208" i="7"/>
  <c r="F2208" i="7" s="1"/>
  <c r="D2208" i="7"/>
  <c r="C2206" i="7"/>
  <c r="C2205" i="7"/>
  <c r="D2205" i="7"/>
  <c r="E2224" i="7"/>
  <c r="F2224" i="7" s="1"/>
  <c r="D2224" i="7"/>
  <c r="C2222" i="7"/>
  <c r="C2221" i="7"/>
  <c r="F2273" i="7"/>
  <c r="E2221" i="7"/>
  <c r="D2252" i="7"/>
  <c r="C2249" i="7"/>
  <c r="C2250" i="7"/>
  <c r="E2252" i="7"/>
  <c r="F2252" i="7" s="1"/>
  <c r="E2251" i="7"/>
  <c r="F2251" i="7" s="1"/>
  <c r="D2249" i="7"/>
  <c r="D2282" i="7"/>
  <c r="C2279" i="7"/>
  <c r="E2282" i="7"/>
  <c r="F2282" i="7" s="1"/>
  <c r="C2280" i="7"/>
  <c r="F2331" i="7"/>
  <c r="D2279" i="7"/>
  <c r="E2376" i="7"/>
  <c r="C2374" i="7"/>
  <c r="D2376" i="7"/>
  <c r="E2374" i="7"/>
  <c r="F2374" i="7" s="1"/>
  <c r="F1463" i="7"/>
  <c r="F1471" i="7"/>
  <c r="F1479" i="7"/>
  <c r="F1487" i="7"/>
  <c r="F1495" i="7"/>
  <c r="F1503" i="7"/>
  <c r="F1511" i="7"/>
  <c r="F1546" i="7"/>
  <c r="F1562" i="7"/>
  <c r="F1578" i="7"/>
  <c r="F1580" i="7"/>
  <c r="C1540" i="7"/>
  <c r="D1540" i="7" s="1"/>
  <c r="F1594" i="7"/>
  <c r="E1551" i="7"/>
  <c r="E1559" i="7"/>
  <c r="F1610" i="7"/>
  <c r="E1567" i="7"/>
  <c r="F1567" i="7" s="1"/>
  <c r="F1618" i="7"/>
  <c r="C1573" i="7"/>
  <c r="D1573" i="7" s="1"/>
  <c r="C1575" i="7"/>
  <c r="D1575" i="7" s="1"/>
  <c r="F1634" i="7"/>
  <c r="C1589" i="7"/>
  <c r="D1589" i="7" s="1"/>
  <c r="C1591" i="7"/>
  <c r="D1591" i="7" s="1"/>
  <c r="F1650" i="7"/>
  <c r="C1605" i="7"/>
  <c r="D1605" i="7" s="1"/>
  <c r="C1607" i="7"/>
  <c r="D1607" i="7" s="1"/>
  <c r="F1666" i="7"/>
  <c r="C1621" i="7"/>
  <c r="D1621" i="7" s="1"/>
  <c r="C1623" i="7"/>
  <c r="D1623" i="7" s="1"/>
  <c r="F1625" i="7"/>
  <c r="F1682" i="7"/>
  <c r="C1637" i="7"/>
  <c r="D1637" i="7" s="1"/>
  <c r="C1639" i="7"/>
  <c r="D1639" i="7" s="1"/>
  <c r="F1641" i="7"/>
  <c r="F1643" i="7"/>
  <c r="F1698" i="7"/>
  <c r="C1653" i="7"/>
  <c r="D1653" i="7" s="1"/>
  <c r="C1655" i="7"/>
  <c r="D1655" i="7" s="1"/>
  <c r="F1657" i="7"/>
  <c r="F1659" i="7"/>
  <c r="F1714" i="7"/>
  <c r="C1669" i="7"/>
  <c r="D1669" i="7" s="1"/>
  <c r="C1671" i="7"/>
  <c r="D1671" i="7" s="1"/>
  <c r="F1673" i="7"/>
  <c r="F1675" i="7"/>
  <c r="F1730" i="7"/>
  <c r="C1685" i="7"/>
  <c r="D1685" i="7" s="1"/>
  <c r="C1687" i="7"/>
  <c r="D1687" i="7" s="1"/>
  <c r="F1689" i="7"/>
  <c r="F1691" i="7"/>
  <c r="C1701" i="7"/>
  <c r="D1701" i="7" s="1"/>
  <c r="C1703" i="7"/>
  <c r="D1703" i="7" s="1"/>
  <c r="F1707" i="7"/>
  <c r="C1717" i="7"/>
  <c r="D1717" i="7" s="1"/>
  <c r="F1721" i="7"/>
  <c r="F1723" i="7"/>
  <c r="C1733" i="7"/>
  <c r="D1733" i="7" s="1"/>
  <c r="F1737" i="7"/>
  <c r="E1745" i="7"/>
  <c r="C1763" i="7"/>
  <c r="D1763" i="7" s="1"/>
  <c r="C1765" i="7"/>
  <c r="D1765" i="7" s="1"/>
  <c r="E1766" i="7"/>
  <c r="F1766" i="7" s="1"/>
  <c r="C1769" i="7"/>
  <c r="D1769" i="7" s="1"/>
  <c r="E1771" i="7"/>
  <c r="E1777" i="7"/>
  <c r="C1795" i="7"/>
  <c r="D1795" i="7" s="1"/>
  <c r="C1797" i="7"/>
  <c r="D1797" i="7" s="1"/>
  <c r="E1798" i="7"/>
  <c r="F1798" i="7" s="1"/>
  <c r="C1801" i="7"/>
  <c r="D1801" i="7" s="1"/>
  <c r="E1803" i="7"/>
  <c r="E1809" i="7"/>
  <c r="F1818" i="7"/>
  <c r="F1878" i="7"/>
  <c r="C1827" i="7"/>
  <c r="D1827" i="7" s="1"/>
  <c r="C1829" i="7"/>
  <c r="D1829" i="7" s="1"/>
  <c r="E1830" i="7"/>
  <c r="F1830" i="7" s="1"/>
  <c r="F1838" i="7"/>
  <c r="C1843" i="7"/>
  <c r="D1843" i="7" s="1"/>
  <c r="E1863" i="7"/>
  <c r="F1863" i="7" s="1"/>
  <c r="F1877" i="7"/>
  <c r="E1888" i="7"/>
  <c r="F1888" i="7" s="1"/>
  <c r="F1902" i="7"/>
  <c r="E1927" i="7"/>
  <c r="F1927" i="7" s="1"/>
  <c r="E1947" i="7"/>
  <c r="F1947" i="7" s="1"/>
  <c r="E1952" i="7"/>
  <c r="F1952" i="7" s="1"/>
  <c r="C1966" i="7"/>
  <c r="D1966" i="7" s="1"/>
  <c r="E1968" i="7"/>
  <c r="F1968" i="7" s="1"/>
  <c r="E1984" i="7"/>
  <c r="F1984" i="7" s="1"/>
  <c r="E1993" i="7"/>
  <c r="F1993" i="7" s="1"/>
  <c r="C2008" i="7"/>
  <c r="D2008" i="7" s="1"/>
  <c r="E2010" i="7"/>
  <c r="F2010" i="7" s="1"/>
  <c r="F2063" i="7"/>
  <c r="C2015" i="7"/>
  <c r="D2015" i="7" s="1"/>
  <c r="F2066" i="7"/>
  <c r="E2017" i="7"/>
  <c r="F2017" i="7" s="1"/>
  <c r="E2016" i="7"/>
  <c r="F2016" i="7" s="1"/>
  <c r="E2021" i="7"/>
  <c r="F2021" i="7" s="1"/>
  <c r="C2019" i="7"/>
  <c r="D2019" i="7" s="1"/>
  <c r="C2021" i="7"/>
  <c r="D2021" i="7" s="1"/>
  <c r="C2025" i="7"/>
  <c r="C2030" i="7"/>
  <c r="F2081" i="7"/>
  <c r="D2032" i="7"/>
  <c r="C2032" i="7"/>
  <c r="E2035" i="7"/>
  <c r="C2039" i="7"/>
  <c r="D2049" i="7"/>
  <c r="C2047" i="7"/>
  <c r="D2046" i="7"/>
  <c r="F2102" i="7"/>
  <c r="D2053" i="7"/>
  <c r="C2051" i="7"/>
  <c r="C2050" i="7"/>
  <c r="F2115" i="7"/>
  <c r="E2066" i="7"/>
  <c r="D2066" i="7"/>
  <c r="E2070" i="7"/>
  <c r="F2070" i="7" s="1"/>
  <c r="E2089" i="7"/>
  <c r="F2089" i="7" s="1"/>
  <c r="F2138" i="7"/>
  <c r="C2087" i="7"/>
  <c r="D2089" i="7"/>
  <c r="C2086" i="7"/>
  <c r="D2092" i="7"/>
  <c r="C2102" i="7"/>
  <c r="C2115" i="7"/>
  <c r="D2117" i="7"/>
  <c r="F2166" i="7"/>
  <c r="E2117" i="7"/>
  <c r="D2139" i="7"/>
  <c r="D2157" i="7"/>
  <c r="C2163" i="7"/>
  <c r="D2165" i="7"/>
  <c r="E2165" i="7"/>
  <c r="D2175" i="7"/>
  <c r="D2190" i="7"/>
  <c r="E2190" i="7"/>
  <c r="F2190" i="7" s="1"/>
  <c r="C2188" i="7"/>
  <c r="E2188" i="7"/>
  <c r="F2188" i="7" s="1"/>
  <c r="D2187" i="7"/>
  <c r="E2196" i="7"/>
  <c r="D2221" i="7"/>
  <c r="F2289" i="7"/>
  <c r="E2240" i="7"/>
  <c r="F2240" i="7" s="1"/>
  <c r="D2240" i="7"/>
  <c r="C2238" i="7"/>
  <c r="C2237" i="7"/>
  <c r="D2244" i="7"/>
  <c r="C2241" i="7"/>
  <c r="F2293" i="7"/>
  <c r="D2241" i="7"/>
  <c r="E2243" i="7"/>
  <c r="F2243" i="7" s="1"/>
  <c r="C2242" i="7"/>
  <c r="C2275" i="7"/>
  <c r="E2277" i="7"/>
  <c r="C2274" i="7"/>
  <c r="E2274" i="7"/>
  <c r="D2332" i="7"/>
  <c r="C2329" i="7"/>
  <c r="E2332" i="7"/>
  <c r="F2332" i="7" s="1"/>
  <c r="C2330" i="7"/>
  <c r="D2329" i="7"/>
  <c r="C2373" i="7"/>
  <c r="D2382" i="7"/>
  <c r="D2379" i="7"/>
  <c r="C2380" i="7"/>
  <c r="D2407" i="7"/>
  <c r="E2407" i="7"/>
  <c r="F2407" i="7" s="1"/>
  <c r="C2405" i="7"/>
  <c r="D2404" i="7"/>
  <c r="E1425" i="7"/>
  <c r="F1425" i="7" s="1"/>
  <c r="E1441" i="7"/>
  <c r="F1441" i="7" s="1"/>
  <c r="E1457" i="7"/>
  <c r="F1457" i="7" s="1"/>
  <c r="E1476" i="7"/>
  <c r="F1476" i="7" s="1"/>
  <c r="E1492" i="7"/>
  <c r="F1492" i="7" s="1"/>
  <c r="E1508" i="7"/>
  <c r="F1508" i="7" s="1"/>
  <c r="E1524" i="7"/>
  <c r="F1524" i="7" s="1"/>
  <c r="E1531" i="7"/>
  <c r="E1540" i="7"/>
  <c r="F1540" i="7" s="1"/>
  <c r="C1548" i="7"/>
  <c r="D1548" i="7" s="1"/>
  <c r="C1556" i="7"/>
  <c r="D1556" i="7" s="1"/>
  <c r="C1564" i="7"/>
  <c r="D1564" i="7" s="1"/>
  <c r="E1566" i="7"/>
  <c r="F1566" i="7" s="1"/>
  <c r="F1623" i="7"/>
  <c r="E1583" i="7"/>
  <c r="F1583" i="7" s="1"/>
  <c r="E1582" i="7"/>
  <c r="F1582" i="7" s="1"/>
  <c r="E1599" i="7"/>
  <c r="F1599" i="7" s="1"/>
  <c r="E1598" i="7"/>
  <c r="F1598" i="7" s="1"/>
  <c r="F1655" i="7"/>
  <c r="E1615" i="7"/>
  <c r="F1615" i="7" s="1"/>
  <c r="E1614" i="7"/>
  <c r="F1614" i="7" s="1"/>
  <c r="F1671" i="7"/>
  <c r="E1631" i="7"/>
  <c r="F1631" i="7" s="1"/>
  <c r="E1630" i="7"/>
  <c r="F1630" i="7" s="1"/>
  <c r="F1687" i="7"/>
  <c r="E1647" i="7"/>
  <c r="F1647" i="7" s="1"/>
  <c r="E1646" i="7"/>
  <c r="F1646" i="7" s="1"/>
  <c r="F1703" i="7"/>
  <c r="E1663" i="7"/>
  <c r="F1663" i="7" s="1"/>
  <c r="E1662" i="7"/>
  <c r="F1662" i="7" s="1"/>
  <c r="E1679" i="7"/>
  <c r="E1678" i="7"/>
  <c r="F1678" i="7" s="1"/>
  <c r="F1735" i="7"/>
  <c r="E1695" i="7"/>
  <c r="F1695" i="7" s="1"/>
  <c r="E1694" i="7"/>
  <c r="F1694" i="7" s="1"/>
  <c r="E1711" i="7"/>
  <c r="F1711" i="7" s="1"/>
  <c r="E1710" i="7"/>
  <c r="F1710" i="7" s="1"/>
  <c r="E1727" i="7"/>
  <c r="F1727" i="7" s="1"/>
  <c r="E1726" i="7"/>
  <c r="F1726" i="7" s="1"/>
  <c r="E1743" i="7"/>
  <c r="E1742" i="7"/>
  <c r="F1742" i="7" s="1"/>
  <c r="C1758" i="7"/>
  <c r="D1758" i="7" s="1"/>
  <c r="F1809" i="7"/>
  <c r="C1762" i="7"/>
  <c r="D1762" i="7" s="1"/>
  <c r="C1764" i="7"/>
  <c r="D1764" i="7" s="1"/>
  <c r="E1770" i="7"/>
  <c r="F1770" i="7" s="1"/>
  <c r="E1775" i="7"/>
  <c r="E1776" i="7"/>
  <c r="F1776" i="7" s="1"/>
  <c r="C1790" i="7"/>
  <c r="D1790" i="7" s="1"/>
  <c r="F1841" i="7"/>
  <c r="C1794" i="7"/>
  <c r="D1794" i="7" s="1"/>
  <c r="C1796" i="7"/>
  <c r="D1796" i="7" s="1"/>
  <c r="E1802" i="7"/>
  <c r="F1802" i="7" s="1"/>
  <c r="E1801" i="7"/>
  <c r="F1801" i="7" s="1"/>
  <c r="E1807" i="7"/>
  <c r="F1807" i="7" s="1"/>
  <c r="E1808" i="7"/>
  <c r="F1808" i="7" s="1"/>
  <c r="F1871" i="7"/>
  <c r="C1822" i="7"/>
  <c r="D1822" i="7" s="1"/>
  <c r="F1873" i="7"/>
  <c r="C1826" i="7"/>
  <c r="D1826" i="7" s="1"/>
  <c r="C1828" i="7"/>
  <c r="D1828" i="7" s="1"/>
  <c r="E1834" i="7"/>
  <c r="E1833" i="7"/>
  <c r="F1833" i="7" s="1"/>
  <c r="E1842" i="7"/>
  <c r="F1842" i="7" s="1"/>
  <c r="C1842" i="7"/>
  <c r="D1842" i="7" s="1"/>
  <c r="C1854" i="7"/>
  <c r="D1854" i="7" s="1"/>
  <c r="F1905" i="7"/>
  <c r="C1853" i="7"/>
  <c r="D1853" i="7" s="1"/>
  <c r="E1873" i="7"/>
  <c r="E1884" i="7"/>
  <c r="F1884" i="7" s="1"/>
  <c r="F1933" i="7"/>
  <c r="C1882" i="7"/>
  <c r="D1882" i="7" s="1"/>
  <c r="E1887" i="7"/>
  <c r="F1887" i="7" s="1"/>
  <c r="E1886" i="7"/>
  <c r="F1886" i="7" s="1"/>
  <c r="E1892" i="7"/>
  <c r="F1892" i="7" s="1"/>
  <c r="C1889" i="7"/>
  <c r="D1889" i="7" s="1"/>
  <c r="C1893" i="7"/>
  <c r="D1893" i="7" s="1"/>
  <c r="E1894" i="7"/>
  <c r="F1894" i="7" s="1"/>
  <c r="C1892" i="7"/>
  <c r="D1892" i="7" s="1"/>
  <c r="E1898" i="7"/>
  <c r="F1898" i="7" s="1"/>
  <c r="E1897" i="7"/>
  <c r="F1897" i="7" s="1"/>
  <c r="E1906" i="7"/>
  <c r="F1906" i="7" s="1"/>
  <c r="C1906" i="7"/>
  <c r="D1906" i="7" s="1"/>
  <c r="C1918" i="7"/>
  <c r="D1918" i="7" s="1"/>
  <c r="C1917" i="7"/>
  <c r="D1917" i="7" s="1"/>
  <c r="E1937" i="7"/>
  <c r="F1937" i="7" s="1"/>
  <c r="E1939" i="7"/>
  <c r="F1939" i="7" s="1"/>
  <c r="F1994" i="7"/>
  <c r="E1948" i="7"/>
  <c r="F1948" i="7" s="1"/>
  <c r="C1946" i="7"/>
  <c r="D1946" i="7" s="1"/>
  <c r="E1951" i="7"/>
  <c r="F1951" i="7" s="1"/>
  <c r="E1950" i="7"/>
  <c r="F1950" i="7" s="1"/>
  <c r="E1956" i="7"/>
  <c r="F1956" i="7" s="1"/>
  <c r="F2005" i="7"/>
  <c r="C1953" i="7"/>
  <c r="D1953" i="7" s="1"/>
  <c r="F2008" i="7"/>
  <c r="C1957" i="7"/>
  <c r="D1957" i="7" s="1"/>
  <c r="E1958" i="7"/>
  <c r="F1958" i="7" s="1"/>
  <c r="C1956" i="7"/>
  <c r="D1956" i="7" s="1"/>
  <c r="E1959" i="7"/>
  <c r="C2007" i="7"/>
  <c r="D2007" i="7" s="1"/>
  <c r="E2014" i="7"/>
  <c r="F2014" i="7" s="1"/>
  <c r="C2018" i="7"/>
  <c r="D2018" i="7" s="1"/>
  <c r="D2025" i="7"/>
  <c r="E2025" i="7"/>
  <c r="F2025" i="7" s="1"/>
  <c r="C2023" i="7"/>
  <c r="D2023" i="7" s="1"/>
  <c r="C2029" i="7"/>
  <c r="E2032" i="7"/>
  <c r="F2035" i="7"/>
  <c r="F2095" i="7"/>
  <c r="E2050" i="7"/>
  <c r="F2050" i="7" s="1"/>
  <c r="C2048" i="7"/>
  <c r="D2050" i="7"/>
  <c r="E2053" i="7"/>
  <c r="F2053" i="7" s="1"/>
  <c r="C2057" i="7"/>
  <c r="E2063" i="7"/>
  <c r="E2079" i="7"/>
  <c r="E2083" i="7"/>
  <c r="F2083" i="7" s="1"/>
  <c r="E2086" i="7"/>
  <c r="F2086" i="7" s="1"/>
  <c r="E2092" i="7"/>
  <c r="F2092" i="7" s="1"/>
  <c r="D2095" i="7"/>
  <c r="E2099" i="7"/>
  <c r="F2099" i="7" s="1"/>
  <c r="D2110" i="7"/>
  <c r="C2108" i="7"/>
  <c r="E2110" i="7"/>
  <c r="D2122" i="7"/>
  <c r="E2157" i="7"/>
  <c r="D2174" i="7"/>
  <c r="E2174" i="7"/>
  <c r="F2174" i="7" s="1"/>
  <c r="C2172" i="7"/>
  <c r="E2173" i="7"/>
  <c r="F2173" i="7" s="1"/>
  <c r="E2172" i="7"/>
  <c r="F2214" i="7"/>
  <c r="D2237" i="7"/>
  <c r="C2243" i="7"/>
  <c r="E2245" i="7"/>
  <c r="D2245" i="7"/>
  <c r="F2294" i="7"/>
  <c r="D2270" i="7"/>
  <c r="F2319" i="7"/>
  <c r="E2270" i="7"/>
  <c r="C2268" i="7"/>
  <c r="D2267" i="7"/>
  <c r="D2316" i="7"/>
  <c r="C2313" i="7"/>
  <c r="E2316" i="7"/>
  <c r="F2316" i="7" s="1"/>
  <c r="C2314" i="7"/>
  <c r="D2313" i="7"/>
  <c r="E2315" i="7"/>
  <c r="D2398" i="7"/>
  <c r="C2396" i="7"/>
  <c r="E2398" i="7"/>
  <c r="F2398" i="7" s="1"/>
  <c r="D2395" i="7"/>
  <c r="D2296" i="7"/>
  <c r="F2356" i="7"/>
  <c r="F2345" i="7"/>
  <c r="E2359" i="7"/>
  <c r="C2371" i="7"/>
  <c r="E2373" i="7"/>
  <c r="D2373" i="7"/>
  <c r="E2370" i="7"/>
  <c r="E2372" i="7"/>
  <c r="F2372" i="7" s="1"/>
  <c r="C2391" i="7"/>
  <c r="E2394" i="7"/>
  <c r="F2394" i="7" s="1"/>
  <c r="C2392" i="7"/>
  <c r="D2394" i="7"/>
  <c r="D2391" i="7"/>
  <c r="E1922" i="7"/>
  <c r="F1922" i="7" s="1"/>
  <c r="E1938" i="7"/>
  <c r="F1938" i="7" s="1"/>
  <c r="E1954" i="7"/>
  <c r="F1954" i="7" s="1"/>
  <c r="E1969" i="7"/>
  <c r="F1969" i="7" s="1"/>
  <c r="C2022" i="7"/>
  <c r="D2022" i="7" s="1"/>
  <c r="D2024" i="7"/>
  <c r="D2033" i="7"/>
  <c r="C2031" i="7"/>
  <c r="F2104" i="7"/>
  <c r="E2054" i="7"/>
  <c r="F2054" i="7" s="1"/>
  <c r="E2060" i="7"/>
  <c r="F2060" i="7" s="1"/>
  <c r="C2058" i="7"/>
  <c r="F2116" i="7"/>
  <c r="C2067" i="7"/>
  <c r="E2069" i="7"/>
  <c r="F2069" i="7" s="1"/>
  <c r="E2067" i="7"/>
  <c r="F2067" i="7" s="1"/>
  <c r="D2069" i="7"/>
  <c r="F2157" i="7"/>
  <c r="E2108" i="7"/>
  <c r="F2108" i="7" s="1"/>
  <c r="E2106" i="7"/>
  <c r="F2106" i="7" s="1"/>
  <c r="E2107" i="7"/>
  <c r="D2116" i="7"/>
  <c r="C2113" i="7"/>
  <c r="F2165" i="7"/>
  <c r="D2113" i="7"/>
  <c r="F2172" i="7"/>
  <c r="D2126" i="7"/>
  <c r="E2126" i="7"/>
  <c r="F2126" i="7" s="1"/>
  <c r="C2124" i="7"/>
  <c r="F2136" i="7"/>
  <c r="F2196" i="7"/>
  <c r="F2228" i="7"/>
  <c r="F2260" i="7"/>
  <c r="F2267" i="7"/>
  <c r="C2227" i="7"/>
  <c r="D2229" i="7"/>
  <c r="D2266" i="7"/>
  <c r="C2263" i="7"/>
  <c r="E2266" i="7"/>
  <c r="C2264" i="7"/>
  <c r="D2263" i="7"/>
  <c r="C2283" i="7"/>
  <c r="E2285" i="7"/>
  <c r="F2285" i="7" s="1"/>
  <c r="F2334" i="7"/>
  <c r="D2285" i="7"/>
  <c r="C2293" i="7"/>
  <c r="E2296" i="7"/>
  <c r="F2296" i="7" s="1"/>
  <c r="D2318" i="7"/>
  <c r="C2316" i="7"/>
  <c r="D2342" i="7"/>
  <c r="E2342" i="7"/>
  <c r="F2342" i="7" s="1"/>
  <c r="F2367" i="7"/>
  <c r="C2370" i="7"/>
  <c r="C2379" i="7"/>
  <c r="E2381" i="7"/>
  <c r="F2381" i="7" s="1"/>
  <c r="F2391" i="7"/>
  <c r="C1569" i="7"/>
  <c r="D1569" i="7" s="1"/>
  <c r="C1577" i="7"/>
  <c r="D1577" i="7" s="1"/>
  <c r="C1585" i="7"/>
  <c r="D1585" i="7" s="1"/>
  <c r="C1593" i="7"/>
  <c r="D1593" i="7" s="1"/>
  <c r="C1601" i="7"/>
  <c r="D1601" i="7" s="1"/>
  <c r="C1609" i="7"/>
  <c r="D1609" i="7" s="1"/>
  <c r="C1617" i="7"/>
  <c r="D1617" i="7" s="1"/>
  <c r="C1625" i="7"/>
  <c r="D1625" i="7" s="1"/>
  <c r="C1633" i="7"/>
  <c r="D1633" i="7" s="1"/>
  <c r="C1641" i="7"/>
  <c r="D1641" i="7" s="1"/>
  <c r="C1649" i="7"/>
  <c r="D1649" i="7" s="1"/>
  <c r="C1657" i="7"/>
  <c r="D1657" i="7" s="1"/>
  <c r="C1665" i="7"/>
  <c r="D1665" i="7" s="1"/>
  <c r="C1673" i="7"/>
  <c r="D1673" i="7" s="1"/>
  <c r="C1681" i="7"/>
  <c r="D1681" i="7" s="1"/>
  <c r="C1689" i="7"/>
  <c r="D1689" i="7" s="1"/>
  <c r="C1697" i="7"/>
  <c r="D1697" i="7" s="1"/>
  <c r="C1713" i="7"/>
  <c r="D1713" i="7" s="1"/>
  <c r="C1729" i="7"/>
  <c r="D1729" i="7" s="1"/>
  <c r="C1745" i="7"/>
  <c r="D1745" i="7" s="1"/>
  <c r="F1799" i="7"/>
  <c r="C1761" i="7"/>
  <c r="D1761" i="7" s="1"/>
  <c r="F1815" i="7"/>
  <c r="C1777" i="7"/>
  <c r="D1777" i="7" s="1"/>
  <c r="F1831" i="7"/>
  <c r="F1847" i="7"/>
  <c r="F1803" i="7"/>
  <c r="F1819" i="7"/>
  <c r="F1879" i="7"/>
  <c r="F1835" i="7"/>
  <c r="F1895" i="7"/>
  <c r="F1851" i="7"/>
  <c r="F1911" i="7"/>
  <c r="F1867" i="7"/>
  <c r="F1883" i="7"/>
  <c r="F1943" i="7"/>
  <c r="F1959" i="7"/>
  <c r="F1975" i="7"/>
  <c r="F1991" i="7"/>
  <c r="F2007" i="7"/>
  <c r="C1958" i="7"/>
  <c r="D1958" i="7" s="1"/>
  <c r="C1960" i="7"/>
  <c r="D1960" i="7" s="1"/>
  <c r="E1964" i="7"/>
  <c r="F1964" i="7" s="1"/>
  <c r="C1962" i="7"/>
  <c r="D1962" i="7" s="1"/>
  <c r="C1969" i="7"/>
  <c r="D1969" i="7" s="1"/>
  <c r="C1982" i="7"/>
  <c r="D1982" i="7" s="1"/>
  <c r="E2011" i="7"/>
  <c r="F2011" i="7" s="1"/>
  <c r="D2029" i="7"/>
  <c r="F2096" i="7"/>
  <c r="D2047" i="7"/>
  <c r="E2045" i="7"/>
  <c r="F2045" i="7" s="1"/>
  <c r="C2054" i="7"/>
  <c r="D2056" i="7"/>
  <c r="E2065" i="7"/>
  <c r="F2065" i="7" s="1"/>
  <c r="F2114" i="7"/>
  <c r="D2065" i="7"/>
  <c r="C2063" i="7"/>
  <c r="E2068" i="7"/>
  <c r="F2068" i="7" s="1"/>
  <c r="F2132" i="7"/>
  <c r="D2084" i="7"/>
  <c r="E2114" i="7"/>
  <c r="C2114" i="7"/>
  <c r="F2169" i="7"/>
  <c r="D2120" i="7"/>
  <c r="C2118" i="7"/>
  <c r="E2120" i="7"/>
  <c r="F2120" i="7" s="1"/>
  <c r="E2123" i="7"/>
  <c r="F2123" i="7" s="1"/>
  <c r="F2179" i="7"/>
  <c r="E2130" i="7"/>
  <c r="D2130" i="7"/>
  <c r="C2128" i="7"/>
  <c r="C2127" i="7"/>
  <c r="D2148" i="7"/>
  <c r="C2145" i="7"/>
  <c r="F2197" i="7"/>
  <c r="D2145" i="7"/>
  <c r="E2148" i="7"/>
  <c r="F2148" i="7" s="1"/>
  <c r="F2211" i="7"/>
  <c r="E2162" i="7"/>
  <c r="D2162" i="7"/>
  <c r="C2160" i="7"/>
  <c r="C2159" i="7"/>
  <c r="D2180" i="7"/>
  <c r="C2177" i="7"/>
  <c r="F2229" i="7"/>
  <c r="D2177" i="7"/>
  <c r="E2180" i="7"/>
  <c r="E2194" i="7"/>
  <c r="D2194" i="7"/>
  <c r="C2192" i="7"/>
  <c r="C2191" i="7"/>
  <c r="D2212" i="7"/>
  <c r="C2209" i="7"/>
  <c r="D2209" i="7"/>
  <c r="E2212" i="7"/>
  <c r="D2222" i="7"/>
  <c r="E2222" i="7"/>
  <c r="F2222" i="7" s="1"/>
  <c r="C2220" i="7"/>
  <c r="F2271" i="7"/>
  <c r="E2242" i="7"/>
  <c r="D2242" i="7"/>
  <c r="C2240" i="7"/>
  <c r="C2239" i="7"/>
  <c r="C2291" i="7"/>
  <c r="E2293" i="7"/>
  <c r="E2292" i="7"/>
  <c r="D2293" i="7"/>
  <c r="E2290" i="7"/>
  <c r="F2290" i="7" s="1"/>
  <c r="C2299" i="7"/>
  <c r="E2301" i="7"/>
  <c r="F2301" i="7" s="1"/>
  <c r="F2350" i="7"/>
  <c r="F2315" i="7"/>
  <c r="E2318" i="7"/>
  <c r="F2409" i="7"/>
  <c r="D2360" i="7"/>
  <c r="C2357" i="7"/>
  <c r="D2364" i="7"/>
  <c r="C2361" i="7"/>
  <c r="E2364" i="7"/>
  <c r="F2364" i="7" s="1"/>
  <c r="C2362" i="7"/>
  <c r="E2363" i="7"/>
  <c r="F2363" i="7" s="1"/>
  <c r="D2361" i="7"/>
  <c r="F1751" i="7"/>
  <c r="F1759" i="7"/>
  <c r="F1767" i="7"/>
  <c r="F1775" i="7"/>
  <c r="F1783" i="7"/>
  <c r="C1750" i="7"/>
  <c r="D1750" i="7" s="1"/>
  <c r="E1752" i="7"/>
  <c r="F1752" i="7" s="1"/>
  <c r="C1766" i="7"/>
  <c r="D1766" i="7" s="1"/>
  <c r="E1768" i="7"/>
  <c r="F1768" i="7" s="1"/>
  <c r="C1782" i="7"/>
  <c r="D1782" i="7" s="1"/>
  <c r="E1784" i="7"/>
  <c r="F1784" i="7" s="1"/>
  <c r="C1798" i="7"/>
  <c r="D1798" i="7" s="1"/>
  <c r="E1800" i="7"/>
  <c r="C1814" i="7"/>
  <c r="D1814" i="7" s="1"/>
  <c r="E1816" i="7"/>
  <c r="F1816" i="7" s="1"/>
  <c r="C1830" i="7"/>
  <c r="D1830" i="7" s="1"/>
  <c r="E1832" i="7"/>
  <c r="F1832" i="7" s="1"/>
  <c r="C1846" i="7"/>
  <c r="D1846" i="7" s="1"/>
  <c r="E1848" i="7"/>
  <c r="F1848" i="7" s="1"/>
  <c r="C1862" i="7"/>
  <c r="D1862" i="7" s="1"/>
  <c r="E1864" i="7"/>
  <c r="F1864" i="7" s="1"/>
  <c r="C1878" i="7"/>
  <c r="D1878" i="7" s="1"/>
  <c r="E1880" i="7"/>
  <c r="F1880" i="7" s="1"/>
  <c r="C1894" i="7"/>
  <c r="D1894" i="7" s="1"/>
  <c r="E1896" i="7"/>
  <c r="F1896" i="7" s="1"/>
  <c r="C1910" i="7"/>
  <c r="D1910" i="7" s="1"/>
  <c r="E1912" i="7"/>
  <c r="F1912" i="7" s="1"/>
  <c r="C1926" i="7"/>
  <c r="D1926" i="7" s="1"/>
  <c r="E1928" i="7"/>
  <c r="C1942" i="7"/>
  <c r="D1942" i="7" s="1"/>
  <c r="E1944" i="7"/>
  <c r="F1944" i="7" s="1"/>
  <c r="E1974" i="7"/>
  <c r="E1980" i="7"/>
  <c r="F1980" i="7" s="1"/>
  <c r="C1978" i="7"/>
  <c r="D1978" i="7" s="1"/>
  <c r="F2031" i="7"/>
  <c r="C1985" i="7"/>
  <c r="D1985" i="7" s="1"/>
  <c r="C1998" i="7"/>
  <c r="D1998" i="7" s="1"/>
  <c r="F2076" i="7"/>
  <c r="E2027" i="7"/>
  <c r="F2094" i="7"/>
  <c r="C2044" i="7"/>
  <c r="E2046" i="7"/>
  <c r="F2046" i="7" s="1"/>
  <c r="C2053" i="7"/>
  <c r="D2055" i="7"/>
  <c r="D2063" i="7"/>
  <c r="E2061" i="7"/>
  <c r="F2061" i="7" s="1"/>
  <c r="D2062" i="7"/>
  <c r="E2072" i="7"/>
  <c r="F2072" i="7" s="1"/>
  <c r="F2073" i="7"/>
  <c r="F2105" i="7"/>
  <c r="D2108" i="7"/>
  <c r="C2111" i="7"/>
  <c r="D2114" i="7"/>
  <c r="D2127" i="7"/>
  <c r="C2147" i="7"/>
  <c r="D2149" i="7"/>
  <c r="D2159" i="7"/>
  <c r="C2179" i="7"/>
  <c r="D2181" i="7"/>
  <c r="D2191" i="7"/>
  <c r="F2198" i="7"/>
  <c r="C2211" i="7"/>
  <c r="D2213" i="7"/>
  <c r="D2219" i="7"/>
  <c r="E2226" i="7"/>
  <c r="D2226" i="7"/>
  <c r="C2224" i="7"/>
  <c r="C2223" i="7"/>
  <c r="D2239" i="7"/>
  <c r="E2264" i="7"/>
  <c r="C2262" i="7"/>
  <c r="D2264" i="7"/>
  <c r="C2261" i="7"/>
  <c r="D2278" i="7"/>
  <c r="F2327" i="7"/>
  <c r="C2276" i="7"/>
  <c r="E2278" i="7"/>
  <c r="F2278" i="7" s="1"/>
  <c r="D2275" i="7"/>
  <c r="E2283" i="7"/>
  <c r="C2290" i="7"/>
  <c r="D2302" i="7"/>
  <c r="C2300" i="7"/>
  <c r="F2351" i="7"/>
  <c r="E2302" i="7"/>
  <c r="D2299" i="7"/>
  <c r="C2340" i="7"/>
  <c r="E2375" i="7"/>
  <c r="C2399" i="7"/>
  <c r="E2401" i="7"/>
  <c r="F2401" i="7" s="1"/>
  <c r="D2401" i="7"/>
  <c r="F4" i="8"/>
  <c r="F1963" i="7"/>
  <c r="E1914" i="7"/>
  <c r="F1914" i="7" s="1"/>
  <c r="F1970" i="7"/>
  <c r="F1979" i="7"/>
  <c r="E1930" i="7"/>
  <c r="F1930" i="7" s="1"/>
  <c r="F1995" i="7"/>
  <c r="E1946" i="7"/>
  <c r="F1946" i="7" s="1"/>
  <c r="F2002" i="7"/>
  <c r="C1967" i="7"/>
  <c r="D1967" i="7" s="1"/>
  <c r="F2027" i="7"/>
  <c r="C1976" i="7"/>
  <c r="D1976" i="7" s="1"/>
  <c r="C1977" i="7"/>
  <c r="D1977" i="7" s="1"/>
  <c r="E1990" i="7"/>
  <c r="F1990" i="7" s="1"/>
  <c r="E1996" i="7"/>
  <c r="F1996" i="7" s="1"/>
  <c r="C1994" i="7"/>
  <c r="D1994" i="7" s="1"/>
  <c r="F2047" i="7"/>
  <c r="F2052" i="7"/>
  <c r="C2001" i="7"/>
  <c r="D2001" i="7" s="1"/>
  <c r="C2014" i="7"/>
  <c r="D2014" i="7" s="1"/>
  <c r="E2015" i="7"/>
  <c r="F2015" i="7" s="1"/>
  <c r="E2024" i="7"/>
  <c r="F2024" i="7" s="1"/>
  <c r="E2033" i="7"/>
  <c r="F2033" i="7" s="1"/>
  <c r="E2043" i="7"/>
  <c r="F2043" i="7" s="1"/>
  <c r="D2042" i="7"/>
  <c r="E2055" i="7"/>
  <c r="F2110" i="7"/>
  <c r="F2064" i="7"/>
  <c r="C2075" i="7"/>
  <c r="D2077" i="7"/>
  <c r="C2077" i="7"/>
  <c r="E2078" i="7"/>
  <c r="F2078" i="7" s="1"/>
  <c r="D2087" i="7"/>
  <c r="F2091" i="7"/>
  <c r="D2102" i="7"/>
  <c r="D2099" i="7"/>
  <c r="C2107" i="7"/>
  <c r="E2109" i="7"/>
  <c r="F2109" i="7" s="1"/>
  <c r="E2111" i="7"/>
  <c r="F2111" i="7" s="1"/>
  <c r="E2121" i="7"/>
  <c r="F2121" i="7" s="1"/>
  <c r="D2124" i="7"/>
  <c r="C2121" i="7"/>
  <c r="D2121" i="7"/>
  <c r="E2124" i="7"/>
  <c r="F2124" i="7" s="1"/>
  <c r="F2180" i="7"/>
  <c r="C2146" i="7"/>
  <c r="F2212" i="7"/>
  <c r="C2178" i="7"/>
  <c r="F2244" i="7"/>
  <c r="C2210" i="7"/>
  <c r="F2292" i="7"/>
  <c r="D2254" i="7"/>
  <c r="E2254" i="7"/>
  <c r="F2254" i="7" s="1"/>
  <c r="C2252" i="7"/>
  <c r="D2294" i="7"/>
  <c r="C2292" i="7"/>
  <c r="E2294" i="7"/>
  <c r="E2299" i="7"/>
  <c r="F2299" i="7" s="1"/>
  <c r="D2326" i="7"/>
  <c r="E2324" i="7"/>
  <c r="F2324" i="7" s="1"/>
  <c r="D2323" i="7"/>
  <c r="E2326" i="7"/>
  <c r="F2326" i="7" s="1"/>
  <c r="E2340" i="7"/>
  <c r="C2355" i="7"/>
  <c r="E2357" i="7"/>
  <c r="D2357" i="7"/>
  <c r="E2354" i="7"/>
  <c r="F2354" i="7" s="1"/>
  <c r="C2354" i="7"/>
  <c r="C2358" i="7"/>
  <c r="C2363" i="7"/>
  <c r="E2365" i="7"/>
  <c r="F2365" i="7" s="1"/>
  <c r="D2365" i="7"/>
  <c r="F2375" i="7"/>
  <c r="E2393" i="7"/>
  <c r="E2406" i="7"/>
  <c r="F2406" i="7" s="1"/>
  <c r="D2406" i="7"/>
  <c r="C2404" i="7"/>
  <c r="D2403" i="7"/>
  <c r="E2119" i="7"/>
  <c r="E2135" i="7"/>
  <c r="C2134" i="7"/>
  <c r="E2151" i="7"/>
  <c r="F2151" i="7" s="1"/>
  <c r="C2150" i="7"/>
  <c r="E2167" i="7"/>
  <c r="C2166" i="7"/>
  <c r="E2183" i="7"/>
  <c r="C2182" i="7"/>
  <c r="E2199" i="7"/>
  <c r="F2248" i="7"/>
  <c r="C2198" i="7"/>
  <c r="D2200" i="7"/>
  <c r="E2202" i="7"/>
  <c r="E2215" i="7"/>
  <c r="F2264" i="7"/>
  <c r="C2214" i="7"/>
  <c r="E2231" i="7"/>
  <c r="F2308" i="7"/>
  <c r="C2267" i="7"/>
  <c r="E2269" i="7"/>
  <c r="F2269" i="7" s="1"/>
  <c r="F2318" i="7"/>
  <c r="F2340" i="7"/>
  <c r="E2343" i="7"/>
  <c r="F2343" i="7" s="1"/>
  <c r="D2348" i="7"/>
  <c r="C2345" i="7"/>
  <c r="E2348" i="7"/>
  <c r="F2348" i="7" s="1"/>
  <c r="C2346" i="7"/>
  <c r="D2378" i="7"/>
  <c r="C2375" i="7"/>
  <c r="E2378" i="7"/>
  <c r="F2378" i="7" s="1"/>
  <c r="C2376" i="7"/>
  <c r="C2387" i="7"/>
  <c r="E2389" i="7"/>
  <c r="E2392" i="7"/>
  <c r="F2392" i="7" s="1"/>
  <c r="D2397" i="7"/>
  <c r="E2397" i="7"/>
  <c r="C2395" i="7"/>
  <c r="F2397" i="7"/>
  <c r="E2129" i="7"/>
  <c r="F2129" i="7" s="1"/>
  <c r="F2185" i="7"/>
  <c r="D2140" i="7"/>
  <c r="C2137" i="7"/>
  <c r="E2139" i="7"/>
  <c r="F2139" i="7" s="1"/>
  <c r="E2145" i="7"/>
  <c r="F2145" i="7" s="1"/>
  <c r="F2201" i="7"/>
  <c r="D2156" i="7"/>
  <c r="C2153" i="7"/>
  <c r="F2205" i="7"/>
  <c r="E2155" i="7"/>
  <c r="E2161" i="7"/>
  <c r="F2161" i="7" s="1"/>
  <c r="F2217" i="7"/>
  <c r="F2219" i="7"/>
  <c r="D2172" i="7"/>
  <c r="C2169" i="7"/>
  <c r="F2221" i="7"/>
  <c r="E2171" i="7"/>
  <c r="F2171" i="7" s="1"/>
  <c r="E2177" i="7"/>
  <c r="F2233" i="7"/>
  <c r="D2188" i="7"/>
  <c r="C2185" i="7"/>
  <c r="F2237" i="7"/>
  <c r="E2187" i="7"/>
  <c r="F2187" i="7" s="1"/>
  <c r="E2193" i="7"/>
  <c r="F2193" i="7" s="1"/>
  <c r="D2204" i="7"/>
  <c r="C2201" i="7"/>
  <c r="E2203" i="7"/>
  <c r="F2203" i="7" s="1"/>
  <c r="E2209" i="7"/>
  <c r="F2209" i="7" s="1"/>
  <c r="D2220" i="7"/>
  <c r="C2217" i="7"/>
  <c r="E2219" i="7"/>
  <c r="E2225" i="7"/>
  <c r="F2225" i="7" s="1"/>
  <c r="D2236" i="7"/>
  <c r="C2233" i="7"/>
  <c r="E2235" i="7"/>
  <c r="F2235" i="7" s="1"/>
  <c r="E2241" i="7"/>
  <c r="F2241" i="7" s="1"/>
  <c r="D2250" i="7"/>
  <c r="C2247" i="7"/>
  <c r="E2250" i="7"/>
  <c r="C2248" i="7"/>
  <c r="E2267" i="7"/>
  <c r="F2283" i="7"/>
  <c r="E2295" i="7"/>
  <c r="F2295" i="7" s="1"/>
  <c r="D2300" i="7"/>
  <c r="C2297" i="7"/>
  <c r="E2300" i="7"/>
  <c r="C2298" i="7"/>
  <c r="C2308" i="7"/>
  <c r="D2330" i="7"/>
  <c r="C2327" i="7"/>
  <c r="E2330" i="7"/>
  <c r="C2328" i="7"/>
  <c r="C2339" i="7"/>
  <c r="E2341" i="7"/>
  <c r="F2393" i="7"/>
  <c r="C2347" i="7"/>
  <c r="E2349" i="7"/>
  <c r="F2349" i="7" s="1"/>
  <c r="F2359" i="7"/>
  <c r="D2392" i="7"/>
  <c r="C2397" i="7"/>
  <c r="E2399" i="7"/>
  <c r="F2399" i="7" s="1"/>
  <c r="E1972" i="7"/>
  <c r="F1972" i="7" s="1"/>
  <c r="E1988" i="7"/>
  <c r="F1988" i="7" s="1"/>
  <c r="E2004" i="7"/>
  <c r="F2004" i="7" s="1"/>
  <c r="E2020" i="7"/>
  <c r="F2020" i="7" s="1"/>
  <c r="E2036" i="7"/>
  <c r="F2036" i="7" s="1"/>
  <c r="D2036" i="7"/>
  <c r="D2045" i="7"/>
  <c r="E2052" i="7"/>
  <c r="D2052" i="7"/>
  <c r="D2061" i="7"/>
  <c r="F2117" i="7"/>
  <c r="D2070" i="7"/>
  <c r="F2119" i="7"/>
  <c r="D2067" i="7"/>
  <c r="D2078" i="7"/>
  <c r="C2076" i="7"/>
  <c r="F2137" i="7"/>
  <c r="E2088" i="7"/>
  <c r="F2088" i="7" s="1"/>
  <c r="E2096" i="7"/>
  <c r="C2117" i="7"/>
  <c r="E2127" i="7"/>
  <c r="F2127" i="7" s="1"/>
  <c r="C2133" i="7"/>
  <c r="C2135" i="7"/>
  <c r="D2137" i="7"/>
  <c r="E2143" i="7"/>
  <c r="C2149" i="7"/>
  <c r="C2151" i="7"/>
  <c r="D2153" i="7"/>
  <c r="E2159" i="7"/>
  <c r="F2159" i="7" s="1"/>
  <c r="C2165" i="7"/>
  <c r="C2167" i="7"/>
  <c r="D2169" i="7"/>
  <c r="E2175" i="7"/>
  <c r="F2175" i="7" s="1"/>
  <c r="C2181" i="7"/>
  <c r="C2183" i="7"/>
  <c r="D2185" i="7"/>
  <c r="E2191" i="7"/>
  <c r="F2191" i="7" s="1"/>
  <c r="C2197" i="7"/>
  <c r="D2201" i="7"/>
  <c r="E2207" i="7"/>
  <c r="F2207" i="7" s="1"/>
  <c r="F2256" i="7"/>
  <c r="C2213" i="7"/>
  <c r="C2215" i="7"/>
  <c r="D2217" i="7"/>
  <c r="E2223" i="7"/>
  <c r="F2223" i="7" s="1"/>
  <c r="F2272" i="7"/>
  <c r="C2229" i="7"/>
  <c r="D2233" i="7"/>
  <c r="E2239" i="7"/>
  <c r="F2239" i="7" s="1"/>
  <c r="F2288" i="7"/>
  <c r="C2245" i="7"/>
  <c r="D2247" i="7"/>
  <c r="C2251" i="7"/>
  <c r="E2253" i="7"/>
  <c r="F2253" i="7" s="1"/>
  <c r="F2302" i="7"/>
  <c r="D2260" i="7"/>
  <c r="C2257" i="7"/>
  <c r="D2257" i="7"/>
  <c r="E2263" i="7"/>
  <c r="F2263" i="7" s="1"/>
  <c r="E2279" i="7"/>
  <c r="F2279" i="7" s="1"/>
  <c r="D2284" i="7"/>
  <c r="C2281" i="7"/>
  <c r="E2284" i="7"/>
  <c r="F2284" i="7" s="1"/>
  <c r="C2282" i="7"/>
  <c r="E2286" i="7"/>
  <c r="D2297" i="7"/>
  <c r="D2314" i="7"/>
  <c r="C2311" i="7"/>
  <c r="E2314" i="7"/>
  <c r="C2312" i="7"/>
  <c r="C2323" i="7"/>
  <c r="E2325" i="7"/>
  <c r="F2325" i="7" s="1"/>
  <c r="D2327" i="7"/>
  <c r="C2331" i="7"/>
  <c r="E2333" i="7"/>
  <c r="F2333" i="7" s="1"/>
  <c r="F2382" i="7"/>
  <c r="F2335" i="7"/>
  <c r="C2338" i="7"/>
  <c r="C2341" i="7"/>
  <c r="D2350" i="7"/>
  <c r="D2349" i="7"/>
  <c r="D2363" i="7"/>
  <c r="D2387" i="7"/>
  <c r="C2390" i="7"/>
  <c r="F2023" i="7"/>
  <c r="F2039" i="7"/>
  <c r="F2055" i="7"/>
  <c r="F2133" i="7"/>
  <c r="D2086" i="7"/>
  <c r="F2135" i="7"/>
  <c r="D2083" i="7"/>
  <c r="D2094" i="7"/>
  <c r="F2143" i="7"/>
  <c r="C2092" i="7"/>
  <c r="F2147" i="7"/>
  <c r="F2153" i="7"/>
  <c r="E2104" i="7"/>
  <c r="F2155" i="7"/>
  <c r="E2112" i="7"/>
  <c r="F2112" i="7" s="1"/>
  <c r="D2118" i="7"/>
  <c r="F2167" i="7"/>
  <c r="D2119" i="7"/>
  <c r="C2123" i="7"/>
  <c r="D2134" i="7"/>
  <c r="F2183" i="7"/>
  <c r="D2135" i="7"/>
  <c r="C2139" i="7"/>
  <c r="D2150" i="7"/>
  <c r="F2199" i="7"/>
  <c r="D2151" i="7"/>
  <c r="C2155" i="7"/>
  <c r="D2166" i="7"/>
  <c r="F2215" i="7"/>
  <c r="D2167" i="7"/>
  <c r="C2171" i="7"/>
  <c r="D2182" i="7"/>
  <c r="F2231" i="7"/>
  <c r="D2183" i="7"/>
  <c r="C2187" i="7"/>
  <c r="D2199" i="7"/>
  <c r="C2203" i="7"/>
  <c r="D2215" i="7"/>
  <c r="C2219" i="7"/>
  <c r="F2270" i="7"/>
  <c r="D2231" i="7"/>
  <c r="C2235" i="7"/>
  <c r="F2286" i="7"/>
  <c r="F2247" i="7"/>
  <c r="D2268" i="7"/>
  <c r="C2265" i="7"/>
  <c r="E2268" i="7"/>
  <c r="F2268" i="7" s="1"/>
  <c r="C2266" i="7"/>
  <c r="C2284" i="7"/>
  <c r="D2298" i="7"/>
  <c r="C2295" i="7"/>
  <c r="E2298" i="7"/>
  <c r="C2296" i="7"/>
  <c r="C2307" i="7"/>
  <c r="E2309" i="7"/>
  <c r="F2309" i="7" s="1"/>
  <c r="C2315" i="7"/>
  <c r="E2317" i="7"/>
  <c r="F2317" i="7" s="1"/>
  <c r="F2366" i="7"/>
  <c r="C2322" i="7"/>
  <c r="D2333" i="7"/>
  <c r="F2388" i="7"/>
  <c r="E2338" i="7"/>
  <c r="D2341" i="7"/>
  <c r="D2358" i="7"/>
  <c r="F2379" i="7"/>
  <c r="E2391" i="7"/>
  <c r="E2390" i="7"/>
  <c r="F2390" i="7" s="1"/>
  <c r="D2396" i="7"/>
  <c r="D2399" i="7"/>
  <c r="C2410" i="7"/>
  <c r="D2409" i="7"/>
  <c r="D2276" i="7"/>
  <c r="C2273" i="7"/>
  <c r="E2275" i="7"/>
  <c r="F2275" i="7" s="1"/>
  <c r="D2292" i="7"/>
  <c r="C2289" i="7"/>
  <c r="E2291" i="7"/>
  <c r="F2291" i="7" s="1"/>
  <c r="D2308" i="7"/>
  <c r="C2305" i="7"/>
  <c r="E2307" i="7"/>
  <c r="F2307" i="7" s="1"/>
  <c r="D2324" i="7"/>
  <c r="C2321" i="7"/>
  <c r="E2323" i="7"/>
  <c r="F2323" i="7" s="1"/>
  <c r="F2380" i="7"/>
  <c r="D2340" i="7"/>
  <c r="C2337" i="7"/>
  <c r="E2339" i="7"/>
  <c r="F2341" i="7"/>
  <c r="D2356" i="7"/>
  <c r="C2353" i="7"/>
  <c r="E2355" i="7"/>
  <c r="F2357" i="7"/>
  <c r="D2372" i="7"/>
  <c r="C2369" i="7"/>
  <c r="E2371" i="7"/>
  <c r="F2373" i="7"/>
  <c r="D2388" i="7"/>
  <c r="C2385" i="7"/>
  <c r="E2387" i="7"/>
  <c r="F2389" i="7"/>
  <c r="E2395" i="7"/>
  <c r="F2395" i="7" s="1"/>
  <c r="D2074" i="7"/>
  <c r="E2081" i="7"/>
  <c r="F2130" i="7"/>
  <c r="D2081" i="7"/>
  <c r="D2090" i="7"/>
  <c r="E2097" i="7"/>
  <c r="F2146" i="7"/>
  <c r="D2097" i="7"/>
  <c r="D2106" i="7"/>
  <c r="E2113" i="7"/>
  <c r="F2113" i="7" s="1"/>
  <c r="F2162" i="7"/>
  <c r="E2249" i="7"/>
  <c r="F2249" i="7" s="1"/>
  <c r="D2258" i="7"/>
  <c r="C2255" i="7"/>
  <c r="E2265" i="7"/>
  <c r="F2265" i="7" s="1"/>
  <c r="D2274" i="7"/>
  <c r="C2271" i="7"/>
  <c r="D2273" i="7"/>
  <c r="E2281" i="7"/>
  <c r="F2281" i="7" s="1"/>
  <c r="D2290" i="7"/>
  <c r="C2287" i="7"/>
  <c r="D2289" i="7"/>
  <c r="E2297" i="7"/>
  <c r="F2297" i="7" s="1"/>
  <c r="D2306" i="7"/>
  <c r="C2303" i="7"/>
  <c r="D2305" i="7"/>
  <c r="E2313" i="7"/>
  <c r="F2313" i="7" s="1"/>
  <c r="D2322" i="7"/>
  <c r="C2319" i="7"/>
  <c r="D2321" i="7"/>
  <c r="E2329" i="7"/>
  <c r="F2329" i="7" s="1"/>
  <c r="D2338" i="7"/>
  <c r="C2335" i="7"/>
  <c r="D2337" i="7"/>
  <c r="F2339" i="7"/>
  <c r="E2345" i="7"/>
  <c r="F2403" i="7"/>
  <c r="D2354" i="7"/>
  <c r="C2351" i="7"/>
  <c r="D2353" i="7"/>
  <c r="F2355" i="7"/>
  <c r="E2361" i="7"/>
  <c r="F2361" i="7" s="1"/>
  <c r="D2370" i="7"/>
  <c r="C2367" i="7"/>
  <c r="D2369" i="7"/>
  <c r="F2371" i="7"/>
  <c r="E2377" i="7"/>
  <c r="F2377" i="7" s="1"/>
  <c r="D2386" i="7"/>
  <c r="C2383" i="7"/>
  <c r="D2385" i="7"/>
  <c r="F2387" i="7"/>
  <c r="D2405" i="7"/>
  <c r="D2402" i="7"/>
  <c r="E2405" i="7"/>
  <c r="F2405" i="7" s="1"/>
  <c r="F2304" i="7"/>
  <c r="F2312" i="7"/>
  <c r="F2320" i="7"/>
  <c r="F2328" i="7"/>
  <c r="F2336" i="7"/>
  <c r="F2344" i="7"/>
  <c r="F2352" i="7"/>
  <c r="F2360" i="7"/>
  <c r="F2368" i="7"/>
  <c r="F2376" i="7"/>
  <c r="F2384" i="7"/>
  <c r="C2394" i="7"/>
  <c r="E2396" i="7"/>
  <c r="F2396" i="7" s="1"/>
  <c r="F2170" i="7"/>
  <c r="F2178" i="7"/>
  <c r="F2186" i="7"/>
  <c r="F2194" i="7"/>
  <c r="F2202" i="7"/>
  <c r="F2210" i="7"/>
  <c r="F2218" i="7"/>
  <c r="F2226" i="7"/>
  <c r="F2234" i="7"/>
  <c r="F2242" i="7"/>
  <c r="F2250" i="7"/>
  <c r="F2258" i="7"/>
  <c r="F2266" i="7"/>
  <c r="F2274" i="7"/>
  <c r="F2298" i="7"/>
  <c r="F2306" i="7"/>
  <c r="F2314" i="7"/>
  <c r="F2322" i="7"/>
  <c r="F2330" i="7"/>
  <c r="F2338" i="7"/>
  <c r="F2362" i="7"/>
  <c r="F2370" i="7"/>
  <c r="F2386" i="7"/>
  <c r="E2400" i="7"/>
  <c r="F2400" i="7" s="1"/>
  <c r="D2400" i="7"/>
  <c r="E2353" i="7"/>
  <c r="F2353" i="7" s="1"/>
  <c r="C2402" i="7"/>
  <c r="E2404" i="7"/>
  <c r="F2404" i="7" s="1"/>
  <c r="D2408" i="7"/>
  <c r="E2410" i="7"/>
  <c r="F2410" i="7" s="1"/>
  <c r="G4" i="11"/>
  <c r="G5" i="11"/>
  <c r="T51" i="11"/>
  <c r="L51" i="11"/>
  <c r="D51" i="11"/>
  <c r="AA51" i="11"/>
  <c r="S51" i="11"/>
  <c r="K51" i="11"/>
  <c r="C51" i="11"/>
  <c r="X51" i="11"/>
  <c r="P51" i="11"/>
  <c r="H51" i="11"/>
  <c r="Y51" i="11"/>
  <c r="M51" i="11"/>
  <c r="W51" i="11"/>
  <c r="J51" i="11"/>
  <c r="V51" i="11"/>
  <c r="I51" i="11"/>
  <c r="U51" i="11"/>
  <c r="G51" i="11"/>
  <c r="R51" i="11"/>
  <c r="F51" i="11"/>
  <c r="Q51" i="11"/>
  <c r="E51" i="11"/>
  <c r="Z51" i="11"/>
  <c r="N51" i="11"/>
  <c r="V30" i="11"/>
  <c r="N30" i="11"/>
  <c r="F30" i="11"/>
  <c r="U30" i="11"/>
  <c r="M30" i="11"/>
  <c r="E30" i="11"/>
  <c r="R30" i="11"/>
  <c r="H30" i="11"/>
  <c r="AA30" i="11"/>
  <c r="Q30" i="11"/>
  <c r="G30" i="11"/>
  <c r="Z30" i="11"/>
  <c r="P30" i="11"/>
  <c r="D30" i="11"/>
  <c r="W30" i="11"/>
  <c r="K30" i="11"/>
  <c r="X30" i="11"/>
  <c r="T5" i="11"/>
  <c r="X49" i="11"/>
  <c r="P49" i="11"/>
  <c r="H49" i="11"/>
  <c r="W49" i="11"/>
  <c r="O49" i="11"/>
  <c r="G49" i="11"/>
  <c r="T49" i="11"/>
  <c r="J49" i="11"/>
  <c r="S49" i="11"/>
  <c r="I49" i="11"/>
  <c r="R49" i="11"/>
  <c r="F49" i="11"/>
  <c r="AA49" i="11"/>
  <c r="Q49" i="11"/>
  <c r="E49" i="11"/>
  <c r="Z49" i="11"/>
  <c r="N49" i="11"/>
  <c r="D49" i="11"/>
  <c r="Y49" i="11"/>
  <c r="M49" i="11"/>
  <c r="C49" i="11"/>
  <c r="U49" i="11"/>
  <c r="K49" i="11"/>
  <c r="O51" i="11"/>
  <c r="C30" i="11"/>
  <c r="Y30" i="11"/>
  <c r="I5" i="11"/>
  <c r="T39" i="11"/>
  <c r="L39" i="11"/>
  <c r="D39" i="11"/>
  <c r="AA39" i="11"/>
  <c r="S39" i="11"/>
  <c r="K39" i="11"/>
  <c r="C39" i="11"/>
  <c r="R39" i="11"/>
  <c r="H39" i="11"/>
  <c r="Q39" i="11"/>
  <c r="G39" i="11"/>
  <c r="Z39" i="11"/>
  <c r="P39" i="11"/>
  <c r="F39" i="11"/>
  <c r="W39" i="11"/>
  <c r="M39" i="11"/>
  <c r="X39" i="11"/>
  <c r="I30" i="11"/>
  <c r="X33" i="11"/>
  <c r="P33" i="11"/>
  <c r="H33" i="11"/>
  <c r="W33" i="11"/>
  <c r="O33" i="11"/>
  <c r="G33" i="11"/>
  <c r="T33" i="11"/>
  <c r="J33" i="11"/>
  <c r="S33" i="11"/>
  <c r="I33" i="11"/>
  <c r="R33" i="11"/>
  <c r="F33" i="11"/>
  <c r="Y33" i="11"/>
  <c r="M33" i="11"/>
  <c r="C33" i="11"/>
  <c r="V33" i="11"/>
  <c r="M37" i="11"/>
  <c r="E39" i="11"/>
  <c r="Y39" i="11"/>
  <c r="V49" i="11"/>
  <c r="I39" i="11"/>
  <c r="X25" i="11"/>
  <c r="P25" i="11"/>
  <c r="H25" i="11"/>
  <c r="Y25" i="11"/>
  <c r="O25" i="11"/>
  <c r="F25" i="11"/>
  <c r="W25" i="11"/>
  <c r="N25" i="11"/>
  <c r="E25" i="11"/>
  <c r="V25" i="11"/>
  <c r="M25" i="11"/>
  <c r="D25" i="11"/>
  <c r="S25" i="11"/>
  <c r="J25" i="11"/>
  <c r="T25" i="11"/>
  <c r="T27" i="11"/>
  <c r="L27" i="11"/>
  <c r="D27" i="11"/>
  <c r="AA27" i="11"/>
  <c r="R27" i="11"/>
  <c r="I27" i="11"/>
  <c r="Z27" i="11"/>
  <c r="Q27" i="11"/>
  <c r="H27" i="11"/>
  <c r="Y27" i="11"/>
  <c r="P27" i="11"/>
  <c r="G27" i="11"/>
  <c r="V27" i="11"/>
  <c r="M27" i="11"/>
  <c r="C27" i="11"/>
  <c r="U27" i="11"/>
  <c r="L30" i="11"/>
  <c r="E33" i="11"/>
  <c r="AA33" i="11"/>
  <c r="T35" i="11"/>
  <c r="L35" i="11"/>
  <c r="D35" i="11"/>
  <c r="AA35" i="11"/>
  <c r="AA5" i="11" s="1"/>
  <c r="S35" i="11"/>
  <c r="K35" i="11"/>
  <c r="C35" i="11"/>
  <c r="V35" i="11"/>
  <c r="J35" i="11"/>
  <c r="U35" i="11"/>
  <c r="I35" i="11"/>
  <c r="R35" i="11"/>
  <c r="H35" i="11"/>
  <c r="Y35" i="11"/>
  <c r="Y4" i="11" s="1"/>
  <c r="O35" i="11"/>
  <c r="E35" i="11"/>
  <c r="X35" i="11"/>
  <c r="J39" i="11"/>
  <c r="O30" i="11"/>
  <c r="Q5" i="11"/>
  <c r="Q3" i="11"/>
  <c r="X37" i="11"/>
  <c r="P37" i="11"/>
  <c r="H37" i="11"/>
  <c r="W37" i="11"/>
  <c r="W3" i="11" s="1"/>
  <c r="O37" i="11"/>
  <c r="G37" i="11"/>
  <c r="R37" i="11"/>
  <c r="F37" i="11"/>
  <c r="AA37" i="11"/>
  <c r="AA4" i="11" s="1"/>
  <c r="Q37" i="11"/>
  <c r="E37" i="11"/>
  <c r="Z37" i="11"/>
  <c r="N37" i="11"/>
  <c r="D37" i="11"/>
  <c r="U37" i="11"/>
  <c r="K37" i="11"/>
  <c r="V37" i="11"/>
  <c r="N39" i="11"/>
  <c r="G25" i="11"/>
  <c r="Z25" i="11"/>
  <c r="F27" i="11"/>
  <c r="X27" i="11"/>
  <c r="S30" i="11"/>
  <c r="L33" i="11"/>
  <c r="R5" i="11"/>
  <c r="G35" i="11"/>
  <c r="C37" i="11"/>
  <c r="Y37" i="11"/>
  <c r="O39" i="11"/>
  <c r="V42" i="11"/>
  <c r="N42" i="11"/>
  <c r="F42" i="11"/>
  <c r="U42" i="11"/>
  <c r="M42" i="11"/>
  <c r="E42" i="11"/>
  <c r="T42" i="11"/>
  <c r="T3" i="11" s="1"/>
  <c r="J42" i="11"/>
  <c r="S42" i="11"/>
  <c r="I42" i="11"/>
  <c r="R42" i="11"/>
  <c r="H42" i="11"/>
  <c r="Y42" i="11"/>
  <c r="O42" i="11"/>
  <c r="C42" i="11"/>
  <c r="X42" i="11"/>
  <c r="I46" i="11"/>
  <c r="S46" i="11"/>
  <c r="V53" i="11"/>
  <c r="K53" i="11"/>
  <c r="H53" i="11"/>
  <c r="X53" i="11"/>
  <c r="D53" i="11"/>
  <c r="H54" i="11"/>
  <c r="X54" i="11"/>
  <c r="D54" i="11"/>
  <c r="V54" i="11"/>
  <c r="C54" i="11"/>
  <c r="P54" i="11"/>
  <c r="K66" i="11"/>
  <c r="K22" i="12"/>
  <c r="K27" i="12"/>
  <c r="O33" i="12"/>
  <c r="W42" i="12"/>
  <c r="O42" i="12"/>
  <c r="G42" i="12"/>
  <c r="V42" i="12"/>
  <c r="N42" i="12"/>
  <c r="F42" i="12"/>
  <c r="U42" i="12"/>
  <c r="M42" i="12"/>
  <c r="E42" i="12"/>
  <c r="Z42" i="12"/>
  <c r="L42" i="12"/>
  <c r="Y42" i="12"/>
  <c r="K42" i="12"/>
  <c r="X42" i="12"/>
  <c r="J42" i="12"/>
  <c r="S42" i="12"/>
  <c r="S5" i="12" s="1"/>
  <c r="H42" i="12"/>
  <c r="Q42" i="12"/>
  <c r="C42" i="12"/>
  <c r="K57" i="11"/>
  <c r="Q57" i="11"/>
  <c r="P57" i="11"/>
  <c r="Z57" i="11"/>
  <c r="F57" i="11"/>
  <c r="S58" i="11"/>
  <c r="C58" i="11"/>
  <c r="G58" i="11"/>
  <c r="Z58" i="11"/>
  <c r="F58" i="11"/>
  <c r="Q58" i="11"/>
  <c r="W30" i="12"/>
  <c r="O30" i="12"/>
  <c r="G30" i="12"/>
  <c r="S30" i="12"/>
  <c r="J30" i="12"/>
  <c r="AA30" i="12"/>
  <c r="R30" i="12"/>
  <c r="I30" i="12"/>
  <c r="Z30" i="12"/>
  <c r="Q30" i="12"/>
  <c r="H30" i="12"/>
  <c r="X30" i="12"/>
  <c r="N30" i="12"/>
  <c r="E30" i="12"/>
  <c r="T30" i="12"/>
  <c r="AA36" i="12"/>
  <c r="S36" i="12"/>
  <c r="K36" i="12"/>
  <c r="C36" i="12"/>
  <c r="Y36" i="12"/>
  <c r="Q36" i="12"/>
  <c r="T36" i="12"/>
  <c r="I36" i="12"/>
  <c r="I4" i="12" s="1"/>
  <c r="R36" i="12"/>
  <c r="R4" i="12" s="1"/>
  <c r="H36" i="12"/>
  <c r="P36" i="12"/>
  <c r="G36" i="12"/>
  <c r="X36" i="12"/>
  <c r="N36" i="12"/>
  <c r="E36" i="12"/>
  <c r="V36" i="12"/>
  <c r="V5" i="12" s="1"/>
  <c r="V26" i="11"/>
  <c r="N26" i="11"/>
  <c r="F26" i="11"/>
  <c r="K26" i="11"/>
  <c r="T26" i="11"/>
  <c r="K46" i="11"/>
  <c r="F53" i="11"/>
  <c r="G54" i="11"/>
  <c r="C57" i="11"/>
  <c r="D58" i="11"/>
  <c r="P60" i="11"/>
  <c r="H60" i="11"/>
  <c r="G60" i="11"/>
  <c r="V60" i="11"/>
  <c r="C60" i="11"/>
  <c r="H62" i="11"/>
  <c r="P62" i="11"/>
  <c r="K62" i="11"/>
  <c r="X62" i="11"/>
  <c r="D62" i="11"/>
  <c r="X66" i="11"/>
  <c r="R22" i="12"/>
  <c r="AA24" i="12"/>
  <c r="S24" i="12"/>
  <c r="K24" i="12"/>
  <c r="C24" i="12"/>
  <c r="T24" i="12"/>
  <c r="J24" i="12"/>
  <c r="R24" i="12"/>
  <c r="I24" i="12"/>
  <c r="Z24" i="12"/>
  <c r="Q24" i="12"/>
  <c r="H24" i="12"/>
  <c r="X24" i="12"/>
  <c r="O24" i="12"/>
  <c r="F24" i="12"/>
  <c r="U24" i="12"/>
  <c r="Q27" i="12"/>
  <c r="K29" i="12"/>
  <c r="C30" i="12"/>
  <c r="U30" i="12"/>
  <c r="K35" i="12"/>
  <c r="D36" i="12"/>
  <c r="W36" i="12"/>
  <c r="I42" i="12"/>
  <c r="V46" i="11"/>
  <c r="N46" i="11"/>
  <c r="F46" i="11"/>
  <c r="U46" i="11"/>
  <c r="M46" i="11"/>
  <c r="E46" i="11"/>
  <c r="L46" i="11"/>
  <c r="X46" i="11"/>
  <c r="G53" i="11"/>
  <c r="K54" i="11"/>
  <c r="X56" i="11"/>
  <c r="F56" i="11"/>
  <c r="Z56" i="11"/>
  <c r="D56" i="11"/>
  <c r="V56" i="11"/>
  <c r="C56" i="11"/>
  <c r="P56" i="11"/>
  <c r="D57" i="11"/>
  <c r="H58" i="11"/>
  <c r="D30" i="12"/>
  <c r="V30" i="12"/>
  <c r="Y33" i="12"/>
  <c r="Q33" i="12"/>
  <c r="I33" i="12"/>
  <c r="W33" i="12"/>
  <c r="N33" i="12"/>
  <c r="E33" i="12"/>
  <c r="V33" i="12"/>
  <c r="M33" i="12"/>
  <c r="D33" i="12"/>
  <c r="U33" i="12"/>
  <c r="L33" i="12"/>
  <c r="C33" i="12"/>
  <c r="S33" i="12"/>
  <c r="J33" i="12"/>
  <c r="T33" i="12"/>
  <c r="F36" i="12"/>
  <c r="Z36" i="12"/>
  <c r="C46" i="11"/>
  <c r="O46" i="11"/>
  <c r="Y46" i="11"/>
  <c r="P53" i="11"/>
  <c r="Q54" i="11"/>
  <c r="G56" i="11"/>
  <c r="G57" i="11"/>
  <c r="K58" i="11"/>
  <c r="S66" i="11"/>
  <c r="C66" i="11"/>
  <c r="Q66" i="11"/>
  <c r="P66" i="11"/>
  <c r="G66" i="11"/>
  <c r="W22" i="12"/>
  <c r="O22" i="12"/>
  <c r="G22" i="12"/>
  <c r="Z22" i="12"/>
  <c r="Q22" i="12"/>
  <c r="H22" i="12"/>
  <c r="Y22" i="12"/>
  <c r="P22" i="12"/>
  <c r="F22" i="12"/>
  <c r="X22" i="12"/>
  <c r="N22" i="12"/>
  <c r="E22" i="12"/>
  <c r="U22" i="12"/>
  <c r="L22" i="12"/>
  <c r="C22" i="12"/>
  <c r="T22" i="12"/>
  <c r="U27" i="12"/>
  <c r="M27" i="12"/>
  <c r="E27" i="12"/>
  <c r="X27" i="12"/>
  <c r="O27" i="12"/>
  <c r="F27" i="12"/>
  <c r="W27" i="12"/>
  <c r="N27" i="12"/>
  <c r="D27" i="12"/>
  <c r="V27" i="12"/>
  <c r="L27" i="12"/>
  <c r="C27" i="12"/>
  <c r="S27" i="12"/>
  <c r="J27" i="12"/>
  <c r="T27" i="12"/>
  <c r="F30" i="12"/>
  <c r="Y30" i="12"/>
  <c r="Z3" i="12"/>
  <c r="J36" i="12"/>
  <c r="J22" i="11"/>
  <c r="T23" i="11"/>
  <c r="L23" i="11"/>
  <c r="D23" i="11"/>
  <c r="K23" i="11"/>
  <c r="U23" i="11"/>
  <c r="E26" i="11"/>
  <c r="O26" i="11"/>
  <c r="X26" i="11"/>
  <c r="V34" i="11"/>
  <c r="N34" i="11"/>
  <c r="F34" i="11"/>
  <c r="U34" i="11"/>
  <c r="M34" i="11"/>
  <c r="E34" i="11"/>
  <c r="L34" i="11"/>
  <c r="X34" i="11"/>
  <c r="X41" i="11"/>
  <c r="P41" i="11"/>
  <c r="H41" i="11"/>
  <c r="W41" i="11"/>
  <c r="W5" i="11" s="1"/>
  <c r="O41" i="11"/>
  <c r="G41" i="11"/>
  <c r="L41" i="11"/>
  <c r="V41" i="11"/>
  <c r="T43" i="11"/>
  <c r="L43" i="11"/>
  <c r="D43" i="11"/>
  <c r="AA43" i="11"/>
  <c r="S43" i="11"/>
  <c r="K43" i="11"/>
  <c r="C43" i="11"/>
  <c r="N43" i="11"/>
  <c r="X43" i="11"/>
  <c r="D46" i="11"/>
  <c r="P46" i="11"/>
  <c r="Z46" i="11"/>
  <c r="V50" i="11"/>
  <c r="N50" i="11"/>
  <c r="F50" i="11"/>
  <c r="U50" i="11"/>
  <c r="M50" i="11"/>
  <c r="E50" i="11"/>
  <c r="L50" i="11"/>
  <c r="X50" i="11"/>
  <c r="Q53" i="11"/>
  <c r="S54" i="11"/>
  <c r="H56" i="11"/>
  <c r="H57" i="11"/>
  <c r="P58" i="11"/>
  <c r="K60" i="11"/>
  <c r="G62" i="11"/>
  <c r="K65" i="11"/>
  <c r="Z65" i="11"/>
  <c r="F65" i="11"/>
  <c r="X65" i="11"/>
  <c r="D65" i="11"/>
  <c r="Q65" i="11"/>
  <c r="D66" i="11"/>
  <c r="D22" i="12"/>
  <c r="V22" i="12"/>
  <c r="G27" i="12"/>
  <c r="Y27" i="12"/>
  <c r="K30" i="12"/>
  <c r="G33" i="12"/>
  <c r="Z33" i="12"/>
  <c r="AA4" i="12"/>
  <c r="L36" i="12"/>
  <c r="T42" i="12"/>
  <c r="V22" i="11"/>
  <c r="N22" i="11"/>
  <c r="F22" i="11"/>
  <c r="K22" i="11"/>
  <c r="T22" i="11"/>
  <c r="G26" i="11"/>
  <c r="P26" i="11"/>
  <c r="Y26" i="11"/>
  <c r="C41" i="11"/>
  <c r="M41" i="11"/>
  <c r="Y41" i="11"/>
  <c r="E43" i="11"/>
  <c r="O43" i="11"/>
  <c r="Y43" i="11"/>
  <c r="G46" i="11"/>
  <c r="Q46" i="11"/>
  <c r="AA46" i="11"/>
  <c r="C50" i="11"/>
  <c r="O50" i="11"/>
  <c r="Y50" i="11"/>
  <c r="S53" i="11"/>
  <c r="Z54" i="11"/>
  <c r="K56" i="11"/>
  <c r="S57" i="11"/>
  <c r="V58" i="11"/>
  <c r="Q60" i="11"/>
  <c r="Q62" i="11"/>
  <c r="X64" i="11"/>
  <c r="F64" i="11"/>
  <c r="P64" i="11"/>
  <c r="K64" i="11"/>
  <c r="Z64" i="11"/>
  <c r="D64" i="11"/>
  <c r="C65" i="11"/>
  <c r="F66" i="11"/>
  <c r="I22" i="12"/>
  <c r="AA22" i="12"/>
  <c r="H27" i="12"/>
  <c r="Z27" i="12"/>
  <c r="Y29" i="12"/>
  <c r="Q29" i="12"/>
  <c r="I29" i="12"/>
  <c r="AA29" i="12"/>
  <c r="R29" i="12"/>
  <c r="H29" i="12"/>
  <c r="Z29" i="12"/>
  <c r="P29" i="12"/>
  <c r="G29" i="12"/>
  <c r="X29" i="12"/>
  <c r="O29" i="12"/>
  <c r="F29" i="12"/>
  <c r="V29" i="12"/>
  <c r="M29" i="12"/>
  <c r="D29" i="12"/>
  <c r="T29" i="12"/>
  <c r="L30" i="12"/>
  <c r="H33" i="12"/>
  <c r="AA33" i="12"/>
  <c r="U35" i="12"/>
  <c r="U5" i="12" s="1"/>
  <c r="M35" i="12"/>
  <c r="E35" i="12"/>
  <c r="Z35" i="12"/>
  <c r="Z4" i="12" s="1"/>
  <c r="Q35" i="12"/>
  <c r="H35" i="12"/>
  <c r="Y35" i="12"/>
  <c r="P35" i="12"/>
  <c r="G35" i="12"/>
  <c r="X35" i="12"/>
  <c r="O35" i="12"/>
  <c r="F35" i="12"/>
  <c r="V35" i="12"/>
  <c r="L35" i="12"/>
  <c r="C35" i="12"/>
  <c r="T35" i="12"/>
  <c r="M36" i="12"/>
  <c r="AA42" i="12"/>
  <c r="X21" i="11"/>
  <c r="P21" i="11"/>
  <c r="H21" i="11"/>
  <c r="K21" i="11"/>
  <c r="T21" i="11"/>
  <c r="C22" i="11"/>
  <c r="L22" i="11"/>
  <c r="U22" i="11"/>
  <c r="E23" i="11"/>
  <c r="N23" i="11"/>
  <c r="W23" i="11"/>
  <c r="H26" i="11"/>
  <c r="Q26" i="11"/>
  <c r="Z26" i="11"/>
  <c r="X29" i="11"/>
  <c r="P29" i="11"/>
  <c r="H29" i="11"/>
  <c r="W29" i="11"/>
  <c r="O29" i="11"/>
  <c r="G29" i="11"/>
  <c r="L29" i="11"/>
  <c r="V29" i="11"/>
  <c r="T31" i="11"/>
  <c r="L31" i="11"/>
  <c r="D31" i="11"/>
  <c r="AA31" i="11"/>
  <c r="S31" i="11"/>
  <c r="K31" i="11"/>
  <c r="C31" i="11"/>
  <c r="N31" i="11"/>
  <c r="X31" i="11"/>
  <c r="D34" i="11"/>
  <c r="P34" i="11"/>
  <c r="Z34" i="11"/>
  <c r="V38" i="11"/>
  <c r="N38" i="11"/>
  <c r="F38" i="11"/>
  <c r="U38" i="11"/>
  <c r="M38" i="11"/>
  <c r="E38" i="11"/>
  <c r="L38" i="11"/>
  <c r="X38" i="11"/>
  <c r="D41" i="11"/>
  <c r="N41" i="11"/>
  <c r="Z41" i="11"/>
  <c r="F43" i="11"/>
  <c r="P43" i="11"/>
  <c r="Z43" i="11"/>
  <c r="X45" i="11"/>
  <c r="P45" i="11"/>
  <c r="H45" i="11"/>
  <c r="W45" i="11"/>
  <c r="O45" i="11"/>
  <c r="G45" i="11"/>
  <c r="L45" i="11"/>
  <c r="V45" i="11"/>
  <c r="H46" i="11"/>
  <c r="R46" i="11"/>
  <c r="T47" i="11"/>
  <c r="L47" i="11"/>
  <c r="D47" i="11"/>
  <c r="AA47" i="11"/>
  <c r="S47" i="11"/>
  <c r="K47" i="11"/>
  <c r="C47" i="11"/>
  <c r="N47" i="11"/>
  <c r="X47" i="11"/>
  <c r="D50" i="11"/>
  <c r="P50" i="11"/>
  <c r="Z50" i="11"/>
  <c r="Z53" i="11"/>
  <c r="Q56" i="11"/>
  <c r="V57" i="11"/>
  <c r="X58" i="11"/>
  <c r="S60" i="11"/>
  <c r="S62" i="11"/>
  <c r="C64" i="11"/>
  <c r="G65" i="11"/>
  <c r="H66" i="11"/>
  <c r="J22" i="12"/>
  <c r="U23" i="12"/>
  <c r="M23" i="12"/>
  <c r="E23" i="12"/>
  <c r="AA23" i="12"/>
  <c r="R23" i="12"/>
  <c r="I23" i="12"/>
  <c r="Z23" i="12"/>
  <c r="Q23" i="12"/>
  <c r="H23" i="12"/>
  <c r="Y23" i="12"/>
  <c r="P23" i="12"/>
  <c r="G23" i="12"/>
  <c r="W23" i="12"/>
  <c r="N23" i="12"/>
  <c r="D23" i="12"/>
  <c r="T23" i="12"/>
  <c r="M24" i="12"/>
  <c r="I27" i="12"/>
  <c r="AA27" i="12"/>
  <c r="C29" i="12"/>
  <c r="U29" i="12"/>
  <c r="M30" i="12"/>
  <c r="K33" i="12"/>
  <c r="D35" i="12"/>
  <c r="W35" i="12"/>
  <c r="O36" i="12"/>
  <c r="V50" i="12"/>
  <c r="N50" i="12"/>
  <c r="F50" i="12"/>
  <c r="S50" i="12"/>
  <c r="J50" i="12"/>
  <c r="AA50" i="12"/>
  <c r="R50" i="12"/>
  <c r="I50" i="12"/>
  <c r="Z50" i="12"/>
  <c r="Q50" i="12"/>
  <c r="H50" i="12"/>
  <c r="Y50" i="12"/>
  <c r="P50" i="12"/>
  <c r="G50" i="12"/>
  <c r="T50" i="12"/>
  <c r="K61" i="12"/>
  <c r="H61" i="12"/>
  <c r="Z61" i="12"/>
  <c r="P61" i="12"/>
  <c r="G61" i="12"/>
  <c r="F61" i="12"/>
  <c r="D61" i="12"/>
  <c r="D29" i="13"/>
  <c r="C41" i="13"/>
  <c r="D30" i="13"/>
  <c r="C56" i="13"/>
  <c r="D44" i="13"/>
  <c r="C44" i="13"/>
  <c r="D93" i="13"/>
  <c r="C105" i="13"/>
  <c r="D94" i="13"/>
  <c r="C120" i="13"/>
  <c r="D108" i="13"/>
  <c r="C108" i="13"/>
  <c r="C160" i="13"/>
  <c r="D149" i="13"/>
  <c r="D148" i="13"/>
  <c r="D247" i="13"/>
  <c r="C259" i="13"/>
  <c r="D248" i="13"/>
  <c r="D287" i="13"/>
  <c r="C299" i="13"/>
  <c r="D288" i="13"/>
  <c r="D429" i="13"/>
  <c r="C441" i="13"/>
  <c r="C429" i="13"/>
  <c r="C478" i="13"/>
  <c r="C466" i="13"/>
  <c r="D466" i="13"/>
  <c r="U43" i="12"/>
  <c r="M43" i="12"/>
  <c r="E43" i="12"/>
  <c r="T43" i="12"/>
  <c r="L43" i="12"/>
  <c r="D43" i="12"/>
  <c r="AA43" i="12"/>
  <c r="S43" i="12"/>
  <c r="K43" i="12"/>
  <c r="C43" i="12"/>
  <c r="P43" i="12"/>
  <c r="C50" i="12"/>
  <c r="U50" i="12"/>
  <c r="C61" i="12"/>
  <c r="C25" i="13"/>
  <c r="C77" i="13"/>
  <c r="D65" i="13"/>
  <c r="C91" i="13"/>
  <c r="D79" i="13"/>
  <c r="C89" i="13"/>
  <c r="C141" i="13"/>
  <c r="D129" i="13"/>
  <c r="C148" i="13"/>
  <c r="C181" i="13"/>
  <c r="D169" i="13"/>
  <c r="C169" i="13"/>
  <c r="C406" i="13"/>
  <c r="D394" i="13"/>
  <c r="D50" i="12"/>
  <c r="W50" i="12"/>
  <c r="H58" i="12"/>
  <c r="Z58" i="12"/>
  <c r="G58" i="12"/>
  <c r="K58" i="12"/>
  <c r="F58" i="12"/>
  <c r="D58" i="12"/>
  <c r="X58" i="12"/>
  <c r="C58" i="12"/>
  <c r="Q61" i="12"/>
  <c r="D25" i="13"/>
  <c r="D50" i="13"/>
  <c r="C62" i="13"/>
  <c r="D51" i="13"/>
  <c r="C65" i="13"/>
  <c r="D89" i="13"/>
  <c r="D114" i="13"/>
  <c r="C126" i="13"/>
  <c r="D115" i="13"/>
  <c r="C129" i="13"/>
  <c r="D395" i="13"/>
  <c r="D396" i="13"/>
  <c r="C407" i="13"/>
  <c r="I20" i="12"/>
  <c r="Y21" i="12"/>
  <c r="Q21" i="12"/>
  <c r="I21" i="12"/>
  <c r="K21" i="12"/>
  <c r="T21" i="12"/>
  <c r="I26" i="12"/>
  <c r="R26" i="12"/>
  <c r="AA28" i="12"/>
  <c r="S28" i="12"/>
  <c r="K28" i="12"/>
  <c r="C28" i="12"/>
  <c r="L28" i="12"/>
  <c r="U28" i="12"/>
  <c r="W34" i="12"/>
  <c r="O34" i="12"/>
  <c r="G34" i="12"/>
  <c r="K34" i="12"/>
  <c r="T34" i="12"/>
  <c r="K37" i="12"/>
  <c r="G43" i="12"/>
  <c r="R43" i="12"/>
  <c r="T47" i="12"/>
  <c r="L47" i="12"/>
  <c r="D47" i="12"/>
  <c r="Y47" i="12"/>
  <c r="P47" i="12"/>
  <c r="G47" i="12"/>
  <c r="X47" i="12"/>
  <c r="O47" i="12"/>
  <c r="F47" i="12"/>
  <c r="W47" i="12"/>
  <c r="N47" i="12"/>
  <c r="E47" i="12"/>
  <c r="V47" i="12"/>
  <c r="M47" i="12"/>
  <c r="C47" i="12"/>
  <c r="U47" i="12"/>
  <c r="E50" i="12"/>
  <c r="X50" i="12"/>
  <c r="P58" i="12"/>
  <c r="X60" i="12"/>
  <c r="F60" i="12"/>
  <c r="V60" i="12"/>
  <c r="D60" i="12"/>
  <c r="Q60" i="12"/>
  <c r="P60" i="12"/>
  <c r="K60" i="12"/>
  <c r="H60" i="12"/>
  <c r="S61" i="12"/>
  <c r="D26" i="13"/>
  <c r="C38" i="13"/>
  <c r="D27" i="13"/>
  <c r="C36" i="13"/>
  <c r="C50" i="13"/>
  <c r="D90" i="13"/>
  <c r="C102" i="13"/>
  <c r="D91" i="13"/>
  <c r="C90" i="13"/>
  <c r="C100" i="13"/>
  <c r="C114" i="13"/>
  <c r="D130" i="13"/>
  <c r="D159" i="13"/>
  <c r="C171" i="13"/>
  <c r="D160" i="13"/>
  <c r="C199" i="13"/>
  <c r="D187" i="13"/>
  <c r="C187" i="13"/>
  <c r="D239" i="13"/>
  <c r="D240" i="13"/>
  <c r="D353" i="13"/>
  <c r="C365" i="13"/>
  <c r="D357" i="13"/>
  <c r="D358" i="13"/>
  <c r="C369" i="13"/>
  <c r="D368" i="13"/>
  <c r="C397" i="13"/>
  <c r="D385" i="13"/>
  <c r="Q58" i="12"/>
  <c r="V61" i="12"/>
  <c r="D18" i="13"/>
  <c r="C30" i="13"/>
  <c r="D36" i="13"/>
  <c r="D61" i="13"/>
  <c r="C73" i="13"/>
  <c r="D62" i="13"/>
  <c r="C88" i="13"/>
  <c r="D76" i="13"/>
  <c r="C76" i="13"/>
  <c r="D100" i="13"/>
  <c r="C137" i="13"/>
  <c r="D125" i="13"/>
  <c r="D126" i="13"/>
  <c r="D204" i="13"/>
  <c r="C216" i="13"/>
  <c r="D205" i="13"/>
  <c r="C204" i="13"/>
  <c r="C242" i="13"/>
  <c r="D230" i="13"/>
  <c r="C287" i="13"/>
  <c r="D275" i="13"/>
  <c r="C275" i="13"/>
  <c r="C360" i="13"/>
  <c r="D348" i="13"/>
  <c r="C353" i="13"/>
  <c r="AA20" i="12"/>
  <c r="S20" i="12"/>
  <c r="K20" i="12"/>
  <c r="C20" i="12"/>
  <c r="L20" i="12"/>
  <c r="U20" i="12"/>
  <c r="W26" i="12"/>
  <c r="O26" i="12"/>
  <c r="G26" i="12"/>
  <c r="K26" i="12"/>
  <c r="T26" i="12"/>
  <c r="V4" i="12"/>
  <c r="Y37" i="12"/>
  <c r="Q37" i="12"/>
  <c r="Q4" i="12" s="1"/>
  <c r="I37" i="12"/>
  <c r="X37" i="12"/>
  <c r="P37" i="12"/>
  <c r="H37" i="12"/>
  <c r="W37" i="12"/>
  <c r="O37" i="12"/>
  <c r="G37" i="12"/>
  <c r="M37" i="12"/>
  <c r="AA37" i="12"/>
  <c r="I43" i="12"/>
  <c r="W43" i="12"/>
  <c r="X49" i="12"/>
  <c r="P49" i="12"/>
  <c r="H49" i="12"/>
  <c r="AA49" i="12"/>
  <c r="R49" i="12"/>
  <c r="I49" i="12"/>
  <c r="Z49" i="12"/>
  <c r="Q49" i="12"/>
  <c r="G49" i="12"/>
  <c r="Y49" i="12"/>
  <c r="O49" i="12"/>
  <c r="F49" i="12"/>
  <c r="W49" i="12"/>
  <c r="N49" i="12"/>
  <c r="E49" i="12"/>
  <c r="T49" i="12"/>
  <c r="L50" i="12"/>
  <c r="V57" i="12"/>
  <c r="D57" i="12"/>
  <c r="S57" i="12"/>
  <c r="C57" i="12"/>
  <c r="P57" i="12"/>
  <c r="K57" i="12"/>
  <c r="H57" i="12"/>
  <c r="G57" i="12"/>
  <c r="S58" i="12"/>
  <c r="X61" i="12"/>
  <c r="C18" i="13"/>
  <c r="C35" i="13"/>
  <c r="D23" i="13"/>
  <c r="C23" i="13"/>
  <c r="C45" i="13"/>
  <c r="D33" i="13"/>
  <c r="C59" i="13"/>
  <c r="D47" i="13"/>
  <c r="C57" i="13"/>
  <c r="D71" i="13"/>
  <c r="D86" i="13"/>
  <c r="C109" i="13"/>
  <c r="D97" i="13"/>
  <c r="C123" i="13"/>
  <c r="D111" i="13"/>
  <c r="C121" i="13"/>
  <c r="C173" i="13"/>
  <c r="D161" i="13"/>
  <c r="C161" i="13"/>
  <c r="C189" i="13"/>
  <c r="D177" i="13"/>
  <c r="C177" i="13"/>
  <c r="C230" i="13"/>
  <c r="V61" i="11"/>
  <c r="D61" i="11"/>
  <c r="S61" i="11"/>
  <c r="D20" i="12"/>
  <c r="M20" i="12"/>
  <c r="V20" i="12"/>
  <c r="E21" i="12"/>
  <c r="N21" i="12"/>
  <c r="W21" i="12"/>
  <c r="Y25" i="12"/>
  <c r="Q25" i="12"/>
  <c r="I25" i="12"/>
  <c r="K25" i="12"/>
  <c r="T25" i="12"/>
  <c r="C26" i="12"/>
  <c r="L26" i="12"/>
  <c r="U26" i="12"/>
  <c r="F28" i="12"/>
  <c r="O28" i="12"/>
  <c r="X28" i="12"/>
  <c r="AA32" i="12"/>
  <c r="S32" i="12"/>
  <c r="K32" i="12"/>
  <c r="C32" i="12"/>
  <c r="L32" i="12"/>
  <c r="U32" i="12"/>
  <c r="E34" i="12"/>
  <c r="N34" i="12"/>
  <c r="X34" i="12"/>
  <c r="C37" i="12"/>
  <c r="N37" i="12"/>
  <c r="W38" i="12"/>
  <c r="O38" i="12"/>
  <c r="G38" i="12"/>
  <c r="V38" i="12"/>
  <c r="N38" i="12"/>
  <c r="F38" i="12"/>
  <c r="U38" i="12"/>
  <c r="M38" i="12"/>
  <c r="E38" i="12"/>
  <c r="P38" i="12"/>
  <c r="AA38" i="12"/>
  <c r="J43" i="12"/>
  <c r="X43" i="12"/>
  <c r="J47" i="12"/>
  <c r="C49" i="12"/>
  <c r="U49" i="12"/>
  <c r="M50" i="12"/>
  <c r="F57" i="12"/>
  <c r="V58" i="12"/>
  <c r="S60" i="12"/>
  <c r="D9" i="13"/>
  <c r="D15" i="13"/>
  <c r="C26" i="13"/>
  <c r="C33" i="13"/>
  <c r="C47" i="13"/>
  <c r="D57" i="13"/>
  <c r="D72" i="13"/>
  <c r="D82" i="13"/>
  <c r="C94" i="13"/>
  <c r="D83" i="13"/>
  <c r="C97" i="13"/>
  <c r="C111" i="13"/>
  <c r="D121" i="13"/>
  <c r="C132" i="13"/>
  <c r="C207" i="13"/>
  <c r="D195" i="13"/>
  <c r="D255" i="13"/>
  <c r="C267" i="13"/>
  <c r="D256" i="13"/>
  <c r="J20" i="11"/>
  <c r="R20" i="11"/>
  <c r="J24" i="11"/>
  <c r="R24" i="11"/>
  <c r="J28" i="11"/>
  <c r="R28" i="11"/>
  <c r="J32" i="11"/>
  <c r="R32" i="11"/>
  <c r="J36" i="11"/>
  <c r="J4" i="11" s="1"/>
  <c r="R36" i="11"/>
  <c r="J40" i="11"/>
  <c r="R40" i="11"/>
  <c r="J44" i="11"/>
  <c r="R44" i="11"/>
  <c r="J48" i="11"/>
  <c r="R48" i="11"/>
  <c r="J52" i="11"/>
  <c r="R52" i="11"/>
  <c r="Z59" i="11"/>
  <c r="G59" i="11"/>
  <c r="S59" i="11"/>
  <c r="C61" i="11"/>
  <c r="X61" i="11"/>
  <c r="E20" i="12"/>
  <c r="N20" i="12"/>
  <c r="W20" i="12"/>
  <c r="F21" i="12"/>
  <c r="O21" i="12"/>
  <c r="X21" i="12"/>
  <c r="C25" i="12"/>
  <c r="L25" i="12"/>
  <c r="U25" i="12"/>
  <c r="D26" i="12"/>
  <c r="M26" i="12"/>
  <c r="V26" i="12"/>
  <c r="G28" i="12"/>
  <c r="P28" i="12"/>
  <c r="Y28" i="12"/>
  <c r="U31" i="12"/>
  <c r="M31" i="12"/>
  <c r="E31" i="12"/>
  <c r="K31" i="12"/>
  <c r="T31" i="12"/>
  <c r="D32" i="12"/>
  <c r="M32" i="12"/>
  <c r="V32" i="12"/>
  <c r="F34" i="12"/>
  <c r="P34" i="12"/>
  <c r="Y34" i="12"/>
  <c r="D37" i="12"/>
  <c r="R37" i="12"/>
  <c r="C38" i="12"/>
  <c r="Q38" i="12"/>
  <c r="U39" i="12"/>
  <c r="M39" i="12"/>
  <c r="E39" i="12"/>
  <c r="T39" i="12"/>
  <c r="L39" i="12"/>
  <c r="L5" i="12" s="1"/>
  <c r="D39" i="12"/>
  <c r="AA39" i="12"/>
  <c r="S39" i="12"/>
  <c r="K39" i="12"/>
  <c r="C39" i="12"/>
  <c r="P39" i="12"/>
  <c r="Y41" i="12"/>
  <c r="Q41" i="12"/>
  <c r="Q3" i="12" s="1"/>
  <c r="I41" i="12"/>
  <c r="X41" i="12"/>
  <c r="P41" i="12"/>
  <c r="H41" i="12"/>
  <c r="W41" i="12"/>
  <c r="O41" i="12"/>
  <c r="G41" i="12"/>
  <c r="M41" i="12"/>
  <c r="M5" i="12" s="1"/>
  <c r="AA41" i="12"/>
  <c r="N43" i="12"/>
  <c r="Y43" i="12"/>
  <c r="K47" i="12"/>
  <c r="D49" i="12"/>
  <c r="V49" i="12"/>
  <c r="O50" i="12"/>
  <c r="S54" i="12"/>
  <c r="C54" i="12"/>
  <c r="P54" i="12"/>
  <c r="K54" i="12"/>
  <c r="H54" i="12"/>
  <c r="G54" i="12"/>
  <c r="Q57" i="12"/>
  <c r="Z60" i="12"/>
  <c r="D14" i="13"/>
  <c r="D19" i="13"/>
  <c r="D58" i="13"/>
  <c r="C70" i="13"/>
  <c r="D59" i="13"/>
  <c r="C58" i="13"/>
  <c r="C68" i="13"/>
  <c r="C82" i="13"/>
  <c r="C134" i="13"/>
  <c r="D122" i="13"/>
  <c r="D123" i="13"/>
  <c r="C122" i="13"/>
  <c r="D132" i="13"/>
  <c r="D520" i="13"/>
  <c r="C520" i="13"/>
  <c r="C532" i="13"/>
  <c r="D521" i="13"/>
  <c r="D191" i="13"/>
  <c r="C203" i="13"/>
  <c r="D192" i="13"/>
  <c r="C221" i="13"/>
  <c r="D209" i="13"/>
  <c r="C209" i="13"/>
  <c r="D244" i="13"/>
  <c r="C256" i="13"/>
  <c r="D245" i="13"/>
  <c r="C306" i="13"/>
  <c r="D294" i="13"/>
  <c r="C320" i="13"/>
  <c r="D308" i="13"/>
  <c r="D309" i="13"/>
  <c r="D349" i="13"/>
  <c r="D363" i="13"/>
  <c r="C375" i="13"/>
  <c r="D364" i="13"/>
  <c r="C363" i="13"/>
  <c r="D369" i="13"/>
  <c r="D386" i="13"/>
  <c r="D390" i="13"/>
  <c r="C402" i="13"/>
  <c r="C443" i="13"/>
  <c r="C431" i="13"/>
  <c r="D431" i="13"/>
  <c r="C178" i="13"/>
  <c r="D166" i="13"/>
  <c r="C179" i="13"/>
  <c r="D183" i="13"/>
  <c r="C195" i="13"/>
  <c r="D184" i="13"/>
  <c r="C222" i="13"/>
  <c r="C239" i="13"/>
  <c r="D227" i="13"/>
  <c r="C244" i="13"/>
  <c r="C274" i="13"/>
  <c r="D262" i="13"/>
  <c r="D276" i="13"/>
  <c r="C288" i="13"/>
  <c r="D277" i="13"/>
  <c r="C294" i="13"/>
  <c r="C308" i="13"/>
  <c r="D330" i="13"/>
  <c r="D345" i="13"/>
  <c r="C357" i="13"/>
  <c r="D351" i="13"/>
  <c r="C362" i="13"/>
  <c r="D350" i="13"/>
  <c r="C350" i="13"/>
  <c r="C390" i="13"/>
  <c r="V46" i="12"/>
  <c r="N46" i="12"/>
  <c r="F46" i="12"/>
  <c r="K46" i="12"/>
  <c r="T46" i="12"/>
  <c r="Z55" i="12"/>
  <c r="G55" i="12"/>
  <c r="S55" i="12"/>
  <c r="D11" i="13"/>
  <c r="D37" i="13"/>
  <c r="C53" i="13"/>
  <c r="D69" i="13"/>
  <c r="C85" i="13"/>
  <c r="D101" i="13"/>
  <c r="C117" i="13"/>
  <c r="C145" i="13"/>
  <c r="C166" i="13"/>
  <c r="D179" i="13"/>
  <c r="C201" i="13"/>
  <c r="D222" i="13"/>
  <c r="D257" i="13"/>
  <c r="C262" i="13"/>
  <c r="C276" i="13"/>
  <c r="C334" i="13"/>
  <c r="D322" i="13"/>
  <c r="C322" i="13"/>
  <c r="C343" i="13"/>
  <c r="D331" i="13"/>
  <c r="C331" i="13"/>
  <c r="D332" i="13"/>
  <c r="C345" i="13"/>
  <c r="C377" i="13"/>
  <c r="D366" i="13"/>
  <c r="D365" i="13"/>
  <c r="C438" i="13"/>
  <c r="C426" i="13"/>
  <c r="D426" i="13"/>
  <c r="D469" i="13"/>
  <c r="C481" i="13"/>
  <c r="C469" i="13"/>
  <c r="I40" i="12"/>
  <c r="Q40" i="12"/>
  <c r="Y40" i="12"/>
  <c r="X45" i="12"/>
  <c r="P45" i="12"/>
  <c r="H45" i="12"/>
  <c r="K45" i="12"/>
  <c r="T45" i="12"/>
  <c r="C46" i="12"/>
  <c r="L46" i="12"/>
  <c r="U46" i="12"/>
  <c r="S53" i="12"/>
  <c r="C55" i="12"/>
  <c r="V55" i="12"/>
  <c r="P64" i="12"/>
  <c r="K64" i="12"/>
  <c r="H64" i="12"/>
  <c r="X64" i="12"/>
  <c r="C20" i="13"/>
  <c r="D34" i="13"/>
  <c r="D48" i="13"/>
  <c r="C55" i="13"/>
  <c r="D66" i="13"/>
  <c r="D80" i="13"/>
  <c r="C87" i="13"/>
  <c r="D98" i="13"/>
  <c r="D112" i="13"/>
  <c r="C119" i="13"/>
  <c r="D138" i="13"/>
  <c r="C150" i="13"/>
  <c r="C142" i="13"/>
  <c r="D145" i="13"/>
  <c r="D162" i="13"/>
  <c r="D180" i="13"/>
  <c r="C192" i="13"/>
  <c r="D181" i="13"/>
  <c r="C193" i="13"/>
  <c r="C210" i="13"/>
  <c r="D198" i="13"/>
  <c r="D201" i="13"/>
  <c r="D215" i="13"/>
  <c r="C227" i="13"/>
  <c r="D216" i="13"/>
  <c r="D223" i="13"/>
  <c r="C235" i="13"/>
  <c r="D224" i="13"/>
  <c r="C253" i="13"/>
  <c r="D241" i="13"/>
  <c r="C241" i="13"/>
  <c r="D258" i="13"/>
  <c r="C303" i="13"/>
  <c r="D291" i="13"/>
  <c r="C372" i="13"/>
  <c r="D360" i="13"/>
  <c r="D382" i="13"/>
  <c r="C382" i="13"/>
  <c r="C394" i="13"/>
  <c r="C422" i="13"/>
  <c r="C410" i="13"/>
  <c r="J40" i="12"/>
  <c r="J3" i="12" s="1"/>
  <c r="R40" i="12"/>
  <c r="Z40" i="12"/>
  <c r="C45" i="12"/>
  <c r="L45" i="12"/>
  <c r="U45" i="12"/>
  <c r="D46" i="12"/>
  <c r="M46" i="12"/>
  <c r="W46" i="12"/>
  <c r="C53" i="12"/>
  <c r="V53" i="12"/>
  <c r="D55" i="12"/>
  <c r="X55" i="12"/>
  <c r="Z63" i="12"/>
  <c r="G63" i="12"/>
  <c r="X63" i="12"/>
  <c r="F63" i="12"/>
  <c r="V63" i="12"/>
  <c r="D63" i="12"/>
  <c r="C64" i="12"/>
  <c r="Z64" i="12"/>
  <c r="C29" i="13"/>
  <c r="D20" i="13"/>
  <c r="D24" i="13"/>
  <c r="C34" i="13"/>
  <c r="D41" i="13"/>
  <c r="D45" i="13"/>
  <c r="C61" i="13"/>
  <c r="C52" i="13"/>
  <c r="D55" i="13"/>
  <c r="C66" i="13"/>
  <c r="D73" i="13"/>
  <c r="D77" i="13"/>
  <c r="C93" i="13"/>
  <c r="C84" i="13"/>
  <c r="D87" i="13"/>
  <c r="C98" i="13"/>
  <c r="D105" i="13"/>
  <c r="D109" i="13"/>
  <c r="C125" i="13"/>
  <c r="C116" i="13"/>
  <c r="D119" i="13"/>
  <c r="D142" i="13"/>
  <c r="C158" i="13"/>
  <c r="C175" i="13"/>
  <c r="D163" i="13"/>
  <c r="C180" i="13"/>
  <c r="D193" i="13"/>
  <c r="C198" i="13"/>
  <c r="D211" i="13"/>
  <c r="D219" i="13"/>
  <c r="C254" i="13"/>
  <c r="C271" i="13"/>
  <c r="D259" i="13"/>
  <c r="D272" i="13"/>
  <c r="C298" i="13"/>
  <c r="C286" i="13"/>
  <c r="D300" i="13"/>
  <c r="C300" i="13"/>
  <c r="C317" i="13"/>
  <c r="D305" i="13"/>
  <c r="C305" i="13"/>
  <c r="D323" i="13"/>
  <c r="C368" i="13"/>
  <c r="C384" i="13"/>
  <c r="D372" i="13"/>
  <c r="D410" i="13"/>
  <c r="C427" i="13"/>
  <c r="D415" i="13"/>
  <c r="D493" i="13"/>
  <c r="C505" i="13"/>
  <c r="C493" i="13"/>
  <c r="C40" i="12"/>
  <c r="C3" i="12" s="1"/>
  <c r="K40" i="12"/>
  <c r="S40" i="12"/>
  <c r="D45" i="12"/>
  <c r="M45" i="12"/>
  <c r="V45" i="12"/>
  <c r="E46" i="12"/>
  <c r="O46" i="12"/>
  <c r="X46" i="12"/>
  <c r="T51" i="12"/>
  <c r="L51" i="12"/>
  <c r="D51" i="12"/>
  <c r="K51" i="12"/>
  <c r="U51" i="12"/>
  <c r="D53" i="12"/>
  <c r="X53" i="12"/>
  <c r="F55" i="12"/>
  <c r="P56" i="12"/>
  <c r="K56" i="12"/>
  <c r="V56" i="12"/>
  <c r="C63" i="12"/>
  <c r="D64" i="12"/>
  <c r="H66" i="12"/>
  <c r="Z66" i="12"/>
  <c r="G66" i="12"/>
  <c r="X66" i="12"/>
  <c r="F66" i="12"/>
  <c r="D17" i="13"/>
  <c r="D21" i="13"/>
  <c r="C31" i="13"/>
  <c r="D38" i="13"/>
  <c r="D42" i="13"/>
  <c r="C49" i="13"/>
  <c r="D52" i="13"/>
  <c r="D56" i="13"/>
  <c r="C63" i="13"/>
  <c r="D70" i="13"/>
  <c r="D74" i="13"/>
  <c r="C81" i="13"/>
  <c r="D84" i="13"/>
  <c r="D88" i="13"/>
  <c r="C95" i="13"/>
  <c r="D102" i="13"/>
  <c r="D106" i="13"/>
  <c r="C113" i="13"/>
  <c r="D116" i="13"/>
  <c r="D120" i="13"/>
  <c r="C127" i="13"/>
  <c r="D131" i="13"/>
  <c r="D135" i="13"/>
  <c r="C147" i="13"/>
  <c r="D136" i="13"/>
  <c r="D151" i="13"/>
  <c r="C163" i="13"/>
  <c r="D152" i="13"/>
  <c r="C155" i="13"/>
  <c r="D158" i="13"/>
  <c r="D176" i="13"/>
  <c r="D194" i="13"/>
  <c r="D212" i="13"/>
  <c r="C224" i="13"/>
  <c r="D213" i="13"/>
  <c r="C233" i="13"/>
  <c r="D237" i="13"/>
  <c r="C255" i="13"/>
  <c r="D254" i="13"/>
  <c r="D268" i="13"/>
  <c r="C268" i="13"/>
  <c r="C285" i="13"/>
  <c r="D273" i="13"/>
  <c r="C273" i="13"/>
  <c r="D286" i="13"/>
  <c r="D343" i="13"/>
  <c r="C354" i="13"/>
  <c r="D342" i="13"/>
  <c r="C385" i="13"/>
  <c r="D373" i="13"/>
  <c r="C373" i="13"/>
  <c r="D374" i="13"/>
  <c r="C411" i="13"/>
  <c r="D400" i="13"/>
  <c r="D399" i="13"/>
  <c r="C399" i="13"/>
  <c r="D377" i="13"/>
  <c r="D376" i="13"/>
  <c r="D403" i="13"/>
  <c r="C415" i="13"/>
  <c r="D404" i="13"/>
  <c r="D440" i="13"/>
  <c r="C440" i="13"/>
  <c r="C452" i="13"/>
  <c r="D485" i="13"/>
  <c r="C497" i="13"/>
  <c r="D496" i="13"/>
  <c r="C496" i="13"/>
  <c r="D497" i="13"/>
  <c r="C508" i="13"/>
  <c r="D525" i="13"/>
  <c r="C537" i="13"/>
  <c r="C525" i="13"/>
  <c r="C558" i="13"/>
  <c r="D546" i="13"/>
  <c r="C546" i="13"/>
  <c r="D552" i="13"/>
  <c r="C552" i="13"/>
  <c r="C564" i="13"/>
  <c r="D553" i="13"/>
  <c r="D289" i="13"/>
  <c r="C323" i="13"/>
  <c r="D311" i="13"/>
  <c r="D318" i="13"/>
  <c r="C330" i="13"/>
  <c r="C346" i="13"/>
  <c r="D334" i="13"/>
  <c r="D344" i="13"/>
  <c r="C401" i="13"/>
  <c r="D389" i="13"/>
  <c r="D441" i="13"/>
  <c r="D464" i="13"/>
  <c r="C464" i="13"/>
  <c r="D465" i="13"/>
  <c r="C476" i="13"/>
  <c r="C454" i="13"/>
  <c r="C442" i="13"/>
  <c r="D442" i="13"/>
  <c r="C483" i="13"/>
  <c r="C471" i="13"/>
  <c r="D471" i="13"/>
  <c r="D504" i="13"/>
  <c r="C504" i="13"/>
  <c r="C516" i="13"/>
  <c r="D541" i="13"/>
  <c r="C553" i="13"/>
  <c r="C541" i="13"/>
  <c r="C574" i="13"/>
  <c r="D562" i="13"/>
  <c r="C562" i="13"/>
  <c r="Q65" i="12"/>
  <c r="D143" i="13"/>
  <c r="D146" i="13"/>
  <c r="D156" i="13"/>
  <c r="D170" i="13"/>
  <c r="D188" i="13"/>
  <c r="D202" i="13"/>
  <c r="D220" i="13"/>
  <c r="D234" i="13"/>
  <c r="D252" i="13"/>
  <c r="D266" i="13"/>
  <c r="D280" i="13"/>
  <c r="D284" i="13"/>
  <c r="C291" i="13"/>
  <c r="D298" i="13"/>
  <c r="D312" i="13"/>
  <c r="D335" i="13"/>
  <c r="C366" i="13"/>
  <c r="D354" i="13"/>
  <c r="D380" i="13"/>
  <c r="C391" i="13"/>
  <c r="D416" i="13"/>
  <c r="C416" i="13"/>
  <c r="C428" i="13"/>
  <c r="D421" i="13"/>
  <c r="C433" i="13"/>
  <c r="D432" i="13"/>
  <c r="C432" i="13"/>
  <c r="D433" i="13"/>
  <c r="D505" i="13"/>
  <c r="Q62" i="12"/>
  <c r="C65" i="12"/>
  <c r="S65" i="12"/>
  <c r="D7" i="13"/>
  <c r="C140" i="13"/>
  <c r="C143" i="13"/>
  <c r="C159" i="13"/>
  <c r="D167" i="13"/>
  <c r="C183" i="13"/>
  <c r="C174" i="13"/>
  <c r="C188" i="13"/>
  <c r="D199" i="13"/>
  <c r="C215" i="13"/>
  <c r="C206" i="13"/>
  <c r="C220" i="13"/>
  <c r="D231" i="13"/>
  <c r="C247" i="13"/>
  <c r="C238" i="13"/>
  <c r="C252" i="13"/>
  <c r="D263" i="13"/>
  <c r="C279" i="13"/>
  <c r="C270" i="13"/>
  <c r="C284" i="13"/>
  <c r="D295" i="13"/>
  <c r="C311" i="13"/>
  <c r="C302" i="13"/>
  <c r="D316" i="13"/>
  <c r="D324" i="13"/>
  <c r="C340" i="13"/>
  <c r="D328" i="13"/>
  <c r="C348" i="13"/>
  <c r="C339" i="13"/>
  <c r="C378" i="13"/>
  <c r="D367" i="13"/>
  <c r="C379" i="13"/>
  <c r="C395" i="13"/>
  <c r="C421" i="13"/>
  <c r="C444" i="13"/>
  <c r="C486" i="13"/>
  <c r="C474" i="13"/>
  <c r="C518" i="13"/>
  <c r="C506" i="13"/>
  <c r="D506" i="13"/>
  <c r="C542" i="13"/>
  <c r="D530" i="13"/>
  <c r="C530" i="13"/>
  <c r="D536" i="13"/>
  <c r="C536" i="13"/>
  <c r="C548" i="13"/>
  <c r="D537" i="13"/>
  <c r="J44" i="12"/>
  <c r="R44" i="12"/>
  <c r="J48" i="12"/>
  <c r="R48" i="12"/>
  <c r="J52" i="12"/>
  <c r="R52" i="12"/>
  <c r="C62" i="12"/>
  <c r="D65" i="12"/>
  <c r="C130" i="13"/>
  <c r="C138" i="13"/>
  <c r="C153" i="13"/>
  <c r="D164" i="13"/>
  <c r="D174" i="13"/>
  <c r="D178" i="13"/>
  <c r="C185" i="13"/>
  <c r="D196" i="13"/>
  <c r="D206" i="13"/>
  <c r="D210" i="13"/>
  <c r="D228" i="13"/>
  <c r="D238" i="13"/>
  <c r="D242" i="13"/>
  <c r="D260" i="13"/>
  <c r="D270" i="13"/>
  <c r="D274" i="13"/>
  <c r="D292" i="13"/>
  <c r="D302" i="13"/>
  <c r="D306" i="13"/>
  <c r="D317" i="13"/>
  <c r="C337" i="13"/>
  <c r="D325" i="13"/>
  <c r="D371" i="13"/>
  <c r="C383" i="13"/>
  <c r="D379" i="13"/>
  <c r="D402" i="13"/>
  <c r="D417" i="13"/>
  <c r="C451" i="13"/>
  <c r="C439" i="13"/>
  <c r="D439" i="13"/>
  <c r="C462" i="13"/>
  <c r="C450" i="13"/>
  <c r="D450" i="13"/>
  <c r="D456" i="13"/>
  <c r="C456" i="13"/>
  <c r="C468" i="13"/>
  <c r="D457" i="13"/>
  <c r="D461" i="13"/>
  <c r="C473" i="13"/>
  <c r="C461" i="13"/>
  <c r="C491" i="13"/>
  <c r="C479" i="13"/>
  <c r="D479" i="13"/>
  <c r="C507" i="13"/>
  <c r="C495" i="13"/>
  <c r="D495" i="13"/>
  <c r="D557" i="13"/>
  <c r="C569" i="13"/>
  <c r="C557" i="13"/>
  <c r="C515" i="13"/>
  <c r="C503" i="13"/>
  <c r="D503" i="13"/>
  <c r="D528" i="13"/>
  <c r="C528" i="13"/>
  <c r="D533" i="13"/>
  <c r="C545" i="13"/>
  <c r="D544" i="13"/>
  <c r="C544" i="13"/>
  <c r="D549" i="13"/>
  <c r="C561" i="13"/>
  <c r="D560" i="13"/>
  <c r="C560" i="13"/>
  <c r="D565" i="13"/>
  <c r="C577" i="13"/>
  <c r="D576" i="13"/>
  <c r="C576" i="13"/>
  <c r="D581" i="13"/>
  <c r="C593" i="13"/>
  <c r="D621" i="13"/>
  <c r="C633" i="13"/>
  <c r="C638" i="13"/>
  <c r="D626" i="13"/>
  <c r="C626" i="13"/>
  <c r="C636" i="13"/>
  <c r="C526" i="13"/>
  <c r="C514" i="13"/>
  <c r="D592" i="13"/>
  <c r="C592" i="13"/>
  <c r="D597" i="13"/>
  <c r="C609" i="13"/>
  <c r="C614" i="13"/>
  <c r="D602" i="13"/>
  <c r="C602" i="13"/>
  <c r="C621" i="13"/>
  <c r="D445" i="13"/>
  <c r="C457" i="13"/>
  <c r="C467" i="13"/>
  <c r="C455" i="13"/>
  <c r="D455" i="13"/>
  <c r="D480" i="13"/>
  <c r="C480" i="13"/>
  <c r="C502" i="13"/>
  <c r="C490" i="13"/>
  <c r="D509" i="13"/>
  <c r="C521" i="13"/>
  <c r="D514" i="13"/>
  <c r="C531" i="13"/>
  <c r="C519" i="13"/>
  <c r="D519" i="13"/>
  <c r="D529" i="13"/>
  <c r="C540" i="13"/>
  <c r="D545" i="13"/>
  <c r="C556" i="13"/>
  <c r="D561" i="13"/>
  <c r="C572" i="13"/>
  <c r="D577" i="13"/>
  <c r="C588" i="13"/>
  <c r="C597" i="13"/>
  <c r="D617" i="13"/>
  <c r="D632" i="13"/>
  <c r="C644" i="13"/>
  <c r="D637" i="13"/>
  <c r="C649" i="13"/>
  <c r="C590" i="13"/>
  <c r="D578" i="13"/>
  <c r="C578" i="13"/>
  <c r="D593" i="13"/>
  <c r="D613" i="13"/>
  <c r="C625" i="13"/>
  <c r="C630" i="13"/>
  <c r="D618" i="13"/>
  <c r="C618" i="13"/>
  <c r="C628" i="13"/>
  <c r="C637" i="13"/>
  <c r="D568" i="13"/>
  <c r="C568" i="13"/>
  <c r="D573" i="13"/>
  <c r="C585" i="13"/>
  <c r="D584" i="13"/>
  <c r="C584" i="13"/>
  <c r="D589" i="13"/>
  <c r="C601" i="13"/>
  <c r="C606" i="13"/>
  <c r="D594" i="13"/>
  <c r="C594" i="13"/>
  <c r="C604" i="13"/>
  <c r="C613" i="13"/>
  <c r="D633" i="13"/>
  <c r="D337" i="13"/>
  <c r="C403" i="13"/>
  <c r="D391" i="13"/>
  <c r="C430" i="13"/>
  <c r="C418" i="13"/>
  <c r="D437" i="13"/>
  <c r="C449" i="13"/>
  <c r="C459" i="13"/>
  <c r="C447" i="13"/>
  <c r="D447" i="13"/>
  <c r="D472" i="13"/>
  <c r="C472" i="13"/>
  <c r="C494" i="13"/>
  <c r="C482" i="13"/>
  <c r="D501" i="13"/>
  <c r="C513" i="13"/>
  <c r="C523" i="13"/>
  <c r="C511" i="13"/>
  <c r="D511" i="13"/>
  <c r="C573" i="13"/>
  <c r="C589" i="13"/>
  <c r="D609" i="13"/>
  <c r="D629" i="13"/>
  <c r="C641" i="13"/>
  <c r="C646" i="13"/>
  <c r="D634" i="13"/>
  <c r="C634" i="13"/>
  <c r="D340" i="13"/>
  <c r="C349" i="13"/>
  <c r="C389" i="13"/>
  <c r="C400" i="13"/>
  <c r="D401" i="13"/>
  <c r="D413" i="13"/>
  <c r="C425" i="13"/>
  <c r="D418" i="13"/>
  <c r="C435" i="13"/>
  <c r="C423" i="13"/>
  <c r="D423" i="13"/>
  <c r="C437" i="13"/>
  <c r="D448" i="13"/>
  <c r="C448" i="13"/>
  <c r="C470" i="13"/>
  <c r="C458" i="13"/>
  <c r="D477" i="13"/>
  <c r="C489" i="13"/>
  <c r="D482" i="13"/>
  <c r="C499" i="13"/>
  <c r="C487" i="13"/>
  <c r="D487" i="13"/>
  <c r="C492" i="13"/>
  <c r="C501" i="13"/>
  <c r="D512" i="13"/>
  <c r="C512" i="13"/>
  <c r="C534" i="13"/>
  <c r="C522" i="13"/>
  <c r="D569" i="13"/>
  <c r="C580" i="13"/>
  <c r="D585" i="13"/>
  <c r="D605" i="13"/>
  <c r="C617" i="13"/>
  <c r="C622" i="13"/>
  <c r="D610" i="13"/>
  <c r="C610" i="13"/>
  <c r="C620" i="13"/>
  <c r="C629" i="13"/>
  <c r="C316" i="13"/>
  <c r="C324" i="13"/>
  <c r="D314" i="13"/>
  <c r="D329" i="13"/>
  <c r="D346" i="13"/>
  <c r="D361" i="13"/>
  <c r="C404" i="13"/>
  <c r="C392" i="13"/>
  <c r="D392" i="13"/>
  <c r="D424" i="13"/>
  <c r="C424" i="13"/>
  <c r="C446" i="13"/>
  <c r="C434" i="13"/>
  <c r="D453" i="13"/>
  <c r="C465" i="13"/>
  <c r="C475" i="13"/>
  <c r="C463" i="13"/>
  <c r="D463" i="13"/>
  <c r="D473" i="13"/>
  <c r="D488" i="13"/>
  <c r="C488" i="13"/>
  <c r="C510" i="13"/>
  <c r="C498" i="13"/>
  <c r="D517" i="13"/>
  <c r="C529" i="13"/>
  <c r="C550" i="13"/>
  <c r="D538" i="13"/>
  <c r="C538" i="13"/>
  <c r="C566" i="13"/>
  <c r="D554" i="13"/>
  <c r="C554" i="13"/>
  <c r="C582" i="13"/>
  <c r="D570" i="13"/>
  <c r="C570" i="13"/>
  <c r="C598" i="13"/>
  <c r="D586" i="13"/>
  <c r="C586" i="13"/>
  <c r="C596" i="13"/>
  <c r="C605" i="13"/>
  <c r="D625" i="13"/>
  <c r="C393" i="13"/>
  <c r="C398" i="13"/>
  <c r="D527" i="13"/>
  <c r="D535" i="13"/>
  <c r="D543" i="13"/>
  <c r="D551" i="13"/>
  <c r="D559" i="13"/>
  <c r="D567" i="13"/>
  <c r="D575" i="13"/>
  <c r="D583" i="13"/>
  <c r="C600" i="13"/>
  <c r="C608" i="13"/>
  <c r="C616" i="13"/>
  <c r="C624" i="13"/>
  <c r="C632" i="13"/>
  <c r="C640" i="13"/>
  <c r="D648" i="13"/>
  <c r="C660" i="13"/>
  <c r="C662" i="13"/>
  <c r="C650" i="13"/>
  <c r="D650" i="13"/>
  <c r="D414" i="13"/>
  <c r="D422" i="13"/>
  <c r="D430" i="13"/>
  <c r="D438" i="13"/>
  <c r="D446" i="13"/>
  <c r="D454" i="13"/>
  <c r="D462" i="13"/>
  <c r="D470" i="13"/>
  <c r="D478" i="13"/>
  <c r="D486" i="13"/>
  <c r="D494" i="13"/>
  <c r="D502" i="13"/>
  <c r="D510" i="13"/>
  <c r="D518" i="13"/>
  <c r="D526" i="13"/>
  <c r="D534" i="13"/>
  <c r="D542" i="13"/>
  <c r="D550" i="13"/>
  <c r="D558" i="13"/>
  <c r="D566" i="13"/>
  <c r="D574" i="13"/>
  <c r="D582" i="13"/>
  <c r="D590" i="13"/>
  <c r="D598" i="13"/>
  <c r="D606" i="13"/>
  <c r="D614" i="13"/>
  <c r="D622" i="13"/>
  <c r="D630" i="13"/>
  <c r="D638" i="13"/>
  <c r="C642" i="13"/>
  <c r="D651" i="13"/>
  <c r="D642" i="13"/>
  <c r="C659" i="13"/>
  <c r="D647" i="13"/>
  <c r="D383" i="13"/>
  <c r="D398" i="13"/>
  <c r="D407" i="13"/>
  <c r="D411" i="13"/>
  <c r="D419" i="13"/>
  <c r="D427" i="13"/>
  <c r="D435" i="13"/>
  <c r="D443" i="13"/>
  <c r="D451" i="13"/>
  <c r="D459" i="13"/>
  <c r="D467" i="13"/>
  <c r="D475" i="13"/>
  <c r="D483" i="13"/>
  <c r="D491" i="13"/>
  <c r="D499" i="13"/>
  <c r="D507" i="13"/>
  <c r="D515" i="13"/>
  <c r="D523" i="13"/>
  <c r="C527" i="13"/>
  <c r="D531" i="13"/>
  <c r="C535" i="13"/>
  <c r="D539" i="13"/>
  <c r="C543" i="13"/>
  <c r="D547" i="13"/>
  <c r="C551" i="13"/>
  <c r="D555" i="13"/>
  <c r="C559" i="13"/>
  <c r="D563" i="13"/>
  <c r="C567" i="13"/>
  <c r="D571" i="13"/>
  <c r="C575" i="13"/>
  <c r="D579" i="13"/>
  <c r="C583" i="13"/>
  <c r="D587" i="13"/>
  <c r="C591" i="13"/>
  <c r="D595" i="13"/>
  <c r="C599" i="13"/>
  <c r="D603" i="13"/>
  <c r="C607" i="13"/>
  <c r="D611" i="13"/>
  <c r="C615" i="13"/>
  <c r="D619" i="13"/>
  <c r="C623" i="13"/>
  <c r="D627" i="13"/>
  <c r="C631" i="13"/>
  <c r="D635" i="13"/>
  <c r="C639" i="13"/>
  <c r="D643" i="13"/>
  <c r="C647" i="13"/>
  <c r="C652" i="13"/>
  <c r="C657" i="13"/>
  <c r="C665" i="13"/>
  <c r="C673" i="13"/>
  <c r="C681" i="13"/>
  <c r="C689" i="13"/>
  <c r="C697" i="13"/>
  <c r="D702" i="13"/>
  <c r="C705" i="13"/>
  <c r="C713" i="13"/>
  <c r="D657" i="13"/>
  <c r="D665" i="13"/>
  <c r="C668" i="13"/>
  <c r="D673" i="13"/>
  <c r="C676" i="13"/>
  <c r="D681" i="13"/>
  <c r="C684" i="13"/>
  <c r="D689" i="13"/>
  <c r="C692" i="13"/>
  <c r="D697" i="13"/>
  <c r="C700" i="13"/>
  <c r="D705" i="13"/>
  <c r="C708" i="13"/>
  <c r="D713" i="13"/>
  <c r="C663" i="13"/>
  <c r="C671" i="13"/>
  <c r="C679" i="13"/>
  <c r="C687" i="13"/>
  <c r="C695" i="13"/>
  <c r="C703" i="13"/>
  <c r="C711" i="13"/>
  <c r="D655" i="13"/>
  <c r="C658" i="13"/>
  <c r="D663" i="13"/>
  <c r="C666" i="13"/>
  <c r="D671" i="13"/>
  <c r="C674" i="13"/>
  <c r="D679" i="13"/>
  <c r="C682" i="13"/>
  <c r="D687" i="13"/>
  <c r="C690" i="13"/>
  <c r="D695" i="13"/>
  <c r="C698" i="13"/>
  <c r="D703" i="13"/>
  <c r="C706" i="13"/>
  <c r="D658" i="13"/>
  <c r="D666" i="13"/>
  <c r="D674" i="13"/>
  <c r="D682" i="13"/>
  <c r="D690" i="13"/>
  <c r="D698" i="13"/>
  <c r="S3" i="12" l="1"/>
  <c r="J5" i="12"/>
  <c r="U4" i="11"/>
  <c r="U3" i="11"/>
  <c r="U5" i="11"/>
  <c r="AA5" i="12"/>
  <c r="AA3" i="12"/>
  <c r="M4" i="12"/>
  <c r="M3" i="12"/>
  <c r="P3" i="12"/>
  <c r="P5" i="12"/>
  <c r="P4" i="12"/>
  <c r="I3" i="12"/>
  <c r="S4" i="12"/>
  <c r="C5" i="12"/>
  <c r="Y5" i="11"/>
  <c r="Y3" i="11"/>
  <c r="K5" i="11"/>
  <c r="F4" i="12"/>
  <c r="F3" i="12"/>
  <c r="F5" i="12"/>
  <c r="T5" i="12"/>
  <c r="T3" i="12"/>
  <c r="T4" i="12"/>
  <c r="V3" i="11"/>
  <c r="V5" i="11"/>
  <c r="V4" i="11"/>
  <c r="H4" i="11"/>
  <c r="S4" i="11"/>
  <c r="S3" i="11"/>
  <c r="S5" i="11"/>
  <c r="K5" i="12"/>
  <c r="K4" i="12"/>
  <c r="K3" i="12"/>
  <c r="O4" i="11"/>
  <c r="O5" i="11"/>
  <c r="O3" i="11"/>
  <c r="J4" i="12"/>
  <c r="AA3" i="11"/>
  <c r="N4" i="12"/>
  <c r="N3" i="12"/>
  <c r="N5" i="12"/>
  <c r="G3" i="12"/>
  <c r="G5" i="12"/>
  <c r="G4" i="12"/>
  <c r="D5" i="12"/>
  <c r="D3" i="12"/>
  <c r="D4" i="12"/>
  <c r="L4" i="12"/>
  <c r="H4" i="12"/>
  <c r="L5" i="11"/>
  <c r="L3" i="11"/>
  <c r="L4" i="11"/>
  <c r="K4" i="11"/>
  <c r="I4" i="11"/>
  <c r="I3" i="11"/>
  <c r="K3" i="11"/>
  <c r="H3" i="11"/>
  <c r="P4" i="11"/>
  <c r="P5" i="11"/>
  <c r="P3" i="11"/>
  <c r="D5" i="11"/>
  <c r="D3" i="11"/>
  <c r="D4" i="11"/>
  <c r="L3" i="12"/>
  <c r="I5" i="12"/>
  <c r="C3" i="11"/>
  <c r="C5" i="11"/>
  <c r="C4" i="11"/>
  <c r="X4" i="12"/>
  <c r="X3" i="12"/>
  <c r="X5" i="12"/>
  <c r="R3" i="11"/>
  <c r="R4" i="11"/>
  <c r="E5" i="12"/>
  <c r="E4" i="12"/>
  <c r="E3" i="12"/>
  <c r="O3" i="12"/>
  <c r="O4" i="12"/>
  <c r="O5" i="12"/>
  <c r="Q5" i="12"/>
  <c r="V3" i="12"/>
  <c r="E4" i="11"/>
  <c r="E5" i="11"/>
  <c r="E3" i="11"/>
  <c r="Z5" i="12"/>
  <c r="H5" i="12"/>
  <c r="W4" i="11"/>
  <c r="H5" i="11"/>
  <c r="R5" i="12"/>
  <c r="R3" i="12"/>
  <c r="Y3" i="12"/>
  <c r="Y5" i="12"/>
  <c r="Y4" i="12"/>
  <c r="F3" i="11"/>
  <c r="F4" i="11"/>
  <c r="F5" i="11"/>
  <c r="U4" i="12"/>
  <c r="N3" i="11"/>
  <c r="N4" i="11"/>
  <c r="N5" i="11"/>
  <c r="C4" i="12"/>
  <c r="X4" i="11"/>
  <c r="X5" i="11"/>
  <c r="X3" i="11"/>
  <c r="U3" i="12"/>
  <c r="G3" i="13"/>
  <c r="G2" i="13"/>
  <c r="G4" i="13"/>
  <c r="W3" i="12"/>
  <c r="W5" i="12"/>
  <c r="W4" i="12"/>
  <c r="Z5" i="11"/>
  <c r="Z3" i="11"/>
  <c r="Z4" i="11"/>
  <c r="M4" i="11"/>
  <c r="M3" i="11"/>
  <c r="M5" i="11"/>
  <c r="H3" i="12"/>
  <c r="G3" i="11"/>
  <c r="Q4" i="11"/>
  <c r="J3" i="11"/>
  <c r="J5" i="11"/>
  <c r="T4" i="11"/>
</calcChain>
</file>

<file path=xl/sharedStrings.xml><?xml version="1.0" encoding="utf-8"?>
<sst xmlns="http://schemas.openxmlformats.org/spreadsheetml/2006/main" count="2000" uniqueCount="1039">
  <si>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</si>
  <si>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</si>
  <si>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</si>
  <si>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</si>
  <si>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Summary</t>
  </si>
  <si>
    <t>TO DO LIST</t>
  </si>
  <si>
    <t>Comments</t>
  </si>
  <si>
    <t>Country</t>
  </si>
  <si>
    <t>Last</t>
  </si>
  <si>
    <t>mom annualized</t>
  </si>
  <si>
    <t>Argentina</t>
  </si>
  <si>
    <t>https://fred.stlouisfed.org/series/M2REAL</t>
  </si>
  <si>
    <t>U.S.</t>
  </si>
  <si>
    <t>Brazil</t>
  </si>
  <si>
    <t>https://fred.stlouisfed.org/series/M1REAL</t>
  </si>
  <si>
    <t>Canada</t>
  </si>
  <si>
    <t>https://fred.stlouisfed.org/series/M1</t>
  </si>
  <si>
    <t xml:space="preserve">U.S. </t>
  </si>
  <si>
    <t>China</t>
  </si>
  <si>
    <t>DGORDER</t>
  </si>
  <si>
    <t>Durable Goods New Orders</t>
  </si>
  <si>
    <t>https://fred.stlouisfed.org/series/M2</t>
  </si>
  <si>
    <t>U.S. discontinued</t>
  </si>
  <si>
    <t>Euro Area</t>
  </si>
  <si>
    <t>ADXTNO</t>
  </si>
  <si>
    <t>New Orders ex Transport</t>
  </si>
  <si>
    <t>https://fred.stlouisfed.org/series/M2SL</t>
  </si>
  <si>
    <t>France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</si>
  <si>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</si>
  <si>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</si>
  <si>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</si>
  <si>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</si>
  <si>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Germany</t>
  </si>
  <si>
    <t>AMTUNO</t>
  </si>
  <si>
    <t>New Orders - Manufacturing</t>
  </si>
  <si>
    <t>https://data.oecd.org/money/broad-money-m3.htm</t>
  </si>
  <si>
    <t>Table</t>
  </si>
  <si>
    <t>India</t>
  </si>
  <si>
    <t>A36SNO</t>
  </si>
  <si>
    <t>New Orders - Transportation Equipment</t>
  </si>
  <si>
    <t>Monthly</t>
  </si>
  <si>
    <t>Indonesia</t>
  </si>
  <si>
    <t>A32SNO</t>
  </si>
  <si>
    <t>New Orders - Fabricated Metal Products</t>
  </si>
  <si>
    <t>from beginning</t>
  </si>
  <si>
    <t>Italy</t>
  </si>
  <si>
    <t>A33SNO</t>
  </si>
  <si>
    <t>New Orders - Machinery</t>
  </si>
  <si>
    <t>download Select data only</t>
  </si>
  <si>
    <t>Japan</t>
  </si>
  <si>
    <t>A34SNO</t>
  </si>
  <si>
    <t>New Orders - Computers</t>
  </si>
  <si>
    <t>Data</t>
  </si>
  <si>
    <t>Mexico</t>
  </si>
  <si>
    <t>A31SNO</t>
  </si>
  <si>
    <t>New Orders - Primary Metals</t>
  </si>
  <si>
    <t>Netherlands</t>
  </si>
  <si>
    <t>A35SNO</t>
  </si>
  <si>
    <t>New Orders - Electrical Equipment</t>
  </si>
  <si>
    <t>Russia</t>
  </si>
  <si>
    <t>Saudi Arabia</t>
  </si>
  <si>
    <t>Singapore</t>
  </si>
  <si>
    <t>South Africa</t>
  </si>
  <si>
    <t>South Korea</t>
  </si>
  <si>
    <t>Spain</t>
  </si>
  <si>
    <t>Switzerland</t>
  </si>
  <si>
    <t>Turkey</t>
  </si>
  <si>
    <t>United Kingdom</t>
  </si>
  <si>
    <t>United States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</si>
  <si>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</si>
  <si>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</si>
  <si>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</si>
  <si>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</si>
  <si>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</si>
  <si>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</si>
  <si>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M2V</t>
  </si>
  <si>
    <t>Velocity of M2 Money Stock, Ratio, Quarterly, Seasonally Adjusted</t>
  </si>
  <si>
    <t>Frequency: Quarterly</t>
  </si>
  <si>
    <t>Date</t>
  </si>
  <si>
    <t>DATE</t>
  </si>
  <si>
    <t>M1REAL</t>
  </si>
  <si>
    <t>M2REAL</t>
  </si>
  <si>
    <t>M1</t>
  </si>
  <si>
    <t>M2SL</t>
  </si>
  <si>
    <t>AUS</t>
  </si>
  <si>
    <t>BEL</t>
  </si>
  <si>
    <t>BRA</t>
  </si>
  <si>
    <t>CAN</t>
  </si>
  <si>
    <t>CHE</t>
  </si>
  <si>
    <t>CHL</t>
  </si>
  <si>
    <t>CHN</t>
  </si>
  <si>
    <t>COL</t>
  </si>
  <si>
    <t>CRI</t>
  </si>
  <si>
    <t>CZE</t>
  </si>
  <si>
    <t>DEU</t>
  </si>
  <si>
    <t>DNK</t>
  </si>
  <si>
    <t>EA19</t>
  </si>
  <si>
    <t>ESP</t>
  </si>
  <si>
    <t>EST</t>
  </si>
  <si>
    <t>EU28</t>
  </si>
  <si>
    <t>FIN</t>
  </si>
  <si>
    <t>FRA</t>
  </si>
  <si>
    <t>G-20</t>
  </si>
  <si>
    <t>G-7</t>
  </si>
  <si>
    <t>GBR</t>
  </si>
  <si>
    <t>GRC</t>
  </si>
  <si>
    <t>HUN</t>
  </si>
  <si>
    <t>IDN</t>
  </si>
  <si>
    <t>IND</t>
  </si>
  <si>
    <t>IRL</t>
  </si>
  <si>
    <t>ISL</t>
  </si>
  <si>
    <t>ISR</t>
  </si>
  <si>
    <t>ITA</t>
  </si>
  <si>
    <t>JPN</t>
  </si>
  <si>
    <t>KOR</t>
  </si>
  <si>
    <t>LTU</t>
  </si>
  <si>
    <t>LUX</t>
  </si>
  <si>
    <t>LVA</t>
  </si>
  <si>
    <t>MEX</t>
  </si>
  <si>
    <t>NLD</t>
  </si>
  <si>
    <t>NOR</t>
  </si>
  <si>
    <t>OECD</t>
  </si>
  <si>
    <t>OECDE</t>
  </si>
  <si>
    <t>POL</t>
  </si>
  <si>
    <t>PRT</t>
  </si>
  <si>
    <t>RUS</t>
  </si>
  <si>
    <t>SAU</t>
  </si>
  <si>
    <t>SVK</t>
  </si>
  <si>
    <t>SVN</t>
  </si>
  <si>
    <t>SWE</t>
  </si>
  <si>
    <t>TUR</t>
  </si>
  <si>
    <t>USA</t>
  </si>
  <si>
    <t>ZAF</t>
  </si>
  <si>
    <t>NZL</t>
  </si>
  <si>
    <t>1951-05</t>
  </si>
  <si>
    <t>1950-01</t>
  </si>
  <si>
    <t>1951-06</t>
  </si>
  <si>
    <t>1950-02</t>
  </si>
  <si>
    <t>1951-07</t>
  </si>
  <si>
    <t>1950-03</t>
  </si>
  <si>
    <t>1951-08</t>
  </si>
  <si>
    <t>1950-04</t>
  </si>
  <si>
    <t>1951-09</t>
  </si>
  <si>
    <t>1950-05</t>
  </si>
  <si>
    <t>1951-10</t>
  </si>
  <si>
    <t>1950-06</t>
  </si>
  <si>
    <t>1951-11</t>
  </si>
  <si>
    <t>1950-07</t>
  </si>
  <si>
    <t>1951-12</t>
  </si>
  <si>
    <t>1950-08</t>
  </si>
  <si>
    <t>1952-01</t>
  </si>
  <si>
    <t>1950-09</t>
  </si>
  <si>
    <t>1952-02</t>
  </si>
  <si>
    <t>1950-10</t>
  </si>
  <si>
    <t>1952-03</t>
  </si>
  <si>
    <t>1950-11</t>
  </si>
  <si>
    <t>1952-04</t>
  </si>
  <si>
    <t>1950-12</t>
  </si>
  <si>
    <t>1952-05</t>
  </si>
  <si>
    <t>1951-01</t>
  </si>
  <si>
    <t>1952-06</t>
  </si>
  <si>
    <t>1951-02</t>
  </si>
  <si>
    <t>1952-07</t>
  </si>
  <si>
    <t>1951-03</t>
  </si>
  <si>
    <t>1952-08</t>
  </si>
  <si>
    <t>1951-04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</si>
  <si>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</si>
  <si>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</si>
  <si>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</si>
  <si>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</si>
  <si>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</si>
  <si>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</si>
  <si>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</si>
  <si>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</si>
  <si>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</si>
  <si>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</si>
  <si>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</si>
  <si>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</si>
  <si>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</si>
  <si>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</si>
  <si>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</si>
  <si>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</si>
  <si>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</si>
  <si>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</si>
  <si>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</si>
  <si>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</si>
  <si>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</si>
  <si>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</si>
  <si>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</si>
  <si>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</si>
  <si>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</si>
  <si>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</si>
  <si>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</si>
  <si>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</si>
  <si>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</si>
  <si>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</si>
  <si>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</si>
  <si>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</si>
  <si>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</si>
  <si>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</si>
  <si>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</si>
  <si>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</si>
  <si>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</si>
  <si>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</si>
  <si>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</si>
  <si>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</si>
  <si>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</si>
  <si>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</si>
  <si>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</si>
  <si>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</si>
  <si>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</si>
  <si>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</si>
  <si>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</si>
  <si>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</si>
  <si>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</si>
  <si>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</si>
  <si>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</si>
  <si>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</si>
  <si>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</si>
  <si>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</si>
  <si>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</si>
  <si>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</si>
  <si>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</si>
  <si>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</si>
  <si>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</si>
  <si>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</si>
  <si>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</si>
  <si>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</si>
  <si>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</si>
  <si>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</si>
  <si>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</si>
  <si>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</si>
  <si>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</si>
  <si>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</si>
  <si>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</si>
  <si>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</si>
  <si>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</si>
  <si>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</si>
  <si>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</si>
  <si>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</si>
  <si>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</si>
  <si>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</si>
  <si>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</si>
  <si>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</si>
  <si>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</si>
  <si>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</si>
  <si>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</si>
  <si>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</si>
  <si>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</si>
  <si>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</si>
  <si>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</si>
  <si>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</si>
  <si>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</si>
  <si>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</si>
  <si>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</si>
  <si>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</si>
  <si>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</si>
  <si>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</si>
  <si>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</si>
  <si>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</si>
  <si>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</si>
  <si>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</si>
  <si>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</si>
  <si>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</si>
  <si>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</si>
  <si>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</si>
  <si>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</si>
  <si>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</si>
  <si>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</si>
  <si>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</si>
  <si>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</si>
  <si>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</si>
  <si>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</si>
  <si>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</si>
  <si>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</si>
  <si>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</si>
  <si>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</si>
  <si>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</si>
  <si>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</si>
  <si>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</si>
  <si>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</si>
  <si>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</si>
  <si>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</si>
  <si>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</si>
  <si>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</si>
  <si>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</si>
  <si>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</si>
  <si>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</si>
  <si>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</si>
  <si>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</si>
  <si>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</si>
  <si>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</si>
  <si>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</si>
  <si>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</si>
  <si>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</si>
  <si>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</si>
  <si>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</si>
  <si>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</si>
  <si>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</si>
  <si>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</si>
  <si>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</si>
  <si>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</si>
  <si>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</si>
  <si>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</si>
  <si>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</si>
  <si>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</si>
  <si>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</si>
  <si>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</si>
  <si>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</si>
  <si>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</si>
  <si>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</si>
  <si>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</si>
  <si>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</si>
  <si>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</si>
  <si>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</si>
  <si>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</si>
  <si>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</si>
  <si>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</si>
  <si>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</si>
  <si>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</si>
  <si>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</si>
  <si>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</si>
  <si>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</si>
  <si>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</si>
  <si>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</si>
  <si>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</si>
  <si>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</si>
  <si>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</si>
  <si>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</si>
  <si>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</si>
  <si>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</si>
  <si>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</si>
  <si>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</si>
  <si>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</si>
  <si>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</si>
  <si>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</si>
  <si>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</si>
  <si>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</si>
  <si>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</si>
  <si>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</si>
  <si>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</si>
  <si>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</si>
  <si>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</si>
  <si>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</si>
  <si>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</si>
  <si>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</si>
  <si>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</si>
  <si>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</si>
  <si>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</si>
  <si>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</si>
  <si>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</si>
  <si>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</si>
  <si>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</si>
  <si>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</si>
  <si>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</si>
  <si>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</si>
  <si>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</si>
  <si>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</si>
  <si>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</si>
  <si>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</si>
  <si>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</si>
  <si>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</si>
  <si>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</si>
  <si>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</si>
  <si>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</si>
  <si>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</si>
  <si>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</si>
  <si>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</si>
  <si>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</si>
  <si>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</si>
  <si>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</si>
  <si>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</si>
  <si>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</si>
  <si>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</si>
  <si>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</si>
  <si>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</si>
  <si>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</si>
  <si>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</si>
  <si>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</si>
  <si>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</si>
  <si>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</si>
  <si>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</si>
  <si>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</si>
  <si>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</si>
  <si>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</si>
  <si>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</si>
  <si>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</si>
  <si>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</si>
  <si>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</si>
  <si>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</si>
  <si>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</si>
  <si>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</si>
  <si>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</si>
  <si>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</si>
  <si>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</si>
  <si>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</si>
  <si>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</si>
  <si>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</si>
  <si>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</si>
  <si>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</si>
  <si>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</si>
  <si>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</si>
  <si>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</si>
  <si>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</si>
  <si>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</si>
  <si>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</si>
  <si>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</si>
  <si>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</si>
  <si>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</si>
  <si>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</si>
  <si>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</si>
  <si>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</si>
  <si>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</si>
  <si>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</si>
  <si>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</si>
  <si>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</si>
  <si>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</si>
  <si>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</si>
  <si>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</si>
  <si>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</si>
  <si>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</si>
  <si>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</si>
  <si>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</si>
  <si>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</si>
  <si>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</si>
  <si>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</si>
  <si>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</si>
  <si>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</si>
  <si>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</si>
  <si>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</si>
  <si>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</si>
  <si>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</si>
  <si>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</si>
  <si>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</si>
  <si>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</si>
  <si>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</si>
  <si>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</si>
  <si>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</si>
  <si>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</si>
  <si>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</si>
  <si>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</si>
  <si>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</si>
  <si>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</si>
  <si>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</si>
  <si>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</si>
  <si>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</si>
  <si>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</si>
  <si>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</si>
  <si>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</si>
  <si>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</si>
  <si>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</si>
  <si>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</si>
  <si>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</si>
  <si>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</si>
  <si>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</si>
  <si>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</si>
  <si>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</si>
  <si>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</si>
  <si>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</si>
  <si>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</si>
  <si>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</si>
  <si>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</si>
  <si>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</si>
  <si>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</si>
  <si>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</si>
  <si>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</si>
  <si>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</si>
  <si>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</si>
  <si>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</si>
  <si>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</si>
  <si>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</si>
  <si>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</si>
  <si>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</si>
  <si>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</si>
  <si>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</si>
  <si>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</si>
  <si>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</si>
  <si>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</si>
  <si>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</si>
  <si>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</si>
  <si>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</si>
  <si>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</si>
  <si>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</si>
  <si>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</si>
  <si>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</si>
  <si>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</si>
  <si>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</si>
  <si>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</si>
  <si>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</si>
  <si>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</si>
  <si>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</si>
  <si>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</si>
  <si>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</si>
  <si>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</si>
  <si>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</si>
  <si>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</si>
  <si>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</si>
  <si>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</si>
  <si>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</si>
  <si>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</si>
  <si>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</si>
  <si>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</si>
  <si>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</si>
  <si>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</si>
  <si>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</si>
  <si>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</si>
  <si>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</si>
  <si>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</si>
  <si>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</si>
  <si>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</si>
  <si>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</si>
  <si>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</si>
  <si>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</si>
  <si>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</si>
  <si>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</si>
  <si>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</si>
  <si>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</si>
  <si>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</si>
  <si>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</si>
  <si>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</si>
  <si>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</si>
  <si>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</si>
  <si>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</si>
  <si>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</si>
  <si>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</si>
  <si>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</si>
  <si>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</si>
  <si>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</si>
  <si>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</si>
  <si>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</si>
  <si>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</si>
  <si>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</si>
  <si>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</si>
  <si>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</si>
  <si>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</si>
  <si>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</si>
  <si>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</si>
  <si>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</si>
  <si>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</si>
  <si>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</si>
  <si>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</si>
  <si>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</si>
  <si>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</si>
  <si>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</si>
  <si>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</si>
  <si>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</si>
  <si>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</si>
  <si>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</si>
  <si>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</si>
  <si>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</si>
  <si>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</si>
  <si>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</si>
  <si>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</si>
  <si>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</si>
  <si>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</si>
  <si>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</si>
  <si>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</si>
  <si>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</si>
  <si>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</si>
  <si>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</si>
  <si>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</si>
  <si>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</si>
  <si>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</si>
  <si>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</si>
  <si>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</si>
  <si>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</si>
  <si>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</si>
  <si>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</si>
  <si>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</si>
  <si>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</si>
  <si>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</si>
  <si>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</si>
  <si>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</si>
  <si>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</si>
  <si>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</si>
  <si>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</si>
  <si>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</si>
  <si>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</si>
  <si>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</si>
  <si>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</si>
  <si>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</si>
  <si>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</si>
  <si>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</si>
  <si>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</si>
  <si>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</si>
  <si>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</si>
  <si>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</si>
  <si>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</si>
  <si>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</si>
  <si>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</si>
  <si>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</si>
  <si>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</si>
  <si>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</si>
  <si>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</si>
  <si>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</si>
  <si>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</si>
  <si>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</si>
  <si>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</si>
  <si>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</si>
  <si>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</si>
  <si>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</si>
  <si>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</si>
  <si>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</si>
  <si>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</si>
  <si>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</si>
  <si>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</si>
  <si>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</si>
  <si>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</si>
  <si>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</si>
  <si>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</si>
  <si>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</si>
  <si>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</si>
  <si>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</si>
  <si>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</si>
  <si>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</si>
  <si>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</si>
  <si>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</si>
  <si>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</si>
  <si>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</si>
  <si>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</si>
  <si>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</si>
  <si>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</si>
  <si>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</si>
  <si>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</si>
  <si>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</si>
  <si>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</si>
  <si>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</si>
  <si>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</si>
  <si>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</si>
  <si>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</si>
  <si>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</si>
  <si>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</si>
  <si>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</si>
  <si>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</si>
  <si>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</si>
  <si>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</si>
  <si>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</si>
  <si>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</si>
  <si>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</si>
  <si>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</si>
  <si>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</si>
  <si>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</si>
  <si>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</si>
  <si>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</si>
  <si>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</si>
  <si>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</si>
  <si>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</si>
  <si>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</si>
  <si>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</si>
  <si>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</si>
  <si>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</si>
  <si>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</si>
  <si>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</si>
  <si>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</si>
  <si>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</si>
  <si>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</si>
  <si>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</si>
  <si>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</si>
  <si>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</si>
  <si>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</si>
  <si>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</si>
  <si>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</si>
  <si>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</si>
  <si>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</si>
  <si>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</si>
  <si>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</si>
  <si>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</si>
  <si>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</si>
  <si>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</si>
  <si>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</si>
  <si>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</si>
  <si>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</si>
  <si>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</si>
  <si>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</si>
  <si>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</si>
  <si>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</si>
  <si>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</si>
  <si>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</si>
  <si>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</si>
  <si>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</si>
  <si>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</si>
  <si>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</si>
  <si>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</si>
  <si>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</si>
  <si>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</si>
  <si>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</si>
  <si>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</si>
  <si>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</si>
  <si>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</si>
  <si>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</si>
  <si>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</si>
  <si>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</si>
  <si>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</si>
  <si>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</si>
  <si>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</si>
  <si>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</si>
  <si>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</si>
  <si>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</si>
  <si>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</si>
  <si>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</si>
  <si>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</si>
  <si>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</si>
  <si>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</si>
  <si>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</si>
  <si>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</si>
  <si>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</si>
  <si>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</si>
  <si>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</si>
  <si>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</si>
  <si>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</si>
  <si>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</si>
  <si>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</si>
  <si>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</si>
  <si>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</si>
  <si>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</si>
  <si>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</si>
  <si>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</si>
  <si>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</si>
  <si>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</si>
  <si>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</si>
  <si>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</si>
  <si>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</si>
  <si>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</si>
  <si>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</si>
  <si>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</si>
  <si>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</si>
  <si>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</si>
  <si>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</si>
  <si>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</si>
  <si>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</si>
  <si>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</si>
  <si>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</si>
  <si>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</si>
  <si>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</si>
  <si>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</si>
  <si>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</si>
  <si>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</si>
  <si>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</si>
  <si>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</si>
  <si>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</si>
  <si>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</si>
  <si>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</si>
  <si>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</si>
  <si>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</si>
  <si>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</si>
  <si>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</si>
  <si>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</si>
  <si>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</si>
  <si>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</si>
  <si>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</si>
  <si>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</si>
  <si>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</si>
  <si>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</si>
  <si>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</si>
  <si>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</si>
  <si>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</si>
  <si>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</si>
  <si>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</si>
  <si>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</si>
  <si>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</si>
  <si>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</si>
  <si>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</si>
  <si>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</si>
  <si>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</si>
  <si>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</si>
  <si>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</si>
  <si>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</si>
  <si>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</si>
  <si>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</si>
  <si>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</si>
  <si>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</si>
  <si>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</si>
  <si>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</si>
  <si>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</si>
  <si>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</si>
  <si>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</si>
  <si>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</si>
  <si>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</si>
  <si>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</si>
  <si>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</si>
  <si>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</si>
  <si>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</si>
  <si>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</si>
  <si>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</si>
  <si>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</si>
  <si>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</si>
  <si>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</si>
  <si>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</si>
  <si>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</si>
  <si>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</si>
  <si>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</si>
  <si>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</si>
  <si>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</si>
  <si>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</si>
  <si>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</si>
  <si>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</si>
  <si>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</si>
  <si>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</si>
  <si>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</si>
  <si>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</si>
  <si>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</si>
  <si>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</si>
  <si>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</si>
  <si>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</si>
  <si>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</si>
  <si>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</si>
  <si>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</si>
  <si>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</si>
  <si>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</si>
  <si>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</si>
  <si>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</si>
  <si>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</si>
  <si>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</si>
  <si>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</si>
  <si>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</si>
  <si>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</si>
  <si>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</si>
  <si>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</si>
  <si>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</si>
  <si>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</si>
  <si>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</si>
  <si>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</si>
  <si>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</si>
  <si>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</si>
  <si>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</si>
  <si>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</si>
  <si>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</si>
  <si>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</si>
  <si>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</si>
  <si>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</si>
  <si>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</si>
  <si>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</si>
  <si>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</si>
  <si>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</si>
  <si>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</si>
  <si>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</si>
  <si>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</si>
  <si>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</si>
  <si>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</si>
  <si>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</si>
  <si>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</si>
  <si>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</si>
  <si>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</si>
  <si>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</si>
  <si>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</si>
  <si>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</si>
  <si>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</si>
  <si>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</si>
  <si>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</si>
  <si>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</si>
  <si>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</si>
  <si>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</si>
  <si>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</si>
  <si>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</si>
  <si>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</si>
  <si>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</si>
  <si>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</si>
  <si>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</si>
  <si>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</si>
  <si>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</si>
  <si>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</si>
  <si>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</si>
  <si>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</si>
  <si>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</si>
  <si>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</si>
  <si>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</si>
  <si>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</si>
  <si>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</si>
  <si>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</si>
  <si>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</si>
  <si>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</si>
  <si>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</si>
  <si>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</si>
  <si>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</si>
  <si>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</si>
  <si>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</si>
  <si>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</si>
  <si>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</si>
  <si>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</si>
  <si>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</si>
  <si>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</si>
  <si>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</si>
  <si>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</si>
  <si>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</si>
  <si>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</si>
  <si>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</si>
  <si>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</si>
  <si>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</si>
  <si>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</si>
  <si>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</si>
  <si>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</si>
  <si>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</si>
  <si>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</si>
  <si>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</si>
  <si>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</si>
  <si>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</si>
  <si>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</si>
  <si>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</si>
  <si>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</si>
  <si>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</si>
  <si>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</si>
  <si>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</si>
  <si>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</si>
  <si>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</si>
  <si>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</si>
  <si>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</si>
  <si>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</si>
  <si>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</si>
  <si>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</si>
  <si>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</si>
  <si>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</si>
  <si>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</si>
  <si>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</si>
  <si>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</si>
  <si>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</si>
  <si>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</si>
  <si>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</si>
  <si>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</si>
  <si>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</si>
  <si>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</si>
  <si>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</si>
  <si>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</si>
  <si>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</si>
  <si>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</si>
  <si>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</si>
  <si>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</si>
  <si>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</si>
  <si>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</si>
  <si>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</si>
  <si>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</si>
  <si>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</si>
  <si>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</si>
  <si>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</si>
  <si>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</si>
  <si>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</si>
  <si>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</si>
  <si>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</si>
  <si>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</si>
  <si>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</si>
  <si>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</si>
  <si>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</si>
  <si>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</si>
  <si>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</si>
  <si>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</si>
  <si>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</si>
  <si>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</si>
  <si>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</si>
  <si>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</si>
  <si>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</si>
  <si>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</si>
  <si>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</si>
  <si>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</si>
  <si>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</si>
  <si>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</si>
  <si>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</si>
  <si>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</si>
  <si>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</si>
  <si>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</si>
  <si>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</si>
  <si>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</si>
  <si>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</si>
  <si>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</si>
  <si>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</si>
  <si>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</si>
  <si>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</si>
  <si>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</si>
  <si>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</si>
  <si>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</si>
  <si>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</si>
  <si>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</si>
  <si>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</si>
  <si>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</si>
  <si>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</si>
  <si>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</si>
  <si>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2020-01</t>
  </si>
  <si>
    <t>2020-02</t>
  </si>
  <si>
    <t>Month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</si>
  <si>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</si>
  <si>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</si>
  <si>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</si>
  <si>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</si>
  <si>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</si>
  <si>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</si>
  <si>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</si>
  <si>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</si>
  <si>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</si>
  <si>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</si>
  <si>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</si>
  <si>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</si>
  <si>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</si>
  <si>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</si>
  <si>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</si>
  <si>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Previous</t>
  </si>
  <si>
    <t>Currency</t>
  </si>
  <si>
    <t>ARS Million</t>
  </si>
  <si>
    <t>BRL Million</t>
  </si>
  <si>
    <t>CAD Million</t>
  </si>
  <si>
    <t>CNY Billion</t>
  </si>
  <si>
    <t>EUR Million</t>
  </si>
  <si>
    <t>EUR Billion</t>
  </si>
  <si>
    <t>INR Billion</t>
  </si>
  <si>
    <t>IDR Billion</t>
  </si>
  <si>
    <t>JPY Billion</t>
  </si>
  <si>
    <t>MXN Thousand</t>
  </si>
  <si>
    <t>RUB Billion</t>
  </si>
  <si>
    <t>SAR Million</t>
  </si>
  <si>
    <t>SGD Million</t>
  </si>
  <si>
    <t>ZAR Million</t>
  </si>
  <si>
    <t>KRW Billion</t>
  </si>
  <si>
    <t>CHF Million</t>
  </si>
  <si>
    <t>TRY Thousand</t>
  </si>
  <si>
    <t>GBP Million</t>
  </si>
  <si>
    <t>USD Billion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</si>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</sst>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103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7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17" fontId="0" fillId="2" borderId="1" xfId="0" applyNumberForma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9" fillId="10" borderId="23" xfId="0" applyFont="1" applyFill="1" applyBorder="1" applyAlignment="1">
      <alignment horizontal="center"/>
    </xf>
    <xf numFmtId="0" fontId="9" fillId="10" borderId="19" xfId="0" applyFont="1" applyFill="1" applyBorder="1" applyAlignment="1">
      <alignment horizontal="center"/>
    </xf>
    <xf numFmtId="165" fontId="0" fillId="2" borderId="16" xfId="2" applyNumberFormat="1" applyFont="1" applyFill="1" applyBorder="1" applyAlignment="1">
      <alignment horizontal="center"/>
    </xf>
    <xf numFmtId="165" fontId="0" fillId="2" borderId="17" xfId="2" applyNumberFormat="1" applyFont="1" applyFill="1" applyBorder="1" applyAlignment="1">
      <alignment horizontal="center"/>
    </xf>
    <xf numFmtId="165" fontId="0" fillId="2" borderId="18" xfId="2" applyNumberFormat="1" applyFont="1" applyFill="1" applyBorder="1" applyAlignment="1">
      <alignment horizontal="center"/>
    </xf>
    <xf numFmtId="0" fontId="15" fillId="0" borderId="0" xfId="4"/>
    <xf numFmtId="166" fontId="15" fillId="0" borderId="0" xfId="4" applyNumberFormat="1"/>
    <xf numFmtId="167" fontId="15" fillId="0" borderId="0" xfId="4" applyNumberFormat="1"/>
    <xf numFmtId="0" fontId="0" fillId="0" borderId="0" xfId="0"/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30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9" fillId="10" borderId="1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9" fillId="10" borderId="13" xfId="0" applyFont="1" applyFill="1" applyBorder="1" applyAlignment="1">
      <alignment horizontal="center"/>
    </xf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  <xf numFmtId="0" fontId="10" fillId="10" borderId="27" xfId="0" applyFont="1" applyFill="1" applyBorder="1" applyAlignment="1">
      <alignment horizontal="center"/>
    </xf>
    <xf numFmtId="0" fontId="9" fillId="10" borderId="28" xfId="0" applyFont="1" applyFill="1" applyBorder="1" applyAlignment="1">
      <alignment horizontal="center"/>
    </xf>
    <xf numFmtId="0" fontId="0" fillId="0" borderId="25" xfId="0" applyBorder="1"/>
    <xf numFmtId="0" fontId="10" fillId="10" borderId="29" xfId="0" applyFont="1" applyFill="1" applyBorder="1" applyAlignment="1">
      <alignment horizontal="center"/>
    </xf>
    <xf numFmtId="0" fontId="0" fillId="0" borderId="24" xfId="0" applyBorder="1"/>
    <xf numFmtId="0" fontId="10" fillId="10" borderId="26" xfId="0" applyFont="1" applyFill="1" applyBorder="1" applyAlignment="1">
      <alignment horizontal="center"/>
    </xf>
    <xf numFmtId="0" fontId="0" fillId="0" borderId="20" xfId="0" applyBorder="1"/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6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'!$A$6:$A$760</c:f>
              <c:numCache>
                <c:formatCode>m/d/yy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'!$B$6:$B$760</c:f>
              <c:numCache>
                <c:formatCode>0.0</c:formatCode>
                <c:ptCount val="755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D-FA4C-B79E-12AE1539D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Velocity!$A$12:$A$255</c:f>
              <c:numCache>
                <c:formatCode>yyyy\-mm\-dd</c:formatCode>
                <c:ptCount val="24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</c:numCache>
            </c:numRef>
          </c:cat>
          <c:val>
            <c:numRef>
              <c:f>Velocity!$B$12:$B$255</c:f>
              <c:numCache>
                <c:formatCode>0.000</c:formatCode>
                <c:ptCount val="24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1.724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1.694</c:v>
                </c:pt>
                <c:pt idx="35">
                  <c:v>1.69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1.7110000000000001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2.1789999999999998</c:v>
                </c:pt>
                <c:pt idx="152">
                  <c:v>2.1789999999999998</c:v>
                </c:pt>
                <c:pt idx="153">
                  <c:v>2.1949999999999998</c:v>
                </c:pt>
                <c:pt idx="154">
                  <c:v>2.198</c:v>
                </c:pt>
                <c:pt idx="155">
                  <c:v>2.19</c:v>
                </c:pt>
                <c:pt idx="156">
                  <c:v>2.1749999999999998</c:v>
                </c:pt>
                <c:pt idx="157">
                  <c:v>2.16</c:v>
                </c:pt>
                <c:pt idx="158">
                  <c:v>2.16</c:v>
                </c:pt>
                <c:pt idx="159">
                  <c:v>2.145</c:v>
                </c:pt>
                <c:pt idx="160">
                  <c:v>2.1360000000000001</c:v>
                </c:pt>
                <c:pt idx="161">
                  <c:v>2.129</c:v>
                </c:pt>
                <c:pt idx="162">
                  <c:v>2.1320000000000001</c:v>
                </c:pt>
                <c:pt idx="163">
                  <c:v>2.1509999999999998</c:v>
                </c:pt>
                <c:pt idx="164">
                  <c:v>2.14</c:v>
                </c:pt>
                <c:pt idx="165">
                  <c:v>2.1560000000000001</c:v>
                </c:pt>
                <c:pt idx="166">
                  <c:v>2.1459999999999999</c:v>
                </c:pt>
                <c:pt idx="167">
                  <c:v>2.1389999999999998</c:v>
                </c:pt>
                <c:pt idx="168">
                  <c:v>2.0910000000000002</c:v>
                </c:pt>
                <c:pt idx="169">
                  <c:v>2.0640000000000001</c:v>
                </c:pt>
                <c:pt idx="170">
                  <c:v>2.0179999999999998</c:v>
                </c:pt>
                <c:pt idx="171">
                  <c:v>1.9850000000000001</c:v>
                </c:pt>
                <c:pt idx="172">
                  <c:v>1.974</c:v>
                </c:pt>
                <c:pt idx="173">
                  <c:v>1.9770000000000001</c:v>
                </c:pt>
                <c:pt idx="174">
                  <c:v>1.958</c:v>
                </c:pt>
                <c:pt idx="175">
                  <c:v>1.9330000000000001</c:v>
                </c:pt>
                <c:pt idx="176">
                  <c:v>1.92</c:v>
                </c:pt>
                <c:pt idx="177">
                  <c:v>1.905</c:v>
                </c:pt>
                <c:pt idx="178">
                  <c:v>1.909</c:v>
                </c:pt>
                <c:pt idx="179">
                  <c:v>1.944</c:v>
                </c:pt>
                <c:pt idx="180">
                  <c:v>1.954</c:v>
                </c:pt>
                <c:pt idx="181">
                  <c:v>1.944</c:v>
                </c:pt>
                <c:pt idx="182">
                  <c:v>1.9530000000000001</c:v>
                </c:pt>
                <c:pt idx="183">
                  <c:v>1.962</c:v>
                </c:pt>
                <c:pt idx="184">
                  <c:v>1.988</c:v>
                </c:pt>
                <c:pt idx="185">
                  <c:v>1.9970000000000001</c:v>
                </c:pt>
                <c:pt idx="186">
                  <c:v>2.004</c:v>
                </c:pt>
                <c:pt idx="187">
                  <c:v>2.0059999999999998</c:v>
                </c:pt>
                <c:pt idx="188">
                  <c:v>2.0209999999999999</c:v>
                </c:pt>
                <c:pt idx="189">
                  <c:v>2.0209999999999999</c:v>
                </c:pt>
                <c:pt idx="190">
                  <c:v>2.0089999999999999</c:v>
                </c:pt>
                <c:pt idx="191">
                  <c:v>2</c:v>
                </c:pt>
                <c:pt idx="192">
                  <c:v>1.996</c:v>
                </c:pt>
                <c:pt idx="193">
                  <c:v>1.9870000000000001</c:v>
                </c:pt>
                <c:pt idx="194">
                  <c:v>1.9770000000000001</c:v>
                </c:pt>
                <c:pt idx="195">
                  <c:v>1.976</c:v>
                </c:pt>
                <c:pt idx="196">
                  <c:v>1.9350000000000001</c:v>
                </c:pt>
                <c:pt idx="197">
                  <c:v>1.923</c:v>
                </c:pt>
                <c:pt idx="198">
                  <c:v>1.903</c:v>
                </c:pt>
                <c:pt idx="199">
                  <c:v>1.8089999999999999</c:v>
                </c:pt>
                <c:pt idx="200">
                  <c:v>1.7330000000000001</c:v>
                </c:pt>
                <c:pt idx="201">
                  <c:v>1.708</c:v>
                </c:pt>
                <c:pt idx="202">
                  <c:v>1.71</c:v>
                </c:pt>
                <c:pt idx="203">
                  <c:v>1.726</c:v>
                </c:pt>
                <c:pt idx="204">
                  <c:v>1.736</c:v>
                </c:pt>
                <c:pt idx="205">
                  <c:v>1.7430000000000001</c:v>
                </c:pt>
                <c:pt idx="206">
                  <c:v>1.7430000000000001</c:v>
                </c:pt>
                <c:pt idx="207">
                  <c:v>1.74</c:v>
                </c:pt>
                <c:pt idx="208">
                  <c:v>1.7230000000000001</c:v>
                </c:pt>
                <c:pt idx="209">
                  <c:v>1.714</c:v>
                </c:pt>
                <c:pt idx="210">
                  <c:v>1.65</c:v>
                </c:pt>
                <c:pt idx="211">
                  <c:v>1.643</c:v>
                </c:pt>
                <c:pt idx="212">
                  <c:v>1.639</c:v>
                </c:pt>
                <c:pt idx="213">
                  <c:v>1.629</c:v>
                </c:pt>
                <c:pt idx="214">
                  <c:v>1.6060000000000001</c:v>
                </c:pt>
                <c:pt idx="215">
                  <c:v>1.5820000000000001</c:v>
                </c:pt>
                <c:pt idx="216">
                  <c:v>1.579</c:v>
                </c:pt>
                <c:pt idx="217">
                  <c:v>1.5669999999999999</c:v>
                </c:pt>
                <c:pt idx="218">
                  <c:v>1.5629999999999999</c:v>
                </c:pt>
                <c:pt idx="219">
                  <c:v>1.5569999999999999</c:v>
                </c:pt>
                <c:pt idx="220">
                  <c:v>1.536</c:v>
                </c:pt>
                <c:pt idx="221">
                  <c:v>1.5409999999999999</c:v>
                </c:pt>
                <c:pt idx="222">
                  <c:v>1.546</c:v>
                </c:pt>
                <c:pt idx="223">
                  <c:v>1.538</c:v>
                </c:pt>
                <c:pt idx="224">
                  <c:v>1.522</c:v>
                </c:pt>
                <c:pt idx="225">
                  <c:v>1.524</c:v>
                </c:pt>
                <c:pt idx="226">
                  <c:v>1.516</c:v>
                </c:pt>
                <c:pt idx="227">
                  <c:v>1.496</c:v>
                </c:pt>
                <c:pt idx="228">
                  <c:v>1.47</c:v>
                </c:pt>
                <c:pt idx="229">
                  <c:v>1.4610000000000001</c:v>
                </c:pt>
                <c:pt idx="230">
                  <c:v>1.4510000000000001</c:v>
                </c:pt>
                <c:pt idx="231">
                  <c:v>1.444</c:v>
                </c:pt>
                <c:pt idx="232">
                  <c:v>1.4379999999999999</c:v>
                </c:pt>
                <c:pt idx="233">
                  <c:v>1.4319999999999999</c:v>
                </c:pt>
                <c:pt idx="234">
                  <c:v>1.4350000000000001</c:v>
                </c:pt>
                <c:pt idx="235">
                  <c:v>1.4430000000000001</c:v>
                </c:pt>
                <c:pt idx="236">
                  <c:v>1.45</c:v>
                </c:pt>
                <c:pt idx="237">
                  <c:v>1.4590000000000001</c:v>
                </c:pt>
                <c:pt idx="238">
                  <c:v>1.462</c:v>
                </c:pt>
                <c:pt idx="239">
                  <c:v>1.464</c:v>
                </c:pt>
                <c:pt idx="240">
                  <c:v>1.458</c:v>
                </c:pt>
                <c:pt idx="241">
                  <c:v>1.4550000000000001</c:v>
                </c:pt>
                <c:pt idx="242">
                  <c:v>1.4419999999999999</c:v>
                </c:pt>
                <c:pt idx="243">
                  <c:v>1.425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61-B04D-9B56-0988B75F7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M1 Real Monthly'!$B$6:$B$760</c:f>
              <c:numCache>
                <c:formatCode>0.0</c:formatCode>
                <c:ptCount val="75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D84B-8B21-C0818529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Monthly'!$A$18:$A$760</c:f>
              <c:numCache>
                <c:formatCode>yyyy\-mm\-dd</c:formatCode>
                <c:ptCount val="74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</c:numCache>
            </c:numRef>
          </c:cat>
          <c:val>
            <c:numRef>
              <c:f>'US M1 Real Monthly'!$C$18:$C$760</c:f>
              <c:numCache>
                <c:formatCode>0.0%</c:formatCode>
                <c:ptCount val="743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69-D348-B558-1163ACF9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Monthly'!$B$6:$B$760</c:f>
              <c:numCache>
                <c:formatCode>0.0</c:formatCode>
                <c:ptCount val="755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CF-1E43-BBE2-5A8F485A6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Monthly'!$C$6:$C$760</c:f>
              <c:numCache>
                <c:formatCode>General</c:formatCode>
                <c:ptCount val="755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7-2A4E-9D05-EF413806B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M1'!$A$6:$A$2410</c:f>
              <c:numCache>
                <c:formatCode>yyyy\-mm\-dd</c:formatCode>
                <c:ptCount val="2405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M1'!$B$6:$B$2410</c:f>
              <c:numCache>
                <c:formatCode>0.0</c:formatCode>
                <c:ptCount val="2405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8643-8464-5F31DA61C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9-984D-BE0C-02DA59374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'!$A$7:$A$752</c:f>
              <c:numCache>
                <c:formatCode>m/d/yy</c:formatCode>
                <c:ptCount val="74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</c:numCache>
            </c:numRef>
          </c:cat>
          <c:val>
            <c:numRef>
              <c:f>'US M2 '!$B$7:$B$752</c:f>
              <c:numCache>
                <c:formatCode>0.0</c:formatCode>
                <c:ptCount val="746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22-DF4B-ACE2-2E50BDDB7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2-F04C-A4BC-E141704E9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Country!$B$474:$B$708</c:f>
              <c:numCache>
                <c:formatCode>0.00</c:formatCode>
                <c:ptCount val="235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E-D14D-8719-48A6675F8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Country!$D$474:$D$708</c:f>
              <c:numCache>
                <c:formatCode>0.0%</c:formatCode>
                <c:ptCount val="235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D6-DA4F-BE5A-1B0D33862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</xdr:row>
      <xdr:rowOff>95249</xdr:rowOff>
    </xdr:from>
    <xdr:to>
      <xdr:col>15</xdr:col>
      <xdr:colOff>542924</xdr:colOff>
      <xdr:row>35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732</xdr:row>
      <xdr:rowOff>90486</xdr:rowOff>
    </xdr:from>
    <xdr:to>
      <xdr:col>14</xdr:col>
      <xdr:colOff>561975</xdr:colOff>
      <xdr:row>751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514349</xdr:colOff>
      <xdr:row>713</xdr:row>
      <xdr:rowOff>19049</xdr:rowOff>
    </xdr:from>
    <xdr:to>
      <xdr:col>14</xdr:col>
      <xdr:colOff>600075</xdr:colOff>
      <xdr:row>731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733</xdr:row>
      <xdr:rowOff>0</xdr:rowOff>
    </xdr:from>
    <xdr:to>
      <xdr:col>25</xdr:col>
      <xdr:colOff>19050</xdr:colOff>
      <xdr:row>751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676</xdr:row>
      <xdr:rowOff>171450</xdr:rowOff>
    </xdr:from>
    <xdr:to>
      <xdr:col>12</xdr:col>
      <xdr:colOff>542925</xdr:colOff>
      <xdr:row>693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809625</xdr:colOff>
      <xdr:row>693</xdr:row>
      <xdr:rowOff>185737</xdr:rowOff>
    </xdr:from>
    <xdr:to>
      <xdr:col>12</xdr:col>
      <xdr:colOff>9525</xdr:colOff>
      <xdr:row>708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55" totalsRowShown="0" headerRowCellStyle="Normal 3" dataCellStyle="Normal 3">
  <autoFilter ref="A11:B255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0" totalsRowShown="0" headerRowDxfId="33" dataDxfId="31" headerRowBorderDxfId="32">
  <autoFilter ref="A5:C760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0" totalsRowShown="0" headerRowDxfId="27" dataDxfId="26" tableBorderDxfId="25">
  <autoFilter ref="A5:C760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0" totalsRowShown="0" headerRowDxfId="12" dataDxfId="10" headerRowBorderDxfId="11" dataCellStyle="Normal 2">
  <autoFilter ref="A5:D760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2" displayName="Table2" ref="A5:D715" totalsRowShown="0" headerRowDxfId="5" headerRowBorderDxfId="4">
  <autoFilter ref="A5:D715" xr:uid="{00000000-0009-0000-0100-000007000000}"/>
  <tableColumns count="4">
    <tableColumn id="1" xr3:uid="{00000000-0010-0000-0600-000001000000}" name="Date" dataDxfId="3"/>
    <tableColumn id="2" xr3:uid="{00000000-0010-0000-0600-000002000000}" name="Country" dataDxfId="2">
      <calculatedColumnFormula>VLOOKUP(A6,Data!$E:$BG,MATCH(Country!$A$1,Data!$E$1:$BG$1,),)</calculatedColumnFormula>
    </tableColumn>
    <tableColumn id="3" xr3:uid="{00000000-0010-0000-0600-000003000000}" name="yoy" dataDxfId="1"/>
    <tableColumn id="5" xr3:uid="{00000000-0010-0000-06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zoomScale="150" zoomScaleNormal="150" workbookViewId="0">
      <selection activeCell="W38" sqref="W38"/>
    </sheetView>
  </sheetViews>
  <sheetFormatPr baseColWidth="10" defaultColWidth="9.1640625" defaultRowHeight="15" x14ac:dyDescent="0.2"/>
  <cols>
    <col min="1" max="1" width="9.1640625" style="78" customWidth="1"/>
    <col min="2" max="10" width="12.83203125" style="78" customWidth="1"/>
    <col min="11" max="13" width="3.33203125" style="78" customWidth="1"/>
    <col min="14" max="14" width="21.33203125" style="78" customWidth="1"/>
    <col min="15" max="15" width="15.6640625" style="78" customWidth="1"/>
    <col min="16" max="16" width="16.83203125" style="78" customWidth="1"/>
    <col min="17" max="17" width="23" style="78" customWidth="1"/>
    <col min="18" max="21" width="9.1640625" style="78" customWidth="1"/>
    <col min="22" max="16384" width="9.1640625" style="78"/>
  </cols>
  <sheetData>
    <row r="1" spans="2:27" x14ac:dyDescent="0.2">
      <c r="B1" s="82"/>
      <c r="C1" s="83"/>
      <c r="D1" s="83"/>
      <c r="E1" s="83"/>
      <c r="F1" s="83"/>
      <c r="G1" s="83"/>
      <c r="H1" s="83"/>
      <c r="I1" s="83"/>
      <c r="J1" s="83"/>
    </row>
    <row r="2" spans="2:27" ht="16" customHeight="1" thickBot="1" x14ac:dyDescent="0.25">
      <c r="B2" s="84"/>
      <c r="C2" s="84"/>
      <c r="D2" s="84"/>
      <c r="E2" s="84"/>
      <c r="F2" s="84"/>
      <c r="G2" s="84"/>
      <c r="H2" s="84"/>
      <c r="I2" s="84"/>
      <c r="J2" s="84"/>
    </row>
    <row r="3" spans="2:27" ht="16" customHeight="1" thickBot="1" x14ac:dyDescent="0.25">
      <c r="B3" s="85" t="s">
        <v>0</v>
      </c>
      <c r="C3" s="86"/>
      <c r="D3" s="86"/>
      <c r="E3" s="86"/>
      <c r="F3" s="86"/>
      <c r="G3" s="86"/>
      <c r="H3" s="86"/>
      <c r="I3" s="86"/>
      <c r="J3" s="87"/>
    </row>
    <row r="5" spans="2:27" x14ac:dyDescent="0.2">
      <c r="B5" s="88" t="s">
        <v>1</v>
      </c>
      <c r="C5" s="89"/>
      <c r="D5" s="89"/>
      <c r="E5" s="89"/>
      <c r="F5" s="89"/>
      <c r="G5" s="89"/>
      <c r="H5" s="89"/>
      <c r="I5" s="89"/>
      <c r="J5" s="90"/>
    </row>
    <row r="7" spans="2:27" ht="100.5" customHeight="1" x14ac:dyDescent="0.2">
      <c r="B7" s="91" t="s">
        <v>2</v>
      </c>
      <c r="C7" s="83"/>
      <c r="D7" s="83"/>
      <c r="E7" s="83"/>
      <c r="F7" s="83"/>
      <c r="G7" s="83"/>
      <c r="H7" s="83"/>
      <c r="I7" s="83"/>
      <c r="J7" s="83"/>
      <c r="P7" s="20"/>
    </row>
    <row r="8" spans="2:27" ht="33.75" customHeight="1" x14ac:dyDescent="0.2">
      <c r="B8" s="92"/>
      <c r="C8" s="83"/>
      <c r="D8" s="83"/>
      <c r="E8" s="83"/>
      <c r="F8" s="83"/>
      <c r="G8" s="83"/>
      <c r="H8" s="83"/>
      <c r="I8" s="83"/>
      <c r="J8" s="83"/>
    </row>
    <row r="9" spans="2:27" x14ac:dyDescent="0.2">
      <c r="B9" s="43"/>
      <c r="C9" s="43"/>
      <c r="D9" s="43"/>
      <c r="E9" s="43"/>
    </row>
    <row r="10" spans="2:27" x14ac:dyDescent="0.2">
      <c r="B10" s="88" t="s">
        <v>3</v>
      </c>
      <c r="C10" s="89"/>
      <c r="D10" s="89"/>
      <c r="E10" s="89"/>
      <c r="F10" s="89"/>
      <c r="G10" s="89"/>
      <c r="H10" s="89"/>
      <c r="I10" s="89"/>
      <c r="J10" s="90"/>
      <c r="N10" s="93" t="s">
        <v>4</v>
      </c>
      <c r="O10" s="89"/>
      <c r="P10" s="89"/>
      <c r="Q10" s="89"/>
    </row>
    <row r="11" spans="2:27" ht="16" customHeight="1" thickBot="1" x14ac:dyDescent="0.25"/>
    <row r="12" spans="2:27" ht="16" customHeight="1" thickBot="1" x14ac:dyDescent="0.25">
      <c r="B12" s="88" t="s">
        <v>5</v>
      </c>
      <c r="C12" s="89"/>
      <c r="D12" s="89"/>
      <c r="E12" s="89"/>
      <c r="F12" s="90"/>
      <c r="G12" s="88" t="s">
        <v>6</v>
      </c>
      <c r="H12" s="89"/>
      <c r="I12" s="89"/>
      <c r="J12" s="90"/>
      <c r="N12" s="97" t="s">
        <v>7</v>
      </c>
      <c r="O12" s="98"/>
      <c r="P12" s="69" t="s">
        <v>8</v>
      </c>
      <c r="Q12" s="70" t="s">
        <v>9</v>
      </c>
    </row>
    <row r="13" spans="2:27" x14ac:dyDescent="0.2">
      <c r="N13" s="99" t="s">
        <v>10</v>
      </c>
      <c r="O13" s="100"/>
      <c r="P13" s="66">
        <v>2738509</v>
      </c>
      <c r="Q13" s="71">
        <v>5.9837225890471153</v>
      </c>
    </row>
    <row r="14" spans="2:27" ht="19.5" customHeight="1" x14ac:dyDescent="0.2">
      <c r="B14" s="1" t="s">
        <v>11</v>
      </c>
      <c r="G14" s="83" t="s">
        <v>12</v>
      </c>
      <c r="H14" s="83"/>
      <c r="I14" s="83"/>
      <c r="J14" s="83"/>
      <c r="N14" s="96" t="s">
        <v>13</v>
      </c>
      <c r="O14" s="90"/>
      <c r="P14" s="67">
        <v>3036685</v>
      </c>
      <c r="Q14" s="72">
        <v>5.1544248816243643E-2</v>
      </c>
    </row>
    <row r="15" spans="2:27" ht="16" customHeight="1" thickBot="1" x14ac:dyDescent="0.25">
      <c r="B15" s="92" t="s">
        <v>14</v>
      </c>
      <c r="C15" s="83"/>
      <c r="D15" s="83"/>
      <c r="E15" s="83"/>
      <c r="F15" s="83"/>
      <c r="G15" s="94" t="s">
        <v>12</v>
      </c>
      <c r="H15" s="83"/>
      <c r="I15" s="83"/>
      <c r="J15" s="83"/>
      <c r="N15" s="96" t="s">
        <v>15</v>
      </c>
      <c r="O15" s="90"/>
      <c r="P15" s="67">
        <v>1814298</v>
      </c>
      <c r="Q15" s="72">
        <v>9.2219613850429427E-2</v>
      </c>
    </row>
    <row r="16" spans="2:27" ht="18" customHeight="1" x14ac:dyDescent="0.2">
      <c r="B16" s="92" t="s">
        <v>16</v>
      </c>
      <c r="C16" s="83"/>
      <c r="D16" s="83"/>
      <c r="E16" s="83"/>
      <c r="F16" s="83"/>
      <c r="G16" s="94" t="s">
        <v>17</v>
      </c>
      <c r="H16" s="83"/>
      <c r="I16" s="83"/>
      <c r="J16" s="83"/>
      <c r="N16" s="96" t="s">
        <v>18</v>
      </c>
      <c r="O16" s="90"/>
      <c r="P16" s="67">
        <v>208090</v>
      </c>
      <c r="Q16" s="72">
        <v>0.33970341871128679</v>
      </c>
      <c r="Z16" s="44" t="s">
        <v>19</v>
      </c>
      <c r="AA16" s="78" t="s">
        <v>20</v>
      </c>
    </row>
    <row r="17" spans="2:27" ht="18" customHeight="1" x14ac:dyDescent="0.2">
      <c r="B17" s="92" t="s">
        <v>21</v>
      </c>
      <c r="C17" s="83"/>
      <c r="D17" s="83"/>
      <c r="E17" s="83"/>
      <c r="F17" s="83"/>
      <c r="G17" s="95" t="s">
        <v>22</v>
      </c>
      <c r="H17" s="83"/>
      <c r="I17" s="83"/>
      <c r="J17" s="83"/>
      <c r="N17" s="96" t="s">
        <v>23</v>
      </c>
      <c r="O17" s="90"/>
      <c r="P17" s="67">
        <v>12484479</v>
      </c>
      <c r="Q17" s="72">
        <v>8.563462770952901E-2</v>
      </c>
      <c r="Z17" s="45" t="s">
        <v>24</v>
      </c>
      <c r="AA17" s="78" t="s">
        <v>25</v>
      </c>
    </row>
    <row r="18" spans="2:27" ht="33.75" customHeight="1" x14ac:dyDescent="0.2">
      <c r="B18" s="92" t="s">
        <v>26</v>
      </c>
      <c r="C18" s="83"/>
      <c r="D18" s="83"/>
      <c r="E18" s="83"/>
      <c r="F18" s="83"/>
      <c r="G18" s="95" t="s">
        <v>12</v>
      </c>
      <c r="H18" s="83"/>
      <c r="I18" s="83"/>
      <c r="J18" s="83"/>
      <c r="N18" s="96" t="s">
        <v>27</v>
      </c>
      <c r="O18" s="90"/>
      <c r="P18" s="67">
        <v>2332570</v>
      </c>
      <c r="Q18" s="72">
        <v>8.3619550795516639E-2</v>
      </c>
      <c r="Z18" s="46" t="s">
        <v>28</v>
      </c>
      <c r="AA18" s="78" t="s">
        <v>29</v>
      </c>
    </row>
    <row r="19" spans="2:27" ht="18" customHeight="1" x14ac:dyDescent="0.2">
      <c r="B19" s="92" t="s">
        <v>30</v>
      </c>
      <c r="C19" s="83"/>
      <c r="D19" s="83"/>
      <c r="E19" s="83"/>
      <c r="F19" s="83"/>
      <c r="G19" s="95" t="s">
        <v>31</v>
      </c>
      <c r="H19" s="83"/>
      <c r="I19" s="83"/>
      <c r="J19" s="83"/>
      <c r="N19" s="96" t="s">
        <v>32</v>
      </c>
      <c r="O19" s="90"/>
      <c r="P19" s="67">
        <v>3174</v>
      </c>
      <c r="Q19" s="72">
        <v>5.8491946770463432E-2</v>
      </c>
      <c r="Z19" s="45" t="s">
        <v>33</v>
      </c>
      <c r="AA19" s="78" t="s">
        <v>34</v>
      </c>
    </row>
    <row r="20" spans="2:27" ht="18" customHeight="1" x14ac:dyDescent="0.2">
      <c r="B20" s="92" t="s">
        <v>35</v>
      </c>
      <c r="C20" s="83"/>
      <c r="D20" s="83"/>
      <c r="E20" s="83"/>
      <c r="F20" s="83"/>
      <c r="G20" s="78" t="s">
        <v>36</v>
      </c>
      <c r="N20" s="96" t="s">
        <v>37</v>
      </c>
      <c r="O20" s="90"/>
      <c r="P20" s="67">
        <v>40623</v>
      </c>
      <c r="Q20" s="72">
        <v>0.55912912199391562</v>
      </c>
      <c r="Z20" s="46" t="s">
        <v>38</v>
      </c>
      <c r="AA20" s="78" t="s">
        <v>39</v>
      </c>
    </row>
    <row r="21" spans="2:27" ht="18" customHeight="1" x14ac:dyDescent="0.2">
      <c r="B21" s="92"/>
      <c r="C21" s="83"/>
      <c r="D21" s="83"/>
      <c r="E21" s="83"/>
      <c r="F21" s="83"/>
      <c r="G21" s="78" t="s">
        <v>40</v>
      </c>
      <c r="N21" s="96" t="s">
        <v>41</v>
      </c>
      <c r="O21" s="90"/>
      <c r="P21" s="67">
        <v>6116500</v>
      </c>
      <c r="Q21" s="72">
        <v>0.1476638321349768</v>
      </c>
      <c r="Z21" s="46" t="s">
        <v>42</v>
      </c>
      <c r="AA21" s="78" t="s">
        <v>43</v>
      </c>
    </row>
    <row r="22" spans="2:27" ht="18" customHeight="1" x14ac:dyDescent="0.2">
      <c r="B22" s="92"/>
      <c r="C22" s="83"/>
      <c r="D22" s="83"/>
      <c r="E22" s="83"/>
      <c r="F22" s="83"/>
      <c r="G22" s="78" t="s">
        <v>44</v>
      </c>
      <c r="N22" s="96" t="s">
        <v>45</v>
      </c>
      <c r="O22" s="90"/>
      <c r="P22" s="67">
        <v>1647897</v>
      </c>
      <c r="Q22" s="72">
        <v>0.1551770381206552</v>
      </c>
      <c r="Z22" s="46" t="s">
        <v>46</v>
      </c>
      <c r="AA22" s="78" t="s">
        <v>47</v>
      </c>
    </row>
    <row r="23" spans="2:27" ht="18" customHeight="1" x14ac:dyDescent="0.2">
      <c r="B23" s="92"/>
      <c r="C23" s="83"/>
      <c r="D23" s="83"/>
      <c r="E23" s="83"/>
      <c r="F23" s="83"/>
      <c r="G23" s="78" t="s">
        <v>48</v>
      </c>
      <c r="N23" s="96" t="s">
        <v>49</v>
      </c>
      <c r="O23" s="90"/>
      <c r="P23" s="67">
        <v>1046008</v>
      </c>
      <c r="Q23" s="72">
        <v>7.3499360625644217E-2</v>
      </c>
      <c r="Z23" s="46" t="s">
        <v>50</v>
      </c>
      <c r="AA23" s="78" t="s">
        <v>51</v>
      </c>
    </row>
    <row r="24" spans="2:27" ht="18" customHeight="1" x14ac:dyDescent="0.2">
      <c r="B24" s="92"/>
      <c r="C24" s="83"/>
      <c r="D24" s="83"/>
      <c r="E24" s="83"/>
      <c r="F24" s="83"/>
      <c r="G24" s="95" t="s">
        <v>52</v>
      </c>
      <c r="H24" s="83"/>
      <c r="I24" s="83"/>
      <c r="J24" s="83"/>
      <c r="N24" s="96" t="s">
        <v>53</v>
      </c>
      <c r="O24" s="90"/>
      <c r="P24" s="67">
        <v>9371776319</v>
      </c>
      <c r="Q24" s="72">
        <v>0.1570492202895741</v>
      </c>
      <c r="Z24" s="46" t="s">
        <v>54</v>
      </c>
      <c r="AA24" s="78" t="s">
        <v>55</v>
      </c>
    </row>
    <row r="25" spans="2:27" ht="16" customHeight="1" thickBot="1" x14ac:dyDescent="0.25">
      <c r="N25" s="96" t="s">
        <v>56</v>
      </c>
      <c r="O25" s="90"/>
      <c r="P25" s="67">
        <v>898932</v>
      </c>
      <c r="Q25" s="72">
        <v>0.1207307101192132</v>
      </c>
      <c r="Z25" s="47" t="s">
        <v>57</v>
      </c>
      <c r="AA25" s="78" t="s">
        <v>58</v>
      </c>
    </row>
    <row r="26" spans="2:27" x14ac:dyDescent="0.2">
      <c r="N26" s="96" t="s">
        <v>59</v>
      </c>
      <c r="O26" s="90"/>
      <c r="P26" s="67">
        <v>51314</v>
      </c>
      <c r="Q26" s="72">
        <v>0.17667329035755339</v>
      </c>
    </row>
    <row r="27" spans="2:27" x14ac:dyDescent="0.2">
      <c r="N27" s="96" t="s">
        <v>60</v>
      </c>
      <c r="O27" s="90"/>
      <c r="P27" s="67">
        <v>1791108</v>
      </c>
      <c r="Q27" s="72">
        <v>0.1294685815601222</v>
      </c>
    </row>
    <row r="28" spans="2:27" x14ac:dyDescent="0.2">
      <c r="N28" s="96" t="s">
        <v>61</v>
      </c>
      <c r="O28" s="90"/>
      <c r="P28" s="67">
        <v>646295</v>
      </c>
      <c r="Q28" s="72">
        <v>8.6952581779638605E-2</v>
      </c>
    </row>
    <row r="29" spans="2:27" x14ac:dyDescent="0.2">
      <c r="N29" s="96" t="s">
        <v>62</v>
      </c>
      <c r="O29" s="90"/>
      <c r="P29" s="67">
        <v>3039985</v>
      </c>
      <c r="Q29" s="72">
        <v>4.7506141043023531E-2</v>
      </c>
    </row>
    <row r="30" spans="2:27" x14ac:dyDescent="0.2">
      <c r="N30" s="96" t="s">
        <v>63</v>
      </c>
      <c r="O30" s="90"/>
      <c r="P30" s="67">
        <v>2958283</v>
      </c>
      <c r="Q30" s="72">
        <v>0.138818589182685</v>
      </c>
    </row>
    <row r="31" spans="2:27" x14ac:dyDescent="0.2">
      <c r="N31" s="96" t="s">
        <v>64</v>
      </c>
      <c r="O31" s="90"/>
      <c r="P31" s="67">
        <v>1237649</v>
      </c>
      <c r="Q31" s="72">
        <v>8.5811511432137833E-2</v>
      </c>
    </row>
    <row r="32" spans="2:27" x14ac:dyDescent="0.2">
      <c r="N32" s="96" t="s">
        <v>65</v>
      </c>
      <c r="O32" s="90"/>
      <c r="P32" s="67">
        <v>1025336</v>
      </c>
      <c r="Q32" s="72">
        <v>0.16953180407165361</v>
      </c>
    </row>
    <row r="33" spans="2:17" x14ac:dyDescent="0.2">
      <c r="N33" s="96" t="s">
        <v>66</v>
      </c>
      <c r="O33" s="90"/>
      <c r="P33" s="67">
        <v>2666743294</v>
      </c>
      <c r="Q33" s="72">
        <v>0.69983132832893036</v>
      </c>
    </row>
    <row r="34" spans="2:17" x14ac:dyDescent="0.2">
      <c r="N34" s="96" t="s">
        <v>67</v>
      </c>
      <c r="O34" s="90"/>
      <c r="P34" s="67">
        <v>2472269</v>
      </c>
      <c r="Q34" s="72">
        <v>5.5109356699634127E-3</v>
      </c>
    </row>
    <row r="35" spans="2:17" ht="16" customHeight="1" thickBot="1" x14ac:dyDescent="0.25">
      <c r="N35" s="101" t="s">
        <v>68</v>
      </c>
      <c r="O35" s="102"/>
      <c r="P35" s="68">
        <v>16104</v>
      </c>
      <c r="Q35" s="73">
        <v>0.53982033788653649</v>
      </c>
    </row>
    <row r="39" spans="2:17" x14ac:dyDescent="0.2">
      <c r="B39" s="41"/>
    </row>
    <row r="40" spans="2:17" x14ac:dyDescent="0.2">
      <c r="B40" s="94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</row>
    <row r="41" spans="2:17" x14ac:dyDescent="0.2">
      <c r="B41" s="42"/>
    </row>
  </sheetData>
  <mergeCells count="51">
    <mergeCell ref="B40:Q40"/>
    <mergeCell ref="N35:O35"/>
    <mergeCell ref="N34:O34"/>
    <mergeCell ref="N30:O30"/>
    <mergeCell ref="N31:O31"/>
    <mergeCell ref="N32:O32"/>
    <mergeCell ref="N33:O33"/>
    <mergeCell ref="N29:O29"/>
    <mergeCell ref="N17:O17"/>
    <mergeCell ref="N18:O18"/>
    <mergeCell ref="N19:O19"/>
    <mergeCell ref="N20:O20"/>
    <mergeCell ref="N21:O21"/>
    <mergeCell ref="N22:O22"/>
    <mergeCell ref="N23:O23"/>
    <mergeCell ref="N26:O26"/>
    <mergeCell ref="N27:O27"/>
    <mergeCell ref="N28:O28"/>
    <mergeCell ref="B24:F24"/>
    <mergeCell ref="G24:J24"/>
    <mergeCell ref="N24:O24"/>
    <mergeCell ref="N25:O25"/>
    <mergeCell ref="N12:O12"/>
    <mergeCell ref="N13:O13"/>
    <mergeCell ref="N14:O14"/>
    <mergeCell ref="N15:O15"/>
    <mergeCell ref="N16:O16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N10:Q10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conditionalFormatting sqref="Q13:Q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:Q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55"/>
  <sheetViews>
    <sheetView zoomScale="190" zoomScaleNormal="190" workbookViewId="0">
      <selection activeCell="B11" sqref="B11"/>
    </sheetView>
  </sheetViews>
  <sheetFormatPr baseColWidth="10" defaultColWidth="8.83203125" defaultRowHeight="15" x14ac:dyDescent="0.2"/>
  <cols>
    <col min="1" max="1" width="26.33203125" style="77" customWidth="1"/>
  </cols>
  <sheetData>
    <row r="1" spans="1:2" x14ac:dyDescent="0.2">
      <c r="A1" s="74" t="s">
        <v>69</v>
      </c>
      <c r="B1" s="74"/>
    </row>
    <row r="2" spans="1:2" x14ac:dyDescent="0.2">
      <c r="A2" s="74" t="s">
        <v>70</v>
      </c>
      <c r="B2" s="74"/>
    </row>
    <row r="3" spans="1:2" x14ac:dyDescent="0.2">
      <c r="A3" s="74" t="s">
        <v>71</v>
      </c>
      <c r="B3" s="74"/>
    </row>
    <row r="4" spans="1:2" x14ac:dyDescent="0.2">
      <c r="A4" s="74" t="s">
        <v>72</v>
      </c>
      <c r="B4" s="74"/>
    </row>
    <row r="5" spans="1:2" x14ac:dyDescent="0.2">
      <c r="A5" s="74" t="s">
        <v>73</v>
      </c>
      <c r="B5" s="74"/>
    </row>
    <row r="6" spans="1:2" x14ac:dyDescent="0.2">
      <c r="A6" s="74" t="s">
        <v>74</v>
      </c>
      <c r="B6" s="74"/>
    </row>
    <row r="8" spans="1:2" x14ac:dyDescent="0.2">
      <c r="A8" s="74" t="s">
        <v>75</v>
      </c>
      <c r="B8" s="74" t="s">
        <v>76</v>
      </c>
    </row>
    <row r="10" spans="1:2" x14ac:dyDescent="0.2">
      <c r="A10" s="74" t="s">
        <v>77</v>
      </c>
      <c r="B10" s="74"/>
    </row>
    <row r="11" spans="1:2" x14ac:dyDescent="0.2">
      <c r="A11" s="74" t="s">
        <v>78</v>
      </c>
      <c r="B11" s="74" t="s">
        <v>76</v>
      </c>
    </row>
    <row r="12" spans="1:2" x14ac:dyDescent="0.2">
      <c r="A12" s="75">
        <v>21551</v>
      </c>
      <c r="B12" s="76">
        <v>1.7729999999999999</v>
      </c>
    </row>
    <row r="13" spans="1:2" x14ac:dyDescent="0.2">
      <c r="A13" s="75">
        <v>21641</v>
      </c>
      <c r="B13" s="76">
        <v>1.7889999999999999</v>
      </c>
    </row>
    <row r="14" spans="1:2" x14ac:dyDescent="0.2">
      <c r="A14" s="75">
        <v>21732</v>
      </c>
      <c r="B14" s="76">
        <v>1.7729999999999999</v>
      </c>
    </row>
    <row r="15" spans="1:2" x14ac:dyDescent="0.2">
      <c r="A15" s="75">
        <v>21824</v>
      </c>
      <c r="B15" s="76">
        <v>1.7789999999999999</v>
      </c>
    </row>
    <row r="16" spans="1:2" x14ac:dyDescent="0.2">
      <c r="A16" s="75">
        <v>21916</v>
      </c>
      <c r="B16" s="76">
        <v>1.8169999999999999</v>
      </c>
    </row>
    <row r="17" spans="1:2" x14ac:dyDescent="0.2">
      <c r="A17" s="75">
        <v>22007</v>
      </c>
      <c r="B17" s="76">
        <v>1.7969999999999999</v>
      </c>
    </row>
    <row r="18" spans="1:2" x14ac:dyDescent="0.2">
      <c r="A18" s="75">
        <v>22098</v>
      </c>
      <c r="B18" s="76">
        <v>1.78</v>
      </c>
    </row>
    <row r="19" spans="1:2" x14ac:dyDescent="0.2">
      <c r="A19" s="75">
        <v>22190</v>
      </c>
      <c r="B19" s="76">
        <v>1.7370000000000001</v>
      </c>
    </row>
    <row r="20" spans="1:2" x14ac:dyDescent="0.2">
      <c r="A20" s="75">
        <v>22282</v>
      </c>
      <c r="B20" s="76">
        <v>1.7230000000000001</v>
      </c>
    </row>
    <row r="21" spans="1:2" x14ac:dyDescent="0.2">
      <c r="A21" s="75">
        <v>22372</v>
      </c>
      <c r="B21" s="76">
        <v>1.724</v>
      </c>
    </row>
    <row r="22" spans="1:2" x14ac:dyDescent="0.2">
      <c r="A22" s="75">
        <v>22463</v>
      </c>
      <c r="B22" s="76">
        <v>1.7330000000000001</v>
      </c>
    </row>
    <row r="23" spans="1:2" x14ac:dyDescent="0.2">
      <c r="A23" s="75">
        <v>22555</v>
      </c>
      <c r="B23" s="76">
        <v>1.742</v>
      </c>
    </row>
    <row r="24" spans="1:2" x14ac:dyDescent="0.2">
      <c r="A24" s="75">
        <v>22647</v>
      </c>
      <c r="B24" s="76">
        <v>1.746</v>
      </c>
    </row>
    <row r="25" spans="1:2" x14ac:dyDescent="0.2">
      <c r="A25" s="75">
        <v>22737</v>
      </c>
      <c r="B25" s="76">
        <v>1.728</v>
      </c>
    </row>
    <row r="26" spans="1:2" x14ac:dyDescent="0.2">
      <c r="A26" s="75">
        <v>22828</v>
      </c>
      <c r="B26" s="76">
        <v>1.726</v>
      </c>
    </row>
    <row r="27" spans="1:2" x14ac:dyDescent="0.2">
      <c r="A27" s="75">
        <v>22920</v>
      </c>
      <c r="B27" s="76">
        <v>1.7010000000000001</v>
      </c>
    </row>
    <row r="28" spans="1:2" x14ac:dyDescent="0.2">
      <c r="A28" s="75">
        <v>23012</v>
      </c>
      <c r="B28" s="76">
        <v>1.69</v>
      </c>
    </row>
    <row r="29" spans="1:2" x14ac:dyDescent="0.2">
      <c r="A29" s="75">
        <v>23102</v>
      </c>
      <c r="B29" s="76">
        <v>1.675</v>
      </c>
    </row>
    <row r="30" spans="1:2" x14ac:dyDescent="0.2">
      <c r="A30" s="75">
        <v>23193</v>
      </c>
      <c r="B30" s="76">
        <v>1.68</v>
      </c>
    </row>
    <row r="31" spans="1:2" x14ac:dyDescent="0.2">
      <c r="A31" s="75">
        <v>23285</v>
      </c>
      <c r="B31" s="76">
        <v>1.6719999999999999</v>
      </c>
    </row>
    <row r="32" spans="1:2" x14ac:dyDescent="0.2">
      <c r="A32" s="75">
        <v>23377</v>
      </c>
      <c r="B32" s="76">
        <v>1.6850000000000001</v>
      </c>
    </row>
    <row r="33" spans="1:2" x14ac:dyDescent="0.2">
      <c r="A33" s="75">
        <v>23468</v>
      </c>
      <c r="B33" s="76">
        <v>1.679</v>
      </c>
    </row>
    <row r="34" spans="1:2" x14ac:dyDescent="0.2">
      <c r="A34" s="75">
        <v>23559</v>
      </c>
      <c r="B34" s="76">
        <v>1.6739999999999999</v>
      </c>
    </row>
    <row r="35" spans="1:2" x14ac:dyDescent="0.2">
      <c r="A35" s="75">
        <v>23651</v>
      </c>
      <c r="B35" s="76">
        <v>1.653</v>
      </c>
    </row>
    <row r="36" spans="1:2" x14ac:dyDescent="0.2">
      <c r="A36" s="75">
        <v>23743</v>
      </c>
      <c r="B36" s="76">
        <v>1.6679999999999999</v>
      </c>
    </row>
    <row r="37" spans="1:2" x14ac:dyDescent="0.2">
      <c r="A37" s="75">
        <v>23833</v>
      </c>
      <c r="B37" s="76">
        <v>1.669</v>
      </c>
    </row>
    <row r="38" spans="1:2" x14ac:dyDescent="0.2">
      <c r="A38" s="75">
        <v>23924</v>
      </c>
      <c r="B38" s="76">
        <v>1.68</v>
      </c>
    </row>
    <row r="39" spans="1:2" x14ac:dyDescent="0.2">
      <c r="A39" s="75">
        <v>24016</v>
      </c>
      <c r="B39" s="76">
        <v>1.6930000000000001</v>
      </c>
    </row>
    <row r="40" spans="1:2" x14ac:dyDescent="0.2">
      <c r="A40" s="75">
        <v>24108</v>
      </c>
      <c r="B40" s="76">
        <v>1.7130000000000001</v>
      </c>
    </row>
    <row r="41" spans="1:2" x14ac:dyDescent="0.2">
      <c r="A41" s="75">
        <v>24198</v>
      </c>
      <c r="B41" s="76">
        <v>1.712</v>
      </c>
    </row>
    <row r="42" spans="1:2" x14ac:dyDescent="0.2">
      <c r="A42" s="75">
        <v>24289</v>
      </c>
      <c r="B42" s="76">
        <v>1.7330000000000001</v>
      </c>
    </row>
    <row r="43" spans="1:2" x14ac:dyDescent="0.2">
      <c r="A43" s="75">
        <v>24381</v>
      </c>
      <c r="B43" s="76">
        <v>1.744</v>
      </c>
    </row>
    <row r="44" spans="1:2" x14ac:dyDescent="0.2">
      <c r="A44" s="75">
        <v>24473</v>
      </c>
      <c r="B44" s="76">
        <v>1.7390000000000001</v>
      </c>
    </row>
    <row r="45" spans="1:2" x14ac:dyDescent="0.2">
      <c r="A45" s="75">
        <v>24563</v>
      </c>
      <c r="B45" s="76">
        <v>1.708</v>
      </c>
    </row>
    <row r="46" spans="1:2" x14ac:dyDescent="0.2">
      <c r="A46" s="75">
        <v>24654</v>
      </c>
      <c r="B46" s="76">
        <v>1.694</v>
      </c>
    </row>
    <row r="47" spans="1:2" x14ac:dyDescent="0.2">
      <c r="A47" s="75">
        <v>24746</v>
      </c>
      <c r="B47" s="76">
        <v>1.69</v>
      </c>
    </row>
    <row r="48" spans="1:2" x14ac:dyDescent="0.2">
      <c r="A48" s="75">
        <v>24838</v>
      </c>
      <c r="B48" s="76">
        <v>1.7150000000000001</v>
      </c>
    </row>
    <row r="49" spans="1:2" x14ac:dyDescent="0.2">
      <c r="A49" s="75">
        <v>24929</v>
      </c>
      <c r="B49" s="76">
        <v>1.7330000000000001</v>
      </c>
    </row>
    <row r="50" spans="1:2" x14ac:dyDescent="0.2">
      <c r="A50" s="75">
        <v>25020</v>
      </c>
      <c r="B50" s="76">
        <v>1.73</v>
      </c>
    </row>
    <row r="51" spans="1:2" x14ac:dyDescent="0.2">
      <c r="A51" s="75">
        <v>25112</v>
      </c>
      <c r="B51" s="76">
        <v>1.722</v>
      </c>
    </row>
    <row r="52" spans="1:2" x14ac:dyDescent="0.2">
      <c r="A52" s="75">
        <v>25204</v>
      </c>
      <c r="B52" s="76">
        <v>1.7370000000000001</v>
      </c>
    </row>
    <row r="53" spans="1:2" x14ac:dyDescent="0.2">
      <c r="A53" s="75">
        <v>25294</v>
      </c>
      <c r="B53" s="76">
        <v>1.7490000000000001</v>
      </c>
    </row>
    <row r="54" spans="1:2" x14ac:dyDescent="0.2">
      <c r="A54" s="75">
        <v>25385</v>
      </c>
      <c r="B54" s="76">
        <v>1.774</v>
      </c>
    </row>
    <row r="55" spans="1:2" x14ac:dyDescent="0.2">
      <c r="A55" s="75">
        <v>25477</v>
      </c>
      <c r="B55" s="76">
        <v>1.7729999999999999</v>
      </c>
    </row>
    <row r="56" spans="1:2" x14ac:dyDescent="0.2">
      <c r="A56" s="75">
        <v>25569</v>
      </c>
      <c r="B56" s="76">
        <v>1.7889999999999999</v>
      </c>
    </row>
    <row r="57" spans="1:2" x14ac:dyDescent="0.2">
      <c r="A57" s="75">
        <v>25659</v>
      </c>
      <c r="B57" s="76">
        <v>1.804</v>
      </c>
    </row>
    <row r="58" spans="1:2" x14ac:dyDescent="0.2">
      <c r="A58" s="75">
        <v>25750</v>
      </c>
      <c r="B58" s="76">
        <v>1.7949999999999999</v>
      </c>
    </row>
    <row r="59" spans="1:2" x14ac:dyDescent="0.2">
      <c r="A59" s="75">
        <v>25842</v>
      </c>
      <c r="B59" s="76">
        <v>1.752</v>
      </c>
    </row>
    <row r="60" spans="1:2" x14ac:dyDescent="0.2">
      <c r="A60" s="75">
        <v>25934</v>
      </c>
      <c r="B60" s="76">
        <v>1.77</v>
      </c>
    </row>
    <row r="61" spans="1:2" x14ac:dyDescent="0.2">
      <c r="A61" s="75">
        <v>26024</v>
      </c>
      <c r="B61" s="76">
        <v>1.736</v>
      </c>
    </row>
    <row r="62" spans="1:2" x14ac:dyDescent="0.2">
      <c r="A62" s="75">
        <v>26115</v>
      </c>
      <c r="B62" s="76">
        <v>1.7170000000000001</v>
      </c>
    </row>
    <row r="63" spans="1:2" x14ac:dyDescent="0.2">
      <c r="A63" s="75">
        <v>26207</v>
      </c>
      <c r="B63" s="76">
        <v>1.69</v>
      </c>
    </row>
    <row r="64" spans="1:2" x14ac:dyDescent="0.2">
      <c r="A64" s="75">
        <v>26299</v>
      </c>
      <c r="B64" s="76">
        <v>1.696</v>
      </c>
    </row>
    <row r="65" spans="1:2" x14ac:dyDescent="0.2">
      <c r="A65" s="75">
        <v>26390</v>
      </c>
      <c r="B65" s="76">
        <v>1.7030000000000001</v>
      </c>
    </row>
    <row r="66" spans="1:2" x14ac:dyDescent="0.2">
      <c r="A66" s="75">
        <v>26481</v>
      </c>
      <c r="B66" s="76">
        <v>1.679</v>
      </c>
    </row>
    <row r="67" spans="1:2" x14ac:dyDescent="0.2">
      <c r="A67" s="75">
        <v>26573</v>
      </c>
      <c r="B67" s="76">
        <v>1.673</v>
      </c>
    </row>
    <row r="68" spans="1:2" x14ac:dyDescent="0.2">
      <c r="A68" s="75">
        <v>26665</v>
      </c>
      <c r="B68" s="76">
        <v>1.694</v>
      </c>
    </row>
    <row r="69" spans="1:2" x14ac:dyDescent="0.2">
      <c r="A69" s="75">
        <v>26755</v>
      </c>
      <c r="B69" s="76">
        <v>1.7110000000000001</v>
      </c>
    </row>
    <row r="70" spans="1:2" x14ac:dyDescent="0.2">
      <c r="A70" s="75">
        <v>26846</v>
      </c>
      <c r="B70" s="76">
        <v>1.7110000000000001</v>
      </c>
    </row>
    <row r="71" spans="1:2" x14ac:dyDescent="0.2">
      <c r="A71" s="75">
        <v>26938</v>
      </c>
      <c r="B71" s="76">
        <v>1.7390000000000001</v>
      </c>
    </row>
    <row r="72" spans="1:2" x14ac:dyDescent="0.2">
      <c r="A72" s="75">
        <v>27030</v>
      </c>
      <c r="B72" s="76">
        <v>1.7250000000000001</v>
      </c>
    </row>
    <row r="73" spans="1:2" x14ac:dyDescent="0.2">
      <c r="A73" s="75">
        <v>27120</v>
      </c>
      <c r="B73" s="76">
        <v>1.748</v>
      </c>
    </row>
    <row r="74" spans="1:2" x14ac:dyDescent="0.2">
      <c r="A74" s="75">
        <v>27211</v>
      </c>
      <c r="B74" s="76">
        <v>1.764</v>
      </c>
    </row>
    <row r="75" spans="1:2" x14ac:dyDescent="0.2">
      <c r="A75" s="75">
        <v>27303</v>
      </c>
      <c r="B75" s="76">
        <v>1.7809999999999999</v>
      </c>
    </row>
    <row r="76" spans="1:2" x14ac:dyDescent="0.2">
      <c r="A76" s="75">
        <v>27395</v>
      </c>
      <c r="B76" s="76">
        <v>1.766</v>
      </c>
    </row>
    <row r="77" spans="1:2" x14ac:dyDescent="0.2">
      <c r="A77" s="75">
        <v>27485</v>
      </c>
      <c r="B77" s="76">
        <v>1.7410000000000001</v>
      </c>
    </row>
    <row r="78" spans="1:2" x14ac:dyDescent="0.2">
      <c r="A78" s="75">
        <v>27576</v>
      </c>
      <c r="B78" s="76">
        <v>1.7390000000000001</v>
      </c>
    </row>
    <row r="79" spans="1:2" x14ac:dyDescent="0.2">
      <c r="A79" s="75">
        <v>27668</v>
      </c>
      <c r="B79" s="76">
        <v>1.75</v>
      </c>
    </row>
    <row r="80" spans="1:2" x14ac:dyDescent="0.2">
      <c r="A80" s="75">
        <v>27760</v>
      </c>
      <c r="B80" s="76">
        <v>1.752</v>
      </c>
    </row>
    <row r="81" spans="1:2" x14ac:dyDescent="0.2">
      <c r="A81" s="75">
        <v>27851</v>
      </c>
      <c r="B81" s="76">
        <v>1.7310000000000001</v>
      </c>
    </row>
    <row r="82" spans="1:2" x14ac:dyDescent="0.2">
      <c r="A82" s="75">
        <v>27942</v>
      </c>
      <c r="B82" s="76">
        <v>1.7170000000000001</v>
      </c>
    </row>
    <row r="83" spans="1:2" x14ac:dyDescent="0.2">
      <c r="A83" s="75">
        <v>28034</v>
      </c>
      <c r="B83" s="76">
        <v>1.6990000000000001</v>
      </c>
    </row>
    <row r="84" spans="1:2" x14ac:dyDescent="0.2">
      <c r="A84" s="75">
        <v>28126</v>
      </c>
      <c r="B84" s="76">
        <v>1.6890000000000001</v>
      </c>
    </row>
    <row r="85" spans="1:2" x14ac:dyDescent="0.2">
      <c r="A85" s="75">
        <v>28216</v>
      </c>
      <c r="B85" s="76">
        <v>1.7010000000000001</v>
      </c>
    </row>
    <row r="86" spans="1:2" x14ac:dyDescent="0.2">
      <c r="A86" s="75">
        <v>28307</v>
      </c>
      <c r="B86" s="76">
        <v>1.7130000000000001</v>
      </c>
    </row>
    <row r="87" spans="1:2" x14ac:dyDescent="0.2">
      <c r="A87" s="75">
        <v>28399</v>
      </c>
      <c r="B87" s="76">
        <v>1.7150000000000001</v>
      </c>
    </row>
    <row r="88" spans="1:2" x14ac:dyDescent="0.2">
      <c r="A88" s="75">
        <v>28491</v>
      </c>
      <c r="B88" s="76">
        <v>1.7130000000000001</v>
      </c>
    </row>
    <row r="89" spans="1:2" x14ac:dyDescent="0.2">
      <c r="A89" s="75">
        <v>28581</v>
      </c>
      <c r="B89" s="76">
        <v>1.78</v>
      </c>
    </row>
    <row r="90" spans="1:2" x14ac:dyDescent="0.2">
      <c r="A90" s="75">
        <v>28672</v>
      </c>
      <c r="B90" s="76">
        <v>1.7949999999999999</v>
      </c>
    </row>
    <row r="91" spans="1:2" x14ac:dyDescent="0.2">
      <c r="A91" s="75">
        <v>28764</v>
      </c>
      <c r="B91" s="76">
        <v>1.8220000000000001</v>
      </c>
    </row>
    <row r="92" spans="1:2" x14ac:dyDescent="0.2">
      <c r="A92" s="75">
        <v>28856</v>
      </c>
      <c r="B92" s="76">
        <v>1.8320000000000001</v>
      </c>
    </row>
    <row r="93" spans="1:2" x14ac:dyDescent="0.2">
      <c r="A93" s="75">
        <v>28946</v>
      </c>
      <c r="B93" s="76">
        <v>1.835</v>
      </c>
    </row>
    <row r="94" spans="1:2" x14ac:dyDescent="0.2">
      <c r="A94" s="75">
        <v>29037</v>
      </c>
      <c r="B94" s="76">
        <v>1.8460000000000001</v>
      </c>
    </row>
    <row r="95" spans="1:2" x14ac:dyDescent="0.2">
      <c r="A95" s="75">
        <v>29129</v>
      </c>
      <c r="B95" s="76">
        <v>1.857</v>
      </c>
    </row>
    <row r="96" spans="1:2" x14ac:dyDescent="0.2">
      <c r="A96" s="75">
        <v>29221</v>
      </c>
      <c r="B96" s="76">
        <v>1.869</v>
      </c>
    </row>
    <row r="97" spans="1:2" x14ac:dyDescent="0.2">
      <c r="A97" s="75">
        <v>29312</v>
      </c>
      <c r="B97" s="76">
        <v>1.847</v>
      </c>
    </row>
    <row r="98" spans="1:2" x14ac:dyDescent="0.2">
      <c r="A98" s="75">
        <v>29403</v>
      </c>
      <c r="B98" s="76">
        <v>1.831</v>
      </c>
    </row>
    <row r="99" spans="1:2" x14ac:dyDescent="0.2">
      <c r="A99" s="75">
        <v>29495</v>
      </c>
      <c r="B99" s="76">
        <v>1.8740000000000001</v>
      </c>
    </row>
    <row r="100" spans="1:2" x14ac:dyDescent="0.2">
      <c r="A100" s="75">
        <v>29587</v>
      </c>
      <c r="B100" s="76">
        <v>1.9279999999999999</v>
      </c>
    </row>
    <row r="101" spans="1:2" x14ac:dyDescent="0.2">
      <c r="A101" s="75">
        <v>29677</v>
      </c>
      <c r="B101" s="76">
        <v>1.9</v>
      </c>
    </row>
    <row r="102" spans="1:2" x14ac:dyDescent="0.2">
      <c r="A102" s="75">
        <v>29768</v>
      </c>
      <c r="B102" s="76">
        <v>1.925</v>
      </c>
    </row>
    <row r="103" spans="1:2" x14ac:dyDescent="0.2">
      <c r="A103" s="75">
        <v>29860</v>
      </c>
      <c r="B103" s="76">
        <v>1.8879999999999999</v>
      </c>
    </row>
    <row r="104" spans="1:2" x14ac:dyDescent="0.2">
      <c r="A104" s="75">
        <v>29952</v>
      </c>
      <c r="B104" s="76">
        <v>1.8420000000000001</v>
      </c>
    </row>
    <row r="105" spans="1:2" x14ac:dyDescent="0.2">
      <c r="A105" s="75">
        <v>30042</v>
      </c>
      <c r="B105" s="76">
        <v>1.8360000000000001</v>
      </c>
    </row>
    <row r="106" spans="1:2" x14ac:dyDescent="0.2">
      <c r="A106" s="75">
        <v>30133</v>
      </c>
      <c r="B106" s="76">
        <v>1.825</v>
      </c>
    </row>
    <row r="107" spans="1:2" x14ac:dyDescent="0.2">
      <c r="A107" s="75">
        <v>30225</v>
      </c>
      <c r="B107" s="76">
        <v>1.804</v>
      </c>
    </row>
    <row r="108" spans="1:2" x14ac:dyDescent="0.2">
      <c r="A108" s="75">
        <v>30317</v>
      </c>
      <c r="B108" s="76">
        <v>1.7450000000000001</v>
      </c>
    </row>
    <row r="109" spans="1:2" x14ac:dyDescent="0.2">
      <c r="A109" s="75">
        <v>30407</v>
      </c>
      <c r="B109" s="76">
        <v>1.7529999999999999</v>
      </c>
    </row>
    <row r="110" spans="1:2" x14ac:dyDescent="0.2">
      <c r="A110" s="75">
        <v>30498</v>
      </c>
      <c r="B110" s="76">
        <v>1.7789999999999999</v>
      </c>
    </row>
    <row r="111" spans="1:2" x14ac:dyDescent="0.2">
      <c r="A111" s="75">
        <v>30590</v>
      </c>
      <c r="B111" s="76">
        <v>1.7969999999999999</v>
      </c>
    </row>
    <row r="112" spans="1:2" x14ac:dyDescent="0.2">
      <c r="A112" s="75">
        <v>30682</v>
      </c>
      <c r="B112" s="76">
        <v>1.8120000000000001</v>
      </c>
    </row>
    <row r="113" spans="1:2" x14ac:dyDescent="0.2">
      <c r="A113" s="75">
        <v>30773</v>
      </c>
      <c r="B113" s="76">
        <v>1.82</v>
      </c>
    </row>
    <row r="114" spans="1:2" x14ac:dyDescent="0.2">
      <c r="A114" s="75">
        <v>30864</v>
      </c>
      <c r="B114" s="76">
        <v>1.829</v>
      </c>
    </row>
    <row r="115" spans="1:2" x14ac:dyDescent="0.2">
      <c r="A115" s="75">
        <v>30956</v>
      </c>
      <c r="B115" s="76">
        <v>1.8180000000000001</v>
      </c>
    </row>
    <row r="116" spans="1:2" x14ac:dyDescent="0.2">
      <c r="A116" s="75">
        <v>31048</v>
      </c>
      <c r="B116" s="76">
        <v>1.7989999999999999</v>
      </c>
    </row>
    <row r="117" spans="1:2" x14ac:dyDescent="0.2">
      <c r="A117" s="75">
        <v>31138</v>
      </c>
      <c r="B117" s="76">
        <v>1.7949999999999999</v>
      </c>
    </row>
    <row r="118" spans="1:2" x14ac:dyDescent="0.2">
      <c r="A118" s="75">
        <v>31229</v>
      </c>
      <c r="B118" s="76">
        <v>1.7949999999999999</v>
      </c>
    </row>
    <row r="119" spans="1:2" x14ac:dyDescent="0.2">
      <c r="A119" s="75">
        <v>31321</v>
      </c>
      <c r="B119" s="76">
        <v>1.792</v>
      </c>
    </row>
    <row r="120" spans="1:2" x14ac:dyDescent="0.2">
      <c r="A120" s="75">
        <v>31413</v>
      </c>
      <c r="B120" s="76">
        <v>1.792</v>
      </c>
    </row>
    <row r="121" spans="1:2" x14ac:dyDescent="0.2">
      <c r="A121" s="75">
        <v>31503</v>
      </c>
      <c r="B121" s="76">
        <v>1.76</v>
      </c>
    </row>
    <row r="122" spans="1:2" x14ac:dyDescent="0.2">
      <c r="A122" s="75">
        <v>31594</v>
      </c>
      <c r="B122" s="76">
        <v>1.7410000000000001</v>
      </c>
    </row>
    <row r="123" spans="1:2" x14ac:dyDescent="0.2">
      <c r="A123" s="75">
        <v>31686</v>
      </c>
      <c r="B123" s="76">
        <v>1.7210000000000001</v>
      </c>
    </row>
    <row r="124" spans="1:2" x14ac:dyDescent="0.2">
      <c r="A124" s="75">
        <v>31778</v>
      </c>
      <c r="B124" s="76">
        <v>1.718</v>
      </c>
    </row>
    <row r="125" spans="1:2" x14ac:dyDescent="0.2">
      <c r="A125" s="75">
        <v>31868</v>
      </c>
      <c r="B125" s="76">
        <v>1.734</v>
      </c>
    </row>
    <row r="126" spans="1:2" x14ac:dyDescent="0.2">
      <c r="A126" s="75">
        <v>31959</v>
      </c>
      <c r="B126" s="76">
        <v>1.7509999999999999</v>
      </c>
    </row>
    <row r="127" spans="1:2" x14ac:dyDescent="0.2">
      <c r="A127" s="75">
        <v>32051</v>
      </c>
      <c r="B127" s="76">
        <v>1.776</v>
      </c>
    </row>
    <row r="128" spans="1:2" x14ac:dyDescent="0.2">
      <c r="A128" s="75">
        <v>32143</v>
      </c>
      <c r="B128" s="76">
        <v>1.768</v>
      </c>
    </row>
    <row r="129" spans="1:2" x14ac:dyDescent="0.2">
      <c r="A129" s="75">
        <v>32234</v>
      </c>
      <c r="B129" s="76">
        <v>1.774</v>
      </c>
    </row>
    <row r="130" spans="1:2" x14ac:dyDescent="0.2">
      <c r="A130" s="75">
        <v>32325</v>
      </c>
      <c r="B130" s="76">
        <v>1.79</v>
      </c>
    </row>
    <row r="131" spans="1:2" x14ac:dyDescent="0.2">
      <c r="A131" s="75">
        <v>32417</v>
      </c>
      <c r="B131" s="76">
        <v>1.8129999999999999</v>
      </c>
    </row>
    <row r="132" spans="1:2" x14ac:dyDescent="0.2">
      <c r="A132" s="75">
        <v>32509</v>
      </c>
      <c r="B132" s="76">
        <v>1.84</v>
      </c>
    </row>
    <row r="133" spans="1:2" x14ac:dyDescent="0.2">
      <c r="A133" s="75">
        <v>32599</v>
      </c>
      <c r="B133" s="76">
        <v>1.861</v>
      </c>
    </row>
    <row r="134" spans="1:2" x14ac:dyDescent="0.2">
      <c r="A134" s="75">
        <v>32690</v>
      </c>
      <c r="B134" s="76">
        <v>1.853</v>
      </c>
    </row>
    <row r="135" spans="1:2" x14ac:dyDescent="0.2">
      <c r="A135" s="75">
        <v>32782</v>
      </c>
      <c r="B135" s="76">
        <v>1.8340000000000001</v>
      </c>
    </row>
    <row r="136" spans="1:2" x14ac:dyDescent="0.2">
      <c r="A136" s="75">
        <v>32874</v>
      </c>
      <c r="B136" s="76">
        <v>1.8480000000000001</v>
      </c>
    </row>
    <row r="137" spans="1:2" x14ac:dyDescent="0.2">
      <c r="A137" s="75">
        <v>32964</v>
      </c>
      <c r="B137" s="76">
        <v>1.859</v>
      </c>
    </row>
    <row r="138" spans="1:2" x14ac:dyDescent="0.2">
      <c r="A138" s="75">
        <v>33055</v>
      </c>
      <c r="B138" s="76">
        <v>1.8560000000000001</v>
      </c>
    </row>
    <row r="139" spans="1:2" x14ac:dyDescent="0.2">
      <c r="A139" s="75">
        <v>33147</v>
      </c>
      <c r="B139" s="76">
        <v>1.839</v>
      </c>
    </row>
    <row r="140" spans="1:2" x14ac:dyDescent="0.2">
      <c r="A140" s="75">
        <v>33239</v>
      </c>
      <c r="B140" s="76">
        <v>1.8260000000000001</v>
      </c>
    </row>
    <row r="141" spans="1:2" x14ac:dyDescent="0.2">
      <c r="A141" s="75">
        <v>33329</v>
      </c>
      <c r="B141" s="76">
        <v>1.833</v>
      </c>
    </row>
    <row r="142" spans="1:2" x14ac:dyDescent="0.2">
      <c r="A142" s="75">
        <v>33420</v>
      </c>
      <c r="B142" s="76">
        <v>1.85</v>
      </c>
    </row>
    <row r="143" spans="1:2" x14ac:dyDescent="0.2">
      <c r="A143" s="75">
        <v>33512</v>
      </c>
      <c r="B143" s="76">
        <v>1.861</v>
      </c>
    </row>
    <row r="144" spans="1:2" x14ac:dyDescent="0.2">
      <c r="A144" s="75">
        <v>33604</v>
      </c>
      <c r="B144" s="76">
        <v>1.8740000000000001</v>
      </c>
    </row>
    <row r="145" spans="1:2" x14ac:dyDescent="0.2">
      <c r="A145" s="75">
        <v>33695</v>
      </c>
      <c r="B145" s="76">
        <v>1.905</v>
      </c>
    </row>
    <row r="146" spans="1:2" x14ac:dyDescent="0.2">
      <c r="A146" s="75">
        <v>33786</v>
      </c>
      <c r="B146" s="76">
        <v>1.931</v>
      </c>
    </row>
    <row r="147" spans="1:2" x14ac:dyDescent="0.2">
      <c r="A147" s="75">
        <v>33878</v>
      </c>
      <c r="B147" s="76">
        <v>1.9510000000000001</v>
      </c>
    </row>
    <row r="148" spans="1:2" x14ac:dyDescent="0.2">
      <c r="A148" s="75">
        <v>33970</v>
      </c>
      <c r="B148" s="76">
        <v>1.9710000000000001</v>
      </c>
    </row>
    <row r="149" spans="1:2" x14ac:dyDescent="0.2">
      <c r="A149" s="75">
        <v>34060</v>
      </c>
      <c r="B149" s="76">
        <v>1.9850000000000001</v>
      </c>
    </row>
    <row r="150" spans="1:2" x14ac:dyDescent="0.2">
      <c r="A150" s="75">
        <v>34151</v>
      </c>
      <c r="B150" s="76">
        <v>1.9970000000000001</v>
      </c>
    </row>
    <row r="151" spans="1:2" x14ac:dyDescent="0.2">
      <c r="A151" s="75">
        <v>34243</v>
      </c>
      <c r="B151" s="76">
        <v>2.0230000000000001</v>
      </c>
    </row>
    <row r="152" spans="1:2" x14ac:dyDescent="0.2">
      <c r="A152" s="75">
        <v>34335</v>
      </c>
      <c r="B152" s="76">
        <v>2.0470000000000002</v>
      </c>
    </row>
    <row r="153" spans="1:2" x14ac:dyDescent="0.2">
      <c r="A153" s="75">
        <v>34425</v>
      </c>
      <c r="B153" s="76">
        <v>2.08</v>
      </c>
    </row>
    <row r="154" spans="1:2" x14ac:dyDescent="0.2">
      <c r="A154" s="75">
        <v>34516</v>
      </c>
      <c r="B154" s="76">
        <v>2.1030000000000002</v>
      </c>
    </row>
    <row r="155" spans="1:2" x14ac:dyDescent="0.2">
      <c r="A155" s="75">
        <v>34608</v>
      </c>
      <c r="B155" s="76">
        <v>2.1389999999999998</v>
      </c>
    </row>
    <row r="156" spans="1:2" x14ac:dyDescent="0.2">
      <c r="A156" s="75">
        <v>34700</v>
      </c>
      <c r="B156" s="76">
        <v>2.1549999999999998</v>
      </c>
    </row>
    <row r="157" spans="1:2" x14ac:dyDescent="0.2">
      <c r="A157" s="75">
        <v>34790</v>
      </c>
      <c r="B157" s="76">
        <v>2.1509999999999998</v>
      </c>
    </row>
    <row r="158" spans="1:2" x14ac:dyDescent="0.2">
      <c r="A158" s="75">
        <v>34881</v>
      </c>
      <c r="B158" s="76">
        <v>2.1419999999999999</v>
      </c>
    </row>
    <row r="159" spans="1:2" x14ac:dyDescent="0.2">
      <c r="A159" s="75">
        <v>34973</v>
      </c>
      <c r="B159" s="76">
        <v>2.1469999999999998</v>
      </c>
    </row>
    <row r="160" spans="1:2" x14ac:dyDescent="0.2">
      <c r="A160" s="75">
        <v>35065</v>
      </c>
      <c r="B160" s="76">
        <v>2.1469999999999998</v>
      </c>
    </row>
    <row r="161" spans="1:2" x14ac:dyDescent="0.2">
      <c r="A161" s="75">
        <v>35156</v>
      </c>
      <c r="B161" s="76">
        <v>2.165</v>
      </c>
    </row>
    <row r="162" spans="1:2" x14ac:dyDescent="0.2">
      <c r="A162" s="75">
        <v>35247</v>
      </c>
      <c r="B162" s="76">
        <v>2.1709999999999998</v>
      </c>
    </row>
    <row r="163" spans="1:2" x14ac:dyDescent="0.2">
      <c r="A163" s="75">
        <v>35339</v>
      </c>
      <c r="B163" s="76">
        <v>2.1789999999999998</v>
      </c>
    </row>
    <row r="164" spans="1:2" x14ac:dyDescent="0.2">
      <c r="A164" s="75">
        <v>35431</v>
      </c>
      <c r="B164" s="76">
        <v>2.1789999999999998</v>
      </c>
    </row>
    <row r="165" spans="1:2" x14ac:dyDescent="0.2">
      <c r="A165" s="75">
        <v>35521</v>
      </c>
      <c r="B165" s="76">
        <v>2.1949999999999998</v>
      </c>
    </row>
    <row r="166" spans="1:2" x14ac:dyDescent="0.2">
      <c r="A166" s="75">
        <v>35612</v>
      </c>
      <c r="B166" s="76">
        <v>2.198</v>
      </c>
    </row>
    <row r="167" spans="1:2" x14ac:dyDescent="0.2">
      <c r="A167" s="75">
        <v>35704</v>
      </c>
      <c r="B167" s="76">
        <v>2.19</v>
      </c>
    </row>
    <row r="168" spans="1:2" x14ac:dyDescent="0.2">
      <c r="A168" s="75">
        <v>35796</v>
      </c>
      <c r="B168" s="76">
        <v>2.1749999999999998</v>
      </c>
    </row>
    <row r="169" spans="1:2" x14ac:dyDescent="0.2">
      <c r="A169" s="75">
        <v>35886</v>
      </c>
      <c r="B169" s="76">
        <v>2.16</v>
      </c>
    </row>
    <row r="170" spans="1:2" x14ac:dyDescent="0.2">
      <c r="A170" s="75">
        <v>35977</v>
      </c>
      <c r="B170" s="76">
        <v>2.16</v>
      </c>
    </row>
    <row r="171" spans="1:2" x14ac:dyDescent="0.2">
      <c r="A171" s="75">
        <v>36069</v>
      </c>
      <c r="B171" s="76">
        <v>2.145</v>
      </c>
    </row>
    <row r="172" spans="1:2" x14ac:dyDescent="0.2">
      <c r="A172" s="75">
        <v>36161</v>
      </c>
      <c r="B172" s="76">
        <v>2.1360000000000001</v>
      </c>
    </row>
    <row r="173" spans="1:2" x14ac:dyDescent="0.2">
      <c r="A173" s="75">
        <v>36251</v>
      </c>
      <c r="B173" s="76">
        <v>2.129</v>
      </c>
    </row>
    <row r="174" spans="1:2" x14ac:dyDescent="0.2">
      <c r="A174" s="75">
        <v>36342</v>
      </c>
      <c r="B174" s="76">
        <v>2.1320000000000001</v>
      </c>
    </row>
    <row r="175" spans="1:2" x14ac:dyDescent="0.2">
      <c r="A175" s="75">
        <v>36434</v>
      </c>
      <c r="B175" s="76">
        <v>2.1509999999999998</v>
      </c>
    </row>
    <row r="176" spans="1:2" x14ac:dyDescent="0.2">
      <c r="A176" s="75">
        <v>36526</v>
      </c>
      <c r="B176" s="76">
        <v>2.14</v>
      </c>
    </row>
    <row r="177" spans="1:2" x14ac:dyDescent="0.2">
      <c r="A177" s="75">
        <v>36617</v>
      </c>
      <c r="B177" s="76">
        <v>2.1560000000000001</v>
      </c>
    </row>
    <row r="178" spans="1:2" x14ac:dyDescent="0.2">
      <c r="A178" s="75">
        <v>36708</v>
      </c>
      <c r="B178" s="76">
        <v>2.1459999999999999</v>
      </c>
    </row>
    <row r="179" spans="1:2" x14ac:dyDescent="0.2">
      <c r="A179" s="75">
        <v>36800</v>
      </c>
      <c r="B179" s="76">
        <v>2.1389999999999998</v>
      </c>
    </row>
    <row r="180" spans="1:2" x14ac:dyDescent="0.2">
      <c r="A180" s="75">
        <v>36892</v>
      </c>
      <c r="B180" s="76">
        <v>2.0910000000000002</v>
      </c>
    </row>
    <row r="181" spans="1:2" x14ac:dyDescent="0.2">
      <c r="A181" s="75">
        <v>36982</v>
      </c>
      <c r="B181" s="76">
        <v>2.0640000000000001</v>
      </c>
    </row>
    <row r="182" spans="1:2" x14ac:dyDescent="0.2">
      <c r="A182" s="75">
        <v>37073</v>
      </c>
      <c r="B182" s="76">
        <v>2.0179999999999998</v>
      </c>
    </row>
    <row r="183" spans="1:2" x14ac:dyDescent="0.2">
      <c r="A183" s="75">
        <v>37165</v>
      </c>
      <c r="B183" s="76">
        <v>1.9850000000000001</v>
      </c>
    </row>
    <row r="184" spans="1:2" x14ac:dyDescent="0.2">
      <c r="A184" s="75">
        <v>37257</v>
      </c>
      <c r="B184" s="76">
        <v>1.974</v>
      </c>
    </row>
    <row r="185" spans="1:2" x14ac:dyDescent="0.2">
      <c r="A185" s="75">
        <v>37347</v>
      </c>
      <c r="B185" s="76">
        <v>1.9770000000000001</v>
      </c>
    </row>
    <row r="186" spans="1:2" x14ac:dyDescent="0.2">
      <c r="A186" s="75">
        <v>37438</v>
      </c>
      <c r="B186" s="76">
        <v>1.958</v>
      </c>
    </row>
    <row r="187" spans="1:2" x14ac:dyDescent="0.2">
      <c r="A187" s="75">
        <v>37530</v>
      </c>
      <c r="B187" s="76">
        <v>1.9330000000000001</v>
      </c>
    </row>
    <row r="188" spans="1:2" x14ac:dyDescent="0.2">
      <c r="A188" s="75">
        <v>37622</v>
      </c>
      <c r="B188" s="76">
        <v>1.92</v>
      </c>
    </row>
    <row r="189" spans="1:2" x14ac:dyDescent="0.2">
      <c r="A189" s="75">
        <v>37712</v>
      </c>
      <c r="B189" s="76">
        <v>1.905</v>
      </c>
    </row>
    <row r="190" spans="1:2" x14ac:dyDescent="0.2">
      <c r="A190" s="75">
        <v>37803</v>
      </c>
      <c r="B190" s="76">
        <v>1.909</v>
      </c>
    </row>
    <row r="191" spans="1:2" x14ac:dyDescent="0.2">
      <c r="A191" s="75">
        <v>37895</v>
      </c>
      <c r="B191" s="76">
        <v>1.944</v>
      </c>
    </row>
    <row r="192" spans="1:2" x14ac:dyDescent="0.2">
      <c r="A192" s="75">
        <v>37987</v>
      </c>
      <c r="B192" s="76">
        <v>1.954</v>
      </c>
    </row>
    <row r="193" spans="1:2" x14ac:dyDescent="0.2">
      <c r="A193" s="75">
        <v>38078</v>
      </c>
      <c r="B193" s="76">
        <v>1.944</v>
      </c>
    </row>
    <row r="194" spans="1:2" x14ac:dyDescent="0.2">
      <c r="A194" s="75">
        <v>38169</v>
      </c>
      <c r="B194" s="76">
        <v>1.9530000000000001</v>
      </c>
    </row>
    <row r="195" spans="1:2" x14ac:dyDescent="0.2">
      <c r="A195" s="75">
        <v>38261</v>
      </c>
      <c r="B195" s="76">
        <v>1.962</v>
      </c>
    </row>
    <row r="196" spans="1:2" x14ac:dyDescent="0.2">
      <c r="A196" s="75">
        <v>38353</v>
      </c>
      <c r="B196" s="76">
        <v>1.988</v>
      </c>
    </row>
    <row r="197" spans="1:2" x14ac:dyDescent="0.2">
      <c r="A197" s="75">
        <v>38443</v>
      </c>
      <c r="B197" s="76">
        <v>1.9970000000000001</v>
      </c>
    </row>
    <row r="198" spans="1:2" x14ac:dyDescent="0.2">
      <c r="A198" s="75">
        <v>38534</v>
      </c>
      <c r="B198" s="76">
        <v>2.004</v>
      </c>
    </row>
    <row r="199" spans="1:2" x14ac:dyDescent="0.2">
      <c r="A199" s="75">
        <v>38626</v>
      </c>
      <c r="B199" s="76">
        <v>2.0059999999999998</v>
      </c>
    </row>
    <row r="200" spans="1:2" x14ac:dyDescent="0.2">
      <c r="A200" s="75">
        <v>38718</v>
      </c>
      <c r="B200" s="76">
        <v>2.0209999999999999</v>
      </c>
    </row>
    <row r="201" spans="1:2" x14ac:dyDescent="0.2">
      <c r="A201" s="75">
        <v>38808</v>
      </c>
      <c r="B201" s="76">
        <v>2.0209999999999999</v>
      </c>
    </row>
    <row r="202" spans="1:2" x14ac:dyDescent="0.2">
      <c r="A202" s="75">
        <v>38899</v>
      </c>
      <c r="B202" s="76">
        <v>2.0089999999999999</v>
      </c>
    </row>
    <row r="203" spans="1:2" x14ac:dyDescent="0.2">
      <c r="A203" s="75">
        <v>38991</v>
      </c>
      <c r="B203" s="76">
        <v>2</v>
      </c>
    </row>
    <row r="204" spans="1:2" x14ac:dyDescent="0.2">
      <c r="A204" s="75">
        <v>39083</v>
      </c>
      <c r="B204" s="76">
        <v>1.996</v>
      </c>
    </row>
    <row r="205" spans="1:2" x14ac:dyDescent="0.2">
      <c r="A205" s="75">
        <v>39173</v>
      </c>
      <c r="B205" s="76">
        <v>1.9870000000000001</v>
      </c>
    </row>
    <row r="206" spans="1:2" x14ac:dyDescent="0.2">
      <c r="A206" s="75">
        <v>39264</v>
      </c>
      <c r="B206" s="76">
        <v>1.9770000000000001</v>
      </c>
    </row>
    <row r="207" spans="1:2" x14ac:dyDescent="0.2">
      <c r="A207" s="75">
        <v>39356</v>
      </c>
      <c r="B207" s="76">
        <v>1.976</v>
      </c>
    </row>
    <row r="208" spans="1:2" x14ac:dyDescent="0.2">
      <c r="A208" s="75">
        <v>39448</v>
      </c>
      <c r="B208" s="76">
        <v>1.9350000000000001</v>
      </c>
    </row>
    <row r="209" spans="1:2" x14ac:dyDescent="0.2">
      <c r="A209" s="75">
        <v>39539</v>
      </c>
      <c r="B209" s="76">
        <v>1.923</v>
      </c>
    </row>
    <row r="210" spans="1:2" x14ac:dyDescent="0.2">
      <c r="A210" s="75">
        <v>39630</v>
      </c>
      <c r="B210" s="76">
        <v>1.903</v>
      </c>
    </row>
    <row r="211" spans="1:2" x14ac:dyDescent="0.2">
      <c r="A211" s="75">
        <v>39722</v>
      </c>
      <c r="B211" s="76">
        <v>1.8089999999999999</v>
      </c>
    </row>
    <row r="212" spans="1:2" x14ac:dyDescent="0.2">
      <c r="A212" s="75">
        <v>39814</v>
      </c>
      <c r="B212" s="76">
        <v>1.7330000000000001</v>
      </c>
    </row>
    <row r="213" spans="1:2" x14ac:dyDescent="0.2">
      <c r="A213" s="75">
        <v>39904</v>
      </c>
      <c r="B213" s="76">
        <v>1.708</v>
      </c>
    </row>
    <row r="214" spans="1:2" x14ac:dyDescent="0.2">
      <c r="A214" s="75">
        <v>39995</v>
      </c>
      <c r="B214" s="76">
        <v>1.71</v>
      </c>
    </row>
    <row r="215" spans="1:2" x14ac:dyDescent="0.2">
      <c r="A215" s="75">
        <v>40087</v>
      </c>
      <c r="B215" s="76">
        <v>1.726</v>
      </c>
    </row>
    <row r="216" spans="1:2" x14ac:dyDescent="0.2">
      <c r="A216" s="75">
        <v>40179</v>
      </c>
      <c r="B216" s="76">
        <v>1.736</v>
      </c>
    </row>
    <row r="217" spans="1:2" x14ac:dyDescent="0.2">
      <c r="A217" s="75">
        <v>40269</v>
      </c>
      <c r="B217" s="76">
        <v>1.7430000000000001</v>
      </c>
    </row>
    <row r="218" spans="1:2" x14ac:dyDescent="0.2">
      <c r="A218" s="75">
        <v>40360</v>
      </c>
      <c r="B218" s="76">
        <v>1.7430000000000001</v>
      </c>
    </row>
    <row r="219" spans="1:2" x14ac:dyDescent="0.2">
      <c r="A219" s="75">
        <v>40452</v>
      </c>
      <c r="B219" s="76">
        <v>1.74</v>
      </c>
    </row>
    <row r="220" spans="1:2" x14ac:dyDescent="0.2">
      <c r="A220" s="75">
        <v>40544</v>
      </c>
      <c r="B220" s="76">
        <v>1.7230000000000001</v>
      </c>
    </row>
    <row r="221" spans="1:2" x14ac:dyDescent="0.2">
      <c r="A221" s="75">
        <v>40634</v>
      </c>
      <c r="B221" s="76">
        <v>1.714</v>
      </c>
    </row>
    <row r="222" spans="1:2" x14ac:dyDescent="0.2">
      <c r="A222" s="75">
        <v>40725</v>
      </c>
      <c r="B222" s="76">
        <v>1.65</v>
      </c>
    </row>
    <row r="223" spans="1:2" x14ac:dyDescent="0.2">
      <c r="A223" s="75">
        <v>40817</v>
      </c>
      <c r="B223" s="76">
        <v>1.643</v>
      </c>
    </row>
    <row r="224" spans="1:2" x14ac:dyDescent="0.2">
      <c r="A224" s="75">
        <v>40909</v>
      </c>
      <c r="B224" s="76">
        <v>1.639</v>
      </c>
    </row>
    <row r="225" spans="1:2" x14ac:dyDescent="0.2">
      <c r="A225" s="75">
        <v>41000</v>
      </c>
      <c r="B225" s="76">
        <v>1.629</v>
      </c>
    </row>
    <row r="226" spans="1:2" x14ac:dyDescent="0.2">
      <c r="A226" s="75">
        <v>41091</v>
      </c>
      <c r="B226" s="76">
        <v>1.6060000000000001</v>
      </c>
    </row>
    <row r="227" spans="1:2" x14ac:dyDescent="0.2">
      <c r="A227" s="75">
        <v>41183</v>
      </c>
      <c r="B227" s="76">
        <v>1.5820000000000001</v>
      </c>
    </row>
    <row r="228" spans="1:2" x14ac:dyDescent="0.2">
      <c r="A228" s="75">
        <v>41275</v>
      </c>
      <c r="B228" s="76">
        <v>1.579</v>
      </c>
    </row>
    <row r="229" spans="1:2" x14ac:dyDescent="0.2">
      <c r="A229" s="75">
        <v>41365</v>
      </c>
      <c r="B229" s="76">
        <v>1.5669999999999999</v>
      </c>
    </row>
    <row r="230" spans="1:2" x14ac:dyDescent="0.2">
      <c r="A230" s="75">
        <v>41456</v>
      </c>
      <c r="B230" s="76">
        <v>1.5629999999999999</v>
      </c>
    </row>
    <row r="231" spans="1:2" x14ac:dyDescent="0.2">
      <c r="A231" s="75">
        <v>41548</v>
      </c>
      <c r="B231" s="76">
        <v>1.5569999999999999</v>
      </c>
    </row>
    <row r="232" spans="1:2" x14ac:dyDescent="0.2">
      <c r="A232" s="75">
        <v>41640</v>
      </c>
      <c r="B232" s="76">
        <v>1.536</v>
      </c>
    </row>
    <row r="233" spans="1:2" x14ac:dyDescent="0.2">
      <c r="A233" s="75">
        <v>41730</v>
      </c>
      <c r="B233" s="76">
        <v>1.5409999999999999</v>
      </c>
    </row>
    <row r="234" spans="1:2" x14ac:dyDescent="0.2">
      <c r="A234" s="75">
        <v>41821</v>
      </c>
      <c r="B234" s="76">
        <v>1.546</v>
      </c>
    </row>
    <row r="235" spans="1:2" x14ac:dyDescent="0.2">
      <c r="A235" s="75">
        <v>41913</v>
      </c>
      <c r="B235" s="76">
        <v>1.538</v>
      </c>
    </row>
    <row r="236" spans="1:2" x14ac:dyDescent="0.2">
      <c r="A236" s="75">
        <v>42005</v>
      </c>
      <c r="B236" s="76">
        <v>1.522</v>
      </c>
    </row>
    <row r="237" spans="1:2" x14ac:dyDescent="0.2">
      <c r="A237" s="75">
        <v>42095</v>
      </c>
      <c r="B237" s="76">
        <v>1.524</v>
      </c>
    </row>
    <row r="238" spans="1:2" x14ac:dyDescent="0.2">
      <c r="A238" s="75">
        <v>42186</v>
      </c>
      <c r="B238" s="76">
        <v>1.516</v>
      </c>
    </row>
    <row r="239" spans="1:2" x14ac:dyDescent="0.2">
      <c r="A239" s="75">
        <v>42278</v>
      </c>
      <c r="B239" s="76">
        <v>1.496</v>
      </c>
    </row>
    <row r="240" spans="1:2" x14ac:dyDescent="0.2">
      <c r="A240" s="75">
        <v>42370</v>
      </c>
      <c r="B240" s="76">
        <v>1.47</v>
      </c>
    </row>
    <row r="241" spans="1:2" x14ac:dyDescent="0.2">
      <c r="A241" s="75">
        <v>42461</v>
      </c>
      <c r="B241" s="76">
        <v>1.4610000000000001</v>
      </c>
    </row>
    <row r="242" spans="1:2" x14ac:dyDescent="0.2">
      <c r="A242" s="75">
        <v>42552</v>
      </c>
      <c r="B242" s="76">
        <v>1.4510000000000001</v>
      </c>
    </row>
    <row r="243" spans="1:2" x14ac:dyDescent="0.2">
      <c r="A243" s="75">
        <v>42644</v>
      </c>
      <c r="B243" s="76">
        <v>1.444</v>
      </c>
    </row>
    <row r="244" spans="1:2" x14ac:dyDescent="0.2">
      <c r="A244" s="75">
        <v>42736</v>
      </c>
      <c r="B244" s="76">
        <v>1.4379999999999999</v>
      </c>
    </row>
    <row r="245" spans="1:2" x14ac:dyDescent="0.2">
      <c r="A245" s="75">
        <v>42826</v>
      </c>
      <c r="B245" s="76">
        <v>1.4319999999999999</v>
      </c>
    </row>
    <row r="246" spans="1:2" x14ac:dyDescent="0.2">
      <c r="A246" s="75">
        <v>42917</v>
      </c>
      <c r="B246" s="76">
        <v>1.4350000000000001</v>
      </c>
    </row>
    <row r="247" spans="1:2" x14ac:dyDescent="0.2">
      <c r="A247" s="75">
        <v>43009</v>
      </c>
      <c r="B247" s="76">
        <v>1.4430000000000001</v>
      </c>
    </row>
    <row r="248" spans="1:2" x14ac:dyDescent="0.2">
      <c r="A248" s="75">
        <v>43101</v>
      </c>
      <c r="B248" s="76">
        <v>1.45</v>
      </c>
    </row>
    <row r="249" spans="1:2" x14ac:dyDescent="0.2">
      <c r="A249" s="75">
        <v>43191</v>
      </c>
      <c r="B249" s="76">
        <v>1.4590000000000001</v>
      </c>
    </row>
    <row r="250" spans="1:2" x14ac:dyDescent="0.2">
      <c r="A250" s="75">
        <v>43282</v>
      </c>
      <c r="B250" s="76">
        <v>1.462</v>
      </c>
    </row>
    <row r="251" spans="1:2" x14ac:dyDescent="0.2">
      <c r="A251" s="75">
        <v>43374</v>
      </c>
      <c r="B251" s="76">
        <v>1.464</v>
      </c>
    </row>
    <row r="252" spans="1:2" x14ac:dyDescent="0.2">
      <c r="A252" s="75">
        <v>43466</v>
      </c>
      <c r="B252" s="76">
        <v>1.458</v>
      </c>
    </row>
    <row r="253" spans="1:2" x14ac:dyDescent="0.2">
      <c r="A253" s="75">
        <v>43556</v>
      </c>
      <c r="B253" s="76">
        <v>1.4550000000000001</v>
      </c>
    </row>
    <row r="254" spans="1:2" x14ac:dyDescent="0.2">
      <c r="A254" s="75">
        <v>43647</v>
      </c>
      <c r="B254" s="76">
        <v>1.4419999999999999</v>
      </c>
    </row>
    <row r="255" spans="1:2" x14ac:dyDescent="0.2">
      <c r="A255" s="75">
        <v>43739</v>
      </c>
      <c r="B255" s="76">
        <v>1.425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E3083"/>
  <sheetViews>
    <sheetView topLeftCell="A3045" zoomScale="130" zoomScaleNormal="130" workbookViewId="0">
      <selection activeCell="G8" sqref="G8"/>
    </sheetView>
  </sheetViews>
  <sheetFormatPr baseColWidth="10" defaultRowHeight="15" x14ac:dyDescent="0.2"/>
  <sheetData>
    <row r="1" spans="1:5" x14ac:dyDescent="0.2">
      <c r="A1" t="s">
        <v>79</v>
      </c>
      <c r="B1" t="s">
        <v>80</v>
      </c>
      <c r="C1" t="s">
        <v>81</v>
      </c>
      <c r="D1" t="s">
        <v>82</v>
      </c>
      <c r="E1" t="s">
        <v>83</v>
      </c>
    </row>
    <row r="2" spans="1:5" x14ac:dyDescent="0.2">
      <c r="A2" s="81">
        <v>21551</v>
      </c>
      <c r="B2">
        <v>478.8</v>
      </c>
      <c r="C2">
        <v>987.9</v>
      </c>
      <c r="E2">
        <v>286.60000000000002</v>
      </c>
    </row>
    <row r="3" spans="1:5" x14ac:dyDescent="0.2">
      <c r="A3" s="81">
        <v>21582</v>
      </c>
      <c r="B3">
        <v>480.7</v>
      </c>
      <c r="C3">
        <v>992.1</v>
      </c>
      <c r="E3">
        <v>287.7</v>
      </c>
    </row>
    <row r="4" spans="1:5" x14ac:dyDescent="0.2">
      <c r="A4" s="81">
        <v>21610</v>
      </c>
      <c r="B4">
        <v>482.2</v>
      </c>
      <c r="C4">
        <v>998.3</v>
      </c>
      <c r="E4">
        <v>289.2</v>
      </c>
    </row>
    <row r="5" spans="1:5" x14ac:dyDescent="0.2">
      <c r="A5" s="81">
        <v>21641</v>
      </c>
      <c r="B5">
        <v>482.1</v>
      </c>
      <c r="C5">
        <v>1001</v>
      </c>
      <c r="E5">
        <v>290.10000000000002</v>
      </c>
    </row>
    <row r="6" spans="1:5" x14ac:dyDescent="0.2">
      <c r="A6" s="81">
        <v>21671</v>
      </c>
      <c r="B6">
        <v>484.5</v>
      </c>
      <c r="C6">
        <v>1006.2</v>
      </c>
      <c r="E6">
        <v>292.2</v>
      </c>
    </row>
    <row r="7" spans="1:5" x14ac:dyDescent="0.2">
      <c r="A7" s="81">
        <v>21702</v>
      </c>
      <c r="B7">
        <v>485.1</v>
      </c>
      <c r="C7">
        <v>1010.3</v>
      </c>
      <c r="E7">
        <v>294.10000000000002</v>
      </c>
    </row>
    <row r="8" spans="1:5" x14ac:dyDescent="0.2">
      <c r="A8" s="81">
        <v>21732</v>
      </c>
      <c r="B8">
        <v>486.1</v>
      </c>
      <c r="C8">
        <v>1012.7</v>
      </c>
      <c r="E8">
        <v>295.2</v>
      </c>
    </row>
    <row r="9" spans="1:5" x14ac:dyDescent="0.2">
      <c r="A9" s="81">
        <v>21763</v>
      </c>
      <c r="B9">
        <v>486.3</v>
      </c>
      <c r="C9">
        <v>1015.8</v>
      </c>
      <c r="E9">
        <v>296.39999999999998</v>
      </c>
    </row>
    <row r="10" spans="1:5" x14ac:dyDescent="0.2">
      <c r="A10" s="81">
        <v>21794</v>
      </c>
      <c r="B10">
        <v>482.1</v>
      </c>
      <c r="C10">
        <v>1014.4</v>
      </c>
      <c r="E10">
        <v>296.7</v>
      </c>
    </row>
    <row r="11" spans="1:5" x14ac:dyDescent="0.2">
      <c r="A11" s="81">
        <v>21824</v>
      </c>
      <c r="B11">
        <v>478.7</v>
      </c>
      <c r="C11">
        <v>1010.2</v>
      </c>
      <c r="E11">
        <v>296.5</v>
      </c>
    </row>
    <row r="12" spans="1:5" x14ac:dyDescent="0.2">
      <c r="A12" s="81">
        <v>21855</v>
      </c>
      <c r="B12">
        <v>478.4</v>
      </c>
      <c r="C12">
        <v>1012.3</v>
      </c>
      <c r="E12">
        <v>297.10000000000002</v>
      </c>
    </row>
    <row r="13" spans="1:5" x14ac:dyDescent="0.2">
      <c r="A13" s="81">
        <v>21885</v>
      </c>
      <c r="B13">
        <v>475.7</v>
      </c>
      <c r="C13">
        <v>1012.6</v>
      </c>
      <c r="E13">
        <v>297.8</v>
      </c>
    </row>
    <row r="14" spans="1:5" x14ac:dyDescent="0.2">
      <c r="A14" s="81">
        <v>21916</v>
      </c>
      <c r="B14">
        <v>476.7</v>
      </c>
      <c r="C14">
        <v>1015.3</v>
      </c>
      <c r="E14">
        <v>298.2</v>
      </c>
    </row>
    <row r="15" spans="1:5" x14ac:dyDescent="0.2">
      <c r="A15" s="81">
        <v>21947</v>
      </c>
      <c r="B15">
        <v>475.7</v>
      </c>
      <c r="C15">
        <v>1014.6</v>
      </c>
      <c r="E15">
        <v>298.39999999999998</v>
      </c>
    </row>
    <row r="16" spans="1:5" x14ac:dyDescent="0.2">
      <c r="A16" s="81">
        <v>21976</v>
      </c>
      <c r="B16">
        <v>475.3</v>
      </c>
      <c r="C16">
        <v>1017.7</v>
      </c>
      <c r="E16">
        <v>299.3</v>
      </c>
    </row>
    <row r="17" spans="1:5" x14ac:dyDescent="0.2">
      <c r="A17" s="81">
        <v>22007</v>
      </c>
      <c r="B17">
        <v>472.6</v>
      </c>
      <c r="C17">
        <v>1015.9</v>
      </c>
      <c r="E17">
        <v>300.10000000000002</v>
      </c>
    </row>
    <row r="18" spans="1:5" x14ac:dyDescent="0.2">
      <c r="A18" s="81">
        <v>22037</v>
      </c>
      <c r="B18">
        <v>472.1</v>
      </c>
      <c r="C18">
        <v>1017.6</v>
      </c>
      <c r="E18">
        <v>300.89999999999998</v>
      </c>
    </row>
    <row r="19" spans="1:5" x14ac:dyDescent="0.2">
      <c r="A19" s="81">
        <v>22068</v>
      </c>
      <c r="B19">
        <v>471.5</v>
      </c>
      <c r="C19">
        <v>1020.9</v>
      </c>
      <c r="E19">
        <v>302.3</v>
      </c>
    </row>
    <row r="20" spans="1:5" x14ac:dyDescent="0.2">
      <c r="A20" s="81">
        <v>22098</v>
      </c>
      <c r="B20">
        <v>474.5</v>
      </c>
      <c r="C20">
        <v>1029.0999999999999</v>
      </c>
      <c r="E20">
        <v>304.10000000000002</v>
      </c>
    </row>
    <row r="21" spans="1:5" x14ac:dyDescent="0.2">
      <c r="A21" s="81">
        <v>22129</v>
      </c>
      <c r="B21">
        <v>477.2</v>
      </c>
      <c r="C21">
        <v>1036.5</v>
      </c>
      <c r="E21">
        <v>306.89999999999998</v>
      </c>
    </row>
    <row r="22" spans="1:5" x14ac:dyDescent="0.2">
      <c r="A22" s="81">
        <v>22160</v>
      </c>
      <c r="B22">
        <v>476.9</v>
      </c>
      <c r="C22">
        <v>1041.5</v>
      </c>
      <c r="E22">
        <v>308.39999999999998</v>
      </c>
    </row>
    <row r="23" spans="1:5" x14ac:dyDescent="0.2">
      <c r="A23" s="81">
        <v>22190</v>
      </c>
      <c r="B23">
        <v>473.6</v>
      </c>
      <c r="C23">
        <v>1040.3</v>
      </c>
      <c r="E23">
        <v>309.5</v>
      </c>
    </row>
    <row r="24" spans="1:5" x14ac:dyDescent="0.2">
      <c r="A24" s="81">
        <v>22221</v>
      </c>
      <c r="B24">
        <v>473.1</v>
      </c>
      <c r="C24">
        <v>1044</v>
      </c>
      <c r="E24">
        <v>310.89999999999998</v>
      </c>
    </row>
    <row r="25" spans="1:5" x14ac:dyDescent="0.2">
      <c r="A25" s="81">
        <v>22251</v>
      </c>
      <c r="B25">
        <v>472</v>
      </c>
      <c r="C25">
        <v>1048</v>
      </c>
      <c r="E25">
        <v>312.39999999999998</v>
      </c>
    </row>
    <row r="26" spans="1:5" x14ac:dyDescent="0.2">
      <c r="A26" s="81">
        <v>22282</v>
      </c>
      <c r="B26">
        <v>472.9</v>
      </c>
      <c r="C26">
        <v>1052.5999999999999</v>
      </c>
      <c r="E26">
        <v>314.10000000000002</v>
      </c>
    </row>
    <row r="27" spans="1:5" x14ac:dyDescent="0.2">
      <c r="A27" s="81">
        <v>22313</v>
      </c>
      <c r="B27">
        <v>474.5</v>
      </c>
      <c r="C27">
        <v>1060.7</v>
      </c>
      <c r="E27">
        <v>316.5</v>
      </c>
    </row>
    <row r="28" spans="1:5" x14ac:dyDescent="0.2">
      <c r="A28" s="81">
        <v>22341</v>
      </c>
      <c r="B28">
        <v>475.5</v>
      </c>
      <c r="C28">
        <v>1066.7</v>
      </c>
      <c r="E28">
        <v>318.3</v>
      </c>
    </row>
    <row r="29" spans="1:5" x14ac:dyDescent="0.2">
      <c r="A29" s="81">
        <v>22372</v>
      </c>
      <c r="B29">
        <v>476.7</v>
      </c>
      <c r="C29">
        <v>1073.0999999999999</v>
      </c>
      <c r="E29">
        <v>319.89999999999998</v>
      </c>
    </row>
    <row r="30" spans="1:5" x14ac:dyDescent="0.2">
      <c r="A30" s="81">
        <v>22402</v>
      </c>
      <c r="B30">
        <v>478.2</v>
      </c>
      <c r="C30">
        <v>1079.8</v>
      </c>
      <c r="E30">
        <v>322.2</v>
      </c>
    </row>
    <row r="31" spans="1:5" x14ac:dyDescent="0.2">
      <c r="A31" s="81">
        <v>22433</v>
      </c>
      <c r="B31">
        <v>478.9</v>
      </c>
      <c r="C31">
        <v>1086.8</v>
      </c>
      <c r="E31">
        <v>324.3</v>
      </c>
    </row>
    <row r="32" spans="1:5" x14ac:dyDescent="0.2">
      <c r="A32" s="81">
        <v>22463</v>
      </c>
      <c r="B32">
        <v>477.6</v>
      </c>
      <c r="C32">
        <v>1088.2</v>
      </c>
      <c r="E32">
        <v>325.60000000000002</v>
      </c>
    </row>
    <row r="33" spans="1:5" x14ac:dyDescent="0.2">
      <c r="A33" s="81">
        <v>22494</v>
      </c>
      <c r="B33">
        <v>479.3</v>
      </c>
      <c r="C33">
        <v>1094.2</v>
      </c>
      <c r="E33">
        <v>327.60000000000002</v>
      </c>
    </row>
    <row r="34" spans="1:5" x14ac:dyDescent="0.2">
      <c r="A34" s="81">
        <v>22525</v>
      </c>
      <c r="B34">
        <v>479.7</v>
      </c>
      <c r="C34">
        <v>1099.0999999999999</v>
      </c>
      <c r="E34">
        <v>329.5</v>
      </c>
    </row>
    <row r="35" spans="1:5" x14ac:dyDescent="0.2">
      <c r="A35" s="81">
        <v>22555</v>
      </c>
      <c r="B35">
        <v>480.7</v>
      </c>
      <c r="C35">
        <v>1104.4000000000001</v>
      </c>
      <c r="E35">
        <v>331.1</v>
      </c>
    </row>
    <row r="36" spans="1:5" x14ac:dyDescent="0.2">
      <c r="A36" s="81">
        <v>22586</v>
      </c>
      <c r="B36">
        <v>483</v>
      </c>
      <c r="C36">
        <v>1112.0999999999999</v>
      </c>
      <c r="E36">
        <v>333.4</v>
      </c>
    </row>
    <row r="37" spans="1:5" x14ac:dyDescent="0.2">
      <c r="A37" s="81">
        <v>22616</v>
      </c>
      <c r="B37">
        <v>483.8</v>
      </c>
      <c r="C37">
        <v>1118</v>
      </c>
      <c r="E37">
        <v>335.5</v>
      </c>
    </row>
    <row r="38" spans="1:5" x14ac:dyDescent="0.2">
      <c r="A38" s="81">
        <v>22647</v>
      </c>
      <c r="B38">
        <v>483.4</v>
      </c>
      <c r="C38">
        <v>1123.5</v>
      </c>
      <c r="E38">
        <v>337.5</v>
      </c>
    </row>
    <row r="39" spans="1:5" x14ac:dyDescent="0.2">
      <c r="A39" s="81">
        <v>22678</v>
      </c>
      <c r="B39">
        <v>483.9</v>
      </c>
      <c r="C39">
        <v>1129.5</v>
      </c>
      <c r="E39">
        <v>340.1</v>
      </c>
    </row>
    <row r="40" spans="1:5" x14ac:dyDescent="0.2">
      <c r="A40" s="81">
        <v>22706</v>
      </c>
      <c r="B40">
        <v>483.9</v>
      </c>
      <c r="C40">
        <v>1137.2</v>
      </c>
      <c r="E40">
        <v>343.1</v>
      </c>
    </row>
    <row r="41" spans="1:5" x14ac:dyDescent="0.2">
      <c r="A41" s="81">
        <v>22737</v>
      </c>
      <c r="B41">
        <v>484.6</v>
      </c>
      <c r="C41">
        <v>1143.7</v>
      </c>
      <c r="E41">
        <v>345.5</v>
      </c>
    </row>
    <row r="42" spans="1:5" x14ac:dyDescent="0.2">
      <c r="A42" s="81">
        <v>22767</v>
      </c>
      <c r="B42">
        <v>485.4</v>
      </c>
      <c r="C42">
        <v>1149.0999999999999</v>
      </c>
      <c r="E42">
        <v>347.5</v>
      </c>
    </row>
    <row r="43" spans="1:5" x14ac:dyDescent="0.2">
      <c r="A43" s="81">
        <v>22798</v>
      </c>
      <c r="B43">
        <v>485.3</v>
      </c>
      <c r="C43">
        <v>1156.2</v>
      </c>
      <c r="E43">
        <v>349.3</v>
      </c>
    </row>
    <row r="44" spans="1:5" x14ac:dyDescent="0.2">
      <c r="A44" s="81">
        <v>22828</v>
      </c>
      <c r="B44">
        <v>484.8</v>
      </c>
      <c r="C44">
        <v>1160.8</v>
      </c>
      <c r="E44">
        <v>350.8</v>
      </c>
    </row>
    <row r="45" spans="1:5" x14ac:dyDescent="0.2">
      <c r="A45" s="81">
        <v>22859</v>
      </c>
      <c r="B45">
        <v>484.1</v>
      </c>
      <c r="C45">
        <v>1165.0999999999999</v>
      </c>
      <c r="E45">
        <v>352.8</v>
      </c>
    </row>
    <row r="46" spans="1:5" x14ac:dyDescent="0.2">
      <c r="A46" s="81">
        <v>22890</v>
      </c>
      <c r="B46">
        <v>480.9</v>
      </c>
      <c r="C46">
        <v>1166.7</v>
      </c>
      <c r="E46">
        <v>354.9</v>
      </c>
    </row>
    <row r="47" spans="1:5" x14ac:dyDescent="0.2">
      <c r="A47" s="81">
        <v>22920</v>
      </c>
      <c r="B47">
        <v>482.9</v>
      </c>
      <c r="C47">
        <v>1175.8</v>
      </c>
      <c r="E47">
        <v>357.2</v>
      </c>
    </row>
    <row r="48" spans="1:5" x14ac:dyDescent="0.2">
      <c r="A48" s="81">
        <v>22951</v>
      </c>
      <c r="B48">
        <v>484.9</v>
      </c>
      <c r="C48">
        <v>1184.3</v>
      </c>
      <c r="E48">
        <v>359.8</v>
      </c>
    </row>
    <row r="49" spans="1:5" x14ac:dyDescent="0.2">
      <c r="A49" s="81">
        <v>22981</v>
      </c>
      <c r="B49">
        <v>486.5</v>
      </c>
      <c r="C49">
        <v>1193.9000000000001</v>
      </c>
      <c r="E49">
        <v>362.7</v>
      </c>
    </row>
    <row r="50" spans="1:5" x14ac:dyDescent="0.2">
      <c r="A50" s="81">
        <v>23012</v>
      </c>
      <c r="B50">
        <v>487.2</v>
      </c>
      <c r="C50">
        <v>1199.7</v>
      </c>
      <c r="E50">
        <v>365.2</v>
      </c>
    </row>
    <row r="51" spans="1:5" x14ac:dyDescent="0.2">
      <c r="A51" s="81">
        <v>23043</v>
      </c>
      <c r="B51">
        <v>488.5</v>
      </c>
      <c r="C51">
        <v>1207</v>
      </c>
      <c r="E51">
        <v>367.9</v>
      </c>
    </row>
    <row r="52" spans="1:5" x14ac:dyDescent="0.2">
      <c r="A52" s="81">
        <v>23071</v>
      </c>
      <c r="B52">
        <v>489</v>
      </c>
      <c r="C52">
        <v>1215</v>
      </c>
      <c r="E52">
        <v>370.7</v>
      </c>
    </row>
    <row r="53" spans="1:5" x14ac:dyDescent="0.2">
      <c r="A53" s="81">
        <v>23102</v>
      </c>
      <c r="B53">
        <v>491.1</v>
      </c>
      <c r="C53">
        <v>1224.7</v>
      </c>
      <c r="E53">
        <v>373.3</v>
      </c>
    </row>
    <row r="54" spans="1:5" x14ac:dyDescent="0.2">
      <c r="A54" s="81">
        <v>23132</v>
      </c>
      <c r="B54">
        <v>493</v>
      </c>
      <c r="C54">
        <v>1232.7</v>
      </c>
      <c r="E54">
        <v>376.1</v>
      </c>
    </row>
    <row r="55" spans="1:5" x14ac:dyDescent="0.2">
      <c r="A55" s="81">
        <v>23163</v>
      </c>
      <c r="B55">
        <v>491.3</v>
      </c>
      <c r="C55">
        <v>1236.2</v>
      </c>
      <c r="E55">
        <v>378.4</v>
      </c>
    </row>
    <row r="56" spans="1:5" x14ac:dyDescent="0.2">
      <c r="A56" s="81">
        <v>23193</v>
      </c>
      <c r="B56">
        <v>493</v>
      </c>
      <c r="C56">
        <v>1241.8</v>
      </c>
      <c r="E56">
        <v>381.1</v>
      </c>
    </row>
    <row r="57" spans="1:5" x14ac:dyDescent="0.2">
      <c r="A57" s="81">
        <v>23224</v>
      </c>
      <c r="B57">
        <v>493.7</v>
      </c>
      <c r="C57">
        <v>1247.5</v>
      </c>
      <c r="E57">
        <v>383.6</v>
      </c>
    </row>
    <row r="58" spans="1:5" x14ac:dyDescent="0.2">
      <c r="A58" s="81">
        <v>23255</v>
      </c>
      <c r="B58">
        <v>494.8</v>
      </c>
      <c r="C58">
        <v>1256.5</v>
      </c>
      <c r="E58">
        <v>386</v>
      </c>
    </row>
    <row r="59" spans="1:5" x14ac:dyDescent="0.2">
      <c r="A59" s="81">
        <v>23285</v>
      </c>
      <c r="B59">
        <v>496.3</v>
      </c>
      <c r="C59">
        <v>1262.8</v>
      </c>
      <c r="E59">
        <v>388.3</v>
      </c>
    </row>
    <row r="60" spans="1:5" x14ac:dyDescent="0.2">
      <c r="A60" s="81">
        <v>23316</v>
      </c>
      <c r="B60">
        <v>499</v>
      </c>
      <c r="C60">
        <v>1271.9000000000001</v>
      </c>
      <c r="E60">
        <v>391.5</v>
      </c>
    </row>
    <row r="61" spans="1:5" x14ac:dyDescent="0.2">
      <c r="A61" s="81">
        <v>23346</v>
      </c>
      <c r="B61">
        <v>496.4</v>
      </c>
      <c r="C61">
        <v>1273.3</v>
      </c>
      <c r="E61">
        <v>393.2</v>
      </c>
    </row>
    <row r="62" spans="1:5" x14ac:dyDescent="0.2">
      <c r="A62" s="81">
        <v>23377</v>
      </c>
      <c r="B62">
        <v>496.8</v>
      </c>
      <c r="C62">
        <v>1277.3</v>
      </c>
      <c r="E62">
        <v>395.2</v>
      </c>
    </row>
    <row r="63" spans="1:5" x14ac:dyDescent="0.2">
      <c r="A63" s="81">
        <v>23408</v>
      </c>
      <c r="B63">
        <v>499.2</v>
      </c>
      <c r="C63">
        <v>1286.3</v>
      </c>
      <c r="E63">
        <v>397.6</v>
      </c>
    </row>
    <row r="64" spans="1:5" x14ac:dyDescent="0.2">
      <c r="A64" s="81">
        <v>23437</v>
      </c>
      <c r="B64">
        <v>499.4</v>
      </c>
      <c r="C64">
        <v>1292.2</v>
      </c>
      <c r="E64">
        <v>399.8</v>
      </c>
    </row>
    <row r="65" spans="1:5" x14ac:dyDescent="0.2">
      <c r="A65" s="81">
        <v>23468</v>
      </c>
      <c r="B65">
        <v>500.2</v>
      </c>
      <c r="C65">
        <v>1297.9000000000001</v>
      </c>
      <c r="E65">
        <v>401.7</v>
      </c>
    </row>
    <row r="66" spans="1:5" x14ac:dyDescent="0.2">
      <c r="A66" s="81">
        <v>23498</v>
      </c>
      <c r="B66">
        <v>501.3</v>
      </c>
      <c r="C66">
        <v>1304.7</v>
      </c>
      <c r="E66">
        <v>404.2</v>
      </c>
    </row>
    <row r="67" spans="1:5" x14ac:dyDescent="0.2">
      <c r="A67" s="81">
        <v>23529</v>
      </c>
      <c r="B67">
        <v>501.8</v>
      </c>
      <c r="C67">
        <v>1312.8</v>
      </c>
      <c r="E67">
        <v>407.1</v>
      </c>
    </row>
    <row r="68" spans="1:5" x14ac:dyDescent="0.2">
      <c r="A68" s="81">
        <v>23559</v>
      </c>
      <c r="B68">
        <v>505.5</v>
      </c>
      <c r="C68">
        <v>1322.1</v>
      </c>
      <c r="E68">
        <v>410.1</v>
      </c>
    </row>
    <row r="69" spans="1:5" x14ac:dyDescent="0.2">
      <c r="A69" s="81">
        <v>23590</v>
      </c>
      <c r="B69">
        <v>508.2</v>
      </c>
      <c r="C69">
        <v>1331.4</v>
      </c>
      <c r="E69">
        <v>413.4</v>
      </c>
    </row>
    <row r="70" spans="1:5" x14ac:dyDescent="0.2">
      <c r="A70" s="81">
        <v>23621</v>
      </c>
      <c r="B70">
        <v>510.6</v>
      </c>
      <c r="C70">
        <v>1341.4</v>
      </c>
      <c r="E70">
        <v>416.9</v>
      </c>
    </row>
    <row r="71" spans="1:5" x14ac:dyDescent="0.2">
      <c r="A71" s="81">
        <v>23651</v>
      </c>
      <c r="B71">
        <v>511.6</v>
      </c>
      <c r="C71">
        <v>1346.7</v>
      </c>
      <c r="E71">
        <v>419.1</v>
      </c>
    </row>
    <row r="72" spans="1:5" x14ac:dyDescent="0.2">
      <c r="A72" s="81">
        <v>23682</v>
      </c>
      <c r="B72">
        <v>512.70000000000005</v>
      </c>
      <c r="C72">
        <v>1352.1</v>
      </c>
      <c r="E72">
        <v>422</v>
      </c>
    </row>
    <row r="73" spans="1:5" x14ac:dyDescent="0.2">
      <c r="A73" s="81">
        <v>23712</v>
      </c>
      <c r="B73">
        <v>513</v>
      </c>
      <c r="C73">
        <v>1359</v>
      </c>
      <c r="E73">
        <v>424.7</v>
      </c>
    </row>
    <row r="74" spans="1:5" x14ac:dyDescent="0.2">
      <c r="A74" s="81">
        <v>23743</v>
      </c>
      <c r="B74">
        <v>513.70000000000005</v>
      </c>
      <c r="C74">
        <v>1366.7</v>
      </c>
      <c r="E74">
        <v>427.5</v>
      </c>
    </row>
    <row r="75" spans="1:5" x14ac:dyDescent="0.2">
      <c r="A75" s="81">
        <v>23774</v>
      </c>
      <c r="B75">
        <v>514.4</v>
      </c>
      <c r="C75">
        <v>1376</v>
      </c>
      <c r="E75">
        <v>430.4</v>
      </c>
    </row>
    <row r="76" spans="1:5" x14ac:dyDescent="0.2">
      <c r="A76" s="81">
        <v>23802</v>
      </c>
      <c r="B76">
        <v>515.79999999999995</v>
      </c>
      <c r="C76">
        <v>1383.6</v>
      </c>
      <c r="E76">
        <v>433.2</v>
      </c>
    </row>
    <row r="77" spans="1:5" x14ac:dyDescent="0.2">
      <c r="A77" s="81">
        <v>23833</v>
      </c>
      <c r="B77">
        <v>516.29999999999995</v>
      </c>
      <c r="C77">
        <v>1387.5</v>
      </c>
      <c r="E77">
        <v>435.4</v>
      </c>
    </row>
    <row r="78" spans="1:5" x14ac:dyDescent="0.2">
      <c r="A78" s="81">
        <v>23863</v>
      </c>
      <c r="B78">
        <v>513.70000000000005</v>
      </c>
      <c r="C78">
        <v>1388.5</v>
      </c>
      <c r="E78">
        <v>437.1</v>
      </c>
    </row>
    <row r="79" spans="1:5" x14ac:dyDescent="0.2">
      <c r="A79" s="81">
        <v>23894</v>
      </c>
      <c r="B79">
        <v>513.1</v>
      </c>
      <c r="C79">
        <v>1392.3</v>
      </c>
      <c r="E79">
        <v>440.1</v>
      </c>
    </row>
    <row r="80" spans="1:5" x14ac:dyDescent="0.2">
      <c r="A80" s="81">
        <v>23924</v>
      </c>
      <c r="B80">
        <v>516.1</v>
      </c>
      <c r="C80">
        <v>1402.5</v>
      </c>
      <c r="E80">
        <v>442.9</v>
      </c>
    </row>
    <row r="81" spans="1:5" x14ac:dyDescent="0.2">
      <c r="A81" s="81">
        <v>23955</v>
      </c>
      <c r="B81">
        <v>518.9</v>
      </c>
      <c r="C81">
        <v>1413</v>
      </c>
      <c r="E81">
        <v>445.8</v>
      </c>
    </row>
    <row r="82" spans="1:5" x14ac:dyDescent="0.2">
      <c r="A82" s="81">
        <v>23986</v>
      </c>
      <c r="B82">
        <v>521.20000000000005</v>
      </c>
      <c r="C82">
        <v>1421.6</v>
      </c>
      <c r="E82">
        <v>449.5</v>
      </c>
    </row>
    <row r="83" spans="1:5" x14ac:dyDescent="0.2">
      <c r="A83" s="81">
        <v>24016</v>
      </c>
      <c r="B83">
        <v>524.5</v>
      </c>
      <c r="C83">
        <v>1430</v>
      </c>
      <c r="E83">
        <v>452.6</v>
      </c>
    </row>
    <row r="84" spans="1:5" x14ac:dyDescent="0.2">
      <c r="A84" s="81">
        <v>24047</v>
      </c>
      <c r="B84">
        <v>525</v>
      </c>
      <c r="C84">
        <v>1435.3</v>
      </c>
      <c r="E84">
        <v>455.7</v>
      </c>
    </row>
    <row r="85" spans="1:5" x14ac:dyDescent="0.2">
      <c r="A85" s="81">
        <v>24077</v>
      </c>
      <c r="B85">
        <v>526.79999999999995</v>
      </c>
      <c r="C85">
        <v>1441.8</v>
      </c>
      <c r="E85">
        <v>459.2</v>
      </c>
    </row>
    <row r="86" spans="1:5" x14ac:dyDescent="0.2">
      <c r="A86" s="81">
        <v>24108</v>
      </c>
      <c r="B86">
        <v>530.4</v>
      </c>
      <c r="C86">
        <v>1449.2</v>
      </c>
      <c r="E86">
        <v>462</v>
      </c>
    </row>
    <row r="87" spans="1:5" x14ac:dyDescent="0.2">
      <c r="A87" s="81">
        <v>24139</v>
      </c>
      <c r="B87">
        <v>528.70000000000005</v>
      </c>
      <c r="C87">
        <v>1448.3</v>
      </c>
      <c r="E87">
        <v>464.6</v>
      </c>
    </row>
    <row r="88" spans="1:5" x14ac:dyDescent="0.2">
      <c r="A88" s="81">
        <v>24167</v>
      </c>
      <c r="B88">
        <v>529.79999999999995</v>
      </c>
      <c r="C88">
        <v>1451.8</v>
      </c>
      <c r="E88">
        <v>467.2</v>
      </c>
    </row>
    <row r="89" spans="1:5" x14ac:dyDescent="0.2">
      <c r="A89" s="81">
        <v>24198</v>
      </c>
      <c r="B89">
        <v>532.20000000000005</v>
      </c>
      <c r="C89">
        <v>1453.8</v>
      </c>
      <c r="E89">
        <v>469.3</v>
      </c>
    </row>
    <row r="90" spans="1:5" x14ac:dyDescent="0.2">
      <c r="A90" s="81">
        <v>24228</v>
      </c>
      <c r="B90">
        <v>529.5</v>
      </c>
      <c r="C90">
        <v>1453.2</v>
      </c>
      <c r="E90">
        <v>470.1</v>
      </c>
    </row>
    <row r="91" spans="1:5" x14ac:dyDescent="0.2">
      <c r="A91" s="81">
        <v>24259</v>
      </c>
      <c r="B91">
        <v>530</v>
      </c>
      <c r="C91">
        <v>1455.2</v>
      </c>
      <c r="E91">
        <v>471.2</v>
      </c>
    </row>
    <row r="92" spans="1:5" x14ac:dyDescent="0.2">
      <c r="A92" s="81">
        <v>24289</v>
      </c>
      <c r="B92">
        <v>524.79999999999995</v>
      </c>
      <c r="C92">
        <v>1451.2</v>
      </c>
      <c r="E92">
        <v>470.9</v>
      </c>
    </row>
    <row r="93" spans="1:5" x14ac:dyDescent="0.2">
      <c r="A93" s="81">
        <v>24320</v>
      </c>
      <c r="B93">
        <v>523.1</v>
      </c>
      <c r="C93">
        <v>1447.5</v>
      </c>
      <c r="E93">
        <v>472.6</v>
      </c>
    </row>
    <row r="94" spans="1:5" x14ac:dyDescent="0.2">
      <c r="A94" s="81">
        <v>24351</v>
      </c>
      <c r="B94">
        <v>525.20000000000005</v>
      </c>
      <c r="C94">
        <v>1451.6</v>
      </c>
      <c r="E94">
        <v>475.4</v>
      </c>
    </row>
    <row r="95" spans="1:5" x14ac:dyDescent="0.2">
      <c r="A95" s="81">
        <v>24381</v>
      </c>
      <c r="B95">
        <v>521.20000000000005</v>
      </c>
      <c r="C95">
        <v>1448.1</v>
      </c>
      <c r="E95">
        <v>475.7</v>
      </c>
    </row>
    <row r="96" spans="1:5" x14ac:dyDescent="0.2">
      <c r="A96" s="81">
        <v>24412</v>
      </c>
      <c r="B96">
        <v>521.29999999999995</v>
      </c>
      <c r="C96">
        <v>1451.6</v>
      </c>
      <c r="E96">
        <v>477.3</v>
      </c>
    </row>
    <row r="97" spans="1:5" x14ac:dyDescent="0.2">
      <c r="A97" s="81">
        <v>24442</v>
      </c>
      <c r="B97">
        <v>522.5</v>
      </c>
      <c r="C97">
        <v>1458.7</v>
      </c>
      <c r="E97">
        <v>480.2</v>
      </c>
    </row>
    <row r="98" spans="1:5" x14ac:dyDescent="0.2">
      <c r="A98" s="81">
        <v>24473</v>
      </c>
      <c r="B98">
        <v>522.5</v>
      </c>
      <c r="C98">
        <v>1463.8</v>
      </c>
      <c r="E98">
        <v>481.6</v>
      </c>
    </row>
    <row r="99" spans="1:5" x14ac:dyDescent="0.2">
      <c r="A99" s="81">
        <v>24504</v>
      </c>
      <c r="B99">
        <v>524.20000000000005</v>
      </c>
      <c r="C99">
        <v>1470</v>
      </c>
      <c r="E99">
        <v>485.1</v>
      </c>
    </row>
    <row r="100" spans="1:5" x14ac:dyDescent="0.2">
      <c r="A100" s="81">
        <v>24532</v>
      </c>
      <c r="B100">
        <v>529.70000000000005</v>
      </c>
      <c r="C100">
        <v>1483.9</v>
      </c>
      <c r="E100">
        <v>489.7</v>
      </c>
    </row>
    <row r="101" spans="1:5" x14ac:dyDescent="0.2">
      <c r="A101" s="81">
        <v>24563</v>
      </c>
      <c r="B101">
        <v>526.29999999999995</v>
      </c>
      <c r="C101">
        <v>1486.7</v>
      </c>
      <c r="E101">
        <v>492.1</v>
      </c>
    </row>
    <row r="102" spans="1:5" x14ac:dyDescent="0.2">
      <c r="A102" s="81">
        <v>24593</v>
      </c>
      <c r="B102">
        <v>530.79999999999995</v>
      </c>
      <c r="C102">
        <v>1502.1</v>
      </c>
      <c r="E102">
        <v>497.2</v>
      </c>
    </row>
    <row r="103" spans="1:5" x14ac:dyDescent="0.2">
      <c r="A103" s="81">
        <v>24624</v>
      </c>
      <c r="B103">
        <v>531.5</v>
      </c>
      <c r="C103">
        <v>1507.5</v>
      </c>
      <c r="E103">
        <v>502</v>
      </c>
    </row>
    <row r="104" spans="1:5" x14ac:dyDescent="0.2">
      <c r="A104" s="81">
        <v>24654</v>
      </c>
      <c r="B104">
        <v>533.20000000000005</v>
      </c>
      <c r="C104">
        <v>1515.9</v>
      </c>
      <c r="E104">
        <v>506.3</v>
      </c>
    </row>
    <row r="105" spans="1:5" x14ac:dyDescent="0.2">
      <c r="A105" s="81">
        <v>24685</v>
      </c>
      <c r="B105">
        <v>536.4</v>
      </c>
      <c r="C105">
        <v>1524.8</v>
      </c>
      <c r="E105">
        <v>510.8</v>
      </c>
    </row>
    <row r="106" spans="1:5" x14ac:dyDescent="0.2">
      <c r="A106" s="81">
        <v>24716</v>
      </c>
      <c r="B106">
        <v>537.79999999999995</v>
      </c>
      <c r="C106">
        <v>1531.8</v>
      </c>
      <c r="E106">
        <v>514.70000000000005</v>
      </c>
    </row>
    <row r="107" spans="1:5" x14ac:dyDescent="0.2">
      <c r="A107" s="81">
        <v>24746</v>
      </c>
      <c r="B107">
        <v>538.9</v>
      </c>
      <c r="C107">
        <v>1537.7</v>
      </c>
      <c r="E107">
        <v>518.20000000000005</v>
      </c>
    </row>
    <row r="108" spans="1:5" x14ac:dyDescent="0.2">
      <c r="A108" s="81">
        <v>24777</v>
      </c>
      <c r="B108">
        <v>538.1</v>
      </c>
      <c r="C108">
        <v>1537.5</v>
      </c>
      <c r="E108">
        <v>521.20000000000005</v>
      </c>
    </row>
    <row r="109" spans="1:5" x14ac:dyDescent="0.2">
      <c r="A109" s="81">
        <v>24807</v>
      </c>
      <c r="B109">
        <v>539.1</v>
      </c>
      <c r="C109">
        <v>1543.5</v>
      </c>
      <c r="E109">
        <v>524.79999999999995</v>
      </c>
    </row>
    <row r="110" spans="1:5" x14ac:dyDescent="0.2">
      <c r="A110" s="81">
        <v>24838</v>
      </c>
      <c r="B110">
        <v>540.5</v>
      </c>
      <c r="C110">
        <v>1546.6</v>
      </c>
      <c r="E110">
        <v>527.4</v>
      </c>
    </row>
    <row r="111" spans="1:5" x14ac:dyDescent="0.2">
      <c r="A111" s="81">
        <v>24869</v>
      </c>
      <c r="B111">
        <v>540.1</v>
      </c>
      <c r="C111">
        <v>1550.9</v>
      </c>
      <c r="E111">
        <v>530.4</v>
      </c>
    </row>
    <row r="112" spans="1:5" x14ac:dyDescent="0.2">
      <c r="A112" s="81">
        <v>24898</v>
      </c>
      <c r="B112">
        <v>540.79999999999995</v>
      </c>
      <c r="C112">
        <v>1554.5</v>
      </c>
      <c r="E112">
        <v>533.20000000000005</v>
      </c>
    </row>
    <row r="113" spans="1:5" x14ac:dyDescent="0.2">
      <c r="A113" s="81">
        <v>24929</v>
      </c>
      <c r="B113">
        <v>542.4</v>
      </c>
      <c r="C113">
        <v>1557.3</v>
      </c>
      <c r="E113">
        <v>535.70000000000005</v>
      </c>
    </row>
    <row r="114" spans="1:5" x14ac:dyDescent="0.2">
      <c r="A114" s="81">
        <v>24959</v>
      </c>
      <c r="B114">
        <v>544.9</v>
      </c>
      <c r="C114">
        <v>1562</v>
      </c>
      <c r="E114">
        <v>538.9</v>
      </c>
    </row>
    <row r="115" spans="1:5" x14ac:dyDescent="0.2">
      <c r="A115" s="81">
        <v>24990</v>
      </c>
      <c r="B115">
        <v>545.79999999999995</v>
      </c>
      <c r="C115">
        <v>1563.7</v>
      </c>
      <c r="E115">
        <v>542.6</v>
      </c>
    </row>
    <row r="116" spans="1:5" x14ac:dyDescent="0.2">
      <c r="A116" s="81">
        <v>25020</v>
      </c>
      <c r="B116">
        <v>545.79999999999995</v>
      </c>
      <c r="C116">
        <v>1563.3</v>
      </c>
      <c r="E116">
        <v>545.6</v>
      </c>
    </row>
    <row r="117" spans="1:5" x14ac:dyDescent="0.2">
      <c r="A117" s="81">
        <v>25051</v>
      </c>
      <c r="B117">
        <v>548</v>
      </c>
      <c r="C117">
        <v>1569.7</v>
      </c>
      <c r="E117">
        <v>549.4</v>
      </c>
    </row>
    <row r="118" spans="1:5" x14ac:dyDescent="0.2">
      <c r="A118" s="81">
        <v>25082</v>
      </c>
      <c r="B118">
        <v>549</v>
      </c>
      <c r="C118">
        <v>1577.2</v>
      </c>
      <c r="E118">
        <v>553.6</v>
      </c>
    </row>
    <row r="119" spans="1:5" x14ac:dyDescent="0.2">
      <c r="A119" s="81">
        <v>25112</v>
      </c>
      <c r="B119">
        <v>549.6</v>
      </c>
      <c r="C119">
        <v>1579.6</v>
      </c>
      <c r="E119">
        <v>557.6</v>
      </c>
    </row>
    <row r="120" spans="1:5" x14ac:dyDescent="0.2">
      <c r="A120" s="81">
        <v>25143</v>
      </c>
      <c r="B120">
        <v>553.70000000000005</v>
      </c>
      <c r="C120">
        <v>1588.7</v>
      </c>
      <c r="E120">
        <v>562.4</v>
      </c>
    </row>
    <row r="121" spans="1:5" x14ac:dyDescent="0.2">
      <c r="A121" s="81">
        <v>25173</v>
      </c>
      <c r="B121">
        <v>554.5</v>
      </c>
      <c r="C121">
        <v>1592.1</v>
      </c>
      <c r="E121">
        <v>566.79999999999995</v>
      </c>
    </row>
    <row r="122" spans="1:5" x14ac:dyDescent="0.2">
      <c r="A122" s="81">
        <v>25204</v>
      </c>
      <c r="B122">
        <v>556.6</v>
      </c>
      <c r="C122">
        <v>1594.7</v>
      </c>
      <c r="E122">
        <v>569.29999999999995</v>
      </c>
    </row>
    <row r="123" spans="1:5" x14ac:dyDescent="0.2">
      <c r="A123" s="81">
        <v>25235</v>
      </c>
      <c r="B123">
        <v>556.70000000000005</v>
      </c>
      <c r="C123">
        <v>1597.5</v>
      </c>
      <c r="E123">
        <v>571.9</v>
      </c>
    </row>
    <row r="124" spans="1:5" x14ac:dyDescent="0.2">
      <c r="A124" s="81">
        <v>25263</v>
      </c>
      <c r="B124">
        <v>554</v>
      </c>
      <c r="C124">
        <v>1591.1</v>
      </c>
      <c r="E124">
        <v>574.4</v>
      </c>
    </row>
    <row r="125" spans="1:5" x14ac:dyDescent="0.2">
      <c r="A125" s="81">
        <v>25294</v>
      </c>
      <c r="B125">
        <v>552.9</v>
      </c>
      <c r="C125">
        <v>1586</v>
      </c>
      <c r="E125">
        <v>575.70000000000005</v>
      </c>
    </row>
    <row r="126" spans="1:5" x14ac:dyDescent="0.2">
      <c r="A126" s="81">
        <v>25324</v>
      </c>
      <c r="B126">
        <v>551.6</v>
      </c>
      <c r="C126">
        <v>1583.8</v>
      </c>
      <c r="E126">
        <v>576.5</v>
      </c>
    </row>
    <row r="127" spans="1:5" x14ac:dyDescent="0.2">
      <c r="A127" s="81">
        <v>25355</v>
      </c>
      <c r="B127">
        <v>550</v>
      </c>
      <c r="C127">
        <v>1580.6</v>
      </c>
      <c r="E127">
        <v>578.5</v>
      </c>
    </row>
    <row r="128" spans="1:5" x14ac:dyDescent="0.2">
      <c r="A128" s="81">
        <v>25385</v>
      </c>
      <c r="B128">
        <v>548.1</v>
      </c>
      <c r="C128">
        <v>1574.7</v>
      </c>
      <c r="E128">
        <v>579.5</v>
      </c>
    </row>
    <row r="129" spans="1:5" x14ac:dyDescent="0.2">
      <c r="A129" s="81">
        <v>25416</v>
      </c>
      <c r="B129">
        <v>546.6</v>
      </c>
      <c r="C129">
        <v>1572.1</v>
      </c>
      <c r="E129">
        <v>580.1</v>
      </c>
    </row>
    <row r="130" spans="1:5" x14ac:dyDescent="0.2">
      <c r="A130" s="81">
        <v>25447</v>
      </c>
      <c r="B130">
        <v>544.70000000000005</v>
      </c>
      <c r="C130">
        <v>1569</v>
      </c>
      <c r="E130">
        <v>582.1</v>
      </c>
    </row>
    <row r="131" spans="1:5" x14ac:dyDescent="0.2">
      <c r="A131" s="81">
        <v>25477</v>
      </c>
      <c r="B131">
        <v>544</v>
      </c>
      <c r="C131">
        <v>1564.1</v>
      </c>
      <c r="E131">
        <v>583.4</v>
      </c>
    </row>
    <row r="132" spans="1:5" x14ac:dyDescent="0.2">
      <c r="A132" s="81">
        <v>25508</v>
      </c>
      <c r="B132">
        <v>542.9</v>
      </c>
      <c r="C132">
        <v>1561.1</v>
      </c>
      <c r="E132">
        <v>585.4</v>
      </c>
    </row>
    <row r="133" spans="1:5" x14ac:dyDescent="0.2">
      <c r="A133" s="81">
        <v>25538</v>
      </c>
      <c r="B133">
        <v>540.79999999999995</v>
      </c>
      <c r="C133">
        <v>1559.4</v>
      </c>
      <c r="E133">
        <v>587.9</v>
      </c>
    </row>
    <row r="134" spans="1:5" x14ac:dyDescent="0.2">
      <c r="A134" s="81">
        <v>25569</v>
      </c>
      <c r="B134">
        <v>544.1</v>
      </c>
      <c r="C134">
        <v>1555.7</v>
      </c>
      <c r="E134">
        <v>589.6</v>
      </c>
    </row>
    <row r="135" spans="1:5" x14ac:dyDescent="0.2">
      <c r="A135" s="81">
        <v>25600</v>
      </c>
      <c r="B135">
        <v>538.1</v>
      </c>
      <c r="C135">
        <v>1538.8</v>
      </c>
      <c r="E135">
        <v>586.29999999999995</v>
      </c>
    </row>
    <row r="136" spans="1:5" x14ac:dyDescent="0.2">
      <c r="A136" s="81">
        <v>25628</v>
      </c>
      <c r="B136">
        <v>537.1</v>
      </c>
      <c r="C136">
        <v>1533.4</v>
      </c>
      <c r="E136">
        <v>587.29999999999995</v>
      </c>
    </row>
    <row r="137" spans="1:5" x14ac:dyDescent="0.2">
      <c r="A137" s="81">
        <v>25659</v>
      </c>
      <c r="B137">
        <v>536.9</v>
      </c>
      <c r="C137">
        <v>1528.3</v>
      </c>
      <c r="E137">
        <v>588.4</v>
      </c>
    </row>
    <row r="138" spans="1:5" x14ac:dyDescent="0.2">
      <c r="A138" s="81">
        <v>25689</v>
      </c>
      <c r="B138">
        <v>536.79999999999995</v>
      </c>
      <c r="C138">
        <v>1532.4</v>
      </c>
      <c r="E138">
        <v>591.5</v>
      </c>
    </row>
    <row r="139" spans="1:5" x14ac:dyDescent="0.2">
      <c r="A139" s="81">
        <v>25720</v>
      </c>
      <c r="B139">
        <v>535.1</v>
      </c>
      <c r="C139">
        <v>1534</v>
      </c>
      <c r="E139">
        <v>595.20000000000005</v>
      </c>
    </row>
    <row r="140" spans="1:5" x14ac:dyDescent="0.2">
      <c r="A140" s="81">
        <v>25750</v>
      </c>
      <c r="B140">
        <v>534.70000000000005</v>
      </c>
      <c r="C140">
        <v>1540.1</v>
      </c>
      <c r="E140">
        <v>599.1</v>
      </c>
    </row>
    <row r="141" spans="1:5" x14ac:dyDescent="0.2">
      <c r="A141" s="81">
        <v>25781</v>
      </c>
      <c r="B141">
        <v>538.20000000000005</v>
      </c>
      <c r="C141">
        <v>1551</v>
      </c>
      <c r="E141">
        <v>604.9</v>
      </c>
    </row>
    <row r="142" spans="1:5" x14ac:dyDescent="0.2">
      <c r="A142" s="81">
        <v>25812</v>
      </c>
      <c r="B142">
        <v>540.29999999999995</v>
      </c>
      <c r="C142">
        <v>1559.2</v>
      </c>
      <c r="E142">
        <v>611.20000000000005</v>
      </c>
    </row>
    <row r="143" spans="1:5" x14ac:dyDescent="0.2">
      <c r="A143" s="81">
        <v>25842</v>
      </c>
      <c r="B143">
        <v>540.4</v>
      </c>
      <c r="C143">
        <v>1564.5</v>
      </c>
      <c r="E143">
        <v>616.4</v>
      </c>
    </row>
    <row r="144" spans="1:5" x14ac:dyDescent="0.2">
      <c r="A144" s="81">
        <v>25873</v>
      </c>
      <c r="B144">
        <v>539.6</v>
      </c>
      <c r="C144">
        <v>1568.4</v>
      </c>
      <c r="E144">
        <v>621.1</v>
      </c>
    </row>
    <row r="145" spans="1:5" x14ac:dyDescent="0.2">
      <c r="A145" s="81">
        <v>25903</v>
      </c>
      <c r="B145">
        <v>538.70000000000005</v>
      </c>
      <c r="C145">
        <v>1574.1</v>
      </c>
      <c r="E145">
        <v>626.5</v>
      </c>
    </row>
    <row r="146" spans="1:5" x14ac:dyDescent="0.2">
      <c r="A146" s="81">
        <v>25934</v>
      </c>
      <c r="B146">
        <v>540.1</v>
      </c>
      <c r="C146">
        <v>1586.2</v>
      </c>
      <c r="E146">
        <v>632.9</v>
      </c>
    </row>
    <row r="147" spans="1:5" x14ac:dyDescent="0.2">
      <c r="A147" s="81">
        <v>25965</v>
      </c>
      <c r="B147">
        <v>544.9</v>
      </c>
      <c r="C147">
        <v>1606.5</v>
      </c>
      <c r="E147">
        <v>641</v>
      </c>
    </row>
    <row r="148" spans="1:5" x14ac:dyDescent="0.2">
      <c r="A148" s="81">
        <v>25993</v>
      </c>
      <c r="B148">
        <v>547</v>
      </c>
      <c r="C148">
        <v>1624.7</v>
      </c>
      <c r="E148">
        <v>649.9</v>
      </c>
    </row>
    <row r="149" spans="1:5" x14ac:dyDescent="0.2">
      <c r="A149" s="81">
        <v>26024</v>
      </c>
      <c r="B149">
        <v>548.6</v>
      </c>
      <c r="C149">
        <v>1641.9</v>
      </c>
      <c r="E149">
        <v>658.4</v>
      </c>
    </row>
    <row r="150" spans="1:5" x14ac:dyDescent="0.2">
      <c r="A150" s="81">
        <v>26054</v>
      </c>
      <c r="B150">
        <v>550.9</v>
      </c>
      <c r="C150">
        <v>1654.3</v>
      </c>
      <c r="E150">
        <v>666.7</v>
      </c>
    </row>
    <row r="151" spans="1:5" x14ac:dyDescent="0.2">
      <c r="A151" s="81">
        <v>26085</v>
      </c>
      <c r="B151">
        <v>551.9</v>
      </c>
      <c r="C151">
        <v>1661.7</v>
      </c>
      <c r="E151">
        <v>673</v>
      </c>
    </row>
    <row r="152" spans="1:5" x14ac:dyDescent="0.2">
      <c r="A152" s="81">
        <v>26115</v>
      </c>
      <c r="B152">
        <v>553.9</v>
      </c>
      <c r="C152">
        <v>1673.9</v>
      </c>
      <c r="E152">
        <v>679.6</v>
      </c>
    </row>
    <row r="153" spans="1:5" x14ac:dyDescent="0.2">
      <c r="A153" s="81">
        <v>26146</v>
      </c>
      <c r="B153">
        <v>554.29999999999995</v>
      </c>
      <c r="C153">
        <v>1684.3</v>
      </c>
      <c r="E153">
        <v>685.5</v>
      </c>
    </row>
    <row r="154" spans="1:5" x14ac:dyDescent="0.2">
      <c r="A154" s="81">
        <v>26177</v>
      </c>
      <c r="B154">
        <v>555.1</v>
      </c>
      <c r="C154">
        <v>1697.3</v>
      </c>
      <c r="E154">
        <v>692.5</v>
      </c>
    </row>
    <row r="155" spans="1:5" x14ac:dyDescent="0.2">
      <c r="A155" s="81">
        <v>26207</v>
      </c>
      <c r="B155">
        <v>555.5</v>
      </c>
      <c r="C155">
        <v>1707.6</v>
      </c>
      <c r="E155">
        <v>698.4</v>
      </c>
    </row>
    <row r="156" spans="1:5" x14ac:dyDescent="0.2">
      <c r="A156" s="81">
        <v>26238</v>
      </c>
      <c r="B156">
        <v>555.6</v>
      </c>
      <c r="C156">
        <v>1718.5</v>
      </c>
      <c r="E156">
        <v>704.6</v>
      </c>
    </row>
    <row r="157" spans="1:5" x14ac:dyDescent="0.2">
      <c r="A157" s="81">
        <v>26268</v>
      </c>
      <c r="B157">
        <v>555.5</v>
      </c>
      <c r="C157">
        <v>1728.2</v>
      </c>
      <c r="E157">
        <v>710.3</v>
      </c>
    </row>
    <row r="158" spans="1:5" x14ac:dyDescent="0.2">
      <c r="A158" s="81">
        <v>26299</v>
      </c>
      <c r="B158">
        <v>558.5</v>
      </c>
      <c r="C158">
        <v>1742</v>
      </c>
      <c r="E158">
        <v>717.7</v>
      </c>
    </row>
    <row r="159" spans="1:5" x14ac:dyDescent="0.2">
      <c r="A159" s="81">
        <v>26330</v>
      </c>
      <c r="B159">
        <v>561.1</v>
      </c>
      <c r="C159">
        <v>1752.9</v>
      </c>
      <c r="E159">
        <v>725.7</v>
      </c>
    </row>
    <row r="160" spans="1:5" x14ac:dyDescent="0.2">
      <c r="A160" s="81">
        <v>26359</v>
      </c>
      <c r="B160">
        <v>565.9</v>
      </c>
      <c r="C160">
        <v>1771.7</v>
      </c>
      <c r="E160">
        <v>733.5</v>
      </c>
    </row>
    <row r="161" spans="1:5" x14ac:dyDescent="0.2">
      <c r="A161" s="81">
        <v>26390</v>
      </c>
      <c r="B161">
        <v>567.70000000000005</v>
      </c>
      <c r="C161">
        <v>1779.3</v>
      </c>
      <c r="E161">
        <v>738.4</v>
      </c>
    </row>
    <row r="162" spans="1:5" x14ac:dyDescent="0.2">
      <c r="A162" s="81">
        <v>26420</v>
      </c>
      <c r="B162">
        <v>567.1</v>
      </c>
      <c r="C162">
        <v>1786.8</v>
      </c>
      <c r="E162">
        <v>743.3</v>
      </c>
    </row>
    <row r="163" spans="1:5" x14ac:dyDescent="0.2">
      <c r="A163" s="81">
        <v>26451</v>
      </c>
      <c r="B163">
        <v>567.4</v>
      </c>
      <c r="C163">
        <v>1797.8</v>
      </c>
      <c r="E163">
        <v>749.7</v>
      </c>
    </row>
    <row r="164" spans="1:5" x14ac:dyDescent="0.2">
      <c r="A164" s="81">
        <v>26481</v>
      </c>
      <c r="B164">
        <v>571.29999999999995</v>
      </c>
      <c r="C164">
        <v>1817</v>
      </c>
      <c r="E164">
        <v>759.5</v>
      </c>
    </row>
    <row r="165" spans="1:5" x14ac:dyDescent="0.2">
      <c r="A165" s="81">
        <v>26512</v>
      </c>
      <c r="B165">
        <v>574.9</v>
      </c>
      <c r="C165">
        <v>1834.6</v>
      </c>
      <c r="E165">
        <v>768.7</v>
      </c>
    </row>
    <row r="166" spans="1:5" x14ac:dyDescent="0.2">
      <c r="A166" s="81">
        <v>26543</v>
      </c>
      <c r="B166">
        <v>577.70000000000005</v>
      </c>
      <c r="C166">
        <v>1848.7</v>
      </c>
      <c r="E166">
        <v>778.3</v>
      </c>
    </row>
    <row r="167" spans="1:5" x14ac:dyDescent="0.2">
      <c r="A167" s="81">
        <v>26573</v>
      </c>
      <c r="B167">
        <v>580.6</v>
      </c>
      <c r="C167">
        <v>1864.7</v>
      </c>
      <c r="E167">
        <v>786.9</v>
      </c>
    </row>
    <row r="168" spans="1:5" x14ac:dyDescent="0.2">
      <c r="A168" s="81">
        <v>26604</v>
      </c>
      <c r="B168">
        <v>581.1</v>
      </c>
      <c r="C168">
        <v>1872.4</v>
      </c>
      <c r="E168">
        <v>793.9</v>
      </c>
    </row>
    <row r="169" spans="1:5" x14ac:dyDescent="0.2">
      <c r="A169" s="81">
        <v>26634</v>
      </c>
      <c r="B169">
        <v>586.4</v>
      </c>
      <c r="C169">
        <v>1887.8</v>
      </c>
      <c r="E169">
        <v>802.3</v>
      </c>
    </row>
    <row r="170" spans="1:5" x14ac:dyDescent="0.2">
      <c r="A170" s="81">
        <v>26665</v>
      </c>
      <c r="B170">
        <v>589</v>
      </c>
      <c r="C170">
        <v>1897.7</v>
      </c>
      <c r="E170">
        <v>810.3</v>
      </c>
    </row>
    <row r="171" spans="1:5" x14ac:dyDescent="0.2">
      <c r="A171" s="81">
        <v>26696</v>
      </c>
      <c r="B171">
        <v>586.5</v>
      </c>
      <c r="C171">
        <v>1893.3</v>
      </c>
      <c r="E171">
        <v>814.1</v>
      </c>
    </row>
    <row r="172" spans="1:5" x14ac:dyDescent="0.2">
      <c r="A172" s="81">
        <v>26724</v>
      </c>
      <c r="B172">
        <v>580</v>
      </c>
      <c r="C172">
        <v>1878.6</v>
      </c>
      <c r="E172">
        <v>815.3</v>
      </c>
    </row>
    <row r="173" spans="1:5" x14ac:dyDescent="0.2">
      <c r="A173" s="81">
        <v>26755</v>
      </c>
      <c r="B173">
        <v>578.29999999999995</v>
      </c>
      <c r="C173">
        <v>1875.7</v>
      </c>
      <c r="E173">
        <v>819.7</v>
      </c>
    </row>
    <row r="174" spans="1:5" x14ac:dyDescent="0.2">
      <c r="A174" s="81">
        <v>26785</v>
      </c>
      <c r="B174">
        <v>580.6</v>
      </c>
      <c r="C174">
        <v>1883.4</v>
      </c>
      <c r="E174">
        <v>826.8</v>
      </c>
    </row>
    <row r="175" spans="1:5" x14ac:dyDescent="0.2">
      <c r="A175" s="81">
        <v>26816</v>
      </c>
      <c r="B175">
        <v>580.79999999999995</v>
      </c>
      <c r="C175">
        <v>1885.3</v>
      </c>
      <c r="E175">
        <v>833.3</v>
      </c>
    </row>
    <row r="176" spans="1:5" x14ac:dyDescent="0.2">
      <c r="A176" s="81">
        <v>26846</v>
      </c>
      <c r="B176">
        <v>582.6</v>
      </c>
      <c r="C176">
        <v>1892.5</v>
      </c>
      <c r="E176">
        <v>836.5</v>
      </c>
    </row>
    <row r="177" spans="1:5" x14ac:dyDescent="0.2">
      <c r="A177" s="81">
        <v>26877</v>
      </c>
      <c r="B177">
        <v>572.70000000000005</v>
      </c>
      <c r="C177">
        <v>1864</v>
      </c>
      <c r="E177">
        <v>838.8</v>
      </c>
    </row>
    <row r="178" spans="1:5" x14ac:dyDescent="0.2">
      <c r="A178" s="81">
        <v>26908</v>
      </c>
      <c r="B178">
        <v>570.6</v>
      </c>
      <c r="C178">
        <v>1856.9</v>
      </c>
      <c r="E178">
        <v>839.3</v>
      </c>
    </row>
    <row r="179" spans="1:5" x14ac:dyDescent="0.2">
      <c r="A179" s="81">
        <v>26938</v>
      </c>
      <c r="B179">
        <v>568</v>
      </c>
      <c r="C179">
        <v>1847.8</v>
      </c>
      <c r="E179">
        <v>842.6</v>
      </c>
    </row>
    <row r="180" spans="1:5" x14ac:dyDescent="0.2">
      <c r="A180" s="81">
        <v>26969</v>
      </c>
      <c r="B180">
        <v>568.6</v>
      </c>
      <c r="C180">
        <v>1849.5</v>
      </c>
      <c r="E180">
        <v>848.9</v>
      </c>
    </row>
    <row r="181" spans="1:5" x14ac:dyDescent="0.2">
      <c r="A181" s="81">
        <v>26999</v>
      </c>
      <c r="B181">
        <v>567.79999999999995</v>
      </c>
      <c r="C181">
        <v>1847.7</v>
      </c>
      <c r="E181">
        <v>855.5</v>
      </c>
    </row>
    <row r="182" spans="1:5" x14ac:dyDescent="0.2">
      <c r="A182" s="81">
        <v>27030</v>
      </c>
      <c r="B182">
        <v>563.70000000000005</v>
      </c>
      <c r="C182">
        <v>1837</v>
      </c>
      <c r="E182">
        <v>859.7</v>
      </c>
    </row>
    <row r="183" spans="1:5" x14ac:dyDescent="0.2">
      <c r="A183" s="81">
        <v>27061</v>
      </c>
      <c r="B183">
        <v>560.9</v>
      </c>
      <c r="C183">
        <v>1827.1</v>
      </c>
      <c r="E183">
        <v>864.2</v>
      </c>
    </row>
    <row r="184" spans="1:5" x14ac:dyDescent="0.2">
      <c r="A184" s="81">
        <v>27089</v>
      </c>
      <c r="B184">
        <v>557.9</v>
      </c>
      <c r="C184">
        <v>1820.3</v>
      </c>
      <c r="E184">
        <v>870.1</v>
      </c>
    </row>
    <row r="185" spans="1:5" x14ac:dyDescent="0.2">
      <c r="A185" s="81">
        <v>27120</v>
      </c>
      <c r="B185">
        <v>555.5</v>
      </c>
      <c r="C185">
        <v>1814.8</v>
      </c>
      <c r="E185">
        <v>872.9</v>
      </c>
    </row>
    <row r="186" spans="1:5" x14ac:dyDescent="0.2">
      <c r="A186" s="81">
        <v>27150</v>
      </c>
      <c r="B186">
        <v>550.6</v>
      </c>
      <c r="C186">
        <v>1799.6</v>
      </c>
      <c r="E186">
        <v>874.6</v>
      </c>
    </row>
    <row r="187" spans="1:5" x14ac:dyDescent="0.2">
      <c r="A187" s="81">
        <v>27181</v>
      </c>
      <c r="B187">
        <v>548</v>
      </c>
      <c r="C187">
        <v>1791.4</v>
      </c>
      <c r="E187">
        <v>877.8</v>
      </c>
    </row>
    <row r="188" spans="1:5" x14ac:dyDescent="0.2">
      <c r="A188" s="81">
        <v>27211</v>
      </c>
      <c r="B188">
        <v>546.20000000000005</v>
      </c>
      <c r="C188">
        <v>1787.8</v>
      </c>
      <c r="E188">
        <v>881.4</v>
      </c>
    </row>
    <row r="189" spans="1:5" x14ac:dyDescent="0.2">
      <c r="A189" s="81">
        <v>27242</v>
      </c>
      <c r="B189">
        <v>541.29999999999995</v>
      </c>
      <c r="C189">
        <v>1771.7</v>
      </c>
      <c r="E189">
        <v>884.1</v>
      </c>
    </row>
    <row r="190" spans="1:5" x14ac:dyDescent="0.2">
      <c r="A190" s="81">
        <v>27273</v>
      </c>
      <c r="B190">
        <v>535.6</v>
      </c>
      <c r="C190">
        <v>1754.7</v>
      </c>
      <c r="E190">
        <v>887.9</v>
      </c>
    </row>
    <row r="191" spans="1:5" x14ac:dyDescent="0.2">
      <c r="A191" s="81">
        <v>27303</v>
      </c>
      <c r="B191">
        <v>533.9</v>
      </c>
      <c r="C191">
        <v>1751.6</v>
      </c>
      <c r="E191">
        <v>893.3</v>
      </c>
    </row>
    <row r="192" spans="1:5" x14ac:dyDescent="0.2">
      <c r="A192" s="81">
        <v>27334</v>
      </c>
      <c r="B192">
        <v>531.5</v>
      </c>
      <c r="C192">
        <v>1744.9</v>
      </c>
      <c r="E192">
        <v>898.6</v>
      </c>
    </row>
    <row r="193" spans="1:5" x14ac:dyDescent="0.2">
      <c r="A193" s="81">
        <v>27364</v>
      </c>
      <c r="B193">
        <v>528.29999999999995</v>
      </c>
      <c r="C193">
        <v>1738.2</v>
      </c>
      <c r="E193">
        <v>902.1</v>
      </c>
    </row>
    <row r="194" spans="1:5" x14ac:dyDescent="0.2">
      <c r="A194" s="81">
        <v>27395</v>
      </c>
      <c r="B194">
        <v>523.70000000000005</v>
      </c>
      <c r="C194">
        <v>1732.9</v>
      </c>
      <c r="E194">
        <v>906.3</v>
      </c>
    </row>
    <row r="195" spans="1:5" x14ac:dyDescent="0.2">
      <c r="A195" s="81">
        <v>27400</v>
      </c>
      <c r="D195">
        <v>273.39999999999998</v>
      </c>
    </row>
    <row r="196" spans="1:5" x14ac:dyDescent="0.2">
      <c r="A196" s="81">
        <v>27407</v>
      </c>
      <c r="D196">
        <v>273.7</v>
      </c>
    </row>
    <row r="197" spans="1:5" x14ac:dyDescent="0.2">
      <c r="A197" s="81">
        <v>27414</v>
      </c>
      <c r="D197">
        <v>273.8</v>
      </c>
    </row>
    <row r="198" spans="1:5" x14ac:dyDescent="0.2">
      <c r="A198" s="81">
        <v>27421</v>
      </c>
      <c r="D198">
        <v>273.7</v>
      </c>
    </row>
    <row r="199" spans="1:5" x14ac:dyDescent="0.2">
      <c r="A199" s="81">
        <v>27426</v>
      </c>
      <c r="B199">
        <v>522.79999999999995</v>
      </c>
      <c r="C199">
        <v>1737.8</v>
      </c>
      <c r="E199">
        <v>914.1</v>
      </c>
    </row>
    <row r="200" spans="1:5" x14ac:dyDescent="0.2">
      <c r="A200" s="81">
        <v>27428</v>
      </c>
      <c r="D200">
        <v>275.2</v>
      </c>
    </row>
    <row r="201" spans="1:5" x14ac:dyDescent="0.2">
      <c r="A201" s="81">
        <v>27435</v>
      </c>
      <c r="D201">
        <v>274.5</v>
      </c>
    </row>
    <row r="202" spans="1:5" x14ac:dyDescent="0.2">
      <c r="A202" s="81">
        <v>27442</v>
      </c>
      <c r="D202">
        <v>274.60000000000002</v>
      </c>
    </row>
    <row r="203" spans="1:5" x14ac:dyDescent="0.2">
      <c r="A203" s="81">
        <v>27449</v>
      </c>
      <c r="D203">
        <v>274.2</v>
      </c>
    </row>
    <row r="204" spans="1:5" x14ac:dyDescent="0.2">
      <c r="A204" s="81">
        <v>27454</v>
      </c>
      <c r="B204">
        <v>523.5</v>
      </c>
      <c r="C204">
        <v>1751.9</v>
      </c>
      <c r="E204">
        <v>925</v>
      </c>
    </row>
    <row r="205" spans="1:5" x14ac:dyDescent="0.2">
      <c r="A205" s="81">
        <v>27456</v>
      </c>
      <c r="D205">
        <v>275.39999999999998</v>
      </c>
    </row>
    <row r="206" spans="1:5" x14ac:dyDescent="0.2">
      <c r="A206" s="81">
        <v>27463</v>
      </c>
      <c r="D206">
        <v>276.89999999999998</v>
      </c>
    </row>
    <row r="207" spans="1:5" x14ac:dyDescent="0.2">
      <c r="A207" s="81">
        <v>27470</v>
      </c>
      <c r="D207">
        <v>276.3</v>
      </c>
    </row>
    <row r="208" spans="1:5" x14ac:dyDescent="0.2">
      <c r="A208" s="81">
        <v>27477</v>
      </c>
      <c r="D208">
        <v>277.60000000000002</v>
      </c>
    </row>
    <row r="209" spans="1:5" x14ac:dyDescent="0.2">
      <c r="A209" s="81">
        <v>27484</v>
      </c>
      <c r="D209">
        <v>273.39999999999998</v>
      </c>
    </row>
    <row r="210" spans="1:5" x14ac:dyDescent="0.2">
      <c r="A210" s="81">
        <v>27485</v>
      </c>
      <c r="B210">
        <v>521.1</v>
      </c>
      <c r="C210">
        <v>1764.3</v>
      </c>
      <c r="E210">
        <v>935.1</v>
      </c>
    </row>
    <row r="211" spans="1:5" x14ac:dyDescent="0.2">
      <c r="A211" s="81">
        <v>27491</v>
      </c>
      <c r="D211">
        <v>275.2</v>
      </c>
    </row>
    <row r="212" spans="1:5" x14ac:dyDescent="0.2">
      <c r="A212" s="81">
        <v>27498</v>
      </c>
      <c r="D212">
        <v>276.10000000000002</v>
      </c>
    </row>
    <row r="213" spans="1:5" x14ac:dyDescent="0.2">
      <c r="A213" s="81">
        <v>27505</v>
      </c>
      <c r="D213">
        <v>276.7</v>
      </c>
    </row>
    <row r="214" spans="1:5" x14ac:dyDescent="0.2">
      <c r="A214" s="81">
        <v>27512</v>
      </c>
      <c r="D214">
        <v>276.8</v>
      </c>
    </row>
    <row r="215" spans="1:5" x14ac:dyDescent="0.2">
      <c r="A215" s="81">
        <v>27515</v>
      </c>
      <c r="B215">
        <v>525.79999999999995</v>
      </c>
      <c r="C215">
        <v>1785.1</v>
      </c>
      <c r="E215">
        <v>947.9</v>
      </c>
    </row>
    <row r="216" spans="1:5" x14ac:dyDescent="0.2">
      <c r="A216" s="81">
        <v>27519</v>
      </c>
      <c r="D216">
        <v>277.39999999999998</v>
      </c>
    </row>
    <row r="217" spans="1:5" x14ac:dyDescent="0.2">
      <c r="A217" s="81">
        <v>27526</v>
      </c>
      <c r="D217">
        <v>278.10000000000002</v>
      </c>
    </row>
    <row r="218" spans="1:5" x14ac:dyDescent="0.2">
      <c r="A218" s="81">
        <v>27533</v>
      </c>
      <c r="D218">
        <v>279.3</v>
      </c>
    </row>
    <row r="219" spans="1:5" x14ac:dyDescent="0.2">
      <c r="A219" s="81">
        <v>27540</v>
      </c>
      <c r="D219">
        <v>280.39999999999998</v>
      </c>
    </row>
    <row r="220" spans="1:5" x14ac:dyDescent="0.2">
      <c r="A220" s="81">
        <v>27546</v>
      </c>
      <c r="B220">
        <v>527.9</v>
      </c>
      <c r="C220">
        <v>1800</v>
      </c>
      <c r="E220">
        <v>963</v>
      </c>
    </row>
    <row r="221" spans="1:5" x14ac:dyDescent="0.2">
      <c r="A221" s="81">
        <v>27547</v>
      </c>
      <c r="D221">
        <v>280.7</v>
      </c>
    </row>
    <row r="222" spans="1:5" x14ac:dyDescent="0.2">
      <c r="A222" s="81">
        <v>27554</v>
      </c>
      <c r="D222">
        <v>281.5</v>
      </c>
    </row>
    <row r="223" spans="1:5" x14ac:dyDescent="0.2">
      <c r="A223" s="81">
        <v>27561</v>
      </c>
      <c r="D223">
        <v>282.2</v>
      </c>
    </row>
    <row r="224" spans="1:5" x14ac:dyDescent="0.2">
      <c r="A224" s="81">
        <v>27568</v>
      </c>
      <c r="D224">
        <v>283.2</v>
      </c>
    </row>
    <row r="225" spans="1:5" x14ac:dyDescent="0.2">
      <c r="A225" s="81">
        <v>27575</v>
      </c>
      <c r="D225">
        <v>283.3</v>
      </c>
    </row>
    <row r="226" spans="1:5" x14ac:dyDescent="0.2">
      <c r="A226" s="81">
        <v>27576</v>
      </c>
      <c r="B226">
        <v>525.4</v>
      </c>
      <c r="C226">
        <v>1805.7</v>
      </c>
      <c r="E226">
        <v>975.1</v>
      </c>
    </row>
    <row r="227" spans="1:5" x14ac:dyDescent="0.2">
      <c r="A227" s="81">
        <v>27582</v>
      </c>
      <c r="D227">
        <v>283.3</v>
      </c>
    </row>
    <row r="228" spans="1:5" x14ac:dyDescent="0.2">
      <c r="A228" s="81">
        <v>27589</v>
      </c>
      <c r="D228">
        <v>283.7</v>
      </c>
    </row>
    <row r="229" spans="1:5" x14ac:dyDescent="0.2">
      <c r="A229" s="81">
        <v>27596</v>
      </c>
      <c r="D229">
        <v>283.89999999999998</v>
      </c>
    </row>
    <row r="230" spans="1:5" x14ac:dyDescent="0.2">
      <c r="A230" s="81">
        <v>27603</v>
      </c>
      <c r="D230">
        <v>283.7</v>
      </c>
    </row>
    <row r="231" spans="1:5" x14ac:dyDescent="0.2">
      <c r="A231" s="81">
        <v>27607</v>
      </c>
      <c r="B231">
        <v>524.20000000000005</v>
      </c>
      <c r="C231">
        <v>1813.8</v>
      </c>
      <c r="E231">
        <v>983.1</v>
      </c>
    </row>
    <row r="232" spans="1:5" x14ac:dyDescent="0.2">
      <c r="A232" s="81">
        <v>27610</v>
      </c>
      <c r="D232">
        <v>283.7</v>
      </c>
    </row>
    <row r="233" spans="1:5" x14ac:dyDescent="0.2">
      <c r="A233" s="81">
        <v>27617</v>
      </c>
      <c r="D233">
        <v>283.10000000000002</v>
      </c>
    </row>
    <row r="234" spans="1:5" x14ac:dyDescent="0.2">
      <c r="A234" s="81">
        <v>27624</v>
      </c>
      <c r="D234">
        <v>283.5</v>
      </c>
    </row>
    <row r="235" spans="1:5" x14ac:dyDescent="0.2">
      <c r="A235" s="81">
        <v>27631</v>
      </c>
      <c r="D235">
        <v>284.7</v>
      </c>
    </row>
    <row r="236" spans="1:5" x14ac:dyDescent="0.2">
      <c r="A236" s="81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5" x14ac:dyDescent="0.2">
      <c r="A237" s="81">
        <v>27645</v>
      </c>
      <c r="D237">
        <v>285.60000000000002</v>
      </c>
    </row>
    <row r="238" spans="1:5" x14ac:dyDescent="0.2">
      <c r="A238" s="81">
        <v>27652</v>
      </c>
      <c r="D238">
        <v>285.3</v>
      </c>
    </row>
    <row r="239" spans="1:5" x14ac:dyDescent="0.2">
      <c r="A239" s="81">
        <v>27659</v>
      </c>
      <c r="D239">
        <v>285.8</v>
      </c>
    </row>
    <row r="240" spans="1:5" x14ac:dyDescent="0.2">
      <c r="A240" s="81">
        <v>27666</v>
      </c>
      <c r="D240">
        <v>286.10000000000002</v>
      </c>
    </row>
    <row r="241" spans="1:5" x14ac:dyDescent="0.2">
      <c r="A241" s="81">
        <v>27668</v>
      </c>
      <c r="B241">
        <v>519.9</v>
      </c>
      <c r="C241">
        <v>1817.5</v>
      </c>
      <c r="E241">
        <v>997.8</v>
      </c>
    </row>
    <row r="242" spans="1:5" x14ac:dyDescent="0.2">
      <c r="A242" s="81">
        <v>27673</v>
      </c>
      <c r="D242">
        <v>284.5</v>
      </c>
    </row>
    <row r="243" spans="1:5" x14ac:dyDescent="0.2">
      <c r="A243" s="81">
        <v>27680</v>
      </c>
      <c r="D243">
        <v>285.5</v>
      </c>
    </row>
    <row r="244" spans="1:5" x14ac:dyDescent="0.2">
      <c r="A244" s="81">
        <v>27687</v>
      </c>
      <c r="D244">
        <v>286.2</v>
      </c>
    </row>
    <row r="245" spans="1:5" x14ac:dyDescent="0.2">
      <c r="A245" s="81">
        <v>27694</v>
      </c>
      <c r="D245">
        <v>284.89999999999998</v>
      </c>
    </row>
    <row r="246" spans="1:5" x14ac:dyDescent="0.2">
      <c r="A246" s="81">
        <v>27699</v>
      </c>
      <c r="B246">
        <v>518.6</v>
      </c>
      <c r="C246">
        <v>1820.8</v>
      </c>
      <c r="E246">
        <v>1006.9</v>
      </c>
    </row>
    <row r="247" spans="1:5" x14ac:dyDescent="0.2">
      <c r="A247" s="81">
        <v>27701</v>
      </c>
      <c r="D247">
        <v>285.89999999999998</v>
      </c>
    </row>
    <row r="248" spans="1:5" x14ac:dyDescent="0.2">
      <c r="A248" s="81">
        <v>27708</v>
      </c>
      <c r="D248">
        <v>286.8</v>
      </c>
    </row>
    <row r="249" spans="1:5" x14ac:dyDescent="0.2">
      <c r="A249" s="81">
        <v>27715</v>
      </c>
      <c r="D249">
        <v>286.3</v>
      </c>
    </row>
    <row r="250" spans="1:5" x14ac:dyDescent="0.2">
      <c r="A250" s="81">
        <v>27722</v>
      </c>
      <c r="D250">
        <v>287.5</v>
      </c>
    </row>
    <row r="251" spans="1:5" x14ac:dyDescent="0.2">
      <c r="A251" s="81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5" x14ac:dyDescent="0.2">
      <c r="A252" s="81">
        <v>27736</v>
      </c>
      <c r="D252">
        <v>286.8</v>
      </c>
    </row>
    <row r="253" spans="1:5" x14ac:dyDescent="0.2">
      <c r="A253" s="81">
        <v>27743</v>
      </c>
      <c r="D253">
        <v>287.10000000000002</v>
      </c>
    </row>
    <row r="254" spans="1:5" x14ac:dyDescent="0.2">
      <c r="A254" s="81">
        <v>27750</v>
      </c>
      <c r="D254">
        <v>287.39999999999998</v>
      </c>
    </row>
    <row r="255" spans="1:5" x14ac:dyDescent="0.2">
      <c r="A255" s="81">
        <v>27757</v>
      </c>
      <c r="D255">
        <v>287.2</v>
      </c>
    </row>
    <row r="256" spans="1:5" x14ac:dyDescent="0.2">
      <c r="A256" s="81">
        <v>27760</v>
      </c>
      <c r="B256">
        <v>516.79999999999995</v>
      </c>
      <c r="C256">
        <v>1839.8</v>
      </c>
      <c r="E256">
        <v>1026.5999999999999</v>
      </c>
    </row>
    <row r="257" spans="1:5" x14ac:dyDescent="0.2">
      <c r="A257" s="81">
        <v>27764</v>
      </c>
      <c r="D257">
        <v>287.3</v>
      </c>
    </row>
    <row r="258" spans="1:5" x14ac:dyDescent="0.2">
      <c r="A258" s="81">
        <v>27771</v>
      </c>
      <c r="D258">
        <v>287.89999999999998</v>
      </c>
    </row>
    <row r="259" spans="1:5" x14ac:dyDescent="0.2">
      <c r="A259" s="81">
        <v>27778</v>
      </c>
      <c r="D259">
        <v>288.39999999999998</v>
      </c>
    </row>
    <row r="260" spans="1:5" x14ac:dyDescent="0.2">
      <c r="A260" s="81">
        <v>27785</v>
      </c>
      <c r="D260">
        <v>289.10000000000002</v>
      </c>
    </row>
    <row r="261" spans="1:5" x14ac:dyDescent="0.2">
      <c r="A261" s="81">
        <v>27791</v>
      </c>
      <c r="B261">
        <v>520.20000000000005</v>
      </c>
      <c r="C261">
        <v>1861</v>
      </c>
      <c r="E261">
        <v>1040.3</v>
      </c>
    </row>
    <row r="262" spans="1:5" x14ac:dyDescent="0.2">
      <c r="A262" s="81">
        <v>27792</v>
      </c>
      <c r="D262">
        <v>290.2</v>
      </c>
    </row>
    <row r="263" spans="1:5" x14ac:dyDescent="0.2">
      <c r="A263" s="81">
        <v>27799</v>
      </c>
      <c r="D263">
        <v>290.3</v>
      </c>
    </row>
    <row r="264" spans="1:5" x14ac:dyDescent="0.2">
      <c r="A264" s="81">
        <v>27806</v>
      </c>
      <c r="D264">
        <v>291.2</v>
      </c>
    </row>
    <row r="265" spans="1:5" x14ac:dyDescent="0.2">
      <c r="A265" s="81">
        <v>27813</v>
      </c>
      <c r="D265">
        <v>290.7</v>
      </c>
    </row>
    <row r="266" spans="1:5" x14ac:dyDescent="0.2">
      <c r="A266" s="81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5" x14ac:dyDescent="0.2">
      <c r="A267" s="81">
        <v>27827</v>
      </c>
      <c r="D267">
        <v>291.10000000000002</v>
      </c>
    </row>
    <row r="268" spans="1:5" x14ac:dyDescent="0.2">
      <c r="A268" s="81">
        <v>27834</v>
      </c>
      <c r="D268">
        <v>292.8</v>
      </c>
    </row>
    <row r="269" spans="1:5" x14ac:dyDescent="0.2">
      <c r="A269" s="81">
        <v>27841</v>
      </c>
      <c r="D269">
        <v>292.8</v>
      </c>
    </row>
    <row r="270" spans="1:5" x14ac:dyDescent="0.2">
      <c r="A270" s="81">
        <v>27848</v>
      </c>
      <c r="D270">
        <v>294.2</v>
      </c>
    </row>
    <row r="271" spans="1:5" x14ac:dyDescent="0.2">
      <c r="A271" s="81">
        <v>27851</v>
      </c>
      <c r="B271">
        <v>525.29999999999995</v>
      </c>
      <c r="C271">
        <v>1890.9</v>
      </c>
      <c r="E271">
        <v>1060.8</v>
      </c>
    </row>
    <row r="272" spans="1:5" x14ac:dyDescent="0.2">
      <c r="A272" s="81">
        <v>27855</v>
      </c>
      <c r="D272">
        <v>293</v>
      </c>
    </row>
    <row r="273" spans="1:5" x14ac:dyDescent="0.2">
      <c r="A273" s="81">
        <v>27862</v>
      </c>
      <c r="D273">
        <v>294.5</v>
      </c>
    </row>
    <row r="274" spans="1:5" x14ac:dyDescent="0.2">
      <c r="A274" s="81">
        <v>27869</v>
      </c>
      <c r="D274">
        <v>294.89999999999998</v>
      </c>
    </row>
    <row r="275" spans="1:5" x14ac:dyDescent="0.2">
      <c r="A275" s="81">
        <v>27876</v>
      </c>
      <c r="D275">
        <v>295.39999999999998</v>
      </c>
    </row>
    <row r="276" spans="1:5" x14ac:dyDescent="0.2">
      <c r="A276" s="81">
        <v>27881</v>
      </c>
      <c r="B276">
        <v>524.6</v>
      </c>
      <c r="C276">
        <v>1900.9</v>
      </c>
      <c r="E276">
        <v>1072.0999999999999</v>
      </c>
    </row>
    <row r="277" spans="1:5" x14ac:dyDescent="0.2">
      <c r="A277" s="81">
        <v>27883</v>
      </c>
      <c r="D277">
        <v>294.89999999999998</v>
      </c>
    </row>
    <row r="278" spans="1:5" x14ac:dyDescent="0.2">
      <c r="A278" s="81">
        <v>27890</v>
      </c>
      <c r="D278">
        <v>296.3</v>
      </c>
    </row>
    <row r="279" spans="1:5" x14ac:dyDescent="0.2">
      <c r="A279" s="81">
        <v>27897</v>
      </c>
      <c r="D279">
        <v>295.3</v>
      </c>
    </row>
    <row r="280" spans="1:5" x14ac:dyDescent="0.2">
      <c r="A280" s="81">
        <v>27904</v>
      </c>
      <c r="D280">
        <v>295.5</v>
      </c>
    </row>
    <row r="281" spans="1:5" x14ac:dyDescent="0.2">
      <c r="A281" s="81">
        <v>27911</v>
      </c>
      <c r="D281">
        <v>296.39999999999998</v>
      </c>
    </row>
    <row r="282" spans="1:5" x14ac:dyDescent="0.2">
      <c r="A282" s="81">
        <v>27912</v>
      </c>
      <c r="B282">
        <v>522.4</v>
      </c>
      <c r="C282">
        <v>1900.5</v>
      </c>
      <c r="E282">
        <v>1077.5999999999999</v>
      </c>
    </row>
    <row r="283" spans="1:5" x14ac:dyDescent="0.2">
      <c r="A283" s="81">
        <v>27918</v>
      </c>
      <c r="D283">
        <v>295.5</v>
      </c>
    </row>
    <row r="284" spans="1:5" x14ac:dyDescent="0.2">
      <c r="A284" s="81">
        <v>27925</v>
      </c>
      <c r="D284">
        <v>296.7</v>
      </c>
    </row>
    <row r="285" spans="1:5" x14ac:dyDescent="0.2">
      <c r="A285" s="81">
        <v>27932</v>
      </c>
      <c r="D285">
        <v>296.10000000000002</v>
      </c>
    </row>
    <row r="286" spans="1:5" x14ac:dyDescent="0.2">
      <c r="A286" s="81">
        <v>27939</v>
      </c>
      <c r="D286">
        <v>296.10000000000002</v>
      </c>
    </row>
    <row r="287" spans="1:5" x14ac:dyDescent="0.2">
      <c r="A287" s="81">
        <v>27942</v>
      </c>
      <c r="B287">
        <v>521.4</v>
      </c>
      <c r="C287">
        <v>1905.8</v>
      </c>
      <c r="E287">
        <v>1086.3</v>
      </c>
    </row>
    <row r="288" spans="1:5" x14ac:dyDescent="0.2">
      <c r="A288" s="81">
        <v>27946</v>
      </c>
      <c r="D288">
        <v>296.10000000000002</v>
      </c>
    </row>
    <row r="289" spans="1:5" x14ac:dyDescent="0.2">
      <c r="A289" s="81">
        <v>27953</v>
      </c>
      <c r="D289">
        <v>296.60000000000002</v>
      </c>
    </row>
    <row r="290" spans="1:5" x14ac:dyDescent="0.2">
      <c r="A290" s="81">
        <v>27960</v>
      </c>
      <c r="D290">
        <v>297.2</v>
      </c>
    </row>
    <row r="291" spans="1:5" x14ac:dyDescent="0.2">
      <c r="A291" s="81">
        <v>27967</v>
      </c>
      <c r="D291">
        <v>297.5</v>
      </c>
    </row>
    <row r="292" spans="1:5" x14ac:dyDescent="0.2">
      <c r="A292" s="81">
        <v>27973</v>
      </c>
      <c r="B292">
        <v>521.79999999999995</v>
      </c>
      <c r="C292">
        <v>1917.5</v>
      </c>
      <c r="E292">
        <v>1098.7</v>
      </c>
    </row>
    <row r="293" spans="1:5" x14ac:dyDescent="0.2">
      <c r="A293" s="81">
        <v>27974</v>
      </c>
      <c r="D293">
        <v>297.7</v>
      </c>
    </row>
    <row r="294" spans="1:5" x14ac:dyDescent="0.2">
      <c r="A294" s="81">
        <v>27981</v>
      </c>
      <c r="D294">
        <v>298.5</v>
      </c>
    </row>
    <row r="295" spans="1:5" x14ac:dyDescent="0.2">
      <c r="A295" s="81">
        <v>27988</v>
      </c>
      <c r="D295">
        <v>299.60000000000002</v>
      </c>
    </row>
    <row r="296" spans="1:5" x14ac:dyDescent="0.2">
      <c r="A296" s="81">
        <v>27995</v>
      </c>
      <c r="D296">
        <v>299</v>
      </c>
    </row>
    <row r="297" spans="1:5" x14ac:dyDescent="0.2">
      <c r="A297" s="81">
        <v>28002</v>
      </c>
      <c r="D297">
        <v>299</v>
      </c>
    </row>
    <row r="298" spans="1:5" x14ac:dyDescent="0.2">
      <c r="A298" s="81">
        <v>28004</v>
      </c>
      <c r="B298">
        <v>520.1</v>
      </c>
      <c r="C298">
        <v>1928.5</v>
      </c>
      <c r="E298">
        <v>1110.8</v>
      </c>
    </row>
    <row r="299" spans="1:5" x14ac:dyDescent="0.2">
      <c r="A299" s="81">
        <v>28009</v>
      </c>
      <c r="D299">
        <v>298.2</v>
      </c>
    </row>
    <row r="300" spans="1:5" x14ac:dyDescent="0.2">
      <c r="A300" s="81">
        <v>28016</v>
      </c>
      <c r="D300">
        <v>299.7</v>
      </c>
    </row>
    <row r="301" spans="1:5" x14ac:dyDescent="0.2">
      <c r="A301" s="81">
        <v>28023</v>
      </c>
      <c r="D301">
        <v>300.10000000000002</v>
      </c>
    </row>
    <row r="302" spans="1:5" x14ac:dyDescent="0.2">
      <c r="A302" s="81">
        <v>28030</v>
      </c>
      <c r="D302">
        <v>299.3</v>
      </c>
    </row>
    <row r="303" spans="1:5" x14ac:dyDescent="0.2">
      <c r="A303" s="81">
        <v>28034</v>
      </c>
      <c r="B303">
        <v>521.6</v>
      </c>
      <c r="C303">
        <v>1943</v>
      </c>
      <c r="E303">
        <v>1125</v>
      </c>
    </row>
    <row r="304" spans="1:5" x14ac:dyDescent="0.2">
      <c r="A304" s="81">
        <v>28037</v>
      </c>
      <c r="D304">
        <v>300.7</v>
      </c>
    </row>
    <row r="305" spans="1:5" x14ac:dyDescent="0.2">
      <c r="A305" s="81">
        <v>28044</v>
      </c>
      <c r="D305">
        <v>302.10000000000002</v>
      </c>
    </row>
    <row r="306" spans="1:5" x14ac:dyDescent="0.2">
      <c r="A306" s="81">
        <v>28051</v>
      </c>
      <c r="D306">
        <v>300.10000000000002</v>
      </c>
    </row>
    <row r="307" spans="1:5" x14ac:dyDescent="0.2">
      <c r="A307" s="81">
        <v>28058</v>
      </c>
      <c r="D307">
        <v>302.7</v>
      </c>
    </row>
    <row r="308" spans="1:5" x14ac:dyDescent="0.2">
      <c r="A308" s="81">
        <v>28065</v>
      </c>
      <c r="B308">
        <v>522.5</v>
      </c>
      <c r="C308">
        <v>1959</v>
      </c>
      <c r="D308">
        <v>303.7</v>
      </c>
      <c r="E308">
        <v>1138.2</v>
      </c>
    </row>
    <row r="309" spans="1:5" x14ac:dyDescent="0.2">
      <c r="A309" s="81">
        <v>28072</v>
      </c>
      <c r="D309">
        <v>302.2</v>
      </c>
    </row>
    <row r="310" spans="1:5" x14ac:dyDescent="0.2">
      <c r="A310" s="81">
        <v>28079</v>
      </c>
      <c r="D310">
        <v>304.3</v>
      </c>
    </row>
    <row r="311" spans="1:5" x14ac:dyDescent="0.2">
      <c r="A311" s="81">
        <v>28086</v>
      </c>
      <c r="D311">
        <v>303.8</v>
      </c>
    </row>
    <row r="312" spans="1:5" x14ac:dyDescent="0.2">
      <c r="A312" s="81">
        <v>28093</v>
      </c>
      <c r="D312">
        <v>303.60000000000002</v>
      </c>
    </row>
    <row r="313" spans="1:5" x14ac:dyDescent="0.2">
      <c r="A313" s="81">
        <v>28095</v>
      </c>
      <c r="B313">
        <v>524.29999999999995</v>
      </c>
      <c r="C313">
        <v>1972.6</v>
      </c>
      <c r="E313">
        <v>1152</v>
      </c>
    </row>
    <row r="314" spans="1:5" x14ac:dyDescent="0.2">
      <c r="A314" s="81">
        <v>28100</v>
      </c>
      <c r="D314">
        <v>305.3</v>
      </c>
    </row>
    <row r="315" spans="1:5" x14ac:dyDescent="0.2">
      <c r="A315" s="81">
        <v>28107</v>
      </c>
      <c r="D315">
        <v>305.8</v>
      </c>
    </row>
    <row r="316" spans="1:5" x14ac:dyDescent="0.2">
      <c r="A316" s="81">
        <v>28114</v>
      </c>
      <c r="D316">
        <v>306.39999999999998</v>
      </c>
    </row>
    <row r="317" spans="1:5" x14ac:dyDescent="0.2">
      <c r="A317" s="81">
        <v>28121</v>
      </c>
      <c r="D317">
        <v>306.60000000000002</v>
      </c>
    </row>
    <row r="318" spans="1:5" x14ac:dyDescent="0.2">
      <c r="A318" s="81">
        <v>28126</v>
      </c>
      <c r="B318">
        <v>525.20000000000005</v>
      </c>
      <c r="C318">
        <v>1985</v>
      </c>
      <c r="E318">
        <v>1165.2</v>
      </c>
    </row>
    <row r="319" spans="1:5" x14ac:dyDescent="0.2">
      <c r="A319" s="81">
        <v>28128</v>
      </c>
      <c r="D319">
        <v>306.89999999999998</v>
      </c>
    </row>
    <row r="320" spans="1:5" x14ac:dyDescent="0.2">
      <c r="A320" s="81">
        <v>28135</v>
      </c>
      <c r="D320">
        <v>307.7</v>
      </c>
    </row>
    <row r="321" spans="1:5" x14ac:dyDescent="0.2">
      <c r="A321" s="81">
        <v>28142</v>
      </c>
      <c r="D321">
        <v>308</v>
      </c>
    </row>
    <row r="322" spans="1:5" x14ac:dyDescent="0.2">
      <c r="A322" s="81">
        <v>28149</v>
      </c>
      <c r="D322">
        <v>308.89999999999998</v>
      </c>
    </row>
    <row r="323" spans="1:5" x14ac:dyDescent="0.2">
      <c r="A323" s="81">
        <v>28156</v>
      </c>
      <c r="D323">
        <v>309.5</v>
      </c>
    </row>
    <row r="324" spans="1:5" x14ac:dyDescent="0.2">
      <c r="A324" s="81">
        <v>28157</v>
      </c>
      <c r="B324">
        <v>525.29999999999995</v>
      </c>
      <c r="C324">
        <v>1985.8</v>
      </c>
      <c r="E324">
        <v>1177.5999999999999</v>
      </c>
    </row>
    <row r="325" spans="1:5" x14ac:dyDescent="0.2">
      <c r="A325" s="81">
        <v>28163</v>
      </c>
      <c r="D325">
        <v>310.3</v>
      </c>
    </row>
    <row r="326" spans="1:5" x14ac:dyDescent="0.2">
      <c r="A326" s="81">
        <v>28170</v>
      </c>
      <c r="D326">
        <v>311.3</v>
      </c>
    </row>
    <row r="327" spans="1:5" x14ac:dyDescent="0.2">
      <c r="A327" s="81">
        <v>28177</v>
      </c>
      <c r="D327">
        <v>311.7</v>
      </c>
    </row>
    <row r="328" spans="1:5" x14ac:dyDescent="0.2">
      <c r="A328" s="81">
        <v>28184</v>
      </c>
      <c r="D328">
        <v>312.3</v>
      </c>
    </row>
    <row r="329" spans="1:5" x14ac:dyDescent="0.2">
      <c r="A329" s="81">
        <v>28185</v>
      </c>
      <c r="B329">
        <v>526.70000000000005</v>
      </c>
      <c r="C329">
        <v>1994.1</v>
      </c>
      <c r="E329">
        <v>1188.5</v>
      </c>
    </row>
    <row r="330" spans="1:5" x14ac:dyDescent="0.2">
      <c r="A330" s="81">
        <v>28191</v>
      </c>
      <c r="D330">
        <v>312.7</v>
      </c>
    </row>
    <row r="331" spans="1:5" x14ac:dyDescent="0.2">
      <c r="A331" s="81">
        <v>28198</v>
      </c>
      <c r="D331">
        <v>313.8</v>
      </c>
    </row>
    <row r="332" spans="1:5" x14ac:dyDescent="0.2">
      <c r="A332" s="81">
        <v>28205</v>
      </c>
      <c r="D332">
        <v>314.5</v>
      </c>
    </row>
    <row r="333" spans="1:5" x14ac:dyDescent="0.2">
      <c r="A333" s="81">
        <v>28212</v>
      </c>
      <c r="D333">
        <v>313.89999999999998</v>
      </c>
    </row>
    <row r="334" spans="1:5" x14ac:dyDescent="0.2">
      <c r="A334" s="81">
        <v>28216</v>
      </c>
      <c r="B334">
        <v>526.70000000000005</v>
      </c>
      <c r="C334">
        <v>1999.3</v>
      </c>
      <c r="E334">
        <v>1199.5999999999999</v>
      </c>
    </row>
    <row r="335" spans="1:5" x14ac:dyDescent="0.2">
      <c r="A335" s="81">
        <v>28219</v>
      </c>
      <c r="D335">
        <v>315.60000000000002</v>
      </c>
    </row>
    <row r="336" spans="1:5" x14ac:dyDescent="0.2">
      <c r="A336" s="81">
        <v>28226</v>
      </c>
      <c r="D336">
        <v>315.8</v>
      </c>
    </row>
    <row r="337" spans="1:5" x14ac:dyDescent="0.2">
      <c r="A337" s="81">
        <v>28233</v>
      </c>
      <c r="D337">
        <v>315.7</v>
      </c>
    </row>
    <row r="338" spans="1:5" x14ac:dyDescent="0.2">
      <c r="A338" s="81">
        <v>28240</v>
      </c>
      <c r="D338">
        <v>316.10000000000002</v>
      </c>
    </row>
    <row r="339" spans="1:5" x14ac:dyDescent="0.2">
      <c r="A339" s="81">
        <v>28246</v>
      </c>
      <c r="B339">
        <v>526.9</v>
      </c>
      <c r="C339">
        <v>2008.3</v>
      </c>
      <c r="E339">
        <v>1209</v>
      </c>
    </row>
    <row r="340" spans="1:5" x14ac:dyDescent="0.2">
      <c r="A340" s="81">
        <v>28247</v>
      </c>
      <c r="D340">
        <v>316.60000000000002</v>
      </c>
    </row>
    <row r="341" spans="1:5" x14ac:dyDescent="0.2">
      <c r="A341" s="81">
        <v>28254</v>
      </c>
      <c r="D341">
        <v>316.7</v>
      </c>
    </row>
    <row r="342" spans="1:5" x14ac:dyDescent="0.2">
      <c r="A342" s="81">
        <v>28261</v>
      </c>
      <c r="D342">
        <v>317.60000000000002</v>
      </c>
    </row>
    <row r="343" spans="1:5" x14ac:dyDescent="0.2">
      <c r="A343" s="81">
        <v>28268</v>
      </c>
      <c r="D343">
        <v>317.39999999999998</v>
      </c>
    </row>
    <row r="344" spans="1:5" x14ac:dyDescent="0.2">
      <c r="A344" s="81">
        <v>28275</v>
      </c>
      <c r="D344">
        <v>316.8</v>
      </c>
    </row>
    <row r="345" spans="1:5" x14ac:dyDescent="0.2">
      <c r="A345" s="81">
        <v>28277</v>
      </c>
      <c r="B345">
        <v>526.9</v>
      </c>
      <c r="C345">
        <v>2012.9</v>
      </c>
      <c r="E345">
        <v>1217.8</v>
      </c>
    </row>
    <row r="346" spans="1:5" x14ac:dyDescent="0.2">
      <c r="A346" s="81">
        <v>28282</v>
      </c>
      <c r="D346">
        <v>317.60000000000002</v>
      </c>
    </row>
    <row r="347" spans="1:5" x14ac:dyDescent="0.2">
      <c r="A347" s="81">
        <v>28289</v>
      </c>
      <c r="D347">
        <v>317.8</v>
      </c>
    </row>
    <row r="348" spans="1:5" x14ac:dyDescent="0.2">
      <c r="A348" s="81">
        <v>28296</v>
      </c>
      <c r="D348">
        <v>319.39999999999998</v>
      </c>
    </row>
    <row r="349" spans="1:5" x14ac:dyDescent="0.2">
      <c r="A349" s="81">
        <v>28303</v>
      </c>
      <c r="D349">
        <v>319.39999999999998</v>
      </c>
    </row>
    <row r="350" spans="1:5" x14ac:dyDescent="0.2">
      <c r="A350" s="81">
        <v>28307</v>
      </c>
      <c r="B350">
        <v>526.6</v>
      </c>
      <c r="C350">
        <v>2017.6</v>
      </c>
      <c r="E350">
        <v>1226.7</v>
      </c>
    </row>
    <row r="351" spans="1:5" x14ac:dyDescent="0.2">
      <c r="A351" s="81">
        <v>28310</v>
      </c>
      <c r="D351">
        <v>319.5</v>
      </c>
    </row>
    <row r="352" spans="1:5" x14ac:dyDescent="0.2">
      <c r="A352" s="81">
        <v>28317</v>
      </c>
      <c r="D352">
        <v>319.3</v>
      </c>
    </row>
    <row r="353" spans="1:5" x14ac:dyDescent="0.2">
      <c r="A353" s="81">
        <v>28324</v>
      </c>
      <c r="D353">
        <v>320.2</v>
      </c>
    </row>
    <row r="354" spans="1:5" x14ac:dyDescent="0.2">
      <c r="A354" s="81">
        <v>28331</v>
      </c>
      <c r="D354">
        <v>320.10000000000002</v>
      </c>
    </row>
    <row r="355" spans="1:5" x14ac:dyDescent="0.2">
      <c r="A355" s="81">
        <v>28338</v>
      </c>
      <c r="B355">
        <v>527.5</v>
      </c>
      <c r="C355">
        <v>2024.5</v>
      </c>
      <c r="D355">
        <v>321</v>
      </c>
      <c r="E355">
        <v>1237</v>
      </c>
    </row>
    <row r="356" spans="1:5" x14ac:dyDescent="0.2">
      <c r="A356" s="81">
        <v>28345</v>
      </c>
      <c r="D356">
        <v>321.39999999999998</v>
      </c>
    </row>
    <row r="357" spans="1:5" x14ac:dyDescent="0.2">
      <c r="A357" s="81">
        <v>28352</v>
      </c>
      <c r="D357">
        <v>321.2</v>
      </c>
    </row>
    <row r="358" spans="1:5" x14ac:dyDescent="0.2">
      <c r="A358" s="81">
        <v>28359</v>
      </c>
      <c r="D358">
        <v>322.39999999999998</v>
      </c>
    </row>
    <row r="359" spans="1:5" x14ac:dyDescent="0.2">
      <c r="A359" s="81">
        <v>28366</v>
      </c>
      <c r="D359">
        <v>323.39999999999998</v>
      </c>
    </row>
    <row r="360" spans="1:5" x14ac:dyDescent="0.2">
      <c r="A360" s="81">
        <v>28369</v>
      </c>
      <c r="B360">
        <v>529.4</v>
      </c>
      <c r="C360">
        <v>2033</v>
      </c>
      <c r="E360">
        <v>1246.2</v>
      </c>
    </row>
    <row r="361" spans="1:5" x14ac:dyDescent="0.2">
      <c r="A361" s="81">
        <v>28373</v>
      </c>
      <c r="D361">
        <v>324.60000000000002</v>
      </c>
    </row>
    <row r="362" spans="1:5" x14ac:dyDescent="0.2">
      <c r="A362" s="81">
        <v>28380</v>
      </c>
      <c r="D362">
        <v>323.3</v>
      </c>
    </row>
    <row r="363" spans="1:5" x14ac:dyDescent="0.2">
      <c r="A363" s="81">
        <v>28387</v>
      </c>
      <c r="D363">
        <v>324.2</v>
      </c>
    </row>
    <row r="364" spans="1:5" x14ac:dyDescent="0.2">
      <c r="A364" s="81">
        <v>28394</v>
      </c>
      <c r="D364">
        <v>324.5</v>
      </c>
    </row>
    <row r="365" spans="1:5" x14ac:dyDescent="0.2">
      <c r="A365" s="81">
        <v>28399</v>
      </c>
      <c r="B365">
        <v>529.9</v>
      </c>
      <c r="C365">
        <v>2035.7</v>
      </c>
      <c r="E365">
        <v>1254</v>
      </c>
    </row>
    <row r="366" spans="1:5" x14ac:dyDescent="0.2">
      <c r="A366" s="81">
        <v>28401</v>
      </c>
      <c r="D366">
        <v>325.60000000000002</v>
      </c>
    </row>
    <row r="367" spans="1:5" x14ac:dyDescent="0.2">
      <c r="A367" s="81">
        <v>28408</v>
      </c>
      <c r="D367">
        <v>326.10000000000002</v>
      </c>
    </row>
    <row r="368" spans="1:5" x14ac:dyDescent="0.2">
      <c r="A368" s="81">
        <v>28415</v>
      </c>
      <c r="D368">
        <v>325.60000000000002</v>
      </c>
    </row>
    <row r="369" spans="1:5" x14ac:dyDescent="0.2">
      <c r="A369" s="81">
        <v>28422</v>
      </c>
      <c r="D369">
        <v>327.5</v>
      </c>
    </row>
    <row r="370" spans="1:5" x14ac:dyDescent="0.2">
      <c r="A370" s="81">
        <v>28429</v>
      </c>
      <c r="D370">
        <v>327</v>
      </c>
    </row>
    <row r="371" spans="1:5" x14ac:dyDescent="0.2">
      <c r="A371" s="81">
        <v>28430</v>
      </c>
      <c r="B371">
        <v>530</v>
      </c>
      <c r="C371">
        <v>2036.1</v>
      </c>
      <c r="E371">
        <v>1262.4000000000001</v>
      </c>
    </row>
    <row r="372" spans="1:5" x14ac:dyDescent="0.2">
      <c r="A372" s="81">
        <v>28436</v>
      </c>
      <c r="D372">
        <v>328.2</v>
      </c>
    </row>
    <row r="373" spans="1:5" x14ac:dyDescent="0.2">
      <c r="A373" s="81">
        <v>28443</v>
      </c>
      <c r="D373">
        <v>328.6</v>
      </c>
    </row>
    <row r="374" spans="1:5" x14ac:dyDescent="0.2">
      <c r="A374" s="81">
        <v>28450</v>
      </c>
      <c r="D374">
        <v>329</v>
      </c>
    </row>
    <row r="375" spans="1:5" x14ac:dyDescent="0.2">
      <c r="A375" s="81">
        <v>28457</v>
      </c>
      <c r="D375">
        <v>328.7</v>
      </c>
    </row>
    <row r="376" spans="1:5" x14ac:dyDescent="0.2">
      <c r="A376" s="81">
        <v>28460</v>
      </c>
      <c r="B376">
        <v>531.1</v>
      </c>
      <c r="C376">
        <v>2039</v>
      </c>
      <c r="E376">
        <v>1270.3</v>
      </c>
    </row>
    <row r="377" spans="1:5" x14ac:dyDescent="0.2">
      <c r="A377" s="81">
        <v>28464</v>
      </c>
      <c r="D377">
        <v>330</v>
      </c>
    </row>
    <row r="378" spans="1:5" x14ac:dyDescent="0.2">
      <c r="A378" s="81">
        <v>28471</v>
      </c>
      <c r="D378">
        <v>330.2</v>
      </c>
    </row>
    <row r="379" spans="1:5" x14ac:dyDescent="0.2">
      <c r="A379" s="81">
        <v>28478</v>
      </c>
      <c r="D379">
        <v>331</v>
      </c>
    </row>
    <row r="380" spans="1:5" x14ac:dyDescent="0.2">
      <c r="A380" s="81">
        <v>28485</v>
      </c>
      <c r="D380">
        <v>330.7</v>
      </c>
    </row>
    <row r="381" spans="1:5" x14ac:dyDescent="0.2">
      <c r="A381" s="81">
        <v>28491</v>
      </c>
      <c r="B381">
        <v>533.29999999999995</v>
      </c>
      <c r="C381">
        <v>2041</v>
      </c>
      <c r="E381">
        <v>1279.7</v>
      </c>
    </row>
    <row r="382" spans="1:5" x14ac:dyDescent="0.2">
      <c r="A382" s="81">
        <v>28492</v>
      </c>
      <c r="D382">
        <v>332.5</v>
      </c>
    </row>
    <row r="383" spans="1:5" x14ac:dyDescent="0.2">
      <c r="A383" s="81">
        <v>28499</v>
      </c>
      <c r="D383">
        <v>334</v>
      </c>
    </row>
    <row r="384" spans="1:5" x14ac:dyDescent="0.2">
      <c r="A384" s="81">
        <v>28506</v>
      </c>
      <c r="D384">
        <v>334.5</v>
      </c>
    </row>
    <row r="385" spans="1:5" x14ac:dyDescent="0.2">
      <c r="A385" s="81">
        <v>28513</v>
      </c>
      <c r="D385">
        <v>335.9</v>
      </c>
    </row>
    <row r="386" spans="1:5" x14ac:dyDescent="0.2">
      <c r="A386" s="81">
        <v>28520</v>
      </c>
      <c r="D386">
        <v>334.4</v>
      </c>
    </row>
    <row r="387" spans="1:5" x14ac:dyDescent="0.2">
      <c r="A387" s="81">
        <v>28522</v>
      </c>
      <c r="B387">
        <v>532.20000000000005</v>
      </c>
      <c r="C387">
        <v>2040.5</v>
      </c>
      <c r="E387">
        <v>1285.5</v>
      </c>
    </row>
    <row r="388" spans="1:5" x14ac:dyDescent="0.2">
      <c r="A388" s="81">
        <v>28527</v>
      </c>
      <c r="D388">
        <v>333.8</v>
      </c>
    </row>
    <row r="389" spans="1:5" x14ac:dyDescent="0.2">
      <c r="A389" s="81">
        <v>28534</v>
      </c>
      <c r="D389">
        <v>335.1</v>
      </c>
    </row>
    <row r="390" spans="1:5" x14ac:dyDescent="0.2">
      <c r="A390" s="81">
        <v>28541</v>
      </c>
      <c r="D390">
        <v>335.5</v>
      </c>
    </row>
    <row r="391" spans="1:5" x14ac:dyDescent="0.2">
      <c r="A391" s="81">
        <v>28548</v>
      </c>
      <c r="D391">
        <v>336.1</v>
      </c>
    </row>
    <row r="392" spans="1:5" x14ac:dyDescent="0.2">
      <c r="A392" s="81">
        <v>28550</v>
      </c>
      <c r="B392">
        <v>531.5</v>
      </c>
      <c r="C392">
        <v>2038.2</v>
      </c>
      <c r="E392">
        <v>1292.2</v>
      </c>
    </row>
    <row r="393" spans="1:5" x14ac:dyDescent="0.2">
      <c r="A393" s="81">
        <v>28555</v>
      </c>
      <c r="D393">
        <v>336.8</v>
      </c>
    </row>
    <row r="394" spans="1:5" x14ac:dyDescent="0.2">
      <c r="A394" s="81">
        <v>28562</v>
      </c>
      <c r="D394">
        <v>336.2</v>
      </c>
    </row>
    <row r="395" spans="1:5" x14ac:dyDescent="0.2">
      <c r="A395" s="81">
        <v>28569</v>
      </c>
      <c r="D395">
        <v>336.7</v>
      </c>
    </row>
    <row r="396" spans="1:5" x14ac:dyDescent="0.2">
      <c r="A396" s="81">
        <v>28576</v>
      </c>
      <c r="D396">
        <v>336.7</v>
      </c>
    </row>
    <row r="397" spans="1:5" x14ac:dyDescent="0.2">
      <c r="A397" s="81">
        <v>28581</v>
      </c>
      <c r="B397">
        <v>531.9</v>
      </c>
      <c r="C397">
        <v>2035.1</v>
      </c>
      <c r="E397">
        <v>1300.4000000000001</v>
      </c>
    </row>
    <row r="398" spans="1:5" x14ac:dyDescent="0.2">
      <c r="A398" s="81">
        <v>28583</v>
      </c>
      <c r="D398">
        <v>338.6</v>
      </c>
    </row>
    <row r="399" spans="1:5" x14ac:dyDescent="0.2">
      <c r="A399" s="81">
        <v>28590</v>
      </c>
      <c r="D399">
        <v>338.3</v>
      </c>
    </row>
    <row r="400" spans="1:5" x14ac:dyDescent="0.2">
      <c r="A400" s="81">
        <v>28597</v>
      </c>
      <c r="D400">
        <v>337.6</v>
      </c>
    </row>
    <row r="401" spans="1:5" x14ac:dyDescent="0.2">
      <c r="A401" s="81">
        <v>28604</v>
      </c>
      <c r="D401">
        <v>340.6</v>
      </c>
    </row>
    <row r="402" spans="1:5" x14ac:dyDescent="0.2">
      <c r="A402" s="81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5" x14ac:dyDescent="0.2">
      <c r="A403" s="81">
        <v>28618</v>
      </c>
      <c r="D403">
        <v>342.6</v>
      </c>
    </row>
    <row r="404" spans="1:5" x14ac:dyDescent="0.2">
      <c r="A404" s="81">
        <v>28625</v>
      </c>
      <c r="D404">
        <v>344.1</v>
      </c>
    </row>
    <row r="405" spans="1:5" x14ac:dyDescent="0.2">
      <c r="A405" s="81">
        <v>28632</v>
      </c>
      <c r="D405">
        <v>345.1</v>
      </c>
    </row>
    <row r="406" spans="1:5" x14ac:dyDescent="0.2">
      <c r="A406" s="81">
        <v>28639</v>
      </c>
      <c r="D406">
        <v>346.7</v>
      </c>
    </row>
    <row r="407" spans="1:5" x14ac:dyDescent="0.2">
      <c r="A407" s="81">
        <v>28642</v>
      </c>
      <c r="B407">
        <v>533.70000000000005</v>
      </c>
      <c r="C407">
        <v>2028.5</v>
      </c>
      <c r="E407">
        <v>1318.5</v>
      </c>
    </row>
    <row r="408" spans="1:5" x14ac:dyDescent="0.2">
      <c r="A408" s="81">
        <v>28646</v>
      </c>
      <c r="D408">
        <v>346.6</v>
      </c>
    </row>
    <row r="409" spans="1:5" x14ac:dyDescent="0.2">
      <c r="A409" s="81">
        <v>28653</v>
      </c>
      <c r="D409">
        <v>346.8</v>
      </c>
    </row>
    <row r="410" spans="1:5" x14ac:dyDescent="0.2">
      <c r="A410" s="81">
        <v>28660</v>
      </c>
      <c r="D410">
        <v>345.8</v>
      </c>
    </row>
    <row r="411" spans="1:5" x14ac:dyDescent="0.2">
      <c r="A411" s="81">
        <v>28667</v>
      </c>
      <c r="D411">
        <v>346.5</v>
      </c>
    </row>
    <row r="412" spans="1:5" x14ac:dyDescent="0.2">
      <c r="A412" s="81">
        <v>28672</v>
      </c>
      <c r="B412">
        <v>530.70000000000005</v>
      </c>
      <c r="C412">
        <v>2021.5</v>
      </c>
      <c r="E412">
        <v>1324.1</v>
      </c>
    </row>
    <row r="413" spans="1:5" x14ac:dyDescent="0.2">
      <c r="A413" s="81">
        <v>28674</v>
      </c>
      <c r="D413">
        <v>348.1</v>
      </c>
    </row>
    <row r="414" spans="1:5" x14ac:dyDescent="0.2">
      <c r="A414" s="81">
        <v>28681</v>
      </c>
      <c r="D414">
        <v>347.7</v>
      </c>
    </row>
    <row r="415" spans="1:5" x14ac:dyDescent="0.2">
      <c r="A415" s="81">
        <v>28688</v>
      </c>
      <c r="D415">
        <v>346.2</v>
      </c>
    </row>
    <row r="416" spans="1:5" x14ac:dyDescent="0.2">
      <c r="A416" s="81">
        <v>28695</v>
      </c>
      <c r="D416">
        <v>348.2</v>
      </c>
    </row>
    <row r="417" spans="1:5" x14ac:dyDescent="0.2">
      <c r="A417" s="81">
        <v>28702</v>
      </c>
      <c r="D417">
        <v>348.6</v>
      </c>
    </row>
    <row r="418" spans="1:5" x14ac:dyDescent="0.2">
      <c r="A418" s="81">
        <v>28703</v>
      </c>
      <c r="B418">
        <v>530.5</v>
      </c>
      <c r="C418">
        <v>2023.5</v>
      </c>
      <c r="E418">
        <v>1333.5</v>
      </c>
    </row>
    <row r="419" spans="1:5" x14ac:dyDescent="0.2">
      <c r="A419" s="81">
        <v>28709</v>
      </c>
      <c r="D419">
        <v>348.4</v>
      </c>
    </row>
    <row r="420" spans="1:5" x14ac:dyDescent="0.2">
      <c r="A420" s="81">
        <v>28716</v>
      </c>
      <c r="D420">
        <v>349.7</v>
      </c>
    </row>
    <row r="421" spans="1:5" x14ac:dyDescent="0.2">
      <c r="A421" s="81">
        <v>28723</v>
      </c>
      <c r="D421">
        <v>349.7</v>
      </c>
    </row>
    <row r="422" spans="1:5" x14ac:dyDescent="0.2">
      <c r="A422" s="81">
        <v>28730</v>
      </c>
      <c r="D422">
        <v>349.3</v>
      </c>
    </row>
    <row r="423" spans="1:5" x14ac:dyDescent="0.2">
      <c r="A423" s="81">
        <v>28734</v>
      </c>
      <c r="B423">
        <v>529.6</v>
      </c>
      <c r="C423">
        <v>2022.6</v>
      </c>
      <c r="E423">
        <v>1345</v>
      </c>
    </row>
    <row r="424" spans="1:5" x14ac:dyDescent="0.2">
      <c r="A424" s="81">
        <v>28737</v>
      </c>
      <c r="D424">
        <v>352.7</v>
      </c>
    </row>
    <row r="425" spans="1:5" x14ac:dyDescent="0.2">
      <c r="A425" s="81">
        <v>28744</v>
      </c>
      <c r="D425">
        <v>351.6</v>
      </c>
    </row>
    <row r="426" spans="1:5" x14ac:dyDescent="0.2">
      <c r="A426" s="81">
        <v>28751</v>
      </c>
      <c r="D426">
        <v>351.5</v>
      </c>
    </row>
    <row r="427" spans="1:5" x14ac:dyDescent="0.2">
      <c r="A427" s="81">
        <v>28758</v>
      </c>
      <c r="D427">
        <v>352.8</v>
      </c>
    </row>
    <row r="428" spans="1:5" x14ac:dyDescent="0.2">
      <c r="A428" s="81">
        <v>28764</v>
      </c>
      <c r="B428">
        <v>526.5</v>
      </c>
      <c r="C428">
        <v>2015.4</v>
      </c>
      <c r="E428">
        <v>1352.3</v>
      </c>
    </row>
    <row r="429" spans="1:5" x14ac:dyDescent="0.2">
      <c r="A429" s="81">
        <v>28765</v>
      </c>
      <c r="D429">
        <v>352.9</v>
      </c>
    </row>
    <row r="430" spans="1:5" x14ac:dyDescent="0.2">
      <c r="A430" s="81">
        <v>28772</v>
      </c>
      <c r="D430">
        <v>353</v>
      </c>
    </row>
    <row r="431" spans="1:5" x14ac:dyDescent="0.2">
      <c r="A431" s="81">
        <v>28779</v>
      </c>
      <c r="D431">
        <v>354.3</v>
      </c>
    </row>
    <row r="432" spans="1:5" x14ac:dyDescent="0.2">
      <c r="A432" s="81">
        <v>28786</v>
      </c>
      <c r="D432">
        <v>353.1</v>
      </c>
    </row>
    <row r="433" spans="1:5" x14ac:dyDescent="0.2">
      <c r="A433" s="81">
        <v>28793</v>
      </c>
      <c r="D433">
        <v>353.3</v>
      </c>
    </row>
    <row r="434" spans="1:5" x14ac:dyDescent="0.2">
      <c r="A434" s="81">
        <v>28795</v>
      </c>
      <c r="B434">
        <v>526.5</v>
      </c>
      <c r="C434">
        <v>2013.5</v>
      </c>
      <c r="E434">
        <v>1359.1</v>
      </c>
    </row>
    <row r="435" spans="1:5" x14ac:dyDescent="0.2">
      <c r="A435" s="81">
        <v>28800</v>
      </c>
      <c r="D435">
        <v>355.1</v>
      </c>
    </row>
    <row r="436" spans="1:5" x14ac:dyDescent="0.2">
      <c r="A436" s="81">
        <v>28807</v>
      </c>
      <c r="D436">
        <v>355.2</v>
      </c>
    </row>
    <row r="437" spans="1:5" x14ac:dyDescent="0.2">
      <c r="A437" s="81">
        <v>28814</v>
      </c>
      <c r="D437">
        <v>355.8</v>
      </c>
    </row>
    <row r="438" spans="1:5" x14ac:dyDescent="0.2">
      <c r="A438" s="81">
        <v>28821</v>
      </c>
      <c r="D438">
        <v>355.3</v>
      </c>
    </row>
    <row r="439" spans="1:5" x14ac:dyDescent="0.2">
      <c r="A439" s="81">
        <v>28825</v>
      </c>
      <c r="B439">
        <v>526.20000000000005</v>
      </c>
      <c r="C439">
        <v>2011.8</v>
      </c>
      <c r="E439">
        <v>1366</v>
      </c>
    </row>
    <row r="440" spans="1:5" x14ac:dyDescent="0.2">
      <c r="A440" s="81">
        <v>28828</v>
      </c>
      <c r="D440">
        <v>357.1</v>
      </c>
    </row>
    <row r="441" spans="1:5" x14ac:dyDescent="0.2">
      <c r="A441" s="81">
        <v>28835</v>
      </c>
      <c r="D441">
        <v>356.8</v>
      </c>
    </row>
    <row r="442" spans="1:5" x14ac:dyDescent="0.2">
      <c r="A442" s="81">
        <v>28842</v>
      </c>
      <c r="D442">
        <v>356.2</v>
      </c>
    </row>
    <row r="443" spans="1:5" x14ac:dyDescent="0.2">
      <c r="A443" s="81">
        <v>28849</v>
      </c>
      <c r="D443">
        <v>357.7</v>
      </c>
    </row>
    <row r="444" spans="1:5" x14ac:dyDescent="0.2">
      <c r="A444" s="81">
        <v>28856</v>
      </c>
      <c r="B444">
        <v>523.5</v>
      </c>
      <c r="C444">
        <v>2002.3</v>
      </c>
      <c r="D444">
        <v>359.5</v>
      </c>
      <c r="E444">
        <v>1371.6</v>
      </c>
    </row>
    <row r="445" spans="1:5" x14ac:dyDescent="0.2">
      <c r="A445" s="81">
        <v>28863</v>
      </c>
      <c r="D445">
        <v>357.1</v>
      </c>
    </row>
    <row r="446" spans="1:5" x14ac:dyDescent="0.2">
      <c r="A446" s="81">
        <v>28870</v>
      </c>
      <c r="D446">
        <v>359.5</v>
      </c>
    </row>
    <row r="447" spans="1:5" x14ac:dyDescent="0.2">
      <c r="A447" s="81">
        <v>28877</v>
      </c>
      <c r="D447">
        <v>358.7</v>
      </c>
    </row>
    <row r="448" spans="1:5" x14ac:dyDescent="0.2">
      <c r="A448" s="81">
        <v>28884</v>
      </c>
      <c r="D448">
        <v>358.8</v>
      </c>
    </row>
    <row r="449" spans="1:5" x14ac:dyDescent="0.2">
      <c r="A449" s="81">
        <v>28887</v>
      </c>
      <c r="B449">
        <v>520.1</v>
      </c>
      <c r="C449">
        <v>1991</v>
      </c>
      <c r="E449">
        <v>1377.8</v>
      </c>
    </row>
    <row r="450" spans="1:5" x14ac:dyDescent="0.2">
      <c r="A450" s="81">
        <v>28891</v>
      </c>
      <c r="D450">
        <v>360.6</v>
      </c>
    </row>
    <row r="451" spans="1:5" x14ac:dyDescent="0.2">
      <c r="A451" s="81">
        <v>28898</v>
      </c>
      <c r="D451">
        <v>359.3</v>
      </c>
    </row>
    <row r="452" spans="1:5" x14ac:dyDescent="0.2">
      <c r="A452" s="81">
        <v>28905</v>
      </c>
      <c r="D452">
        <v>359.1</v>
      </c>
    </row>
    <row r="453" spans="1:5" x14ac:dyDescent="0.2">
      <c r="A453" s="81">
        <v>28912</v>
      </c>
      <c r="D453">
        <v>360.1</v>
      </c>
    </row>
    <row r="454" spans="1:5" x14ac:dyDescent="0.2">
      <c r="A454" s="81">
        <v>28915</v>
      </c>
      <c r="B454">
        <v>518.6</v>
      </c>
      <c r="C454">
        <v>1985.4</v>
      </c>
      <c r="E454">
        <v>1387.8</v>
      </c>
    </row>
    <row r="455" spans="1:5" x14ac:dyDescent="0.2">
      <c r="A455" s="81">
        <v>28919</v>
      </c>
      <c r="D455">
        <v>361.9</v>
      </c>
    </row>
    <row r="456" spans="1:5" x14ac:dyDescent="0.2">
      <c r="A456" s="81">
        <v>28926</v>
      </c>
      <c r="D456">
        <v>361.2</v>
      </c>
    </row>
    <row r="457" spans="1:5" x14ac:dyDescent="0.2">
      <c r="A457" s="81">
        <v>28933</v>
      </c>
      <c r="D457">
        <v>361.8</v>
      </c>
    </row>
    <row r="458" spans="1:5" x14ac:dyDescent="0.2">
      <c r="A458" s="81">
        <v>28940</v>
      </c>
      <c r="D458">
        <v>363.2</v>
      </c>
    </row>
    <row r="459" spans="1:5" x14ac:dyDescent="0.2">
      <c r="A459" s="81">
        <v>28946</v>
      </c>
      <c r="B459">
        <v>521.20000000000005</v>
      </c>
      <c r="C459">
        <v>1986</v>
      </c>
      <c r="E459">
        <v>1402.1</v>
      </c>
    </row>
    <row r="460" spans="1:5" x14ac:dyDescent="0.2">
      <c r="A460" s="81">
        <v>28947</v>
      </c>
      <c r="D460">
        <v>364.2</v>
      </c>
    </row>
    <row r="461" spans="1:5" x14ac:dyDescent="0.2">
      <c r="A461" s="81">
        <v>28954</v>
      </c>
      <c r="D461">
        <v>365</v>
      </c>
    </row>
    <row r="462" spans="1:5" x14ac:dyDescent="0.2">
      <c r="A462" s="81">
        <v>28961</v>
      </c>
      <c r="D462">
        <v>368.7</v>
      </c>
    </row>
    <row r="463" spans="1:5" x14ac:dyDescent="0.2">
      <c r="A463" s="81">
        <v>28968</v>
      </c>
      <c r="D463">
        <v>370.2</v>
      </c>
    </row>
    <row r="464" spans="1:5" x14ac:dyDescent="0.2">
      <c r="A464" s="81">
        <v>28975</v>
      </c>
      <c r="D464">
        <v>369.6</v>
      </c>
    </row>
    <row r="465" spans="1:5" x14ac:dyDescent="0.2">
      <c r="A465" s="81">
        <v>28976</v>
      </c>
      <c r="B465">
        <v>517.6</v>
      </c>
      <c r="C465">
        <v>1975.1</v>
      </c>
      <c r="E465">
        <v>1410.2</v>
      </c>
    </row>
    <row r="466" spans="1:5" x14ac:dyDescent="0.2">
      <c r="A466" s="81">
        <v>28982</v>
      </c>
      <c r="D466">
        <v>368.9</v>
      </c>
    </row>
    <row r="467" spans="1:5" x14ac:dyDescent="0.2">
      <c r="A467" s="81">
        <v>28989</v>
      </c>
      <c r="D467">
        <v>369.1</v>
      </c>
    </row>
    <row r="468" spans="1:5" x14ac:dyDescent="0.2">
      <c r="A468" s="81">
        <v>28996</v>
      </c>
      <c r="D468">
        <v>369.6</v>
      </c>
    </row>
    <row r="469" spans="1:5" x14ac:dyDescent="0.2">
      <c r="A469" s="81">
        <v>29003</v>
      </c>
      <c r="D469">
        <v>369</v>
      </c>
    </row>
    <row r="470" spans="1:5" x14ac:dyDescent="0.2">
      <c r="A470" s="81">
        <v>29007</v>
      </c>
      <c r="B470">
        <v>517.20000000000005</v>
      </c>
      <c r="C470">
        <v>1970.9</v>
      </c>
      <c r="E470">
        <v>1423</v>
      </c>
    </row>
    <row r="471" spans="1:5" x14ac:dyDescent="0.2">
      <c r="A471" s="81">
        <v>29010</v>
      </c>
      <c r="D471">
        <v>372.4</v>
      </c>
    </row>
    <row r="472" spans="1:5" x14ac:dyDescent="0.2">
      <c r="A472" s="81">
        <v>29017</v>
      </c>
      <c r="D472">
        <v>372.7</v>
      </c>
    </row>
    <row r="473" spans="1:5" x14ac:dyDescent="0.2">
      <c r="A473" s="81">
        <v>29024</v>
      </c>
      <c r="D473">
        <v>372.2</v>
      </c>
    </row>
    <row r="474" spans="1:5" x14ac:dyDescent="0.2">
      <c r="A474" s="81">
        <v>29031</v>
      </c>
      <c r="D474">
        <v>374.3</v>
      </c>
    </row>
    <row r="475" spans="1:5" x14ac:dyDescent="0.2">
      <c r="A475" s="81">
        <v>29037</v>
      </c>
      <c r="B475">
        <v>516.70000000000005</v>
      </c>
      <c r="C475">
        <v>1965.5</v>
      </c>
      <c r="E475">
        <v>1434.8</v>
      </c>
    </row>
    <row r="476" spans="1:5" x14ac:dyDescent="0.2">
      <c r="A476" s="81">
        <v>29038</v>
      </c>
      <c r="D476">
        <v>374.9</v>
      </c>
    </row>
    <row r="477" spans="1:5" x14ac:dyDescent="0.2">
      <c r="A477" s="81">
        <v>29045</v>
      </c>
      <c r="D477">
        <v>375.7</v>
      </c>
    </row>
    <row r="478" spans="1:5" x14ac:dyDescent="0.2">
      <c r="A478" s="81">
        <v>29052</v>
      </c>
      <c r="D478">
        <v>377.8</v>
      </c>
    </row>
    <row r="479" spans="1:5" x14ac:dyDescent="0.2">
      <c r="A479" s="81">
        <v>29059</v>
      </c>
      <c r="D479">
        <v>378.3</v>
      </c>
    </row>
    <row r="480" spans="1:5" x14ac:dyDescent="0.2">
      <c r="A480" s="81">
        <v>29066</v>
      </c>
      <c r="D480">
        <v>378.5</v>
      </c>
    </row>
    <row r="481" spans="1:5" x14ac:dyDescent="0.2">
      <c r="A481" s="81">
        <v>29068</v>
      </c>
      <c r="B481">
        <v>514</v>
      </c>
      <c r="C481">
        <v>1962.8</v>
      </c>
      <c r="E481">
        <v>1446.6</v>
      </c>
    </row>
    <row r="482" spans="1:5" x14ac:dyDescent="0.2">
      <c r="A482" s="81">
        <v>29073</v>
      </c>
      <c r="D482">
        <v>377.7</v>
      </c>
    </row>
    <row r="483" spans="1:5" x14ac:dyDescent="0.2">
      <c r="A483" s="81">
        <v>29080</v>
      </c>
      <c r="D483">
        <v>378.3</v>
      </c>
    </row>
    <row r="484" spans="1:5" x14ac:dyDescent="0.2">
      <c r="A484" s="81">
        <v>29087</v>
      </c>
      <c r="D484">
        <v>379.9</v>
      </c>
    </row>
    <row r="485" spans="1:5" x14ac:dyDescent="0.2">
      <c r="A485" s="81">
        <v>29094</v>
      </c>
      <c r="D485">
        <v>379.4</v>
      </c>
    </row>
    <row r="486" spans="1:5" x14ac:dyDescent="0.2">
      <c r="A486" s="81">
        <v>29099</v>
      </c>
      <c r="B486">
        <v>509.8</v>
      </c>
      <c r="C486">
        <v>1954.4</v>
      </c>
      <c r="E486">
        <v>1454.1</v>
      </c>
    </row>
    <row r="487" spans="1:5" x14ac:dyDescent="0.2">
      <c r="A487" s="81">
        <v>29101</v>
      </c>
      <c r="D487">
        <v>379</v>
      </c>
    </row>
    <row r="488" spans="1:5" x14ac:dyDescent="0.2">
      <c r="A488" s="81">
        <v>29108</v>
      </c>
      <c r="D488">
        <v>378.7</v>
      </c>
    </row>
    <row r="489" spans="1:5" x14ac:dyDescent="0.2">
      <c r="A489" s="81">
        <v>29115</v>
      </c>
      <c r="D489">
        <v>378.1</v>
      </c>
    </row>
    <row r="490" spans="1:5" x14ac:dyDescent="0.2">
      <c r="A490" s="81">
        <v>29122</v>
      </c>
      <c r="D490">
        <v>379.6</v>
      </c>
    </row>
    <row r="491" spans="1:5" x14ac:dyDescent="0.2">
      <c r="A491" s="81">
        <v>29129</v>
      </c>
      <c r="B491">
        <v>506.4</v>
      </c>
      <c r="C491">
        <v>1942</v>
      </c>
      <c r="D491">
        <v>381.6</v>
      </c>
      <c r="E491">
        <v>1460.4</v>
      </c>
    </row>
    <row r="492" spans="1:5" x14ac:dyDescent="0.2">
      <c r="A492" s="81">
        <v>29136</v>
      </c>
      <c r="D492">
        <v>380.7</v>
      </c>
    </row>
    <row r="493" spans="1:5" x14ac:dyDescent="0.2">
      <c r="A493" s="81">
        <v>29143</v>
      </c>
      <c r="D493">
        <v>381.7</v>
      </c>
    </row>
    <row r="494" spans="1:5" x14ac:dyDescent="0.2">
      <c r="A494" s="81">
        <v>29150</v>
      </c>
      <c r="D494">
        <v>380.5</v>
      </c>
    </row>
    <row r="495" spans="1:5" x14ac:dyDescent="0.2">
      <c r="A495" s="81">
        <v>29157</v>
      </c>
      <c r="D495">
        <v>380.9</v>
      </c>
    </row>
    <row r="496" spans="1:5" x14ac:dyDescent="0.2">
      <c r="A496" s="81">
        <v>29160</v>
      </c>
      <c r="B496">
        <v>501.1</v>
      </c>
      <c r="C496">
        <v>1928.8</v>
      </c>
      <c r="E496">
        <v>1465.9</v>
      </c>
    </row>
    <row r="497" spans="1:5" x14ac:dyDescent="0.2">
      <c r="A497" s="81">
        <v>29164</v>
      </c>
      <c r="D497">
        <v>382.3</v>
      </c>
    </row>
    <row r="498" spans="1:5" x14ac:dyDescent="0.2">
      <c r="A498" s="81">
        <v>29171</v>
      </c>
      <c r="D498">
        <v>381.1</v>
      </c>
    </row>
    <row r="499" spans="1:5" x14ac:dyDescent="0.2">
      <c r="A499" s="81">
        <v>29178</v>
      </c>
      <c r="D499">
        <v>381.5</v>
      </c>
    </row>
    <row r="500" spans="1:5" x14ac:dyDescent="0.2">
      <c r="A500" s="81">
        <v>29185</v>
      </c>
      <c r="D500">
        <v>380.6</v>
      </c>
    </row>
    <row r="501" spans="1:5" x14ac:dyDescent="0.2">
      <c r="A501" s="81">
        <v>29190</v>
      </c>
      <c r="B501">
        <v>496.5</v>
      </c>
      <c r="C501">
        <v>1916.4</v>
      </c>
      <c r="E501">
        <v>1473.7</v>
      </c>
    </row>
    <row r="502" spans="1:5" x14ac:dyDescent="0.2">
      <c r="A502" s="81">
        <v>29192</v>
      </c>
      <c r="D502">
        <v>379.3</v>
      </c>
    </row>
    <row r="503" spans="1:5" x14ac:dyDescent="0.2">
      <c r="A503" s="81">
        <v>29199</v>
      </c>
      <c r="D503">
        <v>381.2</v>
      </c>
    </row>
    <row r="504" spans="1:5" x14ac:dyDescent="0.2">
      <c r="A504" s="81">
        <v>29206</v>
      </c>
      <c r="D504">
        <v>381</v>
      </c>
    </row>
    <row r="505" spans="1:5" x14ac:dyDescent="0.2">
      <c r="A505" s="81">
        <v>29213</v>
      </c>
      <c r="D505">
        <v>382.9</v>
      </c>
    </row>
    <row r="506" spans="1:5" x14ac:dyDescent="0.2">
      <c r="A506" s="81">
        <v>29220</v>
      </c>
      <c r="D506">
        <v>384.2</v>
      </c>
    </row>
    <row r="507" spans="1:5" x14ac:dyDescent="0.2">
      <c r="A507" s="81">
        <v>29221</v>
      </c>
      <c r="B507">
        <v>494.6</v>
      </c>
      <c r="C507">
        <v>1900.9</v>
      </c>
      <c r="E507">
        <v>1482.7</v>
      </c>
    </row>
    <row r="508" spans="1:5" x14ac:dyDescent="0.2">
      <c r="A508" s="81">
        <v>29227</v>
      </c>
      <c r="D508">
        <v>383.7</v>
      </c>
    </row>
    <row r="509" spans="1:5" x14ac:dyDescent="0.2">
      <c r="A509" s="81">
        <v>29234</v>
      </c>
      <c r="D509">
        <v>385.5</v>
      </c>
    </row>
    <row r="510" spans="1:5" x14ac:dyDescent="0.2">
      <c r="A510" s="81">
        <v>29241</v>
      </c>
      <c r="D510">
        <v>384.8</v>
      </c>
    </row>
    <row r="511" spans="1:5" x14ac:dyDescent="0.2">
      <c r="A511" s="81">
        <v>29248</v>
      </c>
      <c r="D511">
        <v>387.4</v>
      </c>
    </row>
    <row r="512" spans="1:5" x14ac:dyDescent="0.2">
      <c r="A512" s="81">
        <v>29252</v>
      </c>
      <c r="B512">
        <v>493.8</v>
      </c>
      <c r="C512">
        <v>1891.9</v>
      </c>
      <c r="E512">
        <v>1494.6</v>
      </c>
    </row>
    <row r="513" spans="1:5" x14ac:dyDescent="0.2">
      <c r="A513" s="81">
        <v>29255</v>
      </c>
      <c r="D513">
        <v>390.6</v>
      </c>
    </row>
    <row r="514" spans="1:5" x14ac:dyDescent="0.2">
      <c r="A514" s="81">
        <v>29262</v>
      </c>
      <c r="D514">
        <v>390.3</v>
      </c>
    </row>
    <row r="515" spans="1:5" x14ac:dyDescent="0.2">
      <c r="A515" s="81">
        <v>29269</v>
      </c>
      <c r="D515">
        <v>390.3</v>
      </c>
    </row>
    <row r="516" spans="1:5" x14ac:dyDescent="0.2">
      <c r="A516" s="81">
        <v>29276</v>
      </c>
      <c r="D516">
        <v>389.3</v>
      </c>
    </row>
    <row r="517" spans="1:5" x14ac:dyDescent="0.2">
      <c r="A517" s="81">
        <v>29281</v>
      </c>
      <c r="B517">
        <v>484.9</v>
      </c>
      <c r="C517">
        <v>1872.4</v>
      </c>
      <c r="E517">
        <v>1499.8</v>
      </c>
    </row>
    <row r="518" spans="1:5" x14ac:dyDescent="0.2">
      <c r="A518" s="81">
        <v>29283</v>
      </c>
      <c r="D518">
        <v>389.4</v>
      </c>
    </row>
    <row r="519" spans="1:5" x14ac:dyDescent="0.2">
      <c r="A519" s="81">
        <v>29290</v>
      </c>
      <c r="D519">
        <v>388.8</v>
      </c>
    </row>
    <row r="520" spans="1:5" x14ac:dyDescent="0.2">
      <c r="A520" s="81">
        <v>29297</v>
      </c>
      <c r="D520">
        <v>389.2</v>
      </c>
    </row>
    <row r="521" spans="1:5" x14ac:dyDescent="0.2">
      <c r="A521" s="81">
        <v>29304</v>
      </c>
      <c r="D521">
        <v>388.4</v>
      </c>
    </row>
    <row r="522" spans="1:5" x14ac:dyDescent="0.2">
      <c r="A522" s="81">
        <v>29311</v>
      </c>
      <c r="D522">
        <v>387.1</v>
      </c>
    </row>
    <row r="523" spans="1:5" x14ac:dyDescent="0.2">
      <c r="A523" s="81">
        <v>29312</v>
      </c>
      <c r="B523">
        <v>474.4</v>
      </c>
      <c r="C523">
        <v>1856.9</v>
      </c>
      <c r="E523">
        <v>1502.2</v>
      </c>
    </row>
    <row r="524" spans="1:5" x14ac:dyDescent="0.2">
      <c r="A524" s="81">
        <v>29318</v>
      </c>
      <c r="D524">
        <v>386</v>
      </c>
    </row>
    <row r="525" spans="1:5" x14ac:dyDescent="0.2">
      <c r="A525" s="81">
        <v>29325</v>
      </c>
      <c r="D525">
        <v>385</v>
      </c>
    </row>
    <row r="526" spans="1:5" x14ac:dyDescent="0.2">
      <c r="A526" s="81">
        <v>29332</v>
      </c>
      <c r="D526">
        <v>382.8</v>
      </c>
    </row>
    <row r="527" spans="1:5" x14ac:dyDescent="0.2">
      <c r="A527" s="81">
        <v>29339</v>
      </c>
      <c r="D527">
        <v>381.3</v>
      </c>
    </row>
    <row r="528" spans="1:5" x14ac:dyDescent="0.2">
      <c r="A528" s="81">
        <v>29342</v>
      </c>
      <c r="B528">
        <v>471</v>
      </c>
      <c r="C528">
        <v>1851</v>
      </c>
      <c r="E528">
        <v>1512.3</v>
      </c>
    </row>
    <row r="529" spans="1:5" x14ac:dyDescent="0.2">
      <c r="A529" s="81">
        <v>29346</v>
      </c>
      <c r="D529">
        <v>383.6</v>
      </c>
    </row>
    <row r="530" spans="1:5" x14ac:dyDescent="0.2">
      <c r="A530" s="81">
        <v>29353</v>
      </c>
      <c r="D530">
        <v>383.5</v>
      </c>
    </row>
    <row r="531" spans="1:5" x14ac:dyDescent="0.2">
      <c r="A531" s="81">
        <v>29360</v>
      </c>
      <c r="D531">
        <v>384.7</v>
      </c>
    </row>
    <row r="532" spans="1:5" x14ac:dyDescent="0.2">
      <c r="A532" s="81">
        <v>29367</v>
      </c>
      <c r="D532">
        <v>385.8</v>
      </c>
    </row>
    <row r="533" spans="1:5" x14ac:dyDescent="0.2">
      <c r="A533" s="81">
        <v>29373</v>
      </c>
      <c r="B533">
        <v>471.6</v>
      </c>
      <c r="C533">
        <v>1853.6</v>
      </c>
      <c r="E533">
        <v>1529.2</v>
      </c>
    </row>
    <row r="534" spans="1:5" x14ac:dyDescent="0.2">
      <c r="A534" s="81">
        <v>29374</v>
      </c>
      <c r="D534">
        <v>386.8</v>
      </c>
    </row>
    <row r="535" spans="1:5" x14ac:dyDescent="0.2">
      <c r="A535" s="81">
        <v>29381</v>
      </c>
      <c r="D535">
        <v>387.1</v>
      </c>
    </row>
    <row r="536" spans="1:5" x14ac:dyDescent="0.2">
      <c r="A536" s="81">
        <v>29388</v>
      </c>
      <c r="D536">
        <v>389</v>
      </c>
    </row>
    <row r="537" spans="1:5" x14ac:dyDescent="0.2">
      <c r="A537" s="81">
        <v>29395</v>
      </c>
      <c r="D537">
        <v>389.9</v>
      </c>
    </row>
    <row r="538" spans="1:5" x14ac:dyDescent="0.2">
      <c r="A538" s="81">
        <v>29402</v>
      </c>
      <c r="D538">
        <v>391.3</v>
      </c>
    </row>
    <row r="539" spans="1:5" x14ac:dyDescent="0.2">
      <c r="A539" s="81">
        <v>29403</v>
      </c>
      <c r="B539">
        <v>477</v>
      </c>
      <c r="C539">
        <v>1871.1</v>
      </c>
      <c r="E539">
        <v>1545.5</v>
      </c>
    </row>
    <row r="540" spans="1:5" x14ac:dyDescent="0.2">
      <c r="A540" s="81">
        <v>29409</v>
      </c>
      <c r="D540">
        <v>391.4</v>
      </c>
    </row>
    <row r="541" spans="1:5" x14ac:dyDescent="0.2">
      <c r="A541" s="81">
        <v>29416</v>
      </c>
      <c r="D541">
        <v>394.2</v>
      </c>
    </row>
    <row r="542" spans="1:5" x14ac:dyDescent="0.2">
      <c r="A542" s="81">
        <v>29423</v>
      </c>
      <c r="D542">
        <v>393.9</v>
      </c>
    </row>
    <row r="543" spans="1:5" x14ac:dyDescent="0.2">
      <c r="A543" s="81">
        <v>29430</v>
      </c>
      <c r="D543">
        <v>394.6</v>
      </c>
    </row>
    <row r="544" spans="1:5" x14ac:dyDescent="0.2">
      <c r="A544" s="81">
        <v>29434</v>
      </c>
      <c r="B544">
        <v>479.8</v>
      </c>
      <c r="C544">
        <v>1876.8</v>
      </c>
      <c r="E544">
        <v>1561.5</v>
      </c>
    </row>
    <row r="545" spans="1:5" x14ac:dyDescent="0.2">
      <c r="A545" s="81">
        <v>29437</v>
      </c>
      <c r="D545">
        <v>398.8</v>
      </c>
    </row>
    <row r="546" spans="1:5" x14ac:dyDescent="0.2">
      <c r="A546" s="81">
        <v>29444</v>
      </c>
      <c r="D546">
        <v>398.2</v>
      </c>
    </row>
    <row r="547" spans="1:5" x14ac:dyDescent="0.2">
      <c r="A547" s="81">
        <v>29451</v>
      </c>
      <c r="D547">
        <v>398.3</v>
      </c>
    </row>
    <row r="548" spans="1:5" x14ac:dyDescent="0.2">
      <c r="A548" s="81">
        <v>29458</v>
      </c>
      <c r="D548">
        <v>399.3</v>
      </c>
    </row>
    <row r="549" spans="1:5" x14ac:dyDescent="0.2">
      <c r="A549" s="81">
        <v>29465</v>
      </c>
      <c r="B549">
        <v>482.5</v>
      </c>
      <c r="C549">
        <v>1876</v>
      </c>
      <c r="D549">
        <v>402.1</v>
      </c>
      <c r="E549">
        <v>1574</v>
      </c>
    </row>
    <row r="550" spans="1:5" x14ac:dyDescent="0.2">
      <c r="A550" s="81">
        <v>29472</v>
      </c>
      <c r="D550">
        <v>403.9</v>
      </c>
    </row>
    <row r="551" spans="1:5" x14ac:dyDescent="0.2">
      <c r="A551" s="81">
        <v>29479</v>
      </c>
      <c r="D551">
        <v>404.7</v>
      </c>
    </row>
    <row r="552" spans="1:5" x14ac:dyDescent="0.2">
      <c r="A552" s="81">
        <v>29486</v>
      </c>
      <c r="D552">
        <v>405.6</v>
      </c>
    </row>
    <row r="553" spans="1:5" x14ac:dyDescent="0.2">
      <c r="A553" s="81">
        <v>29493</v>
      </c>
      <c r="D553">
        <v>405.3</v>
      </c>
    </row>
    <row r="554" spans="1:5" x14ac:dyDescent="0.2">
      <c r="A554" s="81">
        <v>29495</v>
      </c>
      <c r="B554">
        <v>482.9</v>
      </c>
      <c r="C554">
        <v>1871.1</v>
      </c>
      <c r="E554">
        <v>1584.8</v>
      </c>
    </row>
    <row r="555" spans="1:5" x14ac:dyDescent="0.2">
      <c r="A555" s="81">
        <v>29500</v>
      </c>
      <c r="D555">
        <v>408.2</v>
      </c>
    </row>
    <row r="556" spans="1:5" x14ac:dyDescent="0.2">
      <c r="A556" s="81">
        <v>29507</v>
      </c>
      <c r="D556">
        <v>408.9</v>
      </c>
    </row>
    <row r="557" spans="1:5" x14ac:dyDescent="0.2">
      <c r="A557" s="81">
        <v>29514</v>
      </c>
      <c r="D557">
        <v>408.6</v>
      </c>
    </row>
    <row r="558" spans="1:5" x14ac:dyDescent="0.2">
      <c r="A558" s="81">
        <v>29521</v>
      </c>
      <c r="D558">
        <v>409.6</v>
      </c>
    </row>
    <row r="559" spans="1:5" x14ac:dyDescent="0.2">
      <c r="A559" s="81">
        <v>29526</v>
      </c>
      <c r="B559">
        <v>479.8</v>
      </c>
      <c r="C559">
        <v>1864.3</v>
      </c>
      <c r="E559">
        <v>1595.8</v>
      </c>
    </row>
    <row r="560" spans="1:5" x14ac:dyDescent="0.2">
      <c r="A560" s="81">
        <v>29528</v>
      </c>
      <c r="D560">
        <v>409.2</v>
      </c>
    </row>
    <row r="561" spans="1:5" x14ac:dyDescent="0.2">
      <c r="A561" s="81">
        <v>29535</v>
      </c>
      <c r="D561">
        <v>410.4</v>
      </c>
    </row>
    <row r="562" spans="1:5" x14ac:dyDescent="0.2">
      <c r="A562" s="81">
        <v>29542</v>
      </c>
      <c r="D562">
        <v>411.3</v>
      </c>
    </row>
    <row r="563" spans="1:5" x14ac:dyDescent="0.2">
      <c r="A563" s="81">
        <v>29549</v>
      </c>
      <c r="D563">
        <v>410.8</v>
      </c>
    </row>
    <row r="564" spans="1:5" x14ac:dyDescent="0.2">
      <c r="A564" s="81">
        <v>29556</v>
      </c>
      <c r="B564">
        <v>472.8</v>
      </c>
      <c r="C564">
        <v>1851.6</v>
      </c>
      <c r="D564">
        <v>410.5</v>
      </c>
      <c r="E564">
        <v>1599.8</v>
      </c>
    </row>
    <row r="565" spans="1:5" x14ac:dyDescent="0.2">
      <c r="A565" s="81">
        <v>29563</v>
      </c>
      <c r="D565">
        <v>409.6</v>
      </c>
    </row>
    <row r="566" spans="1:5" x14ac:dyDescent="0.2">
      <c r="A566" s="81">
        <v>29570</v>
      </c>
      <c r="D566">
        <v>410.7</v>
      </c>
    </row>
    <row r="567" spans="1:5" x14ac:dyDescent="0.2">
      <c r="A567" s="81">
        <v>29577</v>
      </c>
      <c r="D567">
        <v>409.9</v>
      </c>
    </row>
    <row r="568" spans="1:5" x14ac:dyDescent="0.2">
      <c r="A568" s="81">
        <v>29584</v>
      </c>
      <c r="D568">
        <v>404.3</v>
      </c>
    </row>
    <row r="569" spans="1:5" x14ac:dyDescent="0.2">
      <c r="A569" s="81">
        <v>29587</v>
      </c>
      <c r="B569">
        <v>471.7</v>
      </c>
      <c r="C569">
        <v>1842.8</v>
      </c>
      <c r="E569">
        <v>1606.9</v>
      </c>
    </row>
    <row r="570" spans="1:5" x14ac:dyDescent="0.2">
      <c r="A570" s="81">
        <v>29591</v>
      </c>
      <c r="D570">
        <v>407.4</v>
      </c>
    </row>
    <row r="571" spans="1:5" x14ac:dyDescent="0.2">
      <c r="A571" s="81">
        <v>29598</v>
      </c>
      <c r="D571">
        <v>409.4</v>
      </c>
    </row>
    <row r="572" spans="1:5" x14ac:dyDescent="0.2">
      <c r="A572" s="81">
        <v>29605</v>
      </c>
      <c r="D572">
        <v>413.2</v>
      </c>
    </row>
    <row r="573" spans="1:5" x14ac:dyDescent="0.2">
      <c r="A573" s="81">
        <v>29612</v>
      </c>
      <c r="D573">
        <v>413.8</v>
      </c>
    </row>
    <row r="574" spans="1:5" x14ac:dyDescent="0.2">
      <c r="A574" s="81">
        <v>29618</v>
      </c>
      <c r="B574">
        <v>471.4</v>
      </c>
      <c r="C574">
        <v>1839.4</v>
      </c>
      <c r="E574">
        <v>1618.7</v>
      </c>
    </row>
    <row r="575" spans="1:5" x14ac:dyDescent="0.2">
      <c r="A575" s="81">
        <v>29619</v>
      </c>
      <c r="D575">
        <v>410.8</v>
      </c>
    </row>
    <row r="576" spans="1:5" x14ac:dyDescent="0.2">
      <c r="A576" s="81">
        <v>29626</v>
      </c>
      <c r="D576">
        <v>413.6</v>
      </c>
    </row>
    <row r="577" spans="1:5" x14ac:dyDescent="0.2">
      <c r="A577" s="81">
        <v>29633</v>
      </c>
      <c r="D577">
        <v>415.3</v>
      </c>
    </row>
    <row r="578" spans="1:5" x14ac:dyDescent="0.2">
      <c r="A578" s="81">
        <v>29640</v>
      </c>
      <c r="D578">
        <v>416.6</v>
      </c>
    </row>
    <row r="579" spans="1:5" x14ac:dyDescent="0.2">
      <c r="A579" s="81">
        <v>29646</v>
      </c>
      <c r="B579">
        <v>472.9</v>
      </c>
      <c r="C579">
        <v>1847.2</v>
      </c>
      <c r="E579">
        <v>1636.6</v>
      </c>
    </row>
    <row r="580" spans="1:5" x14ac:dyDescent="0.2">
      <c r="A580" s="81">
        <v>29647</v>
      </c>
      <c r="D580">
        <v>414.7</v>
      </c>
    </row>
    <row r="581" spans="1:5" x14ac:dyDescent="0.2">
      <c r="A581" s="81">
        <v>29654</v>
      </c>
      <c r="D581">
        <v>417.4</v>
      </c>
    </row>
    <row r="582" spans="1:5" x14ac:dyDescent="0.2">
      <c r="A582" s="81">
        <v>29661</v>
      </c>
      <c r="D582">
        <v>419.1</v>
      </c>
    </row>
    <row r="583" spans="1:5" x14ac:dyDescent="0.2">
      <c r="A583" s="81">
        <v>29668</v>
      </c>
      <c r="D583">
        <v>419.2</v>
      </c>
    </row>
    <row r="584" spans="1:5" x14ac:dyDescent="0.2">
      <c r="A584" s="81">
        <v>29675</v>
      </c>
      <c r="D584">
        <v>421</v>
      </c>
    </row>
    <row r="585" spans="1:5" x14ac:dyDescent="0.2">
      <c r="A585" s="81">
        <v>29677</v>
      </c>
      <c r="B585">
        <v>479.7</v>
      </c>
      <c r="C585">
        <v>1862.2</v>
      </c>
      <c r="E585">
        <v>1659.2</v>
      </c>
    </row>
    <row r="586" spans="1:5" x14ac:dyDescent="0.2">
      <c r="A586" s="81">
        <v>29682</v>
      </c>
      <c r="D586">
        <v>424</v>
      </c>
    </row>
    <row r="587" spans="1:5" x14ac:dyDescent="0.2">
      <c r="A587" s="81">
        <v>29689</v>
      </c>
      <c r="D587">
        <v>426.1</v>
      </c>
    </row>
    <row r="588" spans="1:5" x14ac:dyDescent="0.2">
      <c r="A588" s="81">
        <v>29696</v>
      </c>
      <c r="D588">
        <v>429.7</v>
      </c>
    </row>
    <row r="589" spans="1:5" x14ac:dyDescent="0.2">
      <c r="A589" s="81">
        <v>29703</v>
      </c>
      <c r="D589">
        <v>429.2</v>
      </c>
    </row>
    <row r="590" spans="1:5" x14ac:dyDescent="0.2">
      <c r="A590" s="81">
        <v>29707</v>
      </c>
      <c r="B590">
        <v>473.5</v>
      </c>
      <c r="C590">
        <v>1855.3</v>
      </c>
      <c r="E590">
        <v>1664.2</v>
      </c>
    </row>
    <row r="591" spans="1:5" x14ac:dyDescent="0.2">
      <c r="A591" s="81">
        <v>29710</v>
      </c>
      <c r="D591">
        <v>427.6</v>
      </c>
    </row>
    <row r="592" spans="1:5" x14ac:dyDescent="0.2">
      <c r="A592" s="81">
        <v>29717</v>
      </c>
      <c r="D592">
        <v>425.7</v>
      </c>
    </row>
    <row r="593" spans="1:5" x14ac:dyDescent="0.2">
      <c r="A593" s="81">
        <v>29724</v>
      </c>
      <c r="D593">
        <v>423.6</v>
      </c>
    </row>
    <row r="594" spans="1:5" x14ac:dyDescent="0.2">
      <c r="A594" s="81">
        <v>29731</v>
      </c>
      <c r="D594">
        <v>423.1</v>
      </c>
    </row>
    <row r="595" spans="1:5" x14ac:dyDescent="0.2">
      <c r="A595" s="81">
        <v>29738</v>
      </c>
      <c r="B595">
        <v>469.8</v>
      </c>
      <c r="C595">
        <v>1845.6</v>
      </c>
      <c r="D595">
        <v>424.6</v>
      </c>
      <c r="E595">
        <v>1670.3</v>
      </c>
    </row>
    <row r="596" spans="1:5" x14ac:dyDescent="0.2">
      <c r="A596" s="81">
        <v>29745</v>
      </c>
      <c r="D596">
        <v>423.1</v>
      </c>
    </row>
    <row r="597" spans="1:5" x14ac:dyDescent="0.2">
      <c r="A597" s="81">
        <v>29752</v>
      </c>
      <c r="D597">
        <v>425.4</v>
      </c>
    </row>
    <row r="598" spans="1:5" x14ac:dyDescent="0.2">
      <c r="A598" s="81">
        <v>29759</v>
      </c>
      <c r="D598">
        <v>426.6</v>
      </c>
    </row>
    <row r="599" spans="1:5" x14ac:dyDescent="0.2">
      <c r="A599" s="81">
        <v>29766</v>
      </c>
      <c r="D599">
        <v>425.2</v>
      </c>
    </row>
    <row r="600" spans="1:5" x14ac:dyDescent="0.2">
      <c r="A600" s="81">
        <v>29768</v>
      </c>
      <c r="B600">
        <v>466.6</v>
      </c>
      <c r="C600">
        <v>1838.1</v>
      </c>
      <c r="E600">
        <v>1681.9</v>
      </c>
    </row>
    <row r="601" spans="1:5" x14ac:dyDescent="0.2">
      <c r="A601" s="81">
        <v>29773</v>
      </c>
      <c r="D601">
        <v>428.8</v>
      </c>
    </row>
    <row r="602" spans="1:5" x14ac:dyDescent="0.2">
      <c r="A602" s="81">
        <v>29780</v>
      </c>
      <c r="D602">
        <v>426.2</v>
      </c>
    </row>
    <row r="603" spans="1:5" x14ac:dyDescent="0.2">
      <c r="A603" s="81">
        <v>29787</v>
      </c>
      <c r="D603">
        <v>427.4</v>
      </c>
    </row>
    <row r="604" spans="1:5" x14ac:dyDescent="0.2">
      <c r="A604" s="81">
        <v>29794</v>
      </c>
      <c r="D604">
        <v>426.2</v>
      </c>
    </row>
    <row r="605" spans="1:5" x14ac:dyDescent="0.2">
      <c r="A605" s="81">
        <v>29799</v>
      </c>
      <c r="B605">
        <v>463</v>
      </c>
      <c r="C605">
        <v>1837.6</v>
      </c>
      <c r="E605">
        <v>1694.3</v>
      </c>
    </row>
    <row r="606" spans="1:5" x14ac:dyDescent="0.2">
      <c r="A606" s="81">
        <v>29801</v>
      </c>
      <c r="D606">
        <v>425.9</v>
      </c>
    </row>
    <row r="607" spans="1:5" x14ac:dyDescent="0.2">
      <c r="A607" s="81">
        <v>29808</v>
      </c>
      <c r="D607">
        <v>429</v>
      </c>
    </row>
    <row r="608" spans="1:5" x14ac:dyDescent="0.2">
      <c r="A608" s="81">
        <v>29815</v>
      </c>
      <c r="D608">
        <v>426.3</v>
      </c>
    </row>
    <row r="609" spans="1:5" x14ac:dyDescent="0.2">
      <c r="A609" s="81">
        <v>29822</v>
      </c>
      <c r="D609">
        <v>425.8</v>
      </c>
    </row>
    <row r="610" spans="1:5" x14ac:dyDescent="0.2">
      <c r="A610" s="81">
        <v>29829</v>
      </c>
      <c r="D610">
        <v>427</v>
      </c>
    </row>
    <row r="611" spans="1:5" x14ac:dyDescent="0.2">
      <c r="A611" s="81">
        <v>29830</v>
      </c>
      <c r="B611">
        <v>458.6</v>
      </c>
      <c r="C611">
        <v>1832.4</v>
      </c>
      <c r="E611">
        <v>1706</v>
      </c>
    </row>
    <row r="612" spans="1:5" x14ac:dyDescent="0.2">
      <c r="A612" s="81">
        <v>29836</v>
      </c>
      <c r="D612">
        <v>425.6</v>
      </c>
    </row>
    <row r="613" spans="1:5" x14ac:dyDescent="0.2">
      <c r="A613" s="81">
        <v>29843</v>
      </c>
      <c r="D613">
        <v>429</v>
      </c>
    </row>
    <row r="614" spans="1:5" x14ac:dyDescent="0.2">
      <c r="A614" s="81">
        <v>29850</v>
      </c>
      <c r="D614">
        <v>428.3</v>
      </c>
    </row>
    <row r="615" spans="1:5" x14ac:dyDescent="0.2">
      <c r="A615" s="81">
        <v>29857</v>
      </c>
      <c r="D615">
        <v>424.9</v>
      </c>
    </row>
    <row r="616" spans="1:5" x14ac:dyDescent="0.2">
      <c r="A616" s="81">
        <v>29860</v>
      </c>
      <c r="B616">
        <v>458.7</v>
      </c>
      <c r="C616">
        <v>1843.5</v>
      </c>
      <c r="E616">
        <v>1721.8</v>
      </c>
    </row>
    <row r="617" spans="1:5" x14ac:dyDescent="0.2">
      <c r="A617" s="81">
        <v>29864</v>
      </c>
      <c r="D617">
        <v>427</v>
      </c>
    </row>
    <row r="618" spans="1:5" x14ac:dyDescent="0.2">
      <c r="A618" s="81">
        <v>29871</v>
      </c>
      <c r="D618">
        <v>428.3</v>
      </c>
    </row>
    <row r="619" spans="1:5" x14ac:dyDescent="0.2">
      <c r="A619" s="81">
        <v>29878</v>
      </c>
      <c r="D619">
        <v>428.9</v>
      </c>
    </row>
    <row r="620" spans="1:5" x14ac:dyDescent="0.2">
      <c r="A620" s="81">
        <v>29885</v>
      </c>
      <c r="D620">
        <v>428.9</v>
      </c>
    </row>
    <row r="621" spans="1:5" x14ac:dyDescent="0.2">
      <c r="A621" s="81">
        <v>29891</v>
      </c>
      <c r="B621">
        <v>459.8</v>
      </c>
      <c r="C621">
        <v>1850.9</v>
      </c>
      <c r="E621">
        <v>1736.1</v>
      </c>
    </row>
    <row r="622" spans="1:5" x14ac:dyDescent="0.2">
      <c r="A622" s="81">
        <v>29892</v>
      </c>
      <c r="D622">
        <v>428.3</v>
      </c>
    </row>
    <row r="623" spans="1:5" x14ac:dyDescent="0.2">
      <c r="A623" s="81">
        <v>29899</v>
      </c>
      <c r="D623">
        <v>430.6</v>
      </c>
    </row>
    <row r="624" spans="1:5" x14ac:dyDescent="0.2">
      <c r="A624" s="81">
        <v>29906</v>
      </c>
      <c r="D624">
        <v>431.4</v>
      </c>
    </row>
    <row r="625" spans="1:5" x14ac:dyDescent="0.2">
      <c r="A625" s="81">
        <v>29913</v>
      </c>
      <c r="D625">
        <v>430.4</v>
      </c>
    </row>
    <row r="626" spans="1:5" x14ac:dyDescent="0.2">
      <c r="A626" s="81">
        <v>29920</v>
      </c>
      <c r="D626">
        <v>433.5</v>
      </c>
    </row>
    <row r="627" spans="1:5" x14ac:dyDescent="0.2">
      <c r="A627" s="81">
        <v>29921</v>
      </c>
      <c r="B627">
        <v>464.1</v>
      </c>
      <c r="C627">
        <v>1865.6</v>
      </c>
      <c r="E627">
        <v>1755.5</v>
      </c>
    </row>
    <row r="628" spans="1:5" x14ac:dyDescent="0.2">
      <c r="A628" s="81">
        <v>29927</v>
      </c>
      <c r="D628">
        <v>436.2</v>
      </c>
    </row>
    <row r="629" spans="1:5" x14ac:dyDescent="0.2">
      <c r="A629" s="81">
        <v>29934</v>
      </c>
      <c r="D629">
        <v>435.1</v>
      </c>
    </row>
    <row r="630" spans="1:5" x14ac:dyDescent="0.2">
      <c r="A630" s="81">
        <v>29941</v>
      </c>
      <c r="D630">
        <v>437.2</v>
      </c>
    </row>
    <row r="631" spans="1:5" x14ac:dyDescent="0.2">
      <c r="A631" s="81">
        <v>29948</v>
      </c>
      <c r="D631">
        <v>436.7</v>
      </c>
    </row>
    <row r="632" spans="1:5" x14ac:dyDescent="0.2">
      <c r="A632" s="81">
        <v>29952</v>
      </c>
      <c r="B632">
        <v>469</v>
      </c>
      <c r="C632">
        <v>1875.4</v>
      </c>
      <c r="E632">
        <v>1770.4</v>
      </c>
    </row>
    <row r="633" spans="1:5" x14ac:dyDescent="0.2">
      <c r="A633" s="81">
        <v>29955</v>
      </c>
      <c r="D633">
        <v>440.2</v>
      </c>
    </row>
    <row r="634" spans="1:5" x14ac:dyDescent="0.2">
      <c r="A634" s="81">
        <v>29962</v>
      </c>
      <c r="D634">
        <v>442.7</v>
      </c>
    </row>
    <row r="635" spans="1:5" x14ac:dyDescent="0.2">
      <c r="A635" s="81">
        <v>29969</v>
      </c>
      <c r="D635">
        <v>442.8</v>
      </c>
    </row>
    <row r="636" spans="1:5" x14ac:dyDescent="0.2">
      <c r="A636" s="81">
        <v>29976</v>
      </c>
      <c r="D636">
        <v>442.7</v>
      </c>
    </row>
    <row r="637" spans="1:5" x14ac:dyDescent="0.2">
      <c r="A637" s="81">
        <v>29983</v>
      </c>
      <c r="B637">
        <v>466.6</v>
      </c>
      <c r="C637">
        <v>1873.8</v>
      </c>
      <c r="D637">
        <v>444.2</v>
      </c>
      <c r="E637">
        <v>1774.5</v>
      </c>
    </row>
    <row r="638" spans="1:5" x14ac:dyDescent="0.2">
      <c r="A638" s="81">
        <v>29990</v>
      </c>
      <c r="D638">
        <v>441.3</v>
      </c>
    </row>
    <row r="639" spans="1:5" x14ac:dyDescent="0.2">
      <c r="A639" s="81">
        <v>29997</v>
      </c>
      <c r="D639">
        <v>442.3</v>
      </c>
    </row>
    <row r="640" spans="1:5" x14ac:dyDescent="0.2">
      <c r="A640" s="81">
        <v>30004</v>
      </c>
      <c r="D640">
        <v>441.6</v>
      </c>
    </row>
    <row r="641" spans="1:5" x14ac:dyDescent="0.2">
      <c r="A641" s="81">
        <v>30011</v>
      </c>
      <c r="B641">
        <v>467.5</v>
      </c>
      <c r="C641">
        <v>1886.5</v>
      </c>
      <c r="D641">
        <v>442.2</v>
      </c>
      <c r="E641">
        <v>1786.5</v>
      </c>
    </row>
    <row r="642" spans="1:5" x14ac:dyDescent="0.2">
      <c r="A642" s="81">
        <v>30018</v>
      </c>
      <c r="D642">
        <v>442.1</v>
      </c>
    </row>
    <row r="643" spans="1:5" x14ac:dyDescent="0.2">
      <c r="A643" s="81">
        <v>30025</v>
      </c>
      <c r="D643">
        <v>443.4</v>
      </c>
    </row>
    <row r="644" spans="1:5" x14ac:dyDescent="0.2">
      <c r="A644" s="81">
        <v>30032</v>
      </c>
      <c r="D644">
        <v>442.4</v>
      </c>
    </row>
    <row r="645" spans="1:5" x14ac:dyDescent="0.2">
      <c r="A645" s="81">
        <v>30039</v>
      </c>
      <c r="D645">
        <v>442.4</v>
      </c>
    </row>
    <row r="646" spans="1:5" x14ac:dyDescent="0.2">
      <c r="A646" s="81">
        <v>30042</v>
      </c>
      <c r="B646">
        <v>470.6</v>
      </c>
      <c r="C646">
        <v>1898.8</v>
      </c>
      <c r="E646">
        <v>1803.9</v>
      </c>
    </row>
    <row r="647" spans="1:5" x14ac:dyDescent="0.2">
      <c r="A647" s="81">
        <v>30046</v>
      </c>
      <c r="D647">
        <v>445.2</v>
      </c>
    </row>
    <row r="648" spans="1:5" x14ac:dyDescent="0.2">
      <c r="A648" s="81">
        <v>30053</v>
      </c>
      <c r="D648">
        <v>447.6</v>
      </c>
    </row>
    <row r="649" spans="1:5" x14ac:dyDescent="0.2">
      <c r="A649" s="81">
        <v>30060</v>
      </c>
      <c r="D649">
        <v>448.5</v>
      </c>
    </row>
    <row r="650" spans="1:5" x14ac:dyDescent="0.2">
      <c r="A650" s="81">
        <v>30067</v>
      </c>
      <c r="D650">
        <v>447.7</v>
      </c>
    </row>
    <row r="651" spans="1:5" x14ac:dyDescent="0.2">
      <c r="A651" s="81">
        <v>30072</v>
      </c>
      <c r="B651">
        <v>465.8</v>
      </c>
      <c r="C651">
        <v>1893</v>
      </c>
      <c r="E651">
        <v>1815.4</v>
      </c>
    </row>
    <row r="652" spans="1:5" x14ac:dyDescent="0.2">
      <c r="A652" s="81">
        <v>30074</v>
      </c>
      <c r="D652">
        <v>445.3</v>
      </c>
    </row>
    <row r="653" spans="1:5" x14ac:dyDescent="0.2">
      <c r="A653" s="81">
        <v>30081</v>
      </c>
      <c r="D653">
        <v>447.2</v>
      </c>
    </row>
    <row r="654" spans="1:5" x14ac:dyDescent="0.2">
      <c r="A654" s="81">
        <v>30088</v>
      </c>
      <c r="D654">
        <v>445.9</v>
      </c>
    </row>
    <row r="655" spans="1:5" x14ac:dyDescent="0.2">
      <c r="A655" s="81">
        <v>30095</v>
      </c>
      <c r="D655">
        <v>447.1</v>
      </c>
    </row>
    <row r="656" spans="1:5" x14ac:dyDescent="0.2">
      <c r="A656" s="81">
        <v>30102</v>
      </c>
      <c r="D656">
        <v>447.4</v>
      </c>
    </row>
    <row r="657" spans="1:5" x14ac:dyDescent="0.2">
      <c r="A657" s="81">
        <v>30103</v>
      </c>
      <c r="B657">
        <v>461.3</v>
      </c>
      <c r="C657">
        <v>1882.5</v>
      </c>
      <c r="E657">
        <v>1826</v>
      </c>
    </row>
    <row r="658" spans="1:5" x14ac:dyDescent="0.2">
      <c r="A658" s="81">
        <v>30109</v>
      </c>
      <c r="D658">
        <v>448</v>
      </c>
    </row>
    <row r="659" spans="1:5" x14ac:dyDescent="0.2">
      <c r="A659" s="81">
        <v>30116</v>
      </c>
      <c r="D659">
        <v>449.1</v>
      </c>
    </row>
    <row r="660" spans="1:5" x14ac:dyDescent="0.2">
      <c r="A660" s="81">
        <v>30123</v>
      </c>
      <c r="D660">
        <v>448.3</v>
      </c>
    </row>
    <row r="661" spans="1:5" x14ac:dyDescent="0.2">
      <c r="A661" s="81">
        <v>30130</v>
      </c>
      <c r="D661">
        <v>445</v>
      </c>
    </row>
    <row r="662" spans="1:5" x14ac:dyDescent="0.2">
      <c r="A662" s="81">
        <v>30133</v>
      </c>
      <c r="B662">
        <v>459.5</v>
      </c>
      <c r="C662">
        <v>1878.5</v>
      </c>
      <c r="E662">
        <v>1831.5</v>
      </c>
    </row>
    <row r="663" spans="1:5" x14ac:dyDescent="0.2">
      <c r="A663" s="81">
        <v>30137</v>
      </c>
      <c r="D663">
        <v>446.1</v>
      </c>
    </row>
    <row r="664" spans="1:5" x14ac:dyDescent="0.2">
      <c r="A664" s="81">
        <v>30144</v>
      </c>
      <c r="D664">
        <v>449</v>
      </c>
    </row>
    <row r="665" spans="1:5" x14ac:dyDescent="0.2">
      <c r="A665" s="81">
        <v>30151</v>
      </c>
      <c r="D665">
        <v>447.8</v>
      </c>
    </row>
    <row r="666" spans="1:5" x14ac:dyDescent="0.2">
      <c r="A666" s="81">
        <v>30158</v>
      </c>
      <c r="D666">
        <v>448.4</v>
      </c>
    </row>
    <row r="667" spans="1:5" x14ac:dyDescent="0.2">
      <c r="A667" s="81">
        <v>30164</v>
      </c>
      <c r="B667">
        <v>462</v>
      </c>
      <c r="C667">
        <v>1888.6</v>
      </c>
      <c r="E667">
        <v>1845.2</v>
      </c>
    </row>
    <row r="668" spans="1:5" x14ac:dyDescent="0.2">
      <c r="A668" s="81">
        <v>30165</v>
      </c>
      <c r="D668">
        <v>448.5</v>
      </c>
    </row>
    <row r="669" spans="1:5" x14ac:dyDescent="0.2">
      <c r="A669" s="81">
        <v>30172</v>
      </c>
      <c r="D669">
        <v>449.6</v>
      </c>
    </row>
    <row r="670" spans="1:5" x14ac:dyDescent="0.2">
      <c r="A670" s="81">
        <v>30179</v>
      </c>
      <c r="D670">
        <v>451.2</v>
      </c>
    </row>
    <row r="671" spans="1:5" x14ac:dyDescent="0.2">
      <c r="A671" s="81">
        <v>30186</v>
      </c>
      <c r="D671">
        <v>452.3</v>
      </c>
    </row>
    <row r="672" spans="1:5" x14ac:dyDescent="0.2">
      <c r="A672" s="81">
        <v>30193</v>
      </c>
      <c r="D672">
        <v>453.1</v>
      </c>
    </row>
    <row r="673" spans="1:5" x14ac:dyDescent="0.2">
      <c r="A673" s="81">
        <v>30195</v>
      </c>
      <c r="B673">
        <v>467.7</v>
      </c>
      <c r="C673">
        <v>1902.1</v>
      </c>
      <c r="E673">
        <v>1858.4</v>
      </c>
    </row>
    <row r="674" spans="1:5" x14ac:dyDescent="0.2">
      <c r="A674" s="81">
        <v>30200</v>
      </c>
      <c r="D674">
        <v>454.5</v>
      </c>
    </row>
    <row r="675" spans="1:5" x14ac:dyDescent="0.2">
      <c r="A675" s="81">
        <v>30207</v>
      </c>
      <c r="D675">
        <v>456.6</v>
      </c>
    </row>
    <row r="676" spans="1:5" x14ac:dyDescent="0.2">
      <c r="A676" s="81">
        <v>30214</v>
      </c>
      <c r="D676">
        <v>458.2</v>
      </c>
    </row>
    <row r="677" spans="1:5" x14ac:dyDescent="0.2">
      <c r="A677" s="81">
        <v>30221</v>
      </c>
      <c r="D677">
        <v>456.6</v>
      </c>
    </row>
    <row r="678" spans="1:5" x14ac:dyDescent="0.2">
      <c r="A678" s="81">
        <v>30225</v>
      </c>
      <c r="B678">
        <v>473.5</v>
      </c>
      <c r="C678">
        <v>1905.9</v>
      </c>
      <c r="E678">
        <v>1869.7</v>
      </c>
    </row>
    <row r="679" spans="1:5" x14ac:dyDescent="0.2">
      <c r="A679" s="81">
        <v>30228</v>
      </c>
      <c r="D679">
        <v>460</v>
      </c>
    </row>
    <row r="680" spans="1:5" x14ac:dyDescent="0.2">
      <c r="A680" s="81">
        <v>30235</v>
      </c>
      <c r="D680">
        <v>463.3</v>
      </c>
    </row>
    <row r="681" spans="1:5" x14ac:dyDescent="0.2">
      <c r="A681" s="81">
        <v>30242</v>
      </c>
      <c r="D681">
        <v>463.9</v>
      </c>
    </row>
    <row r="682" spans="1:5" x14ac:dyDescent="0.2">
      <c r="A682" s="81">
        <v>30249</v>
      </c>
      <c r="D682">
        <v>465.5</v>
      </c>
    </row>
    <row r="683" spans="1:5" x14ac:dyDescent="0.2">
      <c r="A683" s="81">
        <v>30256</v>
      </c>
      <c r="B683">
        <v>481.1</v>
      </c>
      <c r="C683">
        <v>1922.1</v>
      </c>
      <c r="D683">
        <v>468.7</v>
      </c>
      <c r="E683">
        <v>1883.7</v>
      </c>
    </row>
    <row r="684" spans="1:5" x14ac:dyDescent="0.2">
      <c r="A684" s="81">
        <v>30263</v>
      </c>
      <c r="D684">
        <v>470.4</v>
      </c>
    </row>
    <row r="685" spans="1:5" x14ac:dyDescent="0.2">
      <c r="A685" s="81">
        <v>30270</v>
      </c>
      <c r="D685">
        <v>472.1</v>
      </c>
    </row>
    <row r="686" spans="1:5" x14ac:dyDescent="0.2">
      <c r="A686" s="81">
        <v>30277</v>
      </c>
      <c r="D686">
        <v>471.9</v>
      </c>
    </row>
    <row r="687" spans="1:5" x14ac:dyDescent="0.2">
      <c r="A687" s="81">
        <v>30284</v>
      </c>
      <c r="D687">
        <v>471.5</v>
      </c>
    </row>
    <row r="688" spans="1:5" x14ac:dyDescent="0.2">
      <c r="A688" s="81">
        <v>30286</v>
      </c>
      <c r="B688">
        <v>486</v>
      </c>
      <c r="C688">
        <v>1950.8</v>
      </c>
      <c r="E688">
        <v>1905.9</v>
      </c>
    </row>
    <row r="689" spans="1:5" x14ac:dyDescent="0.2">
      <c r="A689" s="81">
        <v>30291</v>
      </c>
      <c r="D689">
        <v>474.2</v>
      </c>
    </row>
    <row r="690" spans="1:5" x14ac:dyDescent="0.2">
      <c r="A690" s="81">
        <v>30298</v>
      </c>
      <c r="D690">
        <v>477.1</v>
      </c>
    </row>
    <row r="691" spans="1:5" x14ac:dyDescent="0.2">
      <c r="A691" s="81">
        <v>30305</v>
      </c>
      <c r="D691">
        <v>475.2</v>
      </c>
    </row>
    <row r="692" spans="1:5" x14ac:dyDescent="0.2">
      <c r="A692" s="81">
        <v>30312</v>
      </c>
      <c r="D692">
        <v>473.9</v>
      </c>
    </row>
    <row r="693" spans="1:5" x14ac:dyDescent="0.2">
      <c r="A693" s="81">
        <v>30317</v>
      </c>
      <c r="B693">
        <v>487.4</v>
      </c>
      <c r="C693">
        <v>2001.4</v>
      </c>
      <c r="E693">
        <v>1959.4</v>
      </c>
    </row>
    <row r="694" spans="1:5" x14ac:dyDescent="0.2">
      <c r="A694" s="81">
        <v>30319</v>
      </c>
      <c r="D694">
        <v>472.6</v>
      </c>
    </row>
    <row r="695" spans="1:5" x14ac:dyDescent="0.2">
      <c r="A695" s="81">
        <v>30326</v>
      </c>
      <c r="D695">
        <v>475.3</v>
      </c>
    </row>
    <row r="696" spans="1:5" x14ac:dyDescent="0.2">
      <c r="A696" s="81">
        <v>30333</v>
      </c>
      <c r="D696">
        <v>477.2</v>
      </c>
    </row>
    <row r="697" spans="1:5" x14ac:dyDescent="0.2">
      <c r="A697" s="81">
        <v>30340</v>
      </c>
      <c r="D697">
        <v>478.4</v>
      </c>
    </row>
    <row r="698" spans="1:5" x14ac:dyDescent="0.2">
      <c r="A698" s="81">
        <v>30347</v>
      </c>
      <c r="D698">
        <v>479.7</v>
      </c>
    </row>
    <row r="699" spans="1:5" x14ac:dyDescent="0.2">
      <c r="A699" s="81">
        <v>30348</v>
      </c>
      <c r="B699">
        <v>494.2</v>
      </c>
      <c r="C699">
        <v>2037.6</v>
      </c>
      <c r="E699">
        <v>1996.8</v>
      </c>
    </row>
    <row r="700" spans="1:5" x14ac:dyDescent="0.2">
      <c r="A700" s="81">
        <v>30354</v>
      </c>
      <c r="D700">
        <v>482.3</v>
      </c>
    </row>
    <row r="701" spans="1:5" x14ac:dyDescent="0.2">
      <c r="A701" s="81">
        <v>30361</v>
      </c>
      <c r="D701">
        <v>483.4</v>
      </c>
    </row>
    <row r="702" spans="1:5" x14ac:dyDescent="0.2">
      <c r="A702" s="81">
        <v>30368</v>
      </c>
      <c r="D702">
        <v>483.9</v>
      </c>
    </row>
    <row r="703" spans="1:5" x14ac:dyDescent="0.2">
      <c r="A703" s="81">
        <v>30375</v>
      </c>
      <c r="D703">
        <v>487.5</v>
      </c>
    </row>
    <row r="704" spans="1:5" x14ac:dyDescent="0.2">
      <c r="A704" s="81">
        <v>30376</v>
      </c>
      <c r="B704">
        <v>500.1</v>
      </c>
      <c r="C704">
        <v>2054.1999999999998</v>
      </c>
      <c r="E704">
        <v>2015.2</v>
      </c>
    </row>
    <row r="705" spans="1:5" x14ac:dyDescent="0.2">
      <c r="A705" s="81">
        <v>30382</v>
      </c>
      <c r="D705">
        <v>489.6</v>
      </c>
    </row>
    <row r="706" spans="1:5" x14ac:dyDescent="0.2">
      <c r="A706" s="81">
        <v>30389</v>
      </c>
      <c r="D706">
        <v>489.6</v>
      </c>
    </row>
    <row r="707" spans="1:5" x14ac:dyDescent="0.2">
      <c r="A707" s="81">
        <v>30396</v>
      </c>
      <c r="D707">
        <v>490.9</v>
      </c>
    </row>
    <row r="708" spans="1:5" x14ac:dyDescent="0.2">
      <c r="A708" s="81">
        <v>30403</v>
      </c>
      <c r="D708">
        <v>491</v>
      </c>
    </row>
    <row r="709" spans="1:5" x14ac:dyDescent="0.2">
      <c r="A709" s="81">
        <v>30407</v>
      </c>
      <c r="B709">
        <v>499.2</v>
      </c>
      <c r="C709">
        <v>2053.1999999999998</v>
      </c>
      <c r="E709">
        <v>2028.6</v>
      </c>
    </row>
    <row r="710" spans="1:5" x14ac:dyDescent="0.2">
      <c r="A710" s="81">
        <v>30410</v>
      </c>
      <c r="D710">
        <v>493.4</v>
      </c>
    </row>
    <row r="711" spans="1:5" x14ac:dyDescent="0.2">
      <c r="A711" s="81">
        <v>30417</v>
      </c>
      <c r="D711">
        <v>493.7</v>
      </c>
    </row>
    <row r="712" spans="1:5" x14ac:dyDescent="0.2">
      <c r="A712" s="81">
        <v>30424</v>
      </c>
      <c r="D712">
        <v>491.2</v>
      </c>
    </row>
    <row r="713" spans="1:5" x14ac:dyDescent="0.2">
      <c r="A713" s="81">
        <v>30431</v>
      </c>
      <c r="D713">
        <v>492.5</v>
      </c>
    </row>
    <row r="714" spans="1:5" x14ac:dyDescent="0.2">
      <c r="A714" s="81">
        <v>30437</v>
      </c>
      <c r="B714">
        <v>504</v>
      </c>
      <c r="C714">
        <v>2059.6</v>
      </c>
      <c r="E714">
        <v>2043.1</v>
      </c>
    </row>
    <row r="715" spans="1:5" x14ac:dyDescent="0.2">
      <c r="A715" s="81">
        <v>30438</v>
      </c>
      <c r="D715">
        <v>496</v>
      </c>
    </row>
    <row r="716" spans="1:5" x14ac:dyDescent="0.2">
      <c r="A716" s="81">
        <v>30445</v>
      </c>
      <c r="D716">
        <v>497.5</v>
      </c>
    </row>
    <row r="717" spans="1:5" x14ac:dyDescent="0.2">
      <c r="A717" s="81">
        <v>30452</v>
      </c>
      <c r="D717">
        <v>501.3</v>
      </c>
    </row>
    <row r="718" spans="1:5" x14ac:dyDescent="0.2">
      <c r="A718" s="81">
        <v>30459</v>
      </c>
      <c r="D718">
        <v>500.9</v>
      </c>
    </row>
    <row r="719" spans="1:5" x14ac:dyDescent="0.2">
      <c r="A719" s="81">
        <v>30466</v>
      </c>
      <c r="D719">
        <v>501</v>
      </c>
    </row>
    <row r="720" spans="1:5" x14ac:dyDescent="0.2">
      <c r="A720" s="81">
        <v>30468</v>
      </c>
      <c r="B720">
        <v>507</v>
      </c>
      <c r="C720">
        <v>2065.9</v>
      </c>
      <c r="E720">
        <v>2053.5</v>
      </c>
    </row>
    <row r="721" spans="1:5" x14ac:dyDescent="0.2">
      <c r="A721" s="81">
        <v>30473</v>
      </c>
      <c r="D721">
        <v>502.6</v>
      </c>
    </row>
    <row r="722" spans="1:5" x14ac:dyDescent="0.2">
      <c r="A722" s="81">
        <v>30480</v>
      </c>
      <c r="D722">
        <v>504.2</v>
      </c>
    </row>
    <row r="723" spans="1:5" x14ac:dyDescent="0.2">
      <c r="A723" s="81">
        <v>30487</v>
      </c>
      <c r="D723">
        <v>504.4</v>
      </c>
    </row>
    <row r="724" spans="1:5" x14ac:dyDescent="0.2">
      <c r="A724" s="81">
        <v>30494</v>
      </c>
      <c r="D724">
        <v>503.9</v>
      </c>
    </row>
    <row r="725" spans="1:5" x14ac:dyDescent="0.2">
      <c r="A725" s="81">
        <v>30498</v>
      </c>
      <c r="B725">
        <v>508.8</v>
      </c>
      <c r="C725">
        <v>2068.9</v>
      </c>
      <c r="E725">
        <v>2064.8000000000002</v>
      </c>
    </row>
    <row r="726" spans="1:5" x14ac:dyDescent="0.2">
      <c r="A726" s="81">
        <v>30501</v>
      </c>
      <c r="D726">
        <v>505.1</v>
      </c>
    </row>
    <row r="727" spans="1:5" x14ac:dyDescent="0.2">
      <c r="A727" s="81">
        <v>30508</v>
      </c>
      <c r="D727">
        <v>508.2</v>
      </c>
    </row>
    <row r="728" spans="1:5" x14ac:dyDescent="0.2">
      <c r="A728" s="81">
        <v>30515</v>
      </c>
      <c r="D728">
        <v>506.8</v>
      </c>
    </row>
    <row r="729" spans="1:5" x14ac:dyDescent="0.2">
      <c r="A729" s="81">
        <v>30522</v>
      </c>
      <c r="D729">
        <v>508.2</v>
      </c>
    </row>
    <row r="730" spans="1:5" x14ac:dyDescent="0.2">
      <c r="A730" s="81">
        <v>30529</v>
      </c>
      <c r="B730">
        <v>510</v>
      </c>
      <c r="C730">
        <v>2071.9</v>
      </c>
      <c r="D730">
        <v>510.1</v>
      </c>
      <c r="E730">
        <v>2074</v>
      </c>
    </row>
    <row r="731" spans="1:5" x14ac:dyDescent="0.2">
      <c r="A731" s="81">
        <v>30536</v>
      </c>
      <c r="D731">
        <v>509.1</v>
      </c>
    </row>
    <row r="732" spans="1:5" x14ac:dyDescent="0.2">
      <c r="A732" s="81">
        <v>30543</v>
      </c>
      <c r="D732">
        <v>510.8</v>
      </c>
    </row>
    <row r="733" spans="1:5" x14ac:dyDescent="0.2">
      <c r="A733" s="81">
        <v>30550</v>
      </c>
      <c r="D733">
        <v>510.9</v>
      </c>
    </row>
    <row r="734" spans="1:5" x14ac:dyDescent="0.2">
      <c r="A734" s="81">
        <v>30557</v>
      </c>
      <c r="D734">
        <v>510.6</v>
      </c>
    </row>
    <row r="735" spans="1:5" x14ac:dyDescent="0.2">
      <c r="A735" s="81">
        <v>30560</v>
      </c>
      <c r="B735">
        <v>510.8</v>
      </c>
      <c r="C735">
        <v>2074.9</v>
      </c>
      <c r="E735">
        <v>2083.1999999999998</v>
      </c>
    </row>
    <row r="736" spans="1:5" x14ac:dyDescent="0.2">
      <c r="A736" s="81">
        <v>30564</v>
      </c>
      <c r="D736">
        <v>512.29999999999995</v>
      </c>
    </row>
    <row r="737" spans="1:5" x14ac:dyDescent="0.2">
      <c r="A737" s="81">
        <v>30571</v>
      </c>
      <c r="D737">
        <v>511.8</v>
      </c>
    </row>
    <row r="738" spans="1:5" x14ac:dyDescent="0.2">
      <c r="A738" s="81">
        <v>30578</v>
      </c>
      <c r="D738">
        <v>512.29999999999995</v>
      </c>
    </row>
    <row r="739" spans="1:5" x14ac:dyDescent="0.2">
      <c r="A739" s="81">
        <v>30585</v>
      </c>
      <c r="D739">
        <v>514</v>
      </c>
    </row>
    <row r="740" spans="1:5" x14ac:dyDescent="0.2">
      <c r="A740" s="81">
        <v>30590</v>
      </c>
      <c r="B740">
        <v>513.1</v>
      </c>
      <c r="C740">
        <v>2082.5</v>
      </c>
      <c r="E740">
        <v>2099.1999999999998</v>
      </c>
    </row>
    <row r="741" spans="1:5" x14ac:dyDescent="0.2">
      <c r="A741" s="81">
        <v>30592</v>
      </c>
      <c r="D741">
        <v>513.79999999999995</v>
      </c>
    </row>
    <row r="742" spans="1:5" x14ac:dyDescent="0.2">
      <c r="A742" s="81">
        <v>30599</v>
      </c>
      <c r="D742">
        <v>517.29999999999995</v>
      </c>
    </row>
    <row r="743" spans="1:5" x14ac:dyDescent="0.2">
      <c r="A743" s="81">
        <v>30606</v>
      </c>
      <c r="D743">
        <v>517.70000000000005</v>
      </c>
    </row>
    <row r="744" spans="1:5" x14ac:dyDescent="0.2">
      <c r="A744" s="81">
        <v>30613</v>
      </c>
      <c r="D744">
        <v>518.5</v>
      </c>
    </row>
    <row r="745" spans="1:5" x14ac:dyDescent="0.2">
      <c r="A745" s="81">
        <v>30620</v>
      </c>
      <c r="D745">
        <v>518.4</v>
      </c>
    </row>
    <row r="746" spans="1:5" x14ac:dyDescent="0.2">
      <c r="A746" s="81">
        <v>30621</v>
      </c>
      <c r="B746">
        <v>513.4</v>
      </c>
      <c r="C746">
        <v>2089.3000000000002</v>
      </c>
      <c r="E746">
        <v>2112.3000000000002</v>
      </c>
    </row>
    <row r="747" spans="1:5" x14ac:dyDescent="0.2">
      <c r="A747" s="81">
        <v>30627</v>
      </c>
      <c r="D747">
        <v>518.9</v>
      </c>
    </row>
    <row r="748" spans="1:5" x14ac:dyDescent="0.2">
      <c r="A748" s="81">
        <v>30634</v>
      </c>
      <c r="D748">
        <v>519.1</v>
      </c>
    </row>
    <row r="749" spans="1:5" x14ac:dyDescent="0.2">
      <c r="A749" s="81">
        <v>30641</v>
      </c>
      <c r="D749">
        <v>518.79999999999995</v>
      </c>
    </row>
    <row r="750" spans="1:5" x14ac:dyDescent="0.2">
      <c r="A750" s="81">
        <v>30648</v>
      </c>
      <c r="D750">
        <v>518.6</v>
      </c>
    </row>
    <row r="751" spans="1:5" x14ac:dyDescent="0.2">
      <c r="A751" s="81">
        <v>30651</v>
      </c>
      <c r="B751">
        <v>514.20000000000005</v>
      </c>
      <c r="C751">
        <v>2094.1999999999998</v>
      </c>
      <c r="E751">
        <v>2123.5</v>
      </c>
    </row>
    <row r="752" spans="1:5" x14ac:dyDescent="0.2">
      <c r="A752" s="81">
        <v>30655</v>
      </c>
      <c r="D752">
        <v>520.4</v>
      </c>
    </row>
    <row r="753" spans="1:5" x14ac:dyDescent="0.2">
      <c r="A753" s="81">
        <v>30662</v>
      </c>
      <c r="D753">
        <v>521.6</v>
      </c>
    </row>
    <row r="754" spans="1:5" x14ac:dyDescent="0.2">
      <c r="A754" s="81">
        <v>30669</v>
      </c>
      <c r="D754">
        <v>522.20000000000005</v>
      </c>
    </row>
    <row r="755" spans="1:5" x14ac:dyDescent="0.2">
      <c r="A755" s="81">
        <v>30676</v>
      </c>
      <c r="D755">
        <v>520.6</v>
      </c>
    </row>
    <row r="756" spans="1:5" x14ac:dyDescent="0.2">
      <c r="A756" s="81">
        <v>30682</v>
      </c>
      <c r="B756">
        <v>514.29999999999995</v>
      </c>
      <c r="C756">
        <v>2094.1999999999998</v>
      </c>
      <c r="E756">
        <v>2138.1999999999998</v>
      </c>
    </row>
    <row r="757" spans="1:5" x14ac:dyDescent="0.2">
      <c r="A757" s="81">
        <v>30683</v>
      </c>
      <c r="D757">
        <v>522.20000000000005</v>
      </c>
    </row>
    <row r="758" spans="1:5" x14ac:dyDescent="0.2">
      <c r="A758" s="81">
        <v>30690</v>
      </c>
      <c r="D758">
        <v>525.29999999999995</v>
      </c>
    </row>
    <row r="759" spans="1:5" x14ac:dyDescent="0.2">
      <c r="A759" s="81">
        <v>30697</v>
      </c>
      <c r="D759">
        <v>526.29999999999995</v>
      </c>
    </row>
    <row r="760" spans="1:5" x14ac:dyDescent="0.2">
      <c r="A760" s="81">
        <v>30704</v>
      </c>
      <c r="D760">
        <v>525</v>
      </c>
    </row>
    <row r="761" spans="1:5" x14ac:dyDescent="0.2">
      <c r="A761" s="81">
        <v>30711</v>
      </c>
      <c r="D761">
        <v>524.20000000000005</v>
      </c>
    </row>
    <row r="762" spans="1:5" x14ac:dyDescent="0.2">
      <c r="A762" s="81">
        <v>30713</v>
      </c>
      <c r="B762">
        <v>514.1</v>
      </c>
      <c r="C762">
        <v>2103.5</v>
      </c>
      <c r="E762">
        <v>2158.1999999999998</v>
      </c>
    </row>
    <row r="763" spans="1:5" x14ac:dyDescent="0.2">
      <c r="A763" s="81">
        <v>30718</v>
      </c>
      <c r="D763">
        <v>526.6</v>
      </c>
    </row>
    <row r="764" spans="1:5" x14ac:dyDescent="0.2">
      <c r="A764" s="81">
        <v>30725</v>
      </c>
      <c r="D764">
        <v>527.1</v>
      </c>
    </row>
    <row r="765" spans="1:5" x14ac:dyDescent="0.2">
      <c r="A765" s="81">
        <v>30732</v>
      </c>
      <c r="D765">
        <v>528.5</v>
      </c>
    </row>
    <row r="766" spans="1:5" x14ac:dyDescent="0.2">
      <c r="A766" s="81">
        <v>30739</v>
      </c>
      <c r="D766">
        <v>527.4</v>
      </c>
    </row>
    <row r="767" spans="1:5" x14ac:dyDescent="0.2">
      <c r="A767" s="81">
        <v>30742</v>
      </c>
      <c r="B767">
        <v>516.4</v>
      </c>
      <c r="C767">
        <v>2113.9</v>
      </c>
      <c r="E767">
        <v>2175.1999999999998</v>
      </c>
    </row>
    <row r="768" spans="1:5" x14ac:dyDescent="0.2">
      <c r="A768" s="81">
        <v>30746</v>
      </c>
      <c r="D768">
        <v>529.4</v>
      </c>
    </row>
    <row r="769" spans="1:5" x14ac:dyDescent="0.2">
      <c r="A769" s="81">
        <v>30753</v>
      </c>
      <c r="D769">
        <v>530</v>
      </c>
    </row>
    <row r="770" spans="1:5" x14ac:dyDescent="0.2">
      <c r="A770" s="81">
        <v>30760</v>
      </c>
      <c r="D770">
        <v>531.4</v>
      </c>
    </row>
    <row r="771" spans="1:5" x14ac:dyDescent="0.2">
      <c r="A771" s="81">
        <v>30767</v>
      </c>
      <c r="D771">
        <v>533.29999999999995</v>
      </c>
    </row>
    <row r="772" spans="1:5" x14ac:dyDescent="0.2">
      <c r="A772" s="81">
        <v>30773</v>
      </c>
      <c r="B772">
        <v>517.9</v>
      </c>
      <c r="C772">
        <v>2121.6999999999998</v>
      </c>
      <c r="E772">
        <v>2191.6999999999998</v>
      </c>
    </row>
    <row r="773" spans="1:5" x14ac:dyDescent="0.2">
      <c r="A773" s="81">
        <v>30774</v>
      </c>
      <c r="D773">
        <v>531.79999999999995</v>
      </c>
    </row>
    <row r="774" spans="1:5" x14ac:dyDescent="0.2">
      <c r="A774" s="81">
        <v>30781</v>
      </c>
      <c r="D774">
        <v>533.79999999999995</v>
      </c>
    </row>
    <row r="775" spans="1:5" x14ac:dyDescent="0.2">
      <c r="A775" s="81">
        <v>30788</v>
      </c>
      <c r="D775">
        <v>535.5</v>
      </c>
    </row>
    <row r="776" spans="1:5" x14ac:dyDescent="0.2">
      <c r="A776" s="81">
        <v>30795</v>
      </c>
      <c r="D776">
        <v>534.70000000000005</v>
      </c>
    </row>
    <row r="777" spans="1:5" x14ac:dyDescent="0.2">
      <c r="A777" s="81">
        <v>30802</v>
      </c>
      <c r="D777">
        <v>534.5</v>
      </c>
    </row>
    <row r="778" spans="1:5" x14ac:dyDescent="0.2">
      <c r="A778" s="81">
        <v>30803</v>
      </c>
      <c r="B778">
        <v>518.6</v>
      </c>
      <c r="C778">
        <v>2129.6</v>
      </c>
      <c r="E778">
        <v>2204.1</v>
      </c>
    </row>
    <row r="779" spans="1:5" x14ac:dyDescent="0.2">
      <c r="A779" s="81">
        <v>30809</v>
      </c>
      <c r="D779">
        <v>535.4</v>
      </c>
    </row>
    <row r="780" spans="1:5" x14ac:dyDescent="0.2">
      <c r="A780" s="81">
        <v>30816</v>
      </c>
      <c r="D780">
        <v>537.4</v>
      </c>
    </row>
    <row r="781" spans="1:5" x14ac:dyDescent="0.2">
      <c r="A781" s="81">
        <v>30823</v>
      </c>
      <c r="D781">
        <v>537.1</v>
      </c>
    </row>
    <row r="782" spans="1:5" x14ac:dyDescent="0.2">
      <c r="A782" s="81">
        <v>30830</v>
      </c>
      <c r="D782">
        <v>536.20000000000005</v>
      </c>
    </row>
    <row r="783" spans="1:5" x14ac:dyDescent="0.2">
      <c r="A783" s="81">
        <v>30834</v>
      </c>
      <c r="B783">
        <v>520.9</v>
      </c>
      <c r="C783">
        <v>2136.1</v>
      </c>
      <c r="E783">
        <v>2215.1</v>
      </c>
    </row>
    <row r="784" spans="1:5" x14ac:dyDescent="0.2">
      <c r="A784" s="81">
        <v>30837</v>
      </c>
      <c r="D784">
        <v>539.6</v>
      </c>
    </row>
    <row r="785" spans="1:5" x14ac:dyDescent="0.2">
      <c r="A785" s="81">
        <v>30844</v>
      </c>
      <c r="D785">
        <v>540.20000000000005</v>
      </c>
    </row>
    <row r="786" spans="1:5" x14ac:dyDescent="0.2">
      <c r="A786" s="81">
        <v>30851</v>
      </c>
      <c r="D786">
        <v>539.29999999999995</v>
      </c>
    </row>
    <row r="787" spans="1:5" x14ac:dyDescent="0.2">
      <c r="A787" s="81">
        <v>30858</v>
      </c>
      <c r="D787">
        <v>540.29999999999995</v>
      </c>
    </row>
    <row r="788" spans="1:5" x14ac:dyDescent="0.2">
      <c r="A788" s="81">
        <v>30864</v>
      </c>
      <c r="B788">
        <v>519.6</v>
      </c>
      <c r="C788">
        <v>2135.9</v>
      </c>
      <c r="E788">
        <v>2223.5</v>
      </c>
    </row>
    <row r="789" spans="1:5" x14ac:dyDescent="0.2">
      <c r="A789" s="81">
        <v>30865</v>
      </c>
      <c r="D789">
        <v>541.1</v>
      </c>
    </row>
    <row r="790" spans="1:5" x14ac:dyDescent="0.2">
      <c r="A790" s="81">
        <v>30872</v>
      </c>
      <c r="D790">
        <v>539.9</v>
      </c>
    </row>
    <row r="791" spans="1:5" x14ac:dyDescent="0.2">
      <c r="A791" s="81">
        <v>30879</v>
      </c>
      <c r="D791">
        <v>542.20000000000005</v>
      </c>
    </row>
    <row r="792" spans="1:5" x14ac:dyDescent="0.2">
      <c r="A792" s="81">
        <v>30886</v>
      </c>
      <c r="D792">
        <v>541.29999999999995</v>
      </c>
    </row>
    <row r="793" spans="1:5" x14ac:dyDescent="0.2">
      <c r="A793" s="81">
        <v>30893</v>
      </c>
      <c r="D793">
        <v>539.70000000000005</v>
      </c>
    </row>
    <row r="794" spans="1:5" x14ac:dyDescent="0.2">
      <c r="A794" s="81">
        <v>30895</v>
      </c>
      <c r="B794">
        <v>518.20000000000005</v>
      </c>
      <c r="C794">
        <v>2136.4</v>
      </c>
      <c r="E794">
        <v>2230.4</v>
      </c>
    </row>
    <row r="795" spans="1:5" x14ac:dyDescent="0.2">
      <c r="A795" s="81">
        <v>30900</v>
      </c>
      <c r="D795">
        <v>540.5</v>
      </c>
    </row>
    <row r="796" spans="1:5" x14ac:dyDescent="0.2">
      <c r="A796" s="81">
        <v>30907</v>
      </c>
      <c r="D796">
        <v>541.20000000000005</v>
      </c>
    </row>
    <row r="797" spans="1:5" x14ac:dyDescent="0.2">
      <c r="A797" s="81">
        <v>30914</v>
      </c>
      <c r="D797">
        <v>541.29999999999995</v>
      </c>
    </row>
    <row r="798" spans="1:5" x14ac:dyDescent="0.2">
      <c r="A798" s="81">
        <v>30921</v>
      </c>
      <c r="D798">
        <v>540.70000000000005</v>
      </c>
    </row>
    <row r="799" spans="1:5" x14ac:dyDescent="0.2">
      <c r="A799" s="81">
        <v>30926</v>
      </c>
      <c r="B799">
        <v>518.70000000000005</v>
      </c>
      <c r="C799">
        <v>2143.6</v>
      </c>
      <c r="E799">
        <v>2244.4</v>
      </c>
    </row>
    <row r="800" spans="1:5" x14ac:dyDescent="0.2">
      <c r="A800" s="81">
        <v>30928</v>
      </c>
      <c r="D800">
        <v>541.70000000000005</v>
      </c>
    </row>
    <row r="801" spans="1:5" x14ac:dyDescent="0.2">
      <c r="A801" s="81">
        <v>30935</v>
      </c>
      <c r="D801">
        <v>543.4</v>
      </c>
    </row>
    <row r="802" spans="1:5" x14ac:dyDescent="0.2">
      <c r="A802" s="81">
        <v>30942</v>
      </c>
      <c r="D802">
        <v>542.79999999999995</v>
      </c>
    </row>
    <row r="803" spans="1:5" x14ac:dyDescent="0.2">
      <c r="A803" s="81">
        <v>30949</v>
      </c>
      <c r="D803">
        <v>542.79999999999995</v>
      </c>
    </row>
    <row r="804" spans="1:5" x14ac:dyDescent="0.2">
      <c r="A804" s="81">
        <v>30956</v>
      </c>
      <c r="B804">
        <v>517.29999999999995</v>
      </c>
      <c r="C804">
        <v>2149.3000000000002</v>
      </c>
      <c r="D804">
        <v>544.9</v>
      </c>
      <c r="E804">
        <v>2258.9</v>
      </c>
    </row>
    <row r="805" spans="1:5" x14ac:dyDescent="0.2">
      <c r="A805" s="81">
        <v>30963</v>
      </c>
      <c r="D805">
        <v>542.20000000000005</v>
      </c>
    </row>
    <row r="806" spans="1:5" x14ac:dyDescent="0.2">
      <c r="A806" s="81">
        <v>30970</v>
      </c>
      <c r="D806">
        <v>545.70000000000005</v>
      </c>
    </row>
    <row r="807" spans="1:5" x14ac:dyDescent="0.2">
      <c r="A807" s="81">
        <v>30977</v>
      </c>
      <c r="D807">
        <v>542.1</v>
      </c>
    </row>
    <row r="808" spans="1:5" x14ac:dyDescent="0.2">
      <c r="A808" s="81">
        <v>30984</v>
      </c>
      <c r="D808">
        <v>544.4</v>
      </c>
    </row>
    <row r="809" spans="1:5" x14ac:dyDescent="0.2">
      <c r="A809" s="81">
        <v>30987</v>
      </c>
      <c r="B809">
        <v>519.9</v>
      </c>
      <c r="C809">
        <v>2166.6</v>
      </c>
      <c r="E809">
        <v>2281.4</v>
      </c>
    </row>
    <row r="810" spans="1:5" x14ac:dyDescent="0.2">
      <c r="A810" s="81">
        <v>30991</v>
      </c>
      <c r="D810">
        <v>546.4</v>
      </c>
    </row>
    <row r="811" spans="1:5" x14ac:dyDescent="0.2">
      <c r="A811" s="81">
        <v>30998</v>
      </c>
      <c r="D811">
        <v>546.70000000000005</v>
      </c>
    </row>
    <row r="812" spans="1:5" x14ac:dyDescent="0.2">
      <c r="A812" s="81">
        <v>31005</v>
      </c>
      <c r="D812">
        <v>549.70000000000005</v>
      </c>
    </row>
    <row r="813" spans="1:5" x14ac:dyDescent="0.2">
      <c r="A813" s="81">
        <v>31012</v>
      </c>
      <c r="D813">
        <v>549.1</v>
      </c>
    </row>
    <row r="814" spans="1:5" x14ac:dyDescent="0.2">
      <c r="A814" s="81">
        <v>31017</v>
      </c>
      <c r="B814">
        <v>522.79999999999995</v>
      </c>
      <c r="C814">
        <v>2186.1999999999998</v>
      </c>
      <c r="E814">
        <v>2306.4</v>
      </c>
    </row>
    <row r="815" spans="1:5" x14ac:dyDescent="0.2">
      <c r="A815" s="81">
        <v>31019</v>
      </c>
      <c r="D815">
        <v>545.1</v>
      </c>
    </row>
    <row r="816" spans="1:5" x14ac:dyDescent="0.2">
      <c r="A816" s="81">
        <v>31026</v>
      </c>
      <c r="D816">
        <v>549.6</v>
      </c>
    </row>
    <row r="817" spans="1:5" x14ac:dyDescent="0.2">
      <c r="A817" s="81">
        <v>31033</v>
      </c>
      <c r="D817">
        <v>550.6</v>
      </c>
    </row>
    <row r="818" spans="1:5" x14ac:dyDescent="0.2">
      <c r="A818" s="81">
        <v>31040</v>
      </c>
      <c r="D818">
        <v>554</v>
      </c>
    </row>
    <row r="819" spans="1:5" x14ac:dyDescent="0.2">
      <c r="A819" s="81">
        <v>31047</v>
      </c>
      <c r="D819">
        <v>555.9</v>
      </c>
    </row>
    <row r="820" spans="1:5" x14ac:dyDescent="0.2">
      <c r="A820" s="81">
        <v>31048</v>
      </c>
      <c r="B820">
        <v>527</v>
      </c>
      <c r="C820">
        <v>2206.6</v>
      </c>
      <c r="E820">
        <v>2332.4</v>
      </c>
    </row>
    <row r="821" spans="1:5" x14ac:dyDescent="0.2">
      <c r="A821" s="81">
        <v>31054</v>
      </c>
      <c r="D821">
        <v>554</v>
      </c>
    </row>
    <row r="822" spans="1:5" x14ac:dyDescent="0.2">
      <c r="A822" s="81">
        <v>31061</v>
      </c>
      <c r="D822">
        <v>555.6</v>
      </c>
    </row>
    <row r="823" spans="1:5" x14ac:dyDescent="0.2">
      <c r="A823" s="81">
        <v>31068</v>
      </c>
      <c r="D823">
        <v>557.5</v>
      </c>
    </row>
    <row r="824" spans="1:5" x14ac:dyDescent="0.2">
      <c r="A824" s="81">
        <v>31075</v>
      </c>
      <c r="D824">
        <v>558.79999999999995</v>
      </c>
    </row>
    <row r="825" spans="1:5" x14ac:dyDescent="0.2">
      <c r="A825" s="81">
        <v>31079</v>
      </c>
      <c r="B825">
        <v>530.20000000000005</v>
      </c>
      <c r="C825">
        <v>2214.6</v>
      </c>
      <c r="E825">
        <v>2354.1</v>
      </c>
    </row>
    <row r="826" spans="1:5" x14ac:dyDescent="0.2">
      <c r="A826" s="81">
        <v>31082</v>
      </c>
      <c r="D826">
        <v>561.4</v>
      </c>
    </row>
    <row r="827" spans="1:5" x14ac:dyDescent="0.2">
      <c r="A827" s="81">
        <v>31089</v>
      </c>
      <c r="D827">
        <v>562.4</v>
      </c>
    </row>
    <row r="828" spans="1:5" x14ac:dyDescent="0.2">
      <c r="A828" s="81">
        <v>31096</v>
      </c>
      <c r="D828">
        <v>563.70000000000005</v>
      </c>
    </row>
    <row r="829" spans="1:5" x14ac:dyDescent="0.2">
      <c r="A829" s="81">
        <v>31103</v>
      </c>
      <c r="D829">
        <v>564.9</v>
      </c>
    </row>
    <row r="830" spans="1:5" x14ac:dyDescent="0.2">
      <c r="A830" s="81">
        <v>31107</v>
      </c>
      <c r="B830">
        <v>530.5</v>
      </c>
      <c r="C830">
        <v>2215.5</v>
      </c>
      <c r="E830">
        <v>2366.1999999999998</v>
      </c>
    </row>
    <row r="831" spans="1:5" x14ac:dyDescent="0.2">
      <c r="A831" s="81">
        <v>31110</v>
      </c>
      <c r="D831">
        <v>565.70000000000005</v>
      </c>
    </row>
    <row r="832" spans="1:5" x14ac:dyDescent="0.2">
      <c r="A832" s="81">
        <v>31117</v>
      </c>
      <c r="D832">
        <v>565.6</v>
      </c>
    </row>
    <row r="833" spans="1:5" x14ac:dyDescent="0.2">
      <c r="A833" s="81">
        <v>31124</v>
      </c>
      <c r="D833">
        <v>565.1</v>
      </c>
    </row>
    <row r="834" spans="1:5" x14ac:dyDescent="0.2">
      <c r="A834" s="81">
        <v>31131</v>
      </c>
      <c r="D834">
        <v>567.6</v>
      </c>
    </row>
    <row r="835" spans="1:5" x14ac:dyDescent="0.2">
      <c r="A835" s="81">
        <v>31138</v>
      </c>
      <c r="B835">
        <v>533.1</v>
      </c>
      <c r="C835">
        <v>2220</v>
      </c>
      <c r="D835">
        <v>568.9</v>
      </c>
      <c r="E835">
        <v>2375.4</v>
      </c>
    </row>
    <row r="836" spans="1:5" x14ac:dyDescent="0.2">
      <c r="A836" s="81">
        <v>31145</v>
      </c>
      <c r="D836">
        <v>567.79999999999995</v>
      </c>
    </row>
    <row r="837" spans="1:5" x14ac:dyDescent="0.2">
      <c r="A837" s="81">
        <v>31152</v>
      </c>
      <c r="D837">
        <v>571.20000000000005</v>
      </c>
    </row>
    <row r="838" spans="1:5" x14ac:dyDescent="0.2">
      <c r="A838" s="81">
        <v>31159</v>
      </c>
      <c r="D838">
        <v>572.1</v>
      </c>
    </row>
    <row r="839" spans="1:5" x14ac:dyDescent="0.2">
      <c r="A839" s="81">
        <v>31166</v>
      </c>
      <c r="D839">
        <v>570.4</v>
      </c>
    </row>
    <row r="840" spans="1:5" x14ac:dyDescent="0.2">
      <c r="A840" s="81">
        <v>31168</v>
      </c>
      <c r="B840">
        <v>536.5</v>
      </c>
      <c r="C840">
        <v>2229</v>
      </c>
      <c r="E840">
        <v>2389.5</v>
      </c>
    </row>
    <row r="841" spans="1:5" x14ac:dyDescent="0.2">
      <c r="A841" s="81">
        <v>31173</v>
      </c>
      <c r="D841">
        <v>571.9</v>
      </c>
    </row>
    <row r="842" spans="1:5" x14ac:dyDescent="0.2">
      <c r="A842" s="81">
        <v>31180</v>
      </c>
      <c r="D842">
        <v>574</v>
      </c>
    </row>
    <row r="843" spans="1:5" x14ac:dyDescent="0.2">
      <c r="A843" s="81">
        <v>31187</v>
      </c>
      <c r="D843">
        <v>576.4</v>
      </c>
    </row>
    <row r="844" spans="1:5" x14ac:dyDescent="0.2">
      <c r="A844" s="81">
        <v>31194</v>
      </c>
      <c r="D844">
        <v>577.1</v>
      </c>
    </row>
    <row r="845" spans="1:5" x14ac:dyDescent="0.2">
      <c r="A845" s="81">
        <v>31199</v>
      </c>
      <c r="B845">
        <v>541.70000000000005</v>
      </c>
      <c r="C845">
        <v>2244.3000000000002</v>
      </c>
      <c r="E845">
        <v>2412.6</v>
      </c>
    </row>
    <row r="846" spans="1:5" x14ac:dyDescent="0.2">
      <c r="A846" s="81">
        <v>31201</v>
      </c>
      <c r="D846">
        <v>575.9</v>
      </c>
    </row>
    <row r="847" spans="1:5" x14ac:dyDescent="0.2">
      <c r="A847" s="81">
        <v>31208</v>
      </c>
      <c r="D847">
        <v>580.5</v>
      </c>
    </row>
    <row r="848" spans="1:5" x14ac:dyDescent="0.2">
      <c r="A848" s="81">
        <v>31215</v>
      </c>
      <c r="D848">
        <v>581.20000000000005</v>
      </c>
    </row>
    <row r="849" spans="1:5" x14ac:dyDescent="0.2">
      <c r="A849" s="81">
        <v>31222</v>
      </c>
      <c r="D849">
        <v>583.6</v>
      </c>
    </row>
    <row r="850" spans="1:5" x14ac:dyDescent="0.2">
      <c r="A850" s="81">
        <v>31229</v>
      </c>
      <c r="B850">
        <v>547</v>
      </c>
      <c r="C850">
        <v>2255.8000000000002</v>
      </c>
      <c r="D850">
        <v>587.29999999999995</v>
      </c>
      <c r="E850">
        <v>2429.5</v>
      </c>
    </row>
    <row r="851" spans="1:5" x14ac:dyDescent="0.2">
      <c r="A851" s="81">
        <v>31236</v>
      </c>
      <c r="D851">
        <v>585.70000000000005</v>
      </c>
    </row>
    <row r="852" spans="1:5" x14ac:dyDescent="0.2">
      <c r="A852" s="81">
        <v>31243</v>
      </c>
      <c r="D852">
        <v>588.6</v>
      </c>
    </row>
    <row r="853" spans="1:5" x14ac:dyDescent="0.2">
      <c r="A853" s="81">
        <v>31250</v>
      </c>
      <c r="D853">
        <v>590</v>
      </c>
    </row>
    <row r="854" spans="1:5" x14ac:dyDescent="0.2">
      <c r="A854" s="81">
        <v>31257</v>
      </c>
      <c r="D854">
        <v>591</v>
      </c>
    </row>
    <row r="855" spans="1:5" x14ac:dyDescent="0.2">
      <c r="A855" s="81">
        <v>31260</v>
      </c>
      <c r="B855">
        <v>552.5</v>
      </c>
      <c r="C855">
        <v>2265.1</v>
      </c>
      <c r="E855">
        <v>2444</v>
      </c>
    </row>
    <row r="856" spans="1:5" x14ac:dyDescent="0.2">
      <c r="A856" s="81">
        <v>31264</v>
      </c>
      <c r="D856">
        <v>593.6</v>
      </c>
    </row>
    <row r="857" spans="1:5" x14ac:dyDescent="0.2">
      <c r="A857" s="81">
        <v>31271</v>
      </c>
      <c r="D857">
        <v>594.9</v>
      </c>
    </row>
    <row r="858" spans="1:5" x14ac:dyDescent="0.2">
      <c r="A858" s="81">
        <v>31278</v>
      </c>
      <c r="D858">
        <v>595.70000000000005</v>
      </c>
    </row>
    <row r="859" spans="1:5" x14ac:dyDescent="0.2">
      <c r="A859" s="81">
        <v>31285</v>
      </c>
      <c r="D859">
        <v>598.5</v>
      </c>
    </row>
    <row r="860" spans="1:5" x14ac:dyDescent="0.2">
      <c r="A860" s="81">
        <v>31291</v>
      </c>
      <c r="B860">
        <v>558.1</v>
      </c>
      <c r="C860">
        <v>2272.3000000000002</v>
      </c>
      <c r="E860">
        <v>2456.4</v>
      </c>
    </row>
    <row r="861" spans="1:5" x14ac:dyDescent="0.2">
      <c r="A861" s="81">
        <v>31292</v>
      </c>
      <c r="D861">
        <v>598.20000000000005</v>
      </c>
    </row>
    <row r="862" spans="1:5" x14ac:dyDescent="0.2">
      <c r="A862" s="81">
        <v>31299</v>
      </c>
      <c r="D862">
        <v>601.29999999999995</v>
      </c>
    </row>
    <row r="863" spans="1:5" x14ac:dyDescent="0.2">
      <c r="A863" s="81">
        <v>31306</v>
      </c>
      <c r="D863">
        <v>601.20000000000005</v>
      </c>
    </row>
    <row r="864" spans="1:5" x14ac:dyDescent="0.2">
      <c r="A864" s="81">
        <v>31313</v>
      </c>
      <c r="D864">
        <v>602</v>
      </c>
    </row>
    <row r="865" spans="1:5" x14ac:dyDescent="0.2">
      <c r="A865" s="81">
        <v>31320</v>
      </c>
      <c r="D865">
        <v>610.29999999999995</v>
      </c>
    </row>
    <row r="866" spans="1:5" x14ac:dyDescent="0.2">
      <c r="A866" s="81">
        <v>31321</v>
      </c>
      <c r="B866">
        <v>560.20000000000005</v>
      </c>
      <c r="C866">
        <v>2274.6999999999998</v>
      </c>
      <c r="E866">
        <v>2468</v>
      </c>
    </row>
    <row r="867" spans="1:5" x14ac:dyDescent="0.2">
      <c r="A867" s="81">
        <v>31327</v>
      </c>
      <c r="D867">
        <v>606.20000000000005</v>
      </c>
    </row>
    <row r="868" spans="1:5" x14ac:dyDescent="0.2">
      <c r="A868" s="81">
        <v>31334</v>
      </c>
      <c r="D868">
        <v>605.79999999999995</v>
      </c>
    </row>
    <row r="869" spans="1:5" x14ac:dyDescent="0.2">
      <c r="A869" s="81">
        <v>31341</v>
      </c>
      <c r="D869">
        <v>609.5</v>
      </c>
    </row>
    <row r="870" spans="1:5" x14ac:dyDescent="0.2">
      <c r="A870" s="81">
        <v>31348</v>
      </c>
      <c r="D870">
        <v>608.9</v>
      </c>
    </row>
    <row r="871" spans="1:5" x14ac:dyDescent="0.2">
      <c r="A871" s="81">
        <v>31352</v>
      </c>
      <c r="B871">
        <v>561.70000000000005</v>
      </c>
      <c r="C871">
        <v>2273.1999999999998</v>
      </c>
      <c r="E871">
        <v>2477.8000000000002</v>
      </c>
    </row>
    <row r="872" spans="1:5" x14ac:dyDescent="0.2">
      <c r="A872" s="81">
        <v>31355</v>
      </c>
      <c r="D872">
        <v>609.9</v>
      </c>
    </row>
    <row r="873" spans="1:5" x14ac:dyDescent="0.2">
      <c r="A873" s="81">
        <v>31362</v>
      </c>
      <c r="D873">
        <v>609.29999999999995</v>
      </c>
    </row>
    <row r="874" spans="1:5" x14ac:dyDescent="0.2">
      <c r="A874" s="81">
        <v>31369</v>
      </c>
      <c r="D874">
        <v>611</v>
      </c>
    </row>
    <row r="875" spans="1:5" x14ac:dyDescent="0.2">
      <c r="A875" s="81">
        <v>31376</v>
      </c>
      <c r="D875">
        <v>614.79999999999995</v>
      </c>
    </row>
    <row r="876" spans="1:5" x14ac:dyDescent="0.2">
      <c r="A876" s="81">
        <v>31382</v>
      </c>
      <c r="B876">
        <v>566</v>
      </c>
      <c r="C876">
        <v>2275.9</v>
      </c>
      <c r="E876">
        <v>2492.1</v>
      </c>
    </row>
    <row r="877" spans="1:5" x14ac:dyDescent="0.2">
      <c r="A877" s="81">
        <v>31383</v>
      </c>
      <c r="D877">
        <v>616.20000000000005</v>
      </c>
    </row>
    <row r="878" spans="1:5" x14ac:dyDescent="0.2">
      <c r="A878" s="81">
        <v>31390</v>
      </c>
      <c r="D878">
        <v>618.20000000000005</v>
      </c>
    </row>
    <row r="879" spans="1:5" x14ac:dyDescent="0.2">
      <c r="A879" s="81">
        <v>31397</v>
      </c>
      <c r="D879">
        <v>619.5</v>
      </c>
    </row>
    <row r="880" spans="1:5" x14ac:dyDescent="0.2">
      <c r="A880" s="81">
        <v>31404</v>
      </c>
      <c r="D880">
        <v>622.4</v>
      </c>
    </row>
    <row r="881" spans="1:5" x14ac:dyDescent="0.2">
      <c r="A881" s="81">
        <v>31411</v>
      </c>
      <c r="D881">
        <v>619.9</v>
      </c>
    </row>
    <row r="882" spans="1:5" x14ac:dyDescent="0.2">
      <c r="A882" s="81">
        <v>31413</v>
      </c>
      <c r="B882">
        <v>565.4</v>
      </c>
      <c r="C882">
        <v>2276.6999999999998</v>
      </c>
      <c r="E882">
        <v>2502.1</v>
      </c>
    </row>
    <row r="883" spans="1:5" x14ac:dyDescent="0.2">
      <c r="A883" s="81">
        <v>31418</v>
      </c>
      <c r="D883">
        <v>622</v>
      </c>
    </row>
    <row r="884" spans="1:5" x14ac:dyDescent="0.2">
      <c r="A884" s="81">
        <v>31425</v>
      </c>
      <c r="D884">
        <v>620.1</v>
      </c>
    </row>
    <row r="885" spans="1:5" x14ac:dyDescent="0.2">
      <c r="A885" s="81">
        <v>31432</v>
      </c>
      <c r="D885">
        <v>620.9</v>
      </c>
    </row>
    <row r="886" spans="1:5" x14ac:dyDescent="0.2">
      <c r="A886" s="81">
        <v>31439</v>
      </c>
      <c r="D886">
        <v>623.4</v>
      </c>
    </row>
    <row r="887" spans="1:5" x14ac:dyDescent="0.2">
      <c r="A887" s="81">
        <v>31444</v>
      </c>
      <c r="B887">
        <v>569.9</v>
      </c>
      <c r="C887">
        <v>2290.6999999999998</v>
      </c>
      <c r="E887">
        <v>2512.9</v>
      </c>
    </row>
    <row r="888" spans="1:5" x14ac:dyDescent="0.2">
      <c r="A888" s="81">
        <v>31446</v>
      </c>
      <c r="D888">
        <v>620.29999999999995</v>
      </c>
    </row>
    <row r="889" spans="1:5" x14ac:dyDescent="0.2">
      <c r="A889" s="81">
        <v>31453</v>
      </c>
      <c r="D889">
        <v>624.1</v>
      </c>
    </row>
    <row r="890" spans="1:5" x14ac:dyDescent="0.2">
      <c r="A890" s="81">
        <v>31460</v>
      </c>
      <c r="D890">
        <v>624.4</v>
      </c>
    </row>
    <row r="891" spans="1:5" x14ac:dyDescent="0.2">
      <c r="A891" s="81">
        <v>31467</v>
      </c>
      <c r="D891">
        <v>627.70000000000005</v>
      </c>
    </row>
    <row r="892" spans="1:5" x14ac:dyDescent="0.2">
      <c r="A892" s="81">
        <v>31472</v>
      </c>
      <c r="B892">
        <v>580.70000000000005</v>
      </c>
      <c r="C892">
        <v>2321.8000000000002</v>
      </c>
      <c r="E892">
        <v>2533.1</v>
      </c>
    </row>
    <row r="893" spans="1:5" x14ac:dyDescent="0.2">
      <c r="A893" s="81">
        <v>31474</v>
      </c>
      <c r="D893">
        <v>627.5</v>
      </c>
    </row>
    <row r="894" spans="1:5" x14ac:dyDescent="0.2">
      <c r="A894" s="81">
        <v>31481</v>
      </c>
      <c r="D894">
        <v>631.70000000000005</v>
      </c>
    </row>
    <row r="895" spans="1:5" x14ac:dyDescent="0.2">
      <c r="A895" s="81">
        <v>31488</v>
      </c>
      <c r="D895">
        <v>633.5</v>
      </c>
    </row>
    <row r="896" spans="1:5" x14ac:dyDescent="0.2">
      <c r="A896" s="81">
        <v>31495</v>
      </c>
      <c r="D896">
        <v>635.20000000000005</v>
      </c>
    </row>
    <row r="897" spans="1:5" x14ac:dyDescent="0.2">
      <c r="A897" s="81">
        <v>31502</v>
      </c>
      <c r="D897">
        <v>636.1</v>
      </c>
    </row>
    <row r="898" spans="1:5" x14ac:dyDescent="0.2">
      <c r="A898" s="81">
        <v>31503</v>
      </c>
      <c r="B898">
        <v>589.70000000000005</v>
      </c>
      <c r="C898">
        <v>2353.1</v>
      </c>
      <c r="E898">
        <v>2557.8000000000002</v>
      </c>
    </row>
    <row r="899" spans="1:5" x14ac:dyDescent="0.2">
      <c r="A899" s="81">
        <v>31509</v>
      </c>
      <c r="D899">
        <v>639.70000000000005</v>
      </c>
    </row>
    <row r="900" spans="1:5" x14ac:dyDescent="0.2">
      <c r="A900" s="81">
        <v>31516</v>
      </c>
      <c r="D900">
        <v>638.1</v>
      </c>
    </row>
    <row r="901" spans="1:5" x14ac:dyDescent="0.2">
      <c r="A901" s="81">
        <v>31523</v>
      </c>
      <c r="D901">
        <v>640.6</v>
      </c>
    </row>
    <row r="902" spans="1:5" x14ac:dyDescent="0.2">
      <c r="A902" s="81">
        <v>31530</v>
      </c>
      <c r="D902">
        <v>643.29999999999995</v>
      </c>
    </row>
    <row r="903" spans="1:5" x14ac:dyDescent="0.2">
      <c r="A903" s="81">
        <v>31533</v>
      </c>
      <c r="B903">
        <v>598.20000000000005</v>
      </c>
      <c r="C903">
        <v>2371.4</v>
      </c>
      <c r="E903">
        <v>2584.8000000000002</v>
      </c>
    </row>
    <row r="904" spans="1:5" x14ac:dyDescent="0.2">
      <c r="A904" s="81">
        <v>31537</v>
      </c>
      <c r="D904">
        <v>648.20000000000005</v>
      </c>
    </row>
    <row r="905" spans="1:5" x14ac:dyDescent="0.2">
      <c r="A905" s="81">
        <v>31544</v>
      </c>
      <c r="D905">
        <v>650.29999999999995</v>
      </c>
    </row>
    <row r="906" spans="1:5" x14ac:dyDescent="0.2">
      <c r="A906" s="81">
        <v>31551</v>
      </c>
      <c r="D906">
        <v>652.20000000000005</v>
      </c>
    </row>
    <row r="907" spans="1:5" x14ac:dyDescent="0.2">
      <c r="A907" s="81">
        <v>31558</v>
      </c>
      <c r="D907">
        <v>654.20000000000005</v>
      </c>
    </row>
    <row r="908" spans="1:5" x14ac:dyDescent="0.2">
      <c r="A908" s="81">
        <v>31564</v>
      </c>
      <c r="B908">
        <v>603.79999999999995</v>
      </c>
      <c r="C908">
        <v>2381.1999999999998</v>
      </c>
      <c r="E908">
        <v>2605</v>
      </c>
    </row>
    <row r="909" spans="1:5" x14ac:dyDescent="0.2">
      <c r="A909" s="81">
        <v>31565</v>
      </c>
      <c r="D909">
        <v>654.9</v>
      </c>
    </row>
    <row r="910" spans="1:5" x14ac:dyDescent="0.2">
      <c r="A910" s="81">
        <v>31572</v>
      </c>
      <c r="D910">
        <v>658.1</v>
      </c>
    </row>
    <row r="911" spans="1:5" x14ac:dyDescent="0.2">
      <c r="A911" s="81">
        <v>31579</v>
      </c>
      <c r="D911">
        <v>661</v>
      </c>
    </row>
    <row r="912" spans="1:5" x14ac:dyDescent="0.2">
      <c r="A912" s="81">
        <v>31586</v>
      </c>
      <c r="D912">
        <v>660.8</v>
      </c>
    </row>
    <row r="913" spans="1:5" x14ac:dyDescent="0.2">
      <c r="A913" s="81">
        <v>31593</v>
      </c>
      <c r="D913">
        <v>664.2</v>
      </c>
    </row>
    <row r="914" spans="1:5" x14ac:dyDescent="0.2">
      <c r="A914" s="81">
        <v>31594</v>
      </c>
      <c r="B914">
        <v>612.1</v>
      </c>
      <c r="C914">
        <v>2398.6999999999998</v>
      </c>
      <c r="E914">
        <v>2626.6</v>
      </c>
    </row>
    <row r="915" spans="1:5" x14ac:dyDescent="0.2">
      <c r="A915" s="81">
        <v>31600</v>
      </c>
      <c r="D915">
        <v>665.7</v>
      </c>
    </row>
    <row r="916" spans="1:5" x14ac:dyDescent="0.2">
      <c r="A916" s="81">
        <v>31607</v>
      </c>
      <c r="D916">
        <v>670</v>
      </c>
    </row>
    <row r="917" spans="1:5" x14ac:dyDescent="0.2">
      <c r="A917" s="81">
        <v>31614</v>
      </c>
      <c r="D917">
        <v>671.5</v>
      </c>
    </row>
    <row r="918" spans="1:5" x14ac:dyDescent="0.2">
      <c r="A918" s="81">
        <v>31621</v>
      </c>
      <c r="D918">
        <v>672.4</v>
      </c>
    </row>
    <row r="919" spans="1:5" x14ac:dyDescent="0.2">
      <c r="A919" s="81">
        <v>31625</v>
      </c>
      <c r="B919">
        <v>619.29999999999995</v>
      </c>
      <c r="C919">
        <v>2414.6999999999998</v>
      </c>
      <c r="E919">
        <v>2646.5</v>
      </c>
    </row>
    <row r="920" spans="1:5" x14ac:dyDescent="0.2">
      <c r="A920" s="81">
        <v>31628</v>
      </c>
      <c r="D920">
        <v>674.1</v>
      </c>
    </row>
    <row r="921" spans="1:5" x14ac:dyDescent="0.2">
      <c r="A921" s="81">
        <v>31635</v>
      </c>
      <c r="D921">
        <v>676</v>
      </c>
    </row>
    <row r="922" spans="1:5" x14ac:dyDescent="0.2">
      <c r="A922" s="81">
        <v>31642</v>
      </c>
      <c r="D922">
        <v>677.5</v>
      </c>
    </row>
    <row r="923" spans="1:5" x14ac:dyDescent="0.2">
      <c r="A923" s="81">
        <v>31649</v>
      </c>
      <c r="D923">
        <v>679.5</v>
      </c>
    </row>
    <row r="924" spans="1:5" x14ac:dyDescent="0.2">
      <c r="A924" s="81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5" x14ac:dyDescent="0.2">
      <c r="A925" s="81">
        <v>31663</v>
      </c>
      <c r="D925">
        <v>685.4</v>
      </c>
    </row>
    <row r="926" spans="1:5" x14ac:dyDescent="0.2">
      <c r="A926" s="81">
        <v>31670</v>
      </c>
      <c r="D926">
        <v>685.1</v>
      </c>
    </row>
    <row r="927" spans="1:5" x14ac:dyDescent="0.2">
      <c r="A927" s="81">
        <v>31677</v>
      </c>
      <c r="D927">
        <v>688.3</v>
      </c>
    </row>
    <row r="928" spans="1:5" x14ac:dyDescent="0.2">
      <c r="A928" s="81">
        <v>31684</v>
      </c>
      <c r="D928">
        <v>690.6</v>
      </c>
    </row>
    <row r="929" spans="1:5" x14ac:dyDescent="0.2">
      <c r="A929" s="81">
        <v>31686</v>
      </c>
      <c r="B929">
        <v>630.6</v>
      </c>
      <c r="C929">
        <v>2438.6999999999998</v>
      </c>
      <c r="E929">
        <v>2687.4</v>
      </c>
    </row>
    <row r="930" spans="1:5" x14ac:dyDescent="0.2">
      <c r="A930" s="81">
        <v>31691</v>
      </c>
      <c r="D930">
        <v>691.2</v>
      </c>
    </row>
    <row r="931" spans="1:5" x14ac:dyDescent="0.2">
      <c r="A931" s="81">
        <v>31698</v>
      </c>
      <c r="D931">
        <v>691.2</v>
      </c>
    </row>
    <row r="932" spans="1:5" x14ac:dyDescent="0.2">
      <c r="A932" s="81">
        <v>31705</v>
      </c>
      <c r="D932">
        <v>695.9</v>
      </c>
    </row>
    <row r="933" spans="1:5" x14ac:dyDescent="0.2">
      <c r="A933" s="81">
        <v>31712</v>
      </c>
      <c r="D933">
        <v>698.4</v>
      </c>
    </row>
    <row r="934" spans="1:5" x14ac:dyDescent="0.2">
      <c r="A934" s="81">
        <v>31717</v>
      </c>
      <c r="B934">
        <v>638.9</v>
      </c>
      <c r="C934">
        <v>2446.8000000000002</v>
      </c>
      <c r="E934">
        <v>2701.3</v>
      </c>
    </row>
    <row r="935" spans="1:5" x14ac:dyDescent="0.2">
      <c r="A935" s="81">
        <v>31719</v>
      </c>
      <c r="D935">
        <v>698.9</v>
      </c>
    </row>
    <row r="936" spans="1:5" x14ac:dyDescent="0.2">
      <c r="A936" s="81">
        <v>31726</v>
      </c>
      <c r="D936">
        <v>702.8</v>
      </c>
    </row>
    <row r="937" spans="1:5" x14ac:dyDescent="0.2">
      <c r="A937" s="81">
        <v>31733</v>
      </c>
      <c r="D937">
        <v>704.3</v>
      </c>
    </row>
    <row r="938" spans="1:5" x14ac:dyDescent="0.2">
      <c r="A938" s="81">
        <v>31740</v>
      </c>
      <c r="D938">
        <v>704.3</v>
      </c>
    </row>
    <row r="939" spans="1:5" x14ac:dyDescent="0.2">
      <c r="A939" s="81">
        <v>31747</v>
      </c>
      <c r="B939">
        <v>654.1</v>
      </c>
      <c r="C939">
        <v>2462.1</v>
      </c>
      <c r="D939">
        <v>714.4</v>
      </c>
      <c r="E939">
        <v>2728</v>
      </c>
    </row>
    <row r="940" spans="1:5" x14ac:dyDescent="0.2">
      <c r="A940" s="81">
        <v>31754</v>
      </c>
      <c r="D940">
        <v>714.6</v>
      </c>
    </row>
    <row r="941" spans="1:5" x14ac:dyDescent="0.2">
      <c r="A941" s="81">
        <v>31761</v>
      </c>
      <c r="D941">
        <v>718.6</v>
      </c>
    </row>
    <row r="942" spans="1:5" x14ac:dyDescent="0.2">
      <c r="A942" s="81">
        <v>31768</v>
      </c>
      <c r="D942">
        <v>726.6</v>
      </c>
    </row>
    <row r="943" spans="1:5" x14ac:dyDescent="0.2">
      <c r="A943" s="81">
        <v>31775</v>
      </c>
      <c r="D943">
        <v>735.2</v>
      </c>
    </row>
    <row r="944" spans="1:5" x14ac:dyDescent="0.2">
      <c r="A944" s="81">
        <v>31778</v>
      </c>
      <c r="B944">
        <v>655.5</v>
      </c>
      <c r="C944">
        <v>2463.1</v>
      </c>
      <c r="E944">
        <v>2743.9</v>
      </c>
    </row>
    <row r="945" spans="1:5" x14ac:dyDescent="0.2">
      <c r="A945" s="81">
        <v>31782</v>
      </c>
      <c r="D945">
        <v>742.1</v>
      </c>
    </row>
    <row r="946" spans="1:5" x14ac:dyDescent="0.2">
      <c r="A946" s="81">
        <v>31789</v>
      </c>
      <c r="D946">
        <v>727.9</v>
      </c>
    </row>
    <row r="947" spans="1:5" x14ac:dyDescent="0.2">
      <c r="A947" s="81">
        <v>31796</v>
      </c>
      <c r="D947">
        <v>725.3</v>
      </c>
    </row>
    <row r="948" spans="1:5" x14ac:dyDescent="0.2">
      <c r="A948" s="81">
        <v>31803</v>
      </c>
      <c r="D948">
        <v>728.5</v>
      </c>
    </row>
    <row r="949" spans="1:5" x14ac:dyDescent="0.2">
      <c r="A949" s="81">
        <v>31809</v>
      </c>
      <c r="B949">
        <v>653.6</v>
      </c>
      <c r="C949">
        <v>2457.5</v>
      </c>
      <c r="E949">
        <v>2747.5</v>
      </c>
    </row>
    <row r="950" spans="1:5" x14ac:dyDescent="0.2">
      <c r="A950" s="81">
        <v>31810</v>
      </c>
      <c r="D950">
        <v>729.9</v>
      </c>
    </row>
    <row r="951" spans="1:5" x14ac:dyDescent="0.2">
      <c r="A951" s="81">
        <v>31817</v>
      </c>
      <c r="D951">
        <v>730.1</v>
      </c>
    </row>
    <row r="952" spans="1:5" x14ac:dyDescent="0.2">
      <c r="A952" s="81">
        <v>31824</v>
      </c>
      <c r="D952">
        <v>730</v>
      </c>
    </row>
    <row r="953" spans="1:5" x14ac:dyDescent="0.2">
      <c r="A953" s="81">
        <v>31831</v>
      </c>
      <c r="D953">
        <v>731.7</v>
      </c>
    </row>
    <row r="954" spans="1:5" x14ac:dyDescent="0.2">
      <c r="A954" s="81">
        <v>31837</v>
      </c>
      <c r="B954">
        <v>654</v>
      </c>
      <c r="C954">
        <v>2454.3000000000002</v>
      </c>
      <c r="E954">
        <v>2753.7</v>
      </c>
    </row>
    <row r="955" spans="1:5" x14ac:dyDescent="0.2">
      <c r="A955" s="81">
        <v>31838</v>
      </c>
      <c r="D955">
        <v>731.4</v>
      </c>
    </row>
    <row r="956" spans="1:5" x14ac:dyDescent="0.2">
      <c r="A956" s="81">
        <v>31845</v>
      </c>
      <c r="D956">
        <v>732.2</v>
      </c>
    </row>
    <row r="957" spans="1:5" x14ac:dyDescent="0.2">
      <c r="A957" s="81">
        <v>31852</v>
      </c>
      <c r="D957">
        <v>733.9</v>
      </c>
    </row>
    <row r="958" spans="1:5" x14ac:dyDescent="0.2">
      <c r="A958" s="81">
        <v>31859</v>
      </c>
      <c r="D958">
        <v>733.8</v>
      </c>
    </row>
    <row r="959" spans="1:5" x14ac:dyDescent="0.2">
      <c r="A959" s="81">
        <v>31866</v>
      </c>
      <c r="D959">
        <v>735.4</v>
      </c>
    </row>
    <row r="960" spans="1:5" x14ac:dyDescent="0.2">
      <c r="A960" s="81">
        <v>31868</v>
      </c>
      <c r="B960">
        <v>660.1</v>
      </c>
      <c r="C960">
        <v>2455.8000000000002</v>
      </c>
      <c r="E960">
        <v>2767.7</v>
      </c>
    </row>
    <row r="961" spans="1:5" x14ac:dyDescent="0.2">
      <c r="A961" s="81">
        <v>31873</v>
      </c>
      <c r="D961">
        <v>737.2</v>
      </c>
    </row>
    <row r="962" spans="1:5" x14ac:dyDescent="0.2">
      <c r="A962" s="81">
        <v>31880</v>
      </c>
      <c r="D962">
        <v>737.8</v>
      </c>
    </row>
    <row r="963" spans="1:5" x14ac:dyDescent="0.2">
      <c r="A963" s="81">
        <v>31887</v>
      </c>
      <c r="D963">
        <v>749.4</v>
      </c>
    </row>
    <row r="964" spans="1:5" x14ac:dyDescent="0.2">
      <c r="A964" s="81">
        <v>31894</v>
      </c>
      <c r="D964">
        <v>749.9</v>
      </c>
    </row>
    <row r="965" spans="1:5" x14ac:dyDescent="0.2">
      <c r="A965" s="81">
        <v>31898</v>
      </c>
      <c r="B965">
        <v>660</v>
      </c>
      <c r="C965">
        <v>2453.9</v>
      </c>
      <c r="E965">
        <v>2772.9</v>
      </c>
    </row>
    <row r="966" spans="1:5" x14ac:dyDescent="0.2">
      <c r="A966" s="81">
        <v>31901</v>
      </c>
      <c r="D966">
        <v>745.1</v>
      </c>
    </row>
    <row r="967" spans="1:5" x14ac:dyDescent="0.2">
      <c r="A967" s="81">
        <v>31908</v>
      </c>
      <c r="D967">
        <v>743.3</v>
      </c>
    </row>
    <row r="968" spans="1:5" x14ac:dyDescent="0.2">
      <c r="A968" s="81">
        <v>31915</v>
      </c>
      <c r="D968">
        <v>744.6</v>
      </c>
    </row>
    <row r="969" spans="1:5" x14ac:dyDescent="0.2">
      <c r="A969" s="81">
        <v>31922</v>
      </c>
      <c r="D969">
        <v>748.2</v>
      </c>
    </row>
    <row r="970" spans="1:5" x14ac:dyDescent="0.2">
      <c r="A970" s="81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5" x14ac:dyDescent="0.2">
      <c r="A971" s="81">
        <v>31936</v>
      </c>
      <c r="D971">
        <v>742</v>
      </c>
    </row>
    <row r="972" spans="1:5" x14ac:dyDescent="0.2">
      <c r="A972" s="81">
        <v>31943</v>
      </c>
      <c r="D972">
        <v>743.4</v>
      </c>
    </row>
    <row r="973" spans="1:5" x14ac:dyDescent="0.2">
      <c r="A973" s="81">
        <v>31950</v>
      </c>
      <c r="D973">
        <v>744</v>
      </c>
    </row>
    <row r="974" spans="1:5" x14ac:dyDescent="0.2">
      <c r="A974" s="81">
        <v>31957</v>
      </c>
      <c r="D974">
        <v>742.3</v>
      </c>
    </row>
    <row r="975" spans="1:5" x14ac:dyDescent="0.2">
      <c r="A975" s="81">
        <v>31959</v>
      </c>
      <c r="B975">
        <v>652.9</v>
      </c>
      <c r="C975">
        <v>2442</v>
      </c>
      <c r="E975">
        <v>2779</v>
      </c>
    </row>
    <row r="976" spans="1:5" x14ac:dyDescent="0.2">
      <c r="A976" s="81">
        <v>31964</v>
      </c>
      <c r="D976">
        <v>745.4</v>
      </c>
    </row>
    <row r="977" spans="1:5" x14ac:dyDescent="0.2">
      <c r="A977" s="81">
        <v>31971</v>
      </c>
      <c r="D977">
        <v>740.6</v>
      </c>
    </row>
    <row r="978" spans="1:5" x14ac:dyDescent="0.2">
      <c r="A978" s="81">
        <v>31978</v>
      </c>
      <c r="D978">
        <v>742.9</v>
      </c>
    </row>
    <row r="979" spans="1:5" x14ac:dyDescent="0.2">
      <c r="A979" s="81">
        <v>31985</v>
      </c>
      <c r="D979">
        <v>744.5</v>
      </c>
    </row>
    <row r="980" spans="1:5" x14ac:dyDescent="0.2">
      <c r="A980" s="81">
        <v>31990</v>
      </c>
      <c r="B980">
        <v>651.70000000000005</v>
      </c>
      <c r="C980">
        <v>2439.4</v>
      </c>
      <c r="E980">
        <v>2788.2</v>
      </c>
    </row>
    <row r="981" spans="1:5" x14ac:dyDescent="0.2">
      <c r="A981" s="81">
        <v>31992</v>
      </c>
      <c r="D981">
        <v>741.4</v>
      </c>
    </row>
    <row r="982" spans="1:5" x14ac:dyDescent="0.2">
      <c r="A982" s="81">
        <v>31999</v>
      </c>
      <c r="D982">
        <v>743.9</v>
      </c>
    </row>
    <row r="983" spans="1:5" x14ac:dyDescent="0.2">
      <c r="A983" s="81">
        <v>32006</v>
      </c>
      <c r="D983">
        <v>744.8</v>
      </c>
    </row>
    <row r="984" spans="1:5" x14ac:dyDescent="0.2">
      <c r="A984" s="81">
        <v>32013</v>
      </c>
      <c r="D984">
        <v>746.3</v>
      </c>
    </row>
    <row r="985" spans="1:5" x14ac:dyDescent="0.2">
      <c r="A985" s="81">
        <v>32020</v>
      </c>
      <c r="D985">
        <v>746.2</v>
      </c>
    </row>
    <row r="986" spans="1:5" x14ac:dyDescent="0.2">
      <c r="A986" s="81">
        <v>32021</v>
      </c>
      <c r="B986">
        <v>651.79999999999995</v>
      </c>
      <c r="C986">
        <v>2440.6999999999998</v>
      </c>
      <c r="E986">
        <v>2799.5</v>
      </c>
    </row>
    <row r="987" spans="1:5" x14ac:dyDescent="0.2">
      <c r="A987" s="81">
        <v>32027</v>
      </c>
      <c r="D987">
        <v>743.5</v>
      </c>
    </row>
    <row r="988" spans="1:5" x14ac:dyDescent="0.2">
      <c r="A988" s="81">
        <v>32034</v>
      </c>
      <c r="D988">
        <v>746.5</v>
      </c>
    </row>
    <row r="989" spans="1:5" x14ac:dyDescent="0.2">
      <c r="A989" s="81">
        <v>32041</v>
      </c>
      <c r="D989">
        <v>748.8</v>
      </c>
    </row>
    <row r="990" spans="1:5" x14ac:dyDescent="0.2">
      <c r="A990" s="81">
        <v>32048</v>
      </c>
      <c r="D990">
        <v>749.8</v>
      </c>
    </row>
    <row r="991" spans="1:5" x14ac:dyDescent="0.2">
      <c r="A991" s="81">
        <v>32051</v>
      </c>
      <c r="B991">
        <v>657.6</v>
      </c>
      <c r="C991">
        <v>2447.6999999999998</v>
      </c>
      <c r="E991">
        <v>2814.8</v>
      </c>
    </row>
    <row r="992" spans="1:5" x14ac:dyDescent="0.2">
      <c r="A992" s="81">
        <v>32055</v>
      </c>
      <c r="D992">
        <v>753.7</v>
      </c>
    </row>
    <row r="993" spans="1:5" x14ac:dyDescent="0.2">
      <c r="A993" s="81">
        <v>32062</v>
      </c>
      <c r="D993">
        <v>748.9</v>
      </c>
    </row>
    <row r="994" spans="1:5" x14ac:dyDescent="0.2">
      <c r="A994" s="81">
        <v>32069</v>
      </c>
      <c r="D994">
        <v>755</v>
      </c>
    </row>
    <row r="995" spans="1:5" x14ac:dyDescent="0.2">
      <c r="A995" s="81">
        <v>32076</v>
      </c>
      <c r="D995">
        <v>765.2</v>
      </c>
    </row>
    <row r="996" spans="1:5" x14ac:dyDescent="0.2">
      <c r="A996" s="81">
        <v>32082</v>
      </c>
      <c r="B996">
        <v>652.70000000000005</v>
      </c>
      <c r="C996">
        <v>2442.6999999999998</v>
      </c>
      <c r="E996">
        <v>2818.9</v>
      </c>
    </row>
    <row r="997" spans="1:5" x14ac:dyDescent="0.2">
      <c r="A997" s="81">
        <v>32083</v>
      </c>
      <c r="D997">
        <v>758.5</v>
      </c>
    </row>
    <row r="998" spans="1:5" x14ac:dyDescent="0.2">
      <c r="A998" s="81">
        <v>32090</v>
      </c>
      <c r="D998">
        <v>755.4</v>
      </c>
    </row>
    <row r="999" spans="1:5" x14ac:dyDescent="0.2">
      <c r="A999" s="81">
        <v>32097</v>
      </c>
      <c r="D999">
        <v>752.9</v>
      </c>
    </row>
    <row r="1000" spans="1:5" x14ac:dyDescent="0.2">
      <c r="A1000" s="81">
        <v>32104</v>
      </c>
      <c r="D1000">
        <v>752</v>
      </c>
    </row>
    <row r="1001" spans="1:5" x14ac:dyDescent="0.2">
      <c r="A1001" s="81">
        <v>32111</v>
      </c>
      <c r="D1001">
        <v>751</v>
      </c>
    </row>
    <row r="1002" spans="1:5" x14ac:dyDescent="0.2">
      <c r="A1002" s="81">
        <v>32112</v>
      </c>
      <c r="B1002">
        <v>649</v>
      </c>
      <c r="C1002">
        <v>2445</v>
      </c>
      <c r="E1002">
        <v>2826.4</v>
      </c>
    </row>
    <row r="1003" spans="1:5" x14ac:dyDescent="0.2">
      <c r="A1003" s="81">
        <v>32118</v>
      </c>
      <c r="D1003">
        <v>750.5</v>
      </c>
    </row>
    <row r="1004" spans="1:5" x14ac:dyDescent="0.2">
      <c r="A1004" s="81">
        <v>32125</v>
      </c>
      <c r="D1004">
        <v>749.8</v>
      </c>
    </row>
    <row r="1005" spans="1:5" x14ac:dyDescent="0.2">
      <c r="A1005" s="81">
        <v>32132</v>
      </c>
      <c r="D1005">
        <v>749.6</v>
      </c>
    </row>
    <row r="1006" spans="1:5" x14ac:dyDescent="0.2">
      <c r="A1006" s="81">
        <v>32139</v>
      </c>
      <c r="D1006">
        <v>750.6</v>
      </c>
    </row>
    <row r="1007" spans="1:5" x14ac:dyDescent="0.2">
      <c r="A1007" s="81">
        <v>32143</v>
      </c>
      <c r="B1007">
        <v>651.9</v>
      </c>
      <c r="C1007">
        <v>2454.6999999999998</v>
      </c>
      <c r="E1007">
        <v>2847.4</v>
      </c>
    </row>
    <row r="1008" spans="1:5" x14ac:dyDescent="0.2">
      <c r="A1008" s="81">
        <v>32146</v>
      </c>
      <c r="D1008">
        <v>751.1</v>
      </c>
    </row>
    <row r="1009" spans="1:5" x14ac:dyDescent="0.2">
      <c r="A1009" s="81">
        <v>32153</v>
      </c>
      <c r="D1009">
        <v>753.2</v>
      </c>
    </row>
    <row r="1010" spans="1:5" x14ac:dyDescent="0.2">
      <c r="A1010" s="81">
        <v>32160</v>
      </c>
      <c r="D1010">
        <v>755.8</v>
      </c>
    </row>
    <row r="1011" spans="1:5" x14ac:dyDescent="0.2">
      <c r="A1011" s="81">
        <v>32167</v>
      </c>
      <c r="D1011">
        <v>759</v>
      </c>
    </row>
    <row r="1012" spans="1:5" x14ac:dyDescent="0.2">
      <c r="A1012" s="81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5" x14ac:dyDescent="0.2">
      <c r="A1013" s="81">
        <v>32181</v>
      </c>
      <c r="D1013">
        <v>756.6</v>
      </c>
    </row>
    <row r="1014" spans="1:5" x14ac:dyDescent="0.2">
      <c r="A1014" s="81">
        <v>32188</v>
      </c>
      <c r="D1014">
        <v>757.4</v>
      </c>
    </row>
    <row r="1015" spans="1:5" x14ac:dyDescent="0.2">
      <c r="A1015" s="81">
        <v>32195</v>
      </c>
      <c r="D1015">
        <v>759.8</v>
      </c>
    </row>
    <row r="1016" spans="1:5" x14ac:dyDescent="0.2">
      <c r="A1016" s="81">
        <v>32202</v>
      </c>
      <c r="D1016">
        <v>756.7</v>
      </c>
    </row>
    <row r="1017" spans="1:5" x14ac:dyDescent="0.2">
      <c r="A1017" s="81">
        <v>32203</v>
      </c>
      <c r="B1017">
        <v>653.9</v>
      </c>
      <c r="C1017">
        <v>2481.3000000000002</v>
      </c>
      <c r="E1017">
        <v>2890.7</v>
      </c>
    </row>
    <row r="1018" spans="1:5" x14ac:dyDescent="0.2">
      <c r="A1018" s="81">
        <v>32209</v>
      </c>
      <c r="D1018">
        <v>758.1</v>
      </c>
    </row>
    <row r="1019" spans="1:5" x14ac:dyDescent="0.2">
      <c r="A1019" s="81">
        <v>32216</v>
      </c>
      <c r="D1019">
        <v>760.6</v>
      </c>
    </row>
    <row r="1020" spans="1:5" x14ac:dyDescent="0.2">
      <c r="A1020" s="81">
        <v>32223</v>
      </c>
      <c r="D1020">
        <v>763.1</v>
      </c>
    </row>
    <row r="1021" spans="1:5" x14ac:dyDescent="0.2">
      <c r="A1021" s="81">
        <v>32230</v>
      </c>
      <c r="D1021">
        <v>763.7</v>
      </c>
    </row>
    <row r="1022" spans="1:5" x14ac:dyDescent="0.2">
      <c r="A1022" s="81">
        <v>32234</v>
      </c>
      <c r="B1022">
        <v>655.4</v>
      </c>
      <c r="C1022">
        <v>2483.5</v>
      </c>
      <c r="E1022">
        <v>2910.7</v>
      </c>
    </row>
    <row r="1023" spans="1:5" x14ac:dyDescent="0.2">
      <c r="A1023" s="81">
        <v>32237</v>
      </c>
      <c r="D1023">
        <v>765.5</v>
      </c>
    </row>
    <row r="1024" spans="1:5" x14ac:dyDescent="0.2">
      <c r="A1024" s="81">
        <v>32244</v>
      </c>
      <c r="D1024">
        <v>765.8</v>
      </c>
    </row>
    <row r="1025" spans="1:5" x14ac:dyDescent="0.2">
      <c r="A1025" s="81">
        <v>32251</v>
      </c>
      <c r="D1025">
        <v>766.8</v>
      </c>
    </row>
    <row r="1026" spans="1:5" x14ac:dyDescent="0.2">
      <c r="A1026" s="81">
        <v>32258</v>
      </c>
      <c r="D1026">
        <v>772.2</v>
      </c>
    </row>
    <row r="1027" spans="1:5" x14ac:dyDescent="0.2">
      <c r="A1027" s="81">
        <v>32264</v>
      </c>
      <c r="B1027">
        <v>656.8</v>
      </c>
      <c r="C1027">
        <v>2490.1999999999998</v>
      </c>
      <c r="E1027">
        <v>2926</v>
      </c>
    </row>
    <row r="1028" spans="1:5" x14ac:dyDescent="0.2">
      <c r="A1028" s="81">
        <v>32265</v>
      </c>
      <c r="D1028">
        <v>769.6</v>
      </c>
    </row>
    <row r="1029" spans="1:5" x14ac:dyDescent="0.2">
      <c r="A1029" s="81">
        <v>32272</v>
      </c>
      <c r="D1029">
        <v>769.9</v>
      </c>
    </row>
    <row r="1030" spans="1:5" x14ac:dyDescent="0.2">
      <c r="A1030" s="81">
        <v>32279</v>
      </c>
      <c r="D1030">
        <v>771.9</v>
      </c>
    </row>
    <row r="1031" spans="1:5" x14ac:dyDescent="0.2">
      <c r="A1031" s="81">
        <v>32286</v>
      </c>
      <c r="D1031">
        <v>772.5</v>
      </c>
    </row>
    <row r="1032" spans="1:5" x14ac:dyDescent="0.2">
      <c r="A1032" s="81">
        <v>32293</v>
      </c>
      <c r="D1032">
        <v>772.7</v>
      </c>
    </row>
    <row r="1033" spans="1:5" x14ac:dyDescent="0.2">
      <c r="A1033" s="81">
        <v>32295</v>
      </c>
      <c r="B1033">
        <v>659.6</v>
      </c>
      <c r="C1033">
        <v>2490.1999999999998</v>
      </c>
      <c r="E1033">
        <v>2938.4</v>
      </c>
    </row>
    <row r="1034" spans="1:5" x14ac:dyDescent="0.2">
      <c r="A1034" s="81">
        <v>32300</v>
      </c>
      <c r="D1034">
        <v>776.4</v>
      </c>
    </row>
    <row r="1035" spans="1:5" x14ac:dyDescent="0.2">
      <c r="A1035" s="81">
        <v>32307</v>
      </c>
      <c r="D1035">
        <v>776.5</v>
      </c>
    </row>
    <row r="1036" spans="1:5" x14ac:dyDescent="0.2">
      <c r="A1036" s="81">
        <v>32314</v>
      </c>
      <c r="D1036">
        <v>780.6</v>
      </c>
    </row>
    <row r="1037" spans="1:5" x14ac:dyDescent="0.2">
      <c r="A1037" s="81">
        <v>32321</v>
      </c>
      <c r="D1037">
        <v>779.8</v>
      </c>
    </row>
    <row r="1038" spans="1:5" x14ac:dyDescent="0.2">
      <c r="A1038" s="81">
        <v>32325</v>
      </c>
      <c r="B1038">
        <v>659.4</v>
      </c>
      <c r="C1038">
        <v>2487.1</v>
      </c>
      <c r="E1038">
        <v>2947.2</v>
      </c>
    </row>
    <row r="1039" spans="1:5" x14ac:dyDescent="0.2">
      <c r="A1039" s="81">
        <v>32328</v>
      </c>
      <c r="D1039">
        <v>777.7</v>
      </c>
    </row>
    <row r="1040" spans="1:5" x14ac:dyDescent="0.2">
      <c r="A1040" s="81">
        <v>32335</v>
      </c>
      <c r="D1040">
        <v>781.3</v>
      </c>
    </row>
    <row r="1041" spans="1:5" x14ac:dyDescent="0.2">
      <c r="A1041" s="81">
        <v>32342</v>
      </c>
      <c r="D1041">
        <v>780.3</v>
      </c>
    </row>
    <row r="1042" spans="1:5" x14ac:dyDescent="0.2">
      <c r="A1042" s="81">
        <v>32349</v>
      </c>
      <c r="D1042">
        <v>782.2</v>
      </c>
    </row>
    <row r="1043" spans="1:5" x14ac:dyDescent="0.2">
      <c r="A1043" s="81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5" x14ac:dyDescent="0.2">
      <c r="A1044" s="81">
        <v>32363</v>
      </c>
      <c r="D1044">
        <v>782.2</v>
      </c>
    </row>
    <row r="1045" spans="1:5" x14ac:dyDescent="0.2">
      <c r="A1045" s="81">
        <v>32370</v>
      </c>
      <c r="D1045">
        <v>783.4</v>
      </c>
    </row>
    <row r="1046" spans="1:5" x14ac:dyDescent="0.2">
      <c r="A1046" s="81">
        <v>32377</v>
      </c>
      <c r="D1046">
        <v>783.4</v>
      </c>
    </row>
    <row r="1047" spans="1:5" x14ac:dyDescent="0.2">
      <c r="A1047" s="81">
        <v>32384</v>
      </c>
      <c r="D1047">
        <v>784</v>
      </c>
    </row>
    <row r="1048" spans="1:5" x14ac:dyDescent="0.2">
      <c r="A1048" s="81">
        <v>32387</v>
      </c>
      <c r="B1048">
        <v>655.8</v>
      </c>
      <c r="C1048">
        <v>2474.4</v>
      </c>
      <c r="E1048">
        <v>2956.9</v>
      </c>
    </row>
    <row r="1049" spans="1:5" x14ac:dyDescent="0.2">
      <c r="A1049" s="81">
        <v>32391</v>
      </c>
      <c r="D1049">
        <v>783.8</v>
      </c>
    </row>
    <row r="1050" spans="1:5" x14ac:dyDescent="0.2">
      <c r="A1050" s="81">
        <v>32398</v>
      </c>
      <c r="D1050">
        <v>782.8</v>
      </c>
    </row>
    <row r="1051" spans="1:5" x14ac:dyDescent="0.2">
      <c r="A1051" s="81">
        <v>32405</v>
      </c>
      <c r="D1051">
        <v>784.6</v>
      </c>
    </row>
    <row r="1052" spans="1:5" x14ac:dyDescent="0.2">
      <c r="A1052" s="81">
        <v>32412</v>
      </c>
      <c r="D1052">
        <v>785.1</v>
      </c>
    </row>
    <row r="1053" spans="1:5" x14ac:dyDescent="0.2">
      <c r="A1053" s="81">
        <v>32417</v>
      </c>
      <c r="B1053">
        <v>653.29999999999995</v>
      </c>
      <c r="C1053">
        <v>2473.1</v>
      </c>
      <c r="E1053">
        <v>2965.3</v>
      </c>
    </row>
    <row r="1054" spans="1:5" x14ac:dyDescent="0.2">
      <c r="A1054" s="81">
        <v>32419</v>
      </c>
      <c r="D1054">
        <v>781.1</v>
      </c>
    </row>
    <row r="1055" spans="1:5" x14ac:dyDescent="0.2">
      <c r="A1055" s="81">
        <v>32426</v>
      </c>
      <c r="D1055">
        <v>782.3</v>
      </c>
    </row>
    <row r="1056" spans="1:5" x14ac:dyDescent="0.2">
      <c r="A1056" s="81">
        <v>32433</v>
      </c>
      <c r="D1056">
        <v>784</v>
      </c>
    </row>
    <row r="1057" spans="1:5" x14ac:dyDescent="0.2">
      <c r="A1057" s="81">
        <v>32440</v>
      </c>
      <c r="D1057">
        <v>783.1</v>
      </c>
    </row>
    <row r="1058" spans="1:5" x14ac:dyDescent="0.2">
      <c r="A1058" s="81">
        <v>32447</v>
      </c>
      <c r="D1058">
        <v>784.1</v>
      </c>
    </row>
    <row r="1059" spans="1:5" x14ac:dyDescent="0.2">
      <c r="A1059" s="81">
        <v>32448</v>
      </c>
      <c r="B1059">
        <v>652.5</v>
      </c>
      <c r="C1059">
        <v>2477.3000000000002</v>
      </c>
      <c r="E1059">
        <v>2980.2</v>
      </c>
    </row>
    <row r="1060" spans="1:5" x14ac:dyDescent="0.2">
      <c r="A1060" s="81">
        <v>32454</v>
      </c>
      <c r="D1060">
        <v>783.2</v>
      </c>
    </row>
    <row r="1061" spans="1:5" x14ac:dyDescent="0.2">
      <c r="A1061" s="81">
        <v>32461</v>
      </c>
      <c r="D1061">
        <v>784.2</v>
      </c>
    </row>
    <row r="1062" spans="1:5" x14ac:dyDescent="0.2">
      <c r="A1062" s="81">
        <v>32468</v>
      </c>
      <c r="D1062">
        <v>784.5</v>
      </c>
    </row>
    <row r="1063" spans="1:5" x14ac:dyDescent="0.2">
      <c r="A1063" s="81">
        <v>32475</v>
      </c>
      <c r="D1063">
        <v>786.9</v>
      </c>
    </row>
    <row r="1064" spans="1:5" x14ac:dyDescent="0.2">
      <c r="A1064" s="81">
        <v>32478</v>
      </c>
      <c r="B1064">
        <v>651.79999999999995</v>
      </c>
      <c r="C1064">
        <v>2475.6999999999998</v>
      </c>
      <c r="E1064">
        <v>2988.2</v>
      </c>
    </row>
    <row r="1065" spans="1:5" x14ac:dyDescent="0.2">
      <c r="A1065" s="81">
        <v>32482</v>
      </c>
      <c r="D1065">
        <v>787.5</v>
      </c>
    </row>
    <row r="1066" spans="1:5" x14ac:dyDescent="0.2">
      <c r="A1066" s="81">
        <v>32489</v>
      </c>
      <c r="D1066">
        <v>788.2</v>
      </c>
    </row>
    <row r="1067" spans="1:5" x14ac:dyDescent="0.2">
      <c r="A1067" s="81">
        <v>32496</v>
      </c>
      <c r="D1067">
        <v>786.5</v>
      </c>
    </row>
    <row r="1068" spans="1:5" x14ac:dyDescent="0.2">
      <c r="A1068" s="81">
        <v>32503</v>
      </c>
      <c r="D1068">
        <v>784.6</v>
      </c>
    </row>
    <row r="1069" spans="1:5" x14ac:dyDescent="0.2">
      <c r="A1069" s="81">
        <v>32509</v>
      </c>
      <c r="B1069">
        <v>648.29999999999995</v>
      </c>
      <c r="C1069">
        <v>2468.4</v>
      </c>
      <c r="E1069">
        <v>2991.7</v>
      </c>
    </row>
    <row r="1070" spans="1:5" x14ac:dyDescent="0.2">
      <c r="A1070" s="81">
        <v>32510</v>
      </c>
      <c r="D1070">
        <v>787.4</v>
      </c>
    </row>
    <row r="1071" spans="1:5" x14ac:dyDescent="0.2">
      <c r="A1071" s="81">
        <v>32517</v>
      </c>
      <c r="D1071">
        <v>786.7</v>
      </c>
    </row>
    <row r="1072" spans="1:5" x14ac:dyDescent="0.2">
      <c r="A1072" s="81">
        <v>32524</v>
      </c>
      <c r="D1072">
        <v>786.2</v>
      </c>
    </row>
    <row r="1073" spans="1:5" x14ac:dyDescent="0.2">
      <c r="A1073" s="81">
        <v>32531</v>
      </c>
      <c r="D1073">
        <v>786.5</v>
      </c>
    </row>
    <row r="1074" spans="1:5" x14ac:dyDescent="0.2">
      <c r="A1074" s="81">
        <v>32538</v>
      </c>
      <c r="D1074">
        <v>783.2</v>
      </c>
    </row>
    <row r="1075" spans="1:5" x14ac:dyDescent="0.2">
      <c r="A1075" s="81">
        <v>32540</v>
      </c>
      <c r="B1075">
        <v>644.6</v>
      </c>
      <c r="C1075">
        <v>2460.6999999999998</v>
      </c>
      <c r="E1075">
        <v>2992.2</v>
      </c>
    </row>
    <row r="1076" spans="1:5" x14ac:dyDescent="0.2">
      <c r="A1076" s="81">
        <v>32545</v>
      </c>
      <c r="D1076">
        <v>784.4</v>
      </c>
    </row>
    <row r="1077" spans="1:5" x14ac:dyDescent="0.2">
      <c r="A1077" s="81">
        <v>32552</v>
      </c>
      <c r="D1077">
        <v>783.5</v>
      </c>
    </row>
    <row r="1078" spans="1:5" x14ac:dyDescent="0.2">
      <c r="A1078" s="81">
        <v>32559</v>
      </c>
      <c r="D1078">
        <v>783.5</v>
      </c>
    </row>
    <row r="1079" spans="1:5" x14ac:dyDescent="0.2">
      <c r="A1079" s="81">
        <v>32566</v>
      </c>
      <c r="D1079">
        <v>783.4</v>
      </c>
    </row>
    <row r="1080" spans="1:5" x14ac:dyDescent="0.2">
      <c r="A1080" s="81">
        <v>32568</v>
      </c>
      <c r="B1080">
        <v>640.79999999999995</v>
      </c>
      <c r="C1080">
        <v>2454.6999999999998</v>
      </c>
      <c r="E1080">
        <v>2999.7</v>
      </c>
    </row>
    <row r="1081" spans="1:5" x14ac:dyDescent="0.2">
      <c r="A1081" s="81">
        <v>32573</v>
      </c>
      <c r="D1081">
        <v>787.1</v>
      </c>
    </row>
    <row r="1082" spans="1:5" x14ac:dyDescent="0.2">
      <c r="A1082" s="81">
        <v>32580</v>
      </c>
      <c r="D1082">
        <v>782.6</v>
      </c>
    </row>
    <row r="1083" spans="1:5" x14ac:dyDescent="0.2">
      <c r="A1083" s="81">
        <v>32587</v>
      </c>
      <c r="D1083">
        <v>783.2</v>
      </c>
    </row>
    <row r="1084" spans="1:5" x14ac:dyDescent="0.2">
      <c r="A1084" s="81">
        <v>32594</v>
      </c>
      <c r="D1084">
        <v>783</v>
      </c>
    </row>
    <row r="1085" spans="1:5" x14ac:dyDescent="0.2">
      <c r="A1085" s="81">
        <v>32599</v>
      </c>
      <c r="B1085">
        <v>633</v>
      </c>
      <c r="C1085">
        <v>2441.9</v>
      </c>
      <c r="E1085">
        <v>3006</v>
      </c>
    </row>
    <row r="1086" spans="1:5" x14ac:dyDescent="0.2">
      <c r="A1086" s="81">
        <v>32601</v>
      </c>
      <c r="D1086">
        <v>777.4</v>
      </c>
    </row>
    <row r="1087" spans="1:5" x14ac:dyDescent="0.2">
      <c r="A1087" s="81">
        <v>32608</v>
      </c>
      <c r="D1087">
        <v>776.5</v>
      </c>
    </row>
    <row r="1088" spans="1:5" x14ac:dyDescent="0.2">
      <c r="A1088" s="81">
        <v>32615</v>
      </c>
      <c r="D1088">
        <v>776.9</v>
      </c>
    </row>
    <row r="1089" spans="1:5" x14ac:dyDescent="0.2">
      <c r="A1089" s="81">
        <v>32622</v>
      </c>
      <c r="D1089">
        <v>782.3</v>
      </c>
    </row>
    <row r="1090" spans="1:5" x14ac:dyDescent="0.2">
      <c r="A1090" s="81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5" x14ac:dyDescent="0.2">
      <c r="A1091" s="81">
        <v>32636</v>
      </c>
      <c r="D1091">
        <v>775.1</v>
      </c>
    </row>
    <row r="1092" spans="1:5" x14ac:dyDescent="0.2">
      <c r="A1092" s="81">
        <v>32643</v>
      </c>
      <c r="D1092">
        <v>775.7</v>
      </c>
    </row>
    <row r="1093" spans="1:5" x14ac:dyDescent="0.2">
      <c r="A1093" s="81">
        <v>32650</v>
      </c>
      <c r="D1093">
        <v>773.4</v>
      </c>
    </row>
    <row r="1094" spans="1:5" x14ac:dyDescent="0.2">
      <c r="A1094" s="81">
        <v>32657</v>
      </c>
      <c r="D1094">
        <v>774.6</v>
      </c>
    </row>
    <row r="1095" spans="1:5" x14ac:dyDescent="0.2">
      <c r="A1095" s="81">
        <v>32660</v>
      </c>
      <c r="B1095">
        <v>623.29999999999995</v>
      </c>
      <c r="C1095">
        <v>2439.9</v>
      </c>
      <c r="E1095">
        <v>3027.9</v>
      </c>
    </row>
    <row r="1096" spans="1:5" x14ac:dyDescent="0.2">
      <c r="A1096" s="81">
        <v>32664</v>
      </c>
      <c r="D1096">
        <v>775.3</v>
      </c>
    </row>
    <row r="1097" spans="1:5" x14ac:dyDescent="0.2">
      <c r="A1097" s="81">
        <v>32671</v>
      </c>
      <c r="D1097">
        <v>772.5</v>
      </c>
    </row>
    <row r="1098" spans="1:5" x14ac:dyDescent="0.2">
      <c r="A1098" s="81">
        <v>32678</v>
      </c>
      <c r="D1098">
        <v>772.7</v>
      </c>
    </row>
    <row r="1099" spans="1:5" x14ac:dyDescent="0.2">
      <c r="A1099" s="81">
        <v>32685</v>
      </c>
      <c r="D1099">
        <v>773.6</v>
      </c>
    </row>
    <row r="1100" spans="1:5" x14ac:dyDescent="0.2">
      <c r="A1100" s="81">
        <v>32690</v>
      </c>
      <c r="B1100">
        <v>624.70000000000005</v>
      </c>
      <c r="C1100">
        <v>2451.6999999999998</v>
      </c>
      <c r="E1100">
        <v>3052.4</v>
      </c>
    </row>
    <row r="1101" spans="1:5" x14ac:dyDescent="0.2">
      <c r="A1101" s="81">
        <v>32692</v>
      </c>
      <c r="D1101">
        <v>774.3</v>
      </c>
    </row>
    <row r="1102" spans="1:5" x14ac:dyDescent="0.2">
      <c r="A1102" s="81">
        <v>32699</v>
      </c>
      <c r="D1102">
        <v>779.1</v>
      </c>
    </row>
    <row r="1103" spans="1:5" x14ac:dyDescent="0.2">
      <c r="A1103" s="81">
        <v>32706</v>
      </c>
      <c r="D1103">
        <v>777.9</v>
      </c>
    </row>
    <row r="1104" spans="1:5" x14ac:dyDescent="0.2">
      <c r="A1104" s="81">
        <v>32713</v>
      </c>
      <c r="D1104">
        <v>778.1</v>
      </c>
    </row>
    <row r="1105" spans="1:5" x14ac:dyDescent="0.2">
      <c r="A1105" s="81">
        <v>32720</v>
      </c>
      <c r="D1105">
        <v>777.3</v>
      </c>
    </row>
    <row r="1106" spans="1:5" x14ac:dyDescent="0.2">
      <c r="A1106" s="81">
        <v>32721</v>
      </c>
      <c r="B1106">
        <v>626</v>
      </c>
      <c r="C1106">
        <v>2469.4</v>
      </c>
      <c r="E1106">
        <v>3074.4</v>
      </c>
    </row>
    <row r="1107" spans="1:5" x14ac:dyDescent="0.2">
      <c r="A1107" s="81">
        <v>32727</v>
      </c>
      <c r="D1107">
        <v>778.4</v>
      </c>
    </row>
    <row r="1108" spans="1:5" x14ac:dyDescent="0.2">
      <c r="A1108" s="81">
        <v>32734</v>
      </c>
      <c r="D1108">
        <v>779</v>
      </c>
    </row>
    <row r="1109" spans="1:5" x14ac:dyDescent="0.2">
      <c r="A1109" s="81">
        <v>32741</v>
      </c>
      <c r="D1109">
        <v>780.9</v>
      </c>
    </row>
    <row r="1110" spans="1:5" x14ac:dyDescent="0.2">
      <c r="A1110" s="81">
        <v>32748</v>
      </c>
      <c r="D1110">
        <v>779.9</v>
      </c>
    </row>
    <row r="1111" spans="1:5" x14ac:dyDescent="0.2">
      <c r="A1111" s="81">
        <v>32752</v>
      </c>
      <c r="B1111">
        <v>625.79999999999995</v>
      </c>
      <c r="C1111">
        <v>2478</v>
      </c>
      <c r="E1111">
        <v>3092.5</v>
      </c>
    </row>
    <row r="1112" spans="1:5" x14ac:dyDescent="0.2">
      <c r="A1112" s="81">
        <v>32755</v>
      </c>
      <c r="D1112">
        <v>777.8</v>
      </c>
    </row>
    <row r="1113" spans="1:5" x14ac:dyDescent="0.2">
      <c r="A1113" s="81">
        <v>32762</v>
      </c>
      <c r="D1113">
        <v>781.9</v>
      </c>
    </row>
    <row r="1114" spans="1:5" x14ac:dyDescent="0.2">
      <c r="A1114" s="81">
        <v>32769</v>
      </c>
      <c r="D1114">
        <v>780.2</v>
      </c>
    </row>
    <row r="1115" spans="1:5" x14ac:dyDescent="0.2">
      <c r="A1115" s="81">
        <v>32776</v>
      </c>
      <c r="D1115">
        <v>781.2</v>
      </c>
    </row>
    <row r="1116" spans="1:5" x14ac:dyDescent="0.2">
      <c r="A1116" s="81">
        <v>32782</v>
      </c>
      <c r="B1116">
        <v>627.29999999999995</v>
      </c>
      <c r="C1116">
        <v>2483.3000000000002</v>
      </c>
      <c r="E1116">
        <v>3114.1</v>
      </c>
    </row>
    <row r="1117" spans="1:5" x14ac:dyDescent="0.2">
      <c r="A1117" s="81">
        <v>32783</v>
      </c>
      <c r="D1117">
        <v>783.5</v>
      </c>
    </row>
    <row r="1118" spans="1:5" x14ac:dyDescent="0.2">
      <c r="A1118" s="81">
        <v>32790</v>
      </c>
      <c r="D1118">
        <v>785.2</v>
      </c>
    </row>
    <row r="1119" spans="1:5" x14ac:dyDescent="0.2">
      <c r="A1119" s="81">
        <v>32797</v>
      </c>
      <c r="D1119">
        <v>788.7</v>
      </c>
    </row>
    <row r="1120" spans="1:5" x14ac:dyDescent="0.2">
      <c r="A1120" s="81">
        <v>32804</v>
      </c>
      <c r="D1120">
        <v>787.4</v>
      </c>
    </row>
    <row r="1121" spans="1:5" x14ac:dyDescent="0.2">
      <c r="A1121" s="81">
        <v>32811</v>
      </c>
      <c r="D1121">
        <v>785.8</v>
      </c>
    </row>
    <row r="1122" spans="1:5" x14ac:dyDescent="0.2">
      <c r="A1122" s="81">
        <v>32813</v>
      </c>
      <c r="B1122">
        <v>625.79999999999995</v>
      </c>
      <c r="C1122">
        <v>2488.6999999999998</v>
      </c>
      <c r="E1122">
        <v>3133.3</v>
      </c>
    </row>
    <row r="1123" spans="1:5" x14ac:dyDescent="0.2">
      <c r="A1123" s="81">
        <v>32818</v>
      </c>
      <c r="D1123">
        <v>787</v>
      </c>
    </row>
    <row r="1124" spans="1:5" x14ac:dyDescent="0.2">
      <c r="A1124" s="81">
        <v>32825</v>
      </c>
      <c r="D1124">
        <v>785.9</v>
      </c>
    </row>
    <row r="1125" spans="1:5" x14ac:dyDescent="0.2">
      <c r="A1125" s="81">
        <v>32832</v>
      </c>
      <c r="D1125">
        <v>787.6</v>
      </c>
    </row>
    <row r="1126" spans="1:5" x14ac:dyDescent="0.2">
      <c r="A1126" s="81">
        <v>32839</v>
      </c>
      <c r="D1126">
        <v>790.7</v>
      </c>
    </row>
    <row r="1127" spans="1:5" x14ac:dyDescent="0.2">
      <c r="A1127" s="81">
        <v>32843</v>
      </c>
      <c r="B1127">
        <v>627.79999999999995</v>
      </c>
      <c r="C1127">
        <v>2496</v>
      </c>
      <c r="E1127">
        <v>3152.5</v>
      </c>
    </row>
    <row r="1128" spans="1:5" x14ac:dyDescent="0.2">
      <c r="A1128" s="81">
        <v>32846</v>
      </c>
      <c r="D1128">
        <v>789</v>
      </c>
    </row>
    <row r="1129" spans="1:5" x14ac:dyDescent="0.2">
      <c r="A1129" s="81">
        <v>32853</v>
      </c>
      <c r="D1129">
        <v>789.8</v>
      </c>
    </row>
    <row r="1130" spans="1:5" x14ac:dyDescent="0.2">
      <c r="A1130" s="81">
        <v>32860</v>
      </c>
      <c r="D1130">
        <v>790.7</v>
      </c>
    </row>
    <row r="1131" spans="1:5" x14ac:dyDescent="0.2">
      <c r="A1131" s="81">
        <v>32867</v>
      </c>
      <c r="D1131">
        <v>794.9</v>
      </c>
    </row>
    <row r="1132" spans="1:5" x14ac:dyDescent="0.2">
      <c r="A1132" s="81">
        <v>32874</v>
      </c>
      <c r="B1132">
        <v>623.79999999999995</v>
      </c>
      <c r="C1132">
        <v>2483.8000000000002</v>
      </c>
      <c r="D1132">
        <v>798.3</v>
      </c>
      <c r="E1132">
        <v>3166.8</v>
      </c>
    </row>
    <row r="1133" spans="1:5" x14ac:dyDescent="0.2">
      <c r="A1133" s="81">
        <v>32881</v>
      </c>
      <c r="D1133">
        <v>793.6</v>
      </c>
    </row>
    <row r="1134" spans="1:5" x14ac:dyDescent="0.2">
      <c r="A1134" s="81">
        <v>32888</v>
      </c>
      <c r="D1134">
        <v>796.5</v>
      </c>
    </row>
    <row r="1135" spans="1:5" x14ac:dyDescent="0.2">
      <c r="A1135" s="81">
        <v>32895</v>
      </c>
      <c r="D1135">
        <v>795.1</v>
      </c>
    </row>
    <row r="1136" spans="1:5" x14ac:dyDescent="0.2">
      <c r="A1136" s="81">
        <v>32902</v>
      </c>
      <c r="D1136">
        <v>793.8</v>
      </c>
    </row>
    <row r="1137" spans="1:5" x14ac:dyDescent="0.2">
      <c r="A1137" s="81">
        <v>32905</v>
      </c>
      <c r="B1137">
        <v>623.5</v>
      </c>
      <c r="C1137">
        <v>2483.8000000000002</v>
      </c>
      <c r="E1137">
        <v>3179.2</v>
      </c>
    </row>
    <row r="1138" spans="1:5" x14ac:dyDescent="0.2">
      <c r="A1138" s="81">
        <v>32909</v>
      </c>
      <c r="D1138">
        <v>797.1</v>
      </c>
    </row>
    <row r="1139" spans="1:5" x14ac:dyDescent="0.2">
      <c r="A1139" s="81">
        <v>32916</v>
      </c>
      <c r="D1139">
        <v>796.3</v>
      </c>
    </row>
    <row r="1140" spans="1:5" x14ac:dyDescent="0.2">
      <c r="A1140" s="81">
        <v>32923</v>
      </c>
      <c r="D1140">
        <v>796.3</v>
      </c>
    </row>
    <row r="1141" spans="1:5" x14ac:dyDescent="0.2">
      <c r="A1141" s="81">
        <v>32930</v>
      </c>
      <c r="D1141">
        <v>799.8</v>
      </c>
    </row>
    <row r="1142" spans="1:5" x14ac:dyDescent="0.2">
      <c r="A1142" s="81">
        <v>32933</v>
      </c>
      <c r="B1142">
        <v>623.29999999999995</v>
      </c>
      <c r="C1142">
        <v>2480.6</v>
      </c>
      <c r="E1142">
        <v>3190.1</v>
      </c>
    </row>
    <row r="1143" spans="1:5" x14ac:dyDescent="0.2">
      <c r="A1143" s="81">
        <v>32937</v>
      </c>
      <c r="D1143">
        <v>801.6</v>
      </c>
    </row>
    <row r="1144" spans="1:5" x14ac:dyDescent="0.2">
      <c r="A1144" s="81">
        <v>32944</v>
      </c>
      <c r="D1144">
        <v>799.7</v>
      </c>
    </row>
    <row r="1145" spans="1:5" x14ac:dyDescent="0.2">
      <c r="A1145" s="81">
        <v>32951</v>
      </c>
      <c r="D1145">
        <v>799.6</v>
      </c>
    </row>
    <row r="1146" spans="1:5" x14ac:dyDescent="0.2">
      <c r="A1146" s="81">
        <v>32958</v>
      </c>
      <c r="D1146">
        <v>802.5</v>
      </c>
    </row>
    <row r="1147" spans="1:5" x14ac:dyDescent="0.2">
      <c r="A1147" s="81">
        <v>32964</v>
      </c>
      <c r="B1147">
        <v>625.4</v>
      </c>
      <c r="C1147">
        <v>2483.8000000000002</v>
      </c>
      <c r="E1147">
        <v>3201.6</v>
      </c>
    </row>
    <row r="1148" spans="1:5" x14ac:dyDescent="0.2">
      <c r="A1148" s="81">
        <v>32965</v>
      </c>
      <c r="D1148">
        <v>802.4</v>
      </c>
    </row>
    <row r="1149" spans="1:5" x14ac:dyDescent="0.2">
      <c r="A1149" s="81">
        <v>32972</v>
      </c>
      <c r="D1149">
        <v>804.3</v>
      </c>
    </row>
    <row r="1150" spans="1:5" x14ac:dyDescent="0.2">
      <c r="A1150" s="81">
        <v>32979</v>
      </c>
      <c r="D1150">
        <v>807</v>
      </c>
    </row>
    <row r="1151" spans="1:5" x14ac:dyDescent="0.2">
      <c r="A1151" s="81">
        <v>32986</v>
      </c>
      <c r="D1151">
        <v>807.2</v>
      </c>
    </row>
    <row r="1152" spans="1:5" x14ac:dyDescent="0.2">
      <c r="A1152" s="81">
        <v>32993</v>
      </c>
      <c r="D1152">
        <v>806.5</v>
      </c>
    </row>
    <row r="1153" spans="1:5" x14ac:dyDescent="0.2">
      <c r="A1153" s="81">
        <v>32994</v>
      </c>
      <c r="B1153">
        <v>622.9</v>
      </c>
      <c r="C1153">
        <v>2479.1999999999998</v>
      </c>
      <c r="E1153">
        <v>3200.6</v>
      </c>
    </row>
    <row r="1154" spans="1:5" x14ac:dyDescent="0.2">
      <c r="A1154" s="81">
        <v>33000</v>
      </c>
      <c r="D1154">
        <v>803</v>
      </c>
    </row>
    <row r="1155" spans="1:5" x14ac:dyDescent="0.2">
      <c r="A1155" s="81">
        <v>33007</v>
      </c>
      <c r="D1155">
        <v>802.9</v>
      </c>
    </row>
    <row r="1156" spans="1:5" x14ac:dyDescent="0.2">
      <c r="A1156" s="81">
        <v>33014</v>
      </c>
      <c r="D1156">
        <v>806.2</v>
      </c>
    </row>
    <row r="1157" spans="1:5" x14ac:dyDescent="0.2">
      <c r="A1157" s="81">
        <v>33021</v>
      </c>
      <c r="D1157">
        <v>804.9</v>
      </c>
    </row>
    <row r="1158" spans="1:5" x14ac:dyDescent="0.2">
      <c r="A1158" s="81">
        <v>33025</v>
      </c>
      <c r="B1158">
        <v>622.6</v>
      </c>
      <c r="C1158">
        <v>2474</v>
      </c>
      <c r="E1158">
        <v>3213.7</v>
      </c>
    </row>
    <row r="1159" spans="1:5" x14ac:dyDescent="0.2">
      <c r="A1159" s="81">
        <v>33028</v>
      </c>
      <c r="D1159">
        <v>807.1</v>
      </c>
    </row>
    <row r="1160" spans="1:5" x14ac:dyDescent="0.2">
      <c r="A1160" s="81">
        <v>33035</v>
      </c>
      <c r="D1160">
        <v>807.7</v>
      </c>
    </row>
    <row r="1161" spans="1:5" x14ac:dyDescent="0.2">
      <c r="A1161" s="81">
        <v>33042</v>
      </c>
      <c r="D1161">
        <v>807.3</v>
      </c>
    </row>
    <row r="1162" spans="1:5" x14ac:dyDescent="0.2">
      <c r="A1162" s="81">
        <v>33049</v>
      </c>
      <c r="D1162">
        <v>810.3</v>
      </c>
    </row>
    <row r="1163" spans="1:5" x14ac:dyDescent="0.2">
      <c r="A1163" s="81">
        <v>33055</v>
      </c>
      <c r="B1163">
        <v>620.79999999999995</v>
      </c>
      <c r="C1163">
        <v>2470.9</v>
      </c>
      <c r="E1163">
        <v>3224.5</v>
      </c>
    </row>
    <row r="1164" spans="1:5" x14ac:dyDescent="0.2">
      <c r="A1164" s="81">
        <v>33056</v>
      </c>
      <c r="D1164">
        <v>813.2</v>
      </c>
    </row>
    <row r="1165" spans="1:5" x14ac:dyDescent="0.2">
      <c r="A1165" s="81">
        <v>33063</v>
      </c>
      <c r="D1165">
        <v>808.1</v>
      </c>
    </row>
    <row r="1166" spans="1:5" x14ac:dyDescent="0.2">
      <c r="A1166" s="81">
        <v>33070</v>
      </c>
      <c r="D1166">
        <v>811.3</v>
      </c>
    </row>
    <row r="1167" spans="1:5" x14ac:dyDescent="0.2">
      <c r="A1167" s="81">
        <v>33077</v>
      </c>
      <c r="D1167">
        <v>809.3</v>
      </c>
    </row>
    <row r="1168" spans="1:5" x14ac:dyDescent="0.2">
      <c r="A1168" s="81">
        <v>33084</v>
      </c>
      <c r="D1168">
        <v>810.8</v>
      </c>
    </row>
    <row r="1169" spans="1:5" x14ac:dyDescent="0.2">
      <c r="A1169" s="81">
        <v>33086</v>
      </c>
      <c r="B1169">
        <v>619.79999999999995</v>
      </c>
      <c r="C1169">
        <v>2463.5</v>
      </c>
      <c r="E1169">
        <v>3242</v>
      </c>
    </row>
    <row r="1170" spans="1:5" x14ac:dyDescent="0.2">
      <c r="A1170" s="81">
        <v>33091</v>
      </c>
      <c r="D1170">
        <v>811.9</v>
      </c>
    </row>
    <row r="1171" spans="1:5" x14ac:dyDescent="0.2">
      <c r="A1171" s="81">
        <v>33098</v>
      </c>
      <c r="D1171">
        <v>816.1</v>
      </c>
    </row>
    <row r="1172" spans="1:5" x14ac:dyDescent="0.2">
      <c r="A1172" s="81">
        <v>33105</v>
      </c>
      <c r="D1172">
        <v>817.2</v>
      </c>
    </row>
    <row r="1173" spans="1:5" x14ac:dyDescent="0.2">
      <c r="A1173" s="81">
        <v>33112</v>
      </c>
      <c r="D1173">
        <v>816.2</v>
      </c>
    </row>
    <row r="1174" spans="1:5" x14ac:dyDescent="0.2">
      <c r="A1174" s="81">
        <v>33117</v>
      </c>
      <c r="B1174">
        <v>619</v>
      </c>
      <c r="C1174">
        <v>2456.3000000000002</v>
      </c>
      <c r="E1174">
        <v>3254.6</v>
      </c>
    </row>
    <row r="1175" spans="1:5" x14ac:dyDescent="0.2">
      <c r="A1175" s="81">
        <v>33119</v>
      </c>
      <c r="D1175">
        <v>819</v>
      </c>
    </row>
    <row r="1176" spans="1:5" x14ac:dyDescent="0.2">
      <c r="A1176" s="81">
        <v>33126</v>
      </c>
      <c r="D1176">
        <v>819.8</v>
      </c>
    </row>
    <row r="1177" spans="1:5" x14ac:dyDescent="0.2">
      <c r="A1177" s="81">
        <v>33133</v>
      </c>
      <c r="D1177">
        <v>819.2</v>
      </c>
    </row>
    <row r="1178" spans="1:5" x14ac:dyDescent="0.2">
      <c r="A1178" s="81">
        <v>33140</v>
      </c>
      <c r="D1178">
        <v>820.5</v>
      </c>
    </row>
    <row r="1179" spans="1:5" x14ac:dyDescent="0.2">
      <c r="A1179" s="81">
        <v>33147</v>
      </c>
      <c r="B1179">
        <v>614.6</v>
      </c>
      <c r="C1179">
        <v>2443.3000000000002</v>
      </c>
      <c r="D1179">
        <v>823.3</v>
      </c>
      <c r="E1179">
        <v>3259.3</v>
      </c>
    </row>
    <row r="1180" spans="1:5" x14ac:dyDescent="0.2">
      <c r="A1180" s="81">
        <v>33154</v>
      </c>
      <c r="D1180">
        <v>820.5</v>
      </c>
    </row>
    <row r="1181" spans="1:5" x14ac:dyDescent="0.2">
      <c r="A1181" s="81">
        <v>33161</v>
      </c>
      <c r="D1181">
        <v>820.7</v>
      </c>
    </row>
    <row r="1182" spans="1:5" x14ac:dyDescent="0.2">
      <c r="A1182" s="81">
        <v>33168</v>
      </c>
      <c r="D1182">
        <v>817.2</v>
      </c>
    </row>
    <row r="1183" spans="1:5" x14ac:dyDescent="0.2">
      <c r="A1183" s="81">
        <v>33175</v>
      </c>
      <c r="D1183">
        <v>820</v>
      </c>
    </row>
    <row r="1184" spans="1:5" x14ac:dyDescent="0.2">
      <c r="A1184" s="81">
        <v>33178</v>
      </c>
      <c r="B1184">
        <v>614.9</v>
      </c>
      <c r="C1184">
        <v>2440.1999999999998</v>
      </c>
      <c r="E1184">
        <v>3262.6</v>
      </c>
    </row>
    <row r="1185" spans="1:5" x14ac:dyDescent="0.2">
      <c r="A1185" s="81">
        <v>33182</v>
      </c>
      <c r="D1185">
        <v>822</v>
      </c>
    </row>
    <row r="1186" spans="1:5" x14ac:dyDescent="0.2">
      <c r="A1186" s="81">
        <v>33189</v>
      </c>
      <c r="D1186">
        <v>822</v>
      </c>
    </row>
    <row r="1187" spans="1:5" x14ac:dyDescent="0.2">
      <c r="A1187" s="81">
        <v>33196</v>
      </c>
      <c r="D1187">
        <v>823.4</v>
      </c>
    </row>
    <row r="1188" spans="1:5" x14ac:dyDescent="0.2">
      <c r="A1188" s="81">
        <v>33203</v>
      </c>
      <c r="D1188">
        <v>824.5</v>
      </c>
    </row>
    <row r="1189" spans="1:5" x14ac:dyDescent="0.2">
      <c r="A1189" s="81">
        <v>33208</v>
      </c>
      <c r="B1189">
        <v>614.5</v>
      </c>
      <c r="C1189">
        <v>2438</v>
      </c>
      <c r="E1189">
        <v>3271.8</v>
      </c>
    </row>
    <row r="1190" spans="1:5" x14ac:dyDescent="0.2">
      <c r="A1190" s="81">
        <v>33210</v>
      </c>
      <c r="D1190">
        <v>815.3</v>
      </c>
    </row>
    <row r="1191" spans="1:5" x14ac:dyDescent="0.2">
      <c r="A1191" s="81">
        <v>33217</v>
      </c>
      <c r="D1191">
        <v>821.8</v>
      </c>
    </row>
    <row r="1192" spans="1:5" x14ac:dyDescent="0.2">
      <c r="A1192" s="81">
        <v>33224</v>
      </c>
      <c r="D1192">
        <v>824.2</v>
      </c>
    </row>
    <row r="1193" spans="1:5" x14ac:dyDescent="0.2">
      <c r="A1193" s="81">
        <v>33231</v>
      </c>
      <c r="D1193">
        <v>828.1</v>
      </c>
    </row>
    <row r="1194" spans="1:5" x14ac:dyDescent="0.2">
      <c r="A1194" s="81">
        <v>33238</v>
      </c>
      <c r="D1194">
        <v>828.9</v>
      </c>
    </row>
    <row r="1195" spans="1:5" x14ac:dyDescent="0.2">
      <c r="A1195" s="81">
        <v>33239</v>
      </c>
      <c r="B1195">
        <v>614.1</v>
      </c>
      <c r="C1195">
        <v>2440.8000000000002</v>
      </c>
      <c r="E1195">
        <v>3287.7</v>
      </c>
    </row>
    <row r="1196" spans="1:5" x14ac:dyDescent="0.2">
      <c r="A1196" s="81">
        <v>33245</v>
      </c>
      <c r="D1196">
        <v>826.6</v>
      </c>
    </row>
    <row r="1197" spans="1:5" x14ac:dyDescent="0.2">
      <c r="A1197" s="81">
        <v>33252</v>
      </c>
      <c r="D1197">
        <v>825.7</v>
      </c>
    </row>
    <row r="1198" spans="1:5" x14ac:dyDescent="0.2">
      <c r="A1198" s="81">
        <v>33259</v>
      </c>
      <c r="D1198">
        <v>826.2</v>
      </c>
    </row>
    <row r="1199" spans="1:5" x14ac:dyDescent="0.2">
      <c r="A1199" s="81">
        <v>33266</v>
      </c>
      <c r="D1199">
        <v>828.4</v>
      </c>
    </row>
    <row r="1200" spans="1:5" x14ac:dyDescent="0.2">
      <c r="A1200" s="81">
        <v>33270</v>
      </c>
      <c r="B1200">
        <v>617.70000000000005</v>
      </c>
      <c r="C1200">
        <v>2451.4</v>
      </c>
      <c r="E1200">
        <v>3304.5</v>
      </c>
    </row>
    <row r="1201" spans="1:5" x14ac:dyDescent="0.2">
      <c r="A1201" s="81">
        <v>33273</v>
      </c>
      <c r="D1201">
        <v>830.9</v>
      </c>
    </row>
    <row r="1202" spans="1:5" x14ac:dyDescent="0.2">
      <c r="A1202" s="81">
        <v>33280</v>
      </c>
      <c r="D1202">
        <v>833.5</v>
      </c>
    </row>
    <row r="1203" spans="1:5" x14ac:dyDescent="0.2">
      <c r="A1203" s="81">
        <v>33287</v>
      </c>
      <c r="D1203">
        <v>832.4</v>
      </c>
    </row>
    <row r="1204" spans="1:5" x14ac:dyDescent="0.2">
      <c r="A1204" s="81">
        <v>33294</v>
      </c>
      <c r="D1204">
        <v>832</v>
      </c>
    </row>
    <row r="1205" spans="1:5" x14ac:dyDescent="0.2">
      <c r="A1205" s="81">
        <v>33298</v>
      </c>
      <c r="B1205">
        <v>622.20000000000005</v>
      </c>
      <c r="C1205">
        <v>2464.3000000000002</v>
      </c>
      <c r="E1205">
        <v>3321.9</v>
      </c>
    </row>
    <row r="1206" spans="1:5" x14ac:dyDescent="0.2">
      <c r="A1206" s="81">
        <v>33301</v>
      </c>
      <c r="D1206">
        <v>834.6</v>
      </c>
    </row>
    <row r="1207" spans="1:5" x14ac:dyDescent="0.2">
      <c r="A1207" s="81">
        <v>33308</v>
      </c>
      <c r="D1207">
        <v>836.5</v>
      </c>
    </row>
    <row r="1208" spans="1:5" x14ac:dyDescent="0.2">
      <c r="A1208" s="81">
        <v>33315</v>
      </c>
      <c r="D1208">
        <v>836</v>
      </c>
    </row>
    <row r="1209" spans="1:5" x14ac:dyDescent="0.2">
      <c r="A1209" s="81">
        <v>33322</v>
      </c>
      <c r="D1209">
        <v>840.2</v>
      </c>
    </row>
    <row r="1210" spans="1:5" x14ac:dyDescent="0.2">
      <c r="A1210" s="81">
        <v>33329</v>
      </c>
      <c r="B1210">
        <v>624.1</v>
      </c>
      <c r="C1210">
        <v>2466.6</v>
      </c>
      <c r="D1210">
        <v>845.5</v>
      </c>
      <c r="E1210">
        <v>3332.4</v>
      </c>
    </row>
    <row r="1211" spans="1:5" x14ac:dyDescent="0.2">
      <c r="A1211" s="81">
        <v>33336</v>
      </c>
      <c r="D1211">
        <v>842.7</v>
      </c>
    </row>
    <row r="1212" spans="1:5" x14ac:dyDescent="0.2">
      <c r="A1212" s="81">
        <v>33343</v>
      </c>
      <c r="D1212">
        <v>845</v>
      </c>
    </row>
    <row r="1213" spans="1:5" x14ac:dyDescent="0.2">
      <c r="A1213" s="81">
        <v>33350</v>
      </c>
      <c r="D1213">
        <v>842.6</v>
      </c>
    </row>
    <row r="1214" spans="1:5" x14ac:dyDescent="0.2">
      <c r="A1214" s="81">
        <v>33357</v>
      </c>
      <c r="D1214">
        <v>841.2</v>
      </c>
    </row>
    <row r="1215" spans="1:5" x14ac:dyDescent="0.2">
      <c r="A1215" s="81">
        <v>33359</v>
      </c>
      <c r="B1215">
        <v>626</v>
      </c>
      <c r="C1215">
        <v>2465.3000000000002</v>
      </c>
      <c r="E1215">
        <v>3343</v>
      </c>
    </row>
    <row r="1216" spans="1:5" x14ac:dyDescent="0.2">
      <c r="A1216" s="81">
        <v>33364</v>
      </c>
      <c r="D1216">
        <v>846.4</v>
      </c>
    </row>
    <row r="1217" spans="1:5" x14ac:dyDescent="0.2">
      <c r="A1217" s="81">
        <v>33371</v>
      </c>
      <c r="D1217">
        <v>848.3</v>
      </c>
    </row>
    <row r="1218" spans="1:5" x14ac:dyDescent="0.2">
      <c r="A1218" s="81">
        <v>33378</v>
      </c>
      <c r="D1218">
        <v>850.8</v>
      </c>
    </row>
    <row r="1219" spans="1:5" x14ac:dyDescent="0.2">
      <c r="A1219" s="81">
        <v>33385</v>
      </c>
      <c r="D1219">
        <v>849.7</v>
      </c>
    </row>
    <row r="1220" spans="1:5" x14ac:dyDescent="0.2">
      <c r="A1220" s="81">
        <v>33390</v>
      </c>
      <c r="B1220">
        <v>629.9</v>
      </c>
      <c r="C1220">
        <v>2464.6</v>
      </c>
      <c r="E1220">
        <v>3351.9</v>
      </c>
    </row>
    <row r="1221" spans="1:5" x14ac:dyDescent="0.2">
      <c r="A1221" s="81">
        <v>33392</v>
      </c>
      <c r="D1221">
        <v>848.1</v>
      </c>
    </row>
    <row r="1222" spans="1:5" x14ac:dyDescent="0.2">
      <c r="A1222" s="81">
        <v>33399</v>
      </c>
      <c r="D1222">
        <v>855.6</v>
      </c>
    </row>
    <row r="1223" spans="1:5" x14ac:dyDescent="0.2">
      <c r="A1223" s="81">
        <v>33406</v>
      </c>
      <c r="D1223">
        <v>856.5</v>
      </c>
    </row>
    <row r="1224" spans="1:5" x14ac:dyDescent="0.2">
      <c r="A1224" s="81">
        <v>33413</v>
      </c>
      <c r="D1224">
        <v>856.1</v>
      </c>
    </row>
    <row r="1225" spans="1:5" x14ac:dyDescent="0.2">
      <c r="A1225" s="81">
        <v>33420</v>
      </c>
      <c r="B1225">
        <v>632.6</v>
      </c>
      <c r="C1225">
        <v>2464.1</v>
      </c>
      <c r="D1225">
        <v>863.2</v>
      </c>
      <c r="E1225">
        <v>3356.1</v>
      </c>
    </row>
    <row r="1226" spans="1:5" x14ac:dyDescent="0.2">
      <c r="A1226" s="81">
        <v>33427</v>
      </c>
      <c r="D1226">
        <v>859.5</v>
      </c>
    </row>
    <row r="1227" spans="1:5" x14ac:dyDescent="0.2">
      <c r="A1227" s="81">
        <v>33434</v>
      </c>
      <c r="D1227">
        <v>861.4</v>
      </c>
    </row>
    <row r="1228" spans="1:5" x14ac:dyDescent="0.2">
      <c r="A1228" s="81">
        <v>33441</v>
      </c>
      <c r="D1228">
        <v>861.1</v>
      </c>
    </row>
    <row r="1229" spans="1:5" x14ac:dyDescent="0.2">
      <c r="A1229" s="81">
        <v>33448</v>
      </c>
      <c r="D1229">
        <v>862.7</v>
      </c>
    </row>
    <row r="1230" spans="1:5" x14ac:dyDescent="0.2">
      <c r="A1230" s="81">
        <v>33451</v>
      </c>
      <c r="B1230">
        <v>634.6</v>
      </c>
      <c r="C1230">
        <v>2456.1</v>
      </c>
      <c r="E1230">
        <v>3355</v>
      </c>
    </row>
    <row r="1231" spans="1:5" x14ac:dyDescent="0.2">
      <c r="A1231" s="81">
        <v>33455</v>
      </c>
      <c r="D1231">
        <v>866.3</v>
      </c>
    </row>
    <row r="1232" spans="1:5" x14ac:dyDescent="0.2">
      <c r="A1232" s="81">
        <v>33462</v>
      </c>
      <c r="D1232">
        <v>865.3</v>
      </c>
    </row>
    <row r="1233" spans="1:5" x14ac:dyDescent="0.2">
      <c r="A1233" s="81">
        <v>33469</v>
      </c>
      <c r="D1233">
        <v>865</v>
      </c>
    </row>
    <row r="1234" spans="1:5" x14ac:dyDescent="0.2">
      <c r="A1234" s="81">
        <v>33476</v>
      </c>
      <c r="D1234">
        <v>869.1</v>
      </c>
    </row>
    <row r="1235" spans="1:5" x14ac:dyDescent="0.2">
      <c r="A1235" s="81">
        <v>33482</v>
      </c>
      <c r="B1235">
        <v>634.79999999999995</v>
      </c>
      <c r="C1235">
        <v>2448.8000000000002</v>
      </c>
      <c r="E1235">
        <v>3354.9</v>
      </c>
    </row>
    <row r="1236" spans="1:5" x14ac:dyDescent="0.2">
      <c r="A1236" s="81">
        <v>33483</v>
      </c>
      <c r="D1236">
        <v>868.3</v>
      </c>
    </row>
    <row r="1237" spans="1:5" x14ac:dyDescent="0.2">
      <c r="A1237" s="81">
        <v>33490</v>
      </c>
      <c r="D1237">
        <v>870.5</v>
      </c>
    </row>
    <row r="1238" spans="1:5" x14ac:dyDescent="0.2">
      <c r="A1238" s="81">
        <v>33497</v>
      </c>
      <c r="D1238">
        <v>869.8</v>
      </c>
    </row>
    <row r="1239" spans="1:5" x14ac:dyDescent="0.2">
      <c r="A1239" s="81">
        <v>33504</v>
      </c>
      <c r="D1239">
        <v>869.5</v>
      </c>
    </row>
    <row r="1240" spans="1:5" x14ac:dyDescent="0.2">
      <c r="A1240" s="81">
        <v>33511</v>
      </c>
      <c r="D1240">
        <v>871.8</v>
      </c>
    </row>
    <row r="1241" spans="1:5" x14ac:dyDescent="0.2">
      <c r="A1241" s="81">
        <v>33512</v>
      </c>
      <c r="B1241">
        <v>639.9</v>
      </c>
      <c r="C1241">
        <v>2449.1</v>
      </c>
      <c r="E1241">
        <v>3360.1</v>
      </c>
    </row>
    <row r="1242" spans="1:5" x14ac:dyDescent="0.2">
      <c r="A1242" s="81">
        <v>33518</v>
      </c>
      <c r="D1242">
        <v>874.6</v>
      </c>
    </row>
    <row r="1243" spans="1:5" x14ac:dyDescent="0.2">
      <c r="A1243" s="81">
        <v>33525</v>
      </c>
      <c r="D1243">
        <v>875.4</v>
      </c>
    </row>
    <row r="1244" spans="1:5" x14ac:dyDescent="0.2">
      <c r="A1244" s="81">
        <v>33532</v>
      </c>
      <c r="D1244">
        <v>879.5</v>
      </c>
    </row>
    <row r="1245" spans="1:5" x14ac:dyDescent="0.2">
      <c r="A1245" s="81">
        <v>33539</v>
      </c>
      <c r="D1245">
        <v>880.8</v>
      </c>
    </row>
    <row r="1246" spans="1:5" x14ac:dyDescent="0.2">
      <c r="A1246" s="81">
        <v>33543</v>
      </c>
      <c r="B1246">
        <v>644.1</v>
      </c>
      <c r="C1246">
        <v>2442.3000000000002</v>
      </c>
      <c r="E1246">
        <v>3365.5</v>
      </c>
    </row>
    <row r="1247" spans="1:5" x14ac:dyDescent="0.2">
      <c r="A1247" s="81">
        <v>33546</v>
      </c>
      <c r="D1247">
        <v>882.4</v>
      </c>
    </row>
    <row r="1248" spans="1:5" x14ac:dyDescent="0.2">
      <c r="A1248" s="81">
        <v>33553</v>
      </c>
      <c r="D1248">
        <v>885.8</v>
      </c>
    </row>
    <row r="1249" spans="1:5" x14ac:dyDescent="0.2">
      <c r="A1249" s="81">
        <v>33560</v>
      </c>
      <c r="D1249">
        <v>886.6</v>
      </c>
    </row>
    <row r="1250" spans="1:5" x14ac:dyDescent="0.2">
      <c r="A1250" s="81">
        <v>33567</v>
      </c>
      <c r="D1250">
        <v>887.4</v>
      </c>
    </row>
    <row r="1251" spans="1:5" x14ac:dyDescent="0.2">
      <c r="A1251" s="81">
        <v>33573</v>
      </c>
      <c r="B1251">
        <v>649.1</v>
      </c>
      <c r="C1251">
        <v>2440.1</v>
      </c>
      <c r="E1251">
        <v>3372.2</v>
      </c>
    </row>
    <row r="1252" spans="1:5" x14ac:dyDescent="0.2">
      <c r="A1252" s="81">
        <v>33574</v>
      </c>
      <c r="D1252">
        <v>896.1</v>
      </c>
    </row>
    <row r="1253" spans="1:5" x14ac:dyDescent="0.2">
      <c r="A1253" s="81">
        <v>33581</v>
      </c>
      <c r="D1253">
        <v>894.6</v>
      </c>
    </row>
    <row r="1254" spans="1:5" x14ac:dyDescent="0.2">
      <c r="A1254" s="81">
        <v>33588</v>
      </c>
      <c r="D1254">
        <v>897.6</v>
      </c>
    </row>
    <row r="1255" spans="1:5" x14ac:dyDescent="0.2">
      <c r="A1255" s="81">
        <v>33595</v>
      </c>
      <c r="D1255">
        <v>897.6</v>
      </c>
    </row>
    <row r="1256" spans="1:5" x14ac:dyDescent="0.2">
      <c r="A1256" s="81">
        <v>33602</v>
      </c>
      <c r="D1256">
        <v>897.5</v>
      </c>
    </row>
    <row r="1257" spans="1:5" x14ac:dyDescent="0.2">
      <c r="A1257" s="81">
        <v>33604</v>
      </c>
      <c r="B1257">
        <v>658.3</v>
      </c>
      <c r="C1257">
        <v>2444.8000000000002</v>
      </c>
      <c r="E1257">
        <v>3381.2</v>
      </c>
    </row>
    <row r="1258" spans="1:5" x14ac:dyDescent="0.2">
      <c r="A1258" s="81">
        <v>33609</v>
      </c>
      <c r="D1258">
        <v>901.9</v>
      </c>
    </row>
    <row r="1259" spans="1:5" x14ac:dyDescent="0.2">
      <c r="A1259" s="81">
        <v>33616</v>
      </c>
      <c r="D1259">
        <v>906.8</v>
      </c>
    </row>
    <row r="1260" spans="1:5" x14ac:dyDescent="0.2">
      <c r="A1260" s="81">
        <v>33623</v>
      </c>
      <c r="D1260">
        <v>909.3</v>
      </c>
    </row>
    <row r="1261" spans="1:5" x14ac:dyDescent="0.2">
      <c r="A1261" s="81">
        <v>33630</v>
      </c>
      <c r="D1261">
        <v>918.2</v>
      </c>
    </row>
    <row r="1262" spans="1:5" x14ac:dyDescent="0.2">
      <c r="A1262" s="81">
        <v>33635</v>
      </c>
      <c r="B1262">
        <v>667.5</v>
      </c>
      <c r="C1262">
        <v>2453.1</v>
      </c>
      <c r="E1262">
        <v>3400</v>
      </c>
    </row>
    <row r="1263" spans="1:5" x14ac:dyDescent="0.2">
      <c r="A1263" s="81">
        <v>33637</v>
      </c>
      <c r="D1263">
        <v>917.7</v>
      </c>
    </row>
    <row r="1264" spans="1:5" x14ac:dyDescent="0.2">
      <c r="A1264" s="81">
        <v>33644</v>
      </c>
      <c r="D1264">
        <v>923.6</v>
      </c>
    </row>
    <row r="1265" spans="1:5" x14ac:dyDescent="0.2">
      <c r="A1265" s="81">
        <v>33651</v>
      </c>
      <c r="D1265">
        <v>925.4</v>
      </c>
    </row>
    <row r="1266" spans="1:5" x14ac:dyDescent="0.2">
      <c r="A1266" s="81">
        <v>33658</v>
      </c>
      <c r="D1266">
        <v>928.6</v>
      </c>
    </row>
    <row r="1267" spans="1:5" x14ac:dyDescent="0.2">
      <c r="A1267" s="81">
        <v>33664</v>
      </c>
      <c r="B1267">
        <v>673.4</v>
      </c>
      <c r="C1267">
        <v>2447.1</v>
      </c>
      <c r="E1267">
        <v>3403.9</v>
      </c>
    </row>
    <row r="1268" spans="1:5" x14ac:dyDescent="0.2">
      <c r="A1268" s="81">
        <v>33665</v>
      </c>
      <c r="D1268">
        <v>926.9</v>
      </c>
    </row>
    <row r="1269" spans="1:5" x14ac:dyDescent="0.2">
      <c r="A1269" s="81">
        <v>33672</v>
      </c>
      <c r="D1269">
        <v>933.1</v>
      </c>
    </row>
    <row r="1270" spans="1:5" x14ac:dyDescent="0.2">
      <c r="A1270" s="81">
        <v>33679</v>
      </c>
      <c r="D1270">
        <v>938.2</v>
      </c>
    </row>
    <row r="1271" spans="1:5" x14ac:dyDescent="0.2">
      <c r="A1271" s="81">
        <v>33686</v>
      </c>
      <c r="D1271">
        <v>937.9</v>
      </c>
    </row>
    <row r="1272" spans="1:5" x14ac:dyDescent="0.2">
      <c r="A1272" s="81">
        <v>33693</v>
      </c>
      <c r="D1272">
        <v>939.7</v>
      </c>
    </row>
    <row r="1273" spans="1:5" x14ac:dyDescent="0.2">
      <c r="A1273" s="81">
        <v>33695</v>
      </c>
      <c r="B1273">
        <v>677</v>
      </c>
      <c r="C1273">
        <v>2438.8000000000002</v>
      </c>
      <c r="E1273">
        <v>3399.7</v>
      </c>
    </row>
    <row r="1274" spans="1:5" x14ac:dyDescent="0.2">
      <c r="A1274" s="81">
        <v>33700</v>
      </c>
      <c r="D1274">
        <v>941</v>
      </c>
    </row>
    <row r="1275" spans="1:5" x14ac:dyDescent="0.2">
      <c r="A1275" s="81">
        <v>33707</v>
      </c>
      <c r="D1275">
        <v>941.3</v>
      </c>
    </row>
    <row r="1276" spans="1:5" x14ac:dyDescent="0.2">
      <c r="A1276" s="81">
        <v>33714</v>
      </c>
      <c r="D1276">
        <v>945.7</v>
      </c>
    </row>
    <row r="1277" spans="1:5" x14ac:dyDescent="0.2">
      <c r="A1277" s="81">
        <v>33721</v>
      </c>
      <c r="D1277">
        <v>945.6</v>
      </c>
    </row>
    <row r="1278" spans="1:5" x14ac:dyDescent="0.2">
      <c r="A1278" s="81">
        <v>33725</v>
      </c>
      <c r="B1278">
        <v>680.5</v>
      </c>
      <c r="C1278">
        <v>2432.8000000000002</v>
      </c>
      <c r="E1278">
        <v>3398.6</v>
      </c>
    </row>
    <row r="1279" spans="1:5" x14ac:dyDescent="0.2">
      <c r="A1279" s="81">
        <v>33728</v>
      </c>
      <c r="D1279">
        <v>946.5</v>
      </c>
    </row>
    <row r="1280" spans="1:5" x14ac:dyDescent="0.2">
      <c r="A1280" s="81">
        <v>33735</v>
      </c>
      <c r="D1280">
        <v>949.4</v>
      </c>
    </row>
    <row r="1281" spans="1:5" x14ac:dyDescent="0.2">
      <c r="A1281" s="81">
        <v>33742</v>
      </c>
      <c r="D1281">
        <v>949.8</v>
      </c>
    </row>
    <row r="1282" spans="1:5" x14ac:dyDescent="0.2">
      <c r="A1282" s="81">
        <v>33749</v>
      </c>
      <c r="D1282">
        <v>952.3</v>
      </c>
    </row>
    <row r="1283" spans="1:5" x14ac:dyDescent="0.2">
      <c r="A1283" s="81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5" x14ac:dyDescent="0.2">
      <c r="A1284" s="81">
        <v>33763</v>
      </c>
      <c r="D1284">
        <v>951.1</v>
      </c>
    </row>
    <row r="1285" spans="1:5" x14ac:dyDescent="0.2">
      <c r="A1285" s="81">
        <v>33770</v>
      </c>
      <c r="D1285">
        <v>955.6</v>
      </c>
    </row>
    <row r="1286" spans="1:5" x14ac:dyDescent="0.2">
      <c r="A1286" s="81">
        <v>33777</v>
      </c>
      <c r="D1286">
        <v>954.8</v>
      </c>
    </row>
    <row r="1287" spans="1:5" x14ac:dyDescent="0.2">
      <c r="A1287" s="81">
        <v>33784</v>
      </c>
      <c r="D1287">
        <v>955.2</v>
      </c>
    </row>
    <row r="1288" spans="1:5" x14ac:dyDescent="0.2">
      <c r="A1288" s="81">
        <v>33786</v>
      </c>
      <c r="B1288">
        <v>685.6</v>
      </c>
      <c r="C1288">
        <v>2415.6</v>
      </c>
      <c r="E1288">
        <v>3393.9</v>
      </c>
    </row>
    <row r="1289" spans="1:5" x14ac:dyDescent="0.2">
      <c r="A1289" s="81">
        <v>33791</v>
      </c>
      <c r="D1289">
        <v>959.3</v>
      </c>
    </row>
    <row r="1290" spans="1:5" x14ac:dyDescent="0.2">
      <c r="A1290" s="81">
        <v>33798</v>
      </c>
      <c r="D1290">
        <v>960.4</v>
      </c>
    </row>
    <row r="1291" spans="1:5" x14ac:dyDescent="0.2">
      <c r="A1291" s="81">
        <v>33805</v>
      </c>
      <c r="D1291">
        <v>964.8</v>
      </c>
    </row>
    <row r="1292" spans="1:5" x14ac:dyDescent="0.2">
      <c r="A1292" s="81">
        <v>33812</v>
      </c>
      <c r="D1292">
        <v>966.8</v>
      </c>
    </row>
    <row r="1293" spans="1:5" x14ac:dyDescent="0.2">
      <c r="A1293" s="81">
        <v>33817</v>
      </c>
      <c r="B1293">
        <v>691.5</v>
      </c>
      <c r="C1293">
        <v>2413.9</v>
      </c>
      <c r="E1293">
        <v>3398.8</v>
      </c>
    </row>
    <row r="1294" spans="1:5" x14ac:dyDescent="0.2">
      <c r="A1294" s="81">
        <v>33819</v>
      </c>
      <c r="D1294">
        <v>965.8</v>
      </c>
    </row>
    <row r="1295" spans="1:5" x14ac:dyDescent="0.2">
      <c r="A1295" s="81">
        <v>33826</v>
      </c>
      <c r="D1295">
        <v>972.7</v>
      </c>
    </row>
    <row r="1296" spans="1:5" x14ac:dyDescent="0.2">
      <c r="A1296" s="81">
        <v>33833</v>
      </c>
      <c r="D1296">
        <v>972.9</v>
      </c>
    </row>
    <row r="1297" spans="1:5" x14ac:dyDescent="0.2">
      <c r="A1297" s="81">
        <v>33840</v>
      </c>
      <c r="D1297">
        <v>974.2</v>
      </c>
    </row>
    <row r="1298" spans="1:5" x14ac:dyDescent="0.2">
      <c r="A1298" s="81">
        <v>33847</v>
      </c>
      <c r="D1298">
        <v>978.5</v>
      </c>
    </row>
    <row r="1299" spans="1:5" x14ac:dyDescent="0.2">
      <c r="A1299" s="81">
        <v>33848</v>
      </c>
      <c r="B1299">
        <v>700.2</v>
      </c>
      <c r="C1299">
        <v>2416.9</v>
      </c>
      <c r="E1299">
        <v>3410.3</v>
      </c>
    </row>
    <row r="1300" spans="1:5" x14ac:dyDescent="0.2">
      <c r="A1300" s="81">
        <v>33854</v>
      </c>
      <c r="D1300">
        <v>979.3</v>
      </c>
    </row>
    <row r="1301" spans="1:5" x14ac:dyDescent="0.2">
      <c r="A1301" s="81">
        <v>33861</v>
      </c>
      <c r="D1301">
        <v>985.6</v>
      </c>
    </row>
    <row r="1302" spans="1:5" x14ac:dyDescent="0.2">
      <c r="A1302" s="81">
        <v>33868</v>
      </c>
      <c r="D1302">
        <v>990.1</v>
      </c>
    </row>
    <row r="1303" spans="1:5" x14ac:dyDescent="0.2">
      <c r="A1303" s="81">
        <v>33875</v>
      </c>
      <c r="D1303">
        <v>994.2</v>
      </c>
    </row>
    <row r="1304" spans="1:5" x14ac:dyDescent="0.2">
      <c r="A1304" s="81">
        <v>33878</v>
      </c>
      <c r="B1304">
        <v>708.3</v>
      </c>
      <c r="C1304">
        <v>2416.1999999999998</v>
      </c>
      <c r="E1304">
        <v>3423.8</v>
      </c>
    </row>
    <row r="1305" spans="1:5" x14ac:dyDescent="0.2">
      <c r="A1305" s="81">
        <v>33882</v>
      </c>
      <c r="D1305">
        <v>997.6</v>
      </c>
    </row>
    <row r="1306" spans="1:5" x14ac:dyDescent="0.2">
      <c r="A1306" s="81">
        <v>33889</v>
      </c>
      <c r="D1306">
        <v>999.5</v>
      </c>
    </row>
    <row r="1307" spans="1:5" x14ac:dyDescent="0.2">
      <c r="A1307" s="81">
        <v>33896</v>
      </c>
      <c r="D1307">
        <v>1001</v>
      </c>
    </row>
    <row r="1308" spans="1:5" x14ac:dyDescent="0.2">
      <c r="A1308" s="81">
        <v>33903</v>
      </c>
      <c r="D1308">
        <v>1009.2</v>
      </c>
    </row>
    <row r="1309" spans="1:5" x14ac:dyDescent="0.2">
      <c r="A1309" s="81">
        <v>33909</v>
      </c>
      <c r="B1309">
        <v>714.8</v>
      </c>
      <c r="C1309">
        <v>2411.3000000000002</v>
      </c>
      <c r="E1309">
        <v>3426.5</v>
      </c>
    </row>
    <row r="1310" spans="1:5" x14ac:dyDescent="0.2">
      <c r="A1310" s="81">
        <v>33910</v>
      </c>
      <c r="D1310">
        <v>1011.7</v>
      </c>
    </row>
    <row r="1311" spans="1:5" x14ac:dyDescent="0.2">
      <c r="A1311" s="81">
        <v>33917</v>
      </c>
      <c r="D1311">
        <v>1014.8</v>
      </c>
    </row>
    <row r="1312" spans="1:5" x14ac:dyDescent="0.2">
      <c r="A1312" s="81">
        <v>33924</v>
      </c>
      <c r="D1312">
        <v>1017</v>
      </c>
    </row>
    <row r="1313" spans="1:5" x14ac:dyDescent="0.2">
      <c r="A1313" s="81">
        <v>33931</v>
      </c>
      <c r="D1313">
        <v>1014.4</v>
      </c>
    </row>
    <row r="1314" spans="1:5" x14ac:dyDescent="0.2">
      <c r="A1314" s="81">
        <v>33938</v>
      </c>
      <c r="D1314">
        <v>1017.9</v>
      </c>
    </row>
    <row r="1315" spans="1:5" x14ac:dyDescent="0.2">
      <c r="A1315" s="81">
        <v>33939</v>
      </c>
      <c r="B1315">
        <v>720.2</v>
      </c>
      <c r="C1315">
        <v>2406.6999999999998</v>
      </c>
      <c r="E1315">
        <v>3424.7</v>
      </c>
    </row>
    <row r="1316" spans="1:5" x14ac:dyDescent="0.2">
      <c r="A1316" s="81">
        <v>33945</v>
      </c>
      <c r="D1316">
        <v>1021.4</v>
      </c>
    </row>
    <row r="1317" spans="1:5" x14ac:dyDescent="0.2">
      <c r="A1317" s="81">
        <v>33952</v>
      </c>
      <c r="D1317">
        <v>1025.9000000000001</v>
      </c>
    </row>
    <row r="1318" spans="1:5" x14ac:dyDescent="0.2">
      <c r="A1318" s="81">
        <v>33959</v>
      </c>
      <c r="D1318">
        <v>1022.8</v>
      </c>
    </row>
    <row r="1319" spans="1:5" x14ac:dyDescent="0.2">
      <c r="A1319" s="81">
        <v>33966</v>
      </c>
      <c r="D1319">
        <v>1028.4000000000001</v>
      </c>
    </row>
    <row r="1320" spans="1:5" x14ac:dyDescent="0.2">
      <c r="A1320" s="81">
        <v>33970</v>
      </c>
      <c r="B1320">
        <v>721.6</v>
      </c>
      <c r="C1320">
        <v>2394.3000000000002</v>
      </c>
      <c r="E1320">
        <v>3419.1</v>
      </c>
    </row>
    <row r="1321" spans="1:5" x14ac:dyDescent="0.2">
      <c r="A1321" s="81">
        <v>33973</v>
      </c>
      <c r="D1321">
        <v>1027.8</v>
      </c>
    </row>
    <row r="1322" spans="1:5" x14ac:dyDescent="0.2">
      <c r="A1322" s="81">
        <v>33980</v>
      </c>
      <c r="D1322">
        <v>1031.0999999999999</v>
      </c>
    </row>
    <row r="1323" spans="1:5" x14ac:dyDescent="0.2">
      <c r="A1323" s="81">
        <v>33987</v>
      </c>
      <c r="D1323">
        <v>1029.5999999999999</v>
      </c>
    </row>
    <row r="1324" spans="1:5" x14ac:dyDescent="0.2">
      <c r="A1324" s="81">
        <v>33994</v>
      </c>
      <c r="D1324">
        <v>1030.9000000000001</v>
      </c>
    </row>
    <row r="1325" spans="1:5" x14ac:dyDescent="0.2">
      <c r="A1325" s="81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5" x14ac:dyDescent="0.2">
      <c r="A1326" s="81">
        <v>34008</v>
      </c>
      <c r="D1326">
        <v>1030</v>
      </c>
    </row>
    <row r="1327" spans="1:5" x14ac:dyDescent="0.2">
      <c r="A1327" s="81">
        <v>34015</v>
      </c>
      <c r="D1327">
        <v>1034.0999999999999</v>
      </c>
    </row>
    <row r="1328" spans="1:5" x14ac:dyDescent="0.2">
      <c r="A1328" s="81">
        <v>34022</v>
      </c>
      <c r="D1328">
        <v>1034.7</v>
      </c>
    </row>
    <row r="1329" spans="1:5" x14ac:dyDescent="0.2">
      <c r="A1329" s="81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5" x14ac:dyDescent="0.2">
      <c r="A1330" s="81">
        <v>34036</v>
      </c>
      <c r="D1330">
        <v>1035.3</v>
      </c>
    </row>
    <row r="1331" spans="1:5" x14ac:dyDescent="0.2">
      <c r="A1331" s="81">
        <v>34043</v>
      </c>
      <c r="D1331">
        <v>1036.8</v>
      </c>
    </row>
    <row r="1332" spans="1:5" x14ac:dyDescent="0.2">
      <c r="A1332" s="81">
        <v>34050</v>
      </c>
      <c r="D1332">
        <v>1038.5999999999999</v>
      </c>
    </row>
    <row r="1333" spans="1:5" x14ac:dyDescent="0.2">
      <c r="A1333" s="81">
        <v>34057</v>
      </c>
      <c r="D1333">
        <v>1040.4000000000001</v>
      </c>
    </row>
    <row r="1334" spans="1:5" x14ac:dyDescent="0.2">
      <c r="A1334" s="81">
        <v>34060</v>
      </c>
      <c r="B1334">
        <v>728.5</v>
      </c>
      <c r="C1334">
        <v>2372.3000000000002</v>
      </c>
      <c r="E1334">
        <v>3411.3</v>
      </c>
    </row>
    <row r="1335" spans="1:5" x14ac:dyDescent="0.2">
      <c r="A1335" s="81">
        <v>34064</v>
      </c>
      <c r="D1335">
        <v>1045.4000000000001</v>
      </c>
    </row>
    <row r="1336" spans="1:5" x14ac:dyDescent="0.2">
      <c r="A1336" s="81">
        <v>34071</v>
      </c>
      <c r="D1336">
        <v>1045.9000000000001</v>
      </c>
    </row>
    <row r="1337" spans="1:5" x14ac:dyDescent="0.2">
      <c r="A1337" s="81">
        <v>34078</v>
      </c>
      <c r="D1337">
        <v>1045.5</v>
      </c>
    </row>
    <row r="1338" spans="1:5" x14ac:dyDescent="0.2">
      <c r="A1338" s="81">
        <v>34085</v>
      </c>
      <c r="D1338">
        <v>1047.2</v>
      </c>
    </row>
    <row r="1339" spans="1:5" x14ac:dyDescent="0.2">
      <c r="A1339" s="81">
        <v>34090</v>
      </c>
      <c r="B1339">
        <v>739.2</v>
      </c>
      <c r="C1339">
        <v>2383.4</v>
      </c>
      <c r="E1339">
        <v>3436.9</v>
      </c>
    </row>
    <row r="1340" spans="1:5" x14ac:dyDescent="0.2">
      <c r="A1340" s="81">
        <v>34092</v>
      </c>
      <c r="D1340">
        <v>1056.3</v>
      </c>
    </row>
    <row r="1341" spans="1:5" x14ac:dyDescent="0.2">
      <c r="A1341" s="81">
        <v>34099</v>
      </c>
      <c r="D1341">
        <v>1064.0999999999999</v>
      </c>
    </row>
    <row r="1342" spans="1:5" x14ac:dyDescent="0.2">
      <c r="A1342" s="81">
        <v>34106</v>
      </c>
      <c r="D1342">
        <v>1066</v>
      </c>
    </row>
    <row r="1343" spans="1:5" x14ac:dyDescent="0.2">
      <c r="A1343" s="81">
        <v>34113</v>
      </c>
      <c r="D1343">
        <v>1063.5999999999999</v>
      </c>
    </row>
    <row r="1344" spans="1:5" x14ac:dyDescent="0.2">
      <c r="A1344" s="81">
        <v>34120</v>
      </c>
      <c r="D1344">
        <v>1073</v>
      </c>
    </row>
    <row r="1345" spans="1:5" x14ac:dyDescent="0.2">
      <c r="A1345" s="81">
        <v>34121</v>
      </c>
      <c r="B1345">
        <v>745</v>
      </c>
      <c r="C1345">
        <v>2385.6</v>
      </c>
      <c r="E1345">
        <v>3442.4</v>
      </c>
    </row>
    <row r="1346" spans="1:5" x14ac:dyDescent="0.2">
      <c r="A1346" s="81">
        <v>34127</v>
      </c>
      <c r="D1346">
        <v>1071.3</v>
      </c>
    </row>
    <row r="1347" spans="1:5" x14ac:dyDescent="0.2">
      <c r="A1347" s="81">
        <v>34134</v>
      </c>
      <c r="D1347">
        <v>1074.0999999999999</v>
      </c>
    </row>
    <row r="1348" spans="1:5" x14ac:dyDescent="0.2">
      <c r="A1348" s="81">
        <v>34141</v>
      </c>
      <c r="D1348">
        <v>1076.4000000000001</v>
      </c>
    </row>
    <row r="1349" spans="1:5" x14ac:dyDescent="0.2">
      <c r="A1349" s="81">
        <v>34148</v>
      </c>
      <c r="D1349">
        <v>1077.5999999999999</v>
      </c>
    </row>
    <row r="1350" spans="1:5" x14ac:dyDescent="0.2">
      <c r="A1350" s="81">
        <v>34151</v>
      </c>
      <c r="B1350">
        <v>750.6</v>
      </c>
      <c r="C1350">
        <v>2382</v>
      </c>
      <c r="E1350">
        <v>3442</v>
      </c>
    </row>
    <row r="1351" spans="1:5" x14ac:dyDescent="0.2">
      <c r="A1351" s="81">
        <v>34155</v>
      </c>
      <c r="D1351">
        <v>1079.3</v>
      </c>
    </row>
    <row r="1352" spans="1:5" x14ac:dyDescent="0.2">
      <c r="A1352" s="81">
        <v>34162</v>
      </c>
      <c r="D1352">
        <v>1083.3</v>
      </c>
    </row>
    <row r="1353" spans="1:5" x14ac:dyDescent="0.2">
      <c r="A1353" s="81">
        <v>34169</v>
      </c>
      <c r="D1353">
        <v>1085.3</v>
      </c>
    </row>
    <row r="1354" spans="1:5" x14ac:dyDescent="0.2">
      <c r="A1354" s="81">
        <v>34176</v>
      </c>
      <c r="D1354">
        <v>1086.5</v>
      </c>
    </row>
    <row r="1355" spans="1:5" x14ac:dyDescent="0.2">
      <c r="A1355" s="81">
        <v>34182</v>
      </c>
      <c r="B1355">
        <v>755.7</v>
      </c>
      <c r="C1355">
        <v>2379.6</v>
      </c>
      <c r="E1355">
        <v>3445.7</v>
      </c>
    </row>
    <row r="1356" spans="1:5" x14ac:dyDescent="0.2">
      <c r="A1356" s="81">
        <v>34183</v>
      </c>
      <c r="D1356">
        <v>1088.3</v>
      </c>
    </row>
    <row r="1357" spans="1:5" x14ac:dyDescent="0.2">
      <c r="A1357" s="81">
        <v>34190</v>
      </c>
      <c r="D1357">
        <v>1092.4000000000001</v>
      </c>
    </row>
    <row r="1358" spans="1:5" x14ac:dyDescent="0.2">
      <c r="A1358" s="81">
        <v>34197</v>
      </c>
      <c r="D1358">
        <v>1095.4000000000001</v>
      </c>
    </row>
    <row r="1359" spans="1:5" x14ac:dyDescent="0.2">
      <c r="A1359" s="81">
        <v>34204</v>
      </c>
      <c r="D1359">
        <v>1093.0999999999999</v>
      </c>
    </row>
    <row r="1360" spans="1:5" x14ac:dyDescent="0.2">
      <c r="A1360" s="81">
        <v>34211</v>
      </c>
      <c r="D1360">
        <v>1096.8</v>
      </c>
    </row>
    <row r="1361" spans="1:5" x14ac:dyDescent="0.2">
      <c r="A1361" s="81">
        <v>34213</v>
      </c>
      <c r="B1361">
        <v>761.5</v>
      </c>
      <c r="C1361">
        <v>2380.8000000000002</v>
      </c>
      <c r="E1361">
        <v>3452.2</v>
      </c>
    </row>
    <row r="1362" spans="1:5" x14ac:dyDescent="0.2">
      <c r="A1362" s="81">
        <v>34218</v>
      </c>
      <c r="D1362">
        <v>1100.5999999999999</v>
      </c>
    </row>
    <row r="1363" spans="1:5" x14ac:dyDescent="0.2">
      <c r="A1363" s="81">
        <v>34225</v>
      </c>
      <c r="D1363">
        <v>1103</v>
      </c>
    </row>
    <row r="1364" spans="1:5" x14ac:dyDescent="0.2">
      <c r="A1364" s="81">
        <v>34232</v>
      </c>
      <c r="D1364">
        <v>1106.9000000000001</v>
      </c>
    </row>
    <row r="1365" spans="1:5" x14ac:dyDescent="0.2">
      <c r="A1365" s="81">
        <v>34239</v>
      </c>
      <c r="D1365">
        <v>1103.9000000000001</v>
      </c>
    </row>
    <row r="1366" spans="1:5" x14ac:dyDescent="0.2">
      <c r="A1366" s="81">
        <v>34243</v>
      </c>
      <c r="B1366">
        <v>764.5</v>
      </c>
      <c r="C1366">
        <v>2374.1</v>
      </c>
      <c r="E1366">
        <v>3456.7</v>
      </c>
    </row>
    <row r="1367" spans="1:5" x14ac:dyDescent="0.2">
      <c r="A1367" s="81">
        <v>34246</v>
      </c>
      <c r="D1367">
        <v>1108.3</v>
      </c>
    </row>
    <row r="1368" spans="1:5" x14ac:dyDescent="0.2">
      <c r="A1368" s="81">
        <v>34253</v>
      </c>
      <c r="D1368">
        <v>1110.0999999999999</v>
      </c>
    </row>
    <row r="1369" spans="1:5" x14ac:dyDescent="0.2">
      <c r="A1369" s="81">
        <v>34260</v>
      </c>
      <c r="D1369">
        <v>1112.8</v>
      </c>
    </row>
    <row r="1370" spans="1:5" x14ac:dyDescent="0.2">
      <c r="A1370" s="81">
        <v>34267</v>
      </c>
      <c r="D1370">
        <v>1113</v>
      </c>
    </row>
    <row r="1371" spans="1:5" x14ac:dyDescent="0.2">
      <c r="A1371" s="81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5" x14ac:dyDescent="0.2">
      <c r="A1372" s="81">
        <v>34281</v>
      </c>
      <c r="D1372">
        <v>1121.7</v>
      </c>
    </row>
    <row r="1373" spans="1:5" x14ac:dyDescent="0.2">
      <c r="A1373" s="81">
        <v>34288</v>
      </c>
      <c r="D1373">
        <v>1126.8</v>
      </c>
    </row>
    <row r="1374" spans="1:5" x14ac:dyDescent="0.2">
      <c r="A1374" s="81">
        <v>34295</v>
      </c>
      <c r="D1374">
        <v>1123.2</v>
      </c>
    </row>
    <row r="1375" spans="1:5" x14ac:dyDescent="0.2">
      <c r="A1375" s="81">
        <v>34302</v>
      </c>
      <c r="D1375">
        <v>1124.7</v>
      </c>
    </row>
    <row r="1376" spans="1:5" x14ac:dyDescent="0.2">
      <c r="A1376" s="81">
        <v>34304</v>
      </c>
      <c r="B1376">
        <v>772.1</v>
      </c>
      <c r="C1376">
        <v>2374.9</v>
      </c>
      <c r="E1376">
        <v>3474.5</v>
      </c>
    </row>
    <row r="1377" spans="1:5" x14ac:dyDescent="0.2">
      <c r="A1377" s="81">
        <v>34309</v>
      </c>
      <c r="D1377">
        <v>1128.0999999999999</v>
      </c>
    </row>
    <row r="1378" spans="1:5" x14ac:dyDescent="0.2">
      <c r="A1378" s="81">
        <v>34316</v>
      </c>
      <c r="D1378">
        <v>1129.5</v>
      </c>
    </row>
    <row r="1379" spans="1:5" x14ac:dyDescent="0.2">
      <c r="A1379" s="81">
        <v>34323</v>
      </c>
      <c r="D1379">
        <v>1129.5</v>
      </c>
    </row>
    <row r="1380" spans="1:5" x14ac:dyDescent="0.2">
      <c r="A1380" s="81">
        <v>34330</v>
      </c>
      <c r="D1380">
        <v>1131.9000000000001</v>
      </c>
    </row>
    <row r="1381" spans="1:5" x14ac:dyDescent="0.2">
      <c r="A1381" s="81">
        <v>34335</v>
      </c>
      <c r="B1381">
        <v>773.5</v>
      </c>
      <c r="C1381">
        <v>2375.1999999999998</v>
      </c>
      <c r="E1381">
        <v>3474.9</v>
      </c>
    </row>
    <row r="1382" spans="1:5" x14ac:dyDescent="0.2">
      <c r="A1382" s="81">
        <v>34337</v>
      </c>
      <c r="D1382">
        <v>1128.4000000000001</v>
      </c>
    </row>
    <row r="1383" spans="1:5" x14ac:dyDescent="0.2">
      <c r="A1383" s="81">
        <v>34344</v>
      </c>
      <c r="D1383">
        <v>1131</v>
      </c>
    </row>
    <row r="1384" spans="1:5" x14ac:dyDescent="0.2">
      <c r="A1384" s="81">
        <v>34351</v>
      </c>
      <c r="D1384">
        <v>1131.3</v>
      </c>
    </row>
    <row r="1385" spans="1:5" x14ac:dyDescent="0.2">
      <c r="A1385" s="81">
        <v>34358</v>
      </c>
      <c r="D1385">
        <v>1132.4000000000001</v>
      </c>
    </row>
    <row r="1386" spans="1:5" x14ac:dyDescent="0.2">
      <c r="A1386" s="81">
        <v>34365</v>
      </c>
      <c r="D1386">
        <v>1132.7</v>
      </c>
    </row>
    <row r="1387" spans="1:5" x14ac:dyDescent="0.2">
      <c r="A1387" s="81">
        <v>34366</v>
      </c>
      <c r="B1387">
        <v>774.6</v>
      </c>
      <c r="C1387">
        <v>2369.3000000000002</v>
      </c>
      <c r="E1387">
        <v>3475.7</v>
      </c>
    </row>
    <row r="1388" spans="1:5" x14ac:dyDescent="0.2">
      <c r="A1388" s="81">
        <v>34372</v>
      </c>
      <c r="D1388">
        <v>1134.5</v>
      </c>
    </row>
    <row r="1389" spans="1:5" x14ac:dyDescent="0.2">
      <c r="A1389" s="81">
        <v>34379</v>
      </c>
      <c r="D1389">
        <v>1136.7</v>
      </c>
    </row>
    <row r="1390" spans="1:5" x14ac:dyDescent="0.2">
      <c r="A1390" s="81">
        <v>34386</v>
      </c>
      <c r="D1390">
        <v>1137.4000000000001</v>
      </c>
    </row>
    <row r="1391" spans="1:5" x14ac:dyDescent="0.2">
      <c r="A1391" s="81">
        <v>34393</v>
      </c>
      <c r="D1391">
        <v>1136.5</v>
      </c>
    </row>
    <row r="1392" spans="1:5" x14ac:dyDescent="0.2">
      <c r="A1392" s="81">
        <v>34394</v>
      </c>
      <c r="B1392">
        <v>775.1</v>
      </c>
      <c r="C1392">
        <v>2365.8000000000002</v>
      </c>
      <c r="E1392">
        <v>3480.1</v>
      </c>
    </row>
    <row r="1393" spans="1:5" x14ac:dyDescent="0.2">
      <c r="A1393" s="81">
        <v>34400</v>
      </c>
      <c r="D1393">
        <v>1138.3</v>
      </c>
    </row>
    <row r="1394" spans="1:5" x14ac:dyDescent="0.2">
      <c r="A1394" s="81">
        <v>34407</v>
      </c>
      <c r="D1394">
        <v>1139.5999999999999</v>
      </c>
    </row>
    <row r="1395" spans="1:5" x14ac:dyDescent="0.2">
      <c r="A1395" s="81">
        <v>34414</v>
      </c>
      <c r="D1395">
        <v>1139.2</v>
      </c>
    </row>
    <row r="1396" spans="1:5" x14ac:dyDescent="0.2">
      <c r="A1396" s="81">
        <v>34421</v>
      </c>
      <c r="D1396">
        <v>1141.5</v>
      </c>
    </row>
    <row r="1397" spans="1:5" x14ac:dyDescent="0.2">
      <c r="A1397" s="81">
        <v>34425</v>
      </c>
      <c r="B1397">
        <v>775.2</v>
      </c>
      <c r="C1397">
        <v>2365</v>
      </c>
      <c r="E1397">
        <v>3481.3</v>
      </c>
    </row>
    <row r="1398" spans="1:5" x14ac:dyDescent="0.2">
      <c r="A1398" s="81">
        <v>34428</v>
      </c>
      <c r="D1398">
        <v>1144.7</v>
      </c>
    </row>
    <row r="1399" spans="1:5" x14ac:dyDescent="0.2">
      <c r="A1399" s="81">
        <v>34435</v>
      </c>
      <c r="D1399">
        <v>1143.8</v>
      </c>
    </row>
    <row r="1400" spans="1:5" x14ac:dyDescent="0.2">
      <c r="A1400" s="81">
        <v>34442</v>
      </c>
      <c r="D1400">
        <v>1139</v>
      </c>
    </row>
    <row r="1401" spans="1:5" x14ac:dyDescent="0.2">
      <c r="A1401" s="81">
        <v>34449</v>
      </c>
      <c r="D1401">
        <v>1137.9000000000001</v>
      </c>
    </row>
    <row r="1402" spans="1:5" x14ac:dyDescent="0.2">
      <c r="A1402" s="81">
        <v>34455</v>
      </c>
      <c r="B1402">
        <v>775.1</v>
      </c>
      <c r="C1402">
        <v>2366.6</v>
      </c>
      <c r="E1402">
        <v>3490.8</v>
      </c>
    </row>
    <row r="1403" spans="1:5" x14ac:dyDescent="0.2">
      <c r="A1403" s="81">
        <v>34456</v>
      </c>
      <c r="D1403">
        <v>1141.8</v>
      </c>
    </row>
    <row r="1404" spans="1:5" x14ac:dyDescent="0.2">
      <c r="A1404" s="81">
        <v>34463</v>
      </c>
      <c r="D1404">
        <v>1144.9000000000001</v>
      </c>
    </row>
    <row r="1405" spans="1:5" x14ac:dyDescent="0.2">
      <c r="A1405" s="81">
        <v>34470</v>
      </c>
      <c r="D1405">
        <v>1145.0999999999999</v>
      </c>
    </row>
    <row r="1406" spans="1:5" x14ac:dyDescent="0.2">
      <c r="A1406" s="81">
        <v>34477</v>
      </c>
      <c r="D1406">
        <v>1141.2</v>
      </c>
    </row>
    <row r="1407" spans="1:5" x14ac:dyDescent="0.2">
      <c r="A1407" s="81">
        <v>34484</v>
      </c>
      <c r="D1407">
        <v>1142.3</v>
      </c>
    </row>
    <row r="1408" spans="1:5" x14ac:dyDescent="0.2">
      <c r="A1408" s="81">
        <v>34486</v>
      </c>
      <c r="B1408">
        <v>774.3</v>
      </c>
      <c r="C1408">
        <v>2352.6</v>
      </c>
      <c r="E1408">
        <v>3479.5</v>
      </c>
    </row>
    <row r="1409" spans="1:5" x14ac:dyDescent="0.2">
      <c r="A1409" s="81">
        <v>34491</v>
      </c>
      <c r="D1409">
        <v>1144.3</v>
      </c>
    </row>
    <row r="1410" spans="1:5" x14ac:dyDescent="0.2">
      <c r="A1410" s="81">
        <v>34498</v>
      </c>
      <c r="D1410">
        <v>1145.4000000000001</v>
      </c>
    </row>
    <row r="1411" spans="1:5" x14ac:dyDescent="0.2">
      <c r="A1411" s="81">
        <v>34505</v>
      </c>
      <c r="D1411">
        <v>1146.4000000000001</v>
      </c>
    </row>
    <row r="1412" spans="1:5" x14ac:dyDescent="0.2">
      <c r="A1412" s="81">
        <v>34512</v>
      </c>
      <c r="D1412">
        <v>1145.3</v>
      </c>
    </row>
    <row r="1413" spans="1:5" x14ac:dyDescent="0.2">
      <c r="A1413" s="81">
        <v>34516</v>
      </c>
      <c r="B1413">
        <v>775.4</v>
      </c>
      <c r="C1413">
        <v>2350.5</v>
      </c>
      <c r="E1413">
        <v>3488.2</v>
      </c>
    </row>
    <row r="1414" spans="1:5" x14ac:dyDescent="0.2">
      <c r="A1414" s="81">
        <v>34519</v>
      </c>
      <c r="D1414">
        <v>1143.5</v>
      </c>
    </row>
    <row r="1415" spans="1:5" x14ac:dyDescent="0.2">
      <c r="A1415" s="81">
        <v>34526</v>
      </c>
      <c r="D1415">
        <v>1151.5</v>
      </c>
    </row>
    <row r="1416" spans="1:5" x14ac:dyDescent="0.2">
      <c r="A1416" s="81">
        <v>34533</v>
      </c>
      <c r="D1416">
        <v>1151.2</v>
      </c>
    </row>
    <row r="1417" spans="1:5" x14ac:dyDescent="0.2">
      <c r="A1417" s="81">
        <v>34540</v>
      </c>
      <c r="D1417">
        <v>1151.4000000000001</v>
      </c>
    </row>
    <row r="1418" spans="1:5" x14ac:dyDescent="0.2">
      <c r="A1418" s="81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5" x14ac:dyDescent="0.2">
      <c r="A1419" s="81">
        <v>34554</v>
      </c>
      <c r="D1419">
        <v>1148</v>
      </c>
    </row>
    <row r="1420" spans="1:5" x14ac:dyDescent="0.2">
      <c r="A1420" s="81">
        <v>34561</v>
      </c>
      <c r="D1420">
        <v>1151.5999999999999</v>
      </c>
    </row>
    <row r="1421" spans="1:5" x14ac:dyDescent="0.2">
      <c r="A1421" s="81">
        <v>34568</v>
      </c>
      <c r="D1421">
        <v>1150.2</v>
      </c>
    </row>
    <row r="1422" spans="1:5" x14ac:dyDescent="0.2">
      <c r="A1422" s="81">
        <v>34575</v>
      </c>
      <c r="D1422">
        <v>1151.5999999999999</v>
      </c>
    </row>
    <row r="1423" spans="1:5" x14ac:dyDescent="0.2">
      <c r="A1423" s="81">
        <v>34578</v>
      </c>
      <c r="B1423">
        <v>771.5</v>
      </c>
      <c r="C1423">
        <v>2335</v>
      </c>
      <c r="E1423">
        <v>3486.1</v>
      </c>
    </row>
    <row r="1424" spans="1:5" x14ac:dyDescent="0.2">
      <c r="A1424" s="81">
        <v>34582</v>
      </c>
      <c r="D1424">
        <v>1153</v>
      </c>
    </row>
    <row r="1425" spans="1:5" x14ac:dyDescent="0.2">
      <c r="A1425" s="81">
        <v>34589</v>
      </c>
      <c r="D1425">
        <v>1152.7</v>
      </c>
    </row>
    <row r="1426" spans="1:5" x14ac:dyDescent="0.2">
      <c r="A1426" s="81">
        <v>34596</v>
      </c>
      <c r="D1426">
        <v>1152.2</v>
      </c>
    </row>
    <row r="1427" spans="1:5" x14ac:dyDescent="0.2">
      <c r="A1427" s="81">
        <v>34603</v>
      </c>
      <c r="D1427">
        <v>1152.3</v>
      </c>
    </row>
    <row r="1428" spans="1:5" x14ac:dyDescent="0.2">
      <c r="A1428" s="81">
        <v>34608</v>
      </c>
      <c r="B1428">
        <v>769.9</v>
      </c>
      <c r="C1428">
        <v>2332.1999999999998</v>
      </c>
      <c r="E1428">
        <v>3484.3</v>
      </c>
    </row>
    <row r="1429" spans="1:5" x14ac:dyDescent="0.2">
      <c r="A1429" s="81">
        <v>34610</v>
      </c>
      <c r="D1429">
        <v>1147.7</v>
      </c>
    </row>
    <row r="1430" spans="1:5" x14ac:dyDescent="0.2">
      <c r="A1430" s="81">
        <v>34617</v>
      </c>
      <c r="D1430">
        <v>1152.5999999999999</v>
      </c>
    </row>
    <row r="1431" spans="1:5" x14ac:dyDescent="0.2">
      <c r="A1431" s="81">
        <v>34624</v>
      </c>
      <c r="D1431">
        <v>1152.7</v>
      </c>
    </row>
    <row r="1432" spans="1:5" x14ac:dyDescent="0.2">
      <c r="A1432" s="81">
        <v>34631</v>
      </c>
      <c r="D1432">
        <v>1148.2</v>
      </c>
    </row>
    <row r="1433" spans="1:5" x14ac:dyDescent="0.2">
      <c r="A1433" s="81">
        <v>34638</v>
      </c>
      <c r="D1433">
        <v>1148.0999999999999</v>
      </c>
    </row>
    <row r="1434" spans="1:5" x14ac:dyDescent="0.2">
      <c r="A1434" s="81">
        <v>34639</v>
      </c>
      <c r="B1434">
        <v>768.3</v>
      </c>
      <c r="C1434">
        <v>2327.9</v>
      </c>
      <c r="E1434">
        <v>3487.2</v>
      </c>
    </row>
    <row r="1435" spans="1:5" x14ac:dyDescent="0.2">
      <c r="A1435" s="81">
        <v>34645</v>
      </c>
      <c r="D1435">
        <v>1148.2</v>
      </c>
    </row>
    <row r="1436" spans="1:5" x14ac:dyDescent="0.2">
      <c r="A1436" s="81">
        <v>34652</v>
      </c>
      <c r="D1436">
        <v>1151.8</v>
      </c>
    </row>
    <row r="1437" spans="1:5" x14ac:dyDescent="0.2">
      <c r="A1437" s="81">
        <v>34659</v>
      </c>
      <c r="D1437">
        <v>1152.4000000000001</v>
      </c>
    </row>
    <row r="1438" spans="1:5" x14ac:dyDescent="0.2">
      <c r="A1438" s="81">
        <v>34666</v>
      </c>
      <c r="D1438">
        <v>1151.2</v>
      </c>
    </row>
    <row r="1439" spans="1:5" x14ac:dyDescent="0.2">
      <c r="A1439" s="81">
        <v>34669</v>
      </c>
      <c r="B1439">
        <v>766.6</v>
      </c>
      <c r="C1439">
        <v>2322.6999999999998</v>
      </c>
      <c r="E1439">
        <v>3486.4</v>
      </c>
    </row>
    <row r="1440" spans="1:5" x14ac:dyDescent="0.2">
      <c r="A1440" s="81">
        <v>34673</v>
      </c>
      <c r="D1440">
        <v>1152.2</v>
      </c>
    </row>
    <row r="1441" spans="1:5" x14ac:dyDescent="0.2">
      <c r="A1441" s="81">
        <v>34680</v>
      </c>
      <c r="D1441">
        <v>1154.5</v>
      </c>
    </row>
    <row r="1442" spans="1:5" x14ac:dyDescent="0.2">
      <c r="A1442" s="81">
        <v>34687</v>
      </c>
      <c r="D1442">
        <v>1150.4000000000001</v>
      </c>
    </row>
    <row r="1443" spans="1:5" x14ac:dyDescent="0.2">
      <c r="A1443" s="81">
        <v>34694</v>
      </c>
      <c r="D1443">
        <v>1149.3</v>
      </c>
    </row>
    <row r="1444" spans="1:5" x14ac:dyDescent="0.2">
      <c r="A1444" s="81">
        <v>34700</v>
      </c>
      <c r="B1444">
        <v>765</v>
      </c>
      <c r="C1444">
        <v>2320.5</v>
      </c>
      <c r="E1444">
        <v>3492.4</v>
      </c>
    </row>
    <row r="1445" spans="1:5" x14ac:dyDescent="0.2">
      <c r="A1445" s="81">
        <v>34701</v>
      </c>
      <c r="D1445">
        <v>1145.9000000000001</v>
      </c>
    </row>
    <row r="1446" spans="1:5" x14ac:dyDescent="0.2">
      <c r="A1446" s="81">
        <v>34708</v>
      </c>
      <c r="D1446">
        <v>1154.4000000000001</v>
      </c>
    </row>
    <row r="1447" spans="1:5" x14ac:dyDescent="0.2">
      <c r="A1447" s="81">
        <v>34715</v>
      </c>
      <c r="D1447">
        <v>1154.4000000000001</v>
      </c>
    </row>
    <row r="1448" spans="1:5" x14ac:dyDescent="0.2">
      <c r="A1448" s="81">
        <v>34722</v>
      </c>
      <c r="D1448">
        <v>1150.4000000000001</v>
      </c>
    </row>
    <row r="1449" spans="1:5" x14ac:dyDescent="0.2">
      <c r="A1449" s="81">
        <v>34729</v>
      </c>
      <c r="D1449">
        <v>1148</v>
      </c>
    </row>
    <row r="1450" spans="1:5" x14ac:dyDescent="0.2">
      <c r="A1450" s="81">
        <v>34731</v>
      </c>
      <c r="B1450">
        <v>760.4</v>
      </c>
      <c r="C1450">
        <v>2312.6999999999998</v>
      </c>
      <c r="E1450">
        <v>3489.9</v>
      </c>
    </row>
    <row r="1451" spans="1:5" x14ac:dyDescent="0.2">
      <c r="A1451" s="81">
        <v>34736</v>
      </c>
      <c r="D1451">
        <v>1150.5</v>
      </c>
    </row>
    <row r="1452" spans="1:5" x14ac:dyDescent="0.2">
      <c r="A1452" s="81">
        <v>34743</v>
      </c>
      <c r="D1452">
        <v>1148</v>
      </c>
    </row>
    <row r="1453" spans="1:5" x14ac:dyDescent="0.2">
      <c r="A1453" s="81">
        <v>34750</v>
      </c>
      <c r="D1453">
        <v>1145.3</v>
      </c>
    </row>
    <row r="1454" spans="1:5" x14ac:dyDescent="0.2">
      <c r="A1454" s="81">
        <v>34757</v>
      </c>
      <c r="D1454">
        <v>1146.2</v>
      </c>
    </row>
    <row r="1455" spans="1:5" x14ac:dyDescent="0.2">
      <c r="A1455" s="81">
        <v>34759</v>
      </c>
      <c r="B1455">
        <v>758.4</v>
      </c>
      <c r="C1455">
        <v>2308.9</v>
      </c>
      <c r="E1455">
        <v>3491.1</v>
      </c>
    </row>
    <row r="1456" spans="1:5" x14ac:dyDescent="0.2">
      <c r="A1456" s="81">
        <v>34764</v>
      </c>
      <c r="D1456">
        <v>1147.2</v>
      </c>
    </row>
    <row r="1457" spans="1:5" x14ac:dyDescent="0.2">
      <c r="A1457" s="81">
        <v>34771</v>
      </c>
      <c r="D1457">
        <v>1148.3</v>
      </c>
    </row>
    <row r="1458" spans="1:5" x14ac:dyDescent="0.2">
      <c r="A1458" s="81">
        <v>34778</v>
      </c>
      <c r="D1458">
        <v>1147.2</v>
      </c>
    </row>
    <row r="1459" spans="1:5" x14ac:dyDescent="0.2">
      <c r="A1459" s="81">
        <v>34785</v>
      </c>
      <c r="D1459">
        <v>1147.2</v>
      </c>
    </row>
    <row r="1460" spans="1:5" x14ac:dyDescent="0.2">
      <c r="A1460" s="81">
        <v>34790</v>
      </c>
      <c r="B1460">
        <v>757.1</v>
      </c>
      <c r="C1460">
        <v>2305.1</v>
      </c>
      <c r="E1460">
        <v>3499.2</v>
      </c>
    </row>
    <row r="1461" spans="1:5" x14ac:dyDescent="0.2">
      <c r="A1461" s="81">
        <v>34792</v>
      </c>
      <c r="D1461">
        <v>1141.5</v>
      </c>
    </row>
    <row r="1462" spans="1:5" x14ac:dyDescent="0.2">
      <c r="A1462" s="81">
        <v>34799</v>
      </c>
      <c r="D1462">
        <v>1151.4000000000001</v>
      </c>
    </row>
    <row r="1463" spans="1:5" x14ac:dyDescent="0.2">
      <c r="A1463" s="81">
        <v>34806</v>
      </c>
      <c r="D1463">
        <v>1149.0999999999999</v>
      </c>
    </row>
    <row r="1464" spans="1:5" x14ac:dyDescent="0.2">
      <c r="A1464" s="81">
        <v>34813</v>
      </c>
      <c r="D1464">
        <v>1149.8</v>
      </c>
    </row>
    <row r="1465" spans="1:5" x14ac:dyDescent="0.2">
      <c r="A1465" s="81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5" x14ac:dyDescent="0.2">
      <c r="A1466" s="81">
        <v>34827</v>
      </c>
      <c r="D1466">
        <v>1144.8</v>
      </c>
    </row>
    <row r="1467" spans="1:5" x14ac:dyDescent="0.2">
      <c r="A1467" s="81">
        <v>34834</v>
      </c>
      <c r="D1467">
        <v>1146.7</v>
      </c>
    </row>
    <row r="1468" spans="1:5" x14ac:dyDescent="0.2">
      <c r="A1468" s="81">
        <v>34841</v>
      </c>
      <c r="D1468">
        <v>1146</v>
      </c>
    </row>
    <row r="1469" spans="1:5" x14ac:dyDescent="0.2">
      <c r="A1469" s="81">
        <v>34848</v>
      </c>
      <c r="D1469">
        <v>1142.8</v>
      </c>
    </row>
    <row r="1470" spans="1:5" x14ac:dyDescent="0.2">
      <c r="A1470" s="81">
        <v>34851</v>
      </c>
      <c r="B1470">
        <v>750.8</v>
      </c>
      <c r="C1470">
        <v>2328.6999999999998</v>
      </c>
      <c r="E1470">
        <v>3548.9</v>
      </c>
    </row>
    <row r="1471" spans="1:5" x14ac:dyDescent="0.2">
      <c r="A1471" s="81">
        <v>34855</v>
      </c>
      <c r="D1471">
        <v>1145.5</v>
      </c>
    </row>
    <row r="1472" spans="1:5" x14ac:dyDescent="0.2">
      <c r="A1472" s="81">
        <v>34862</v>
      </c>
      <c r="D1472">
        <v>1146.3</v>
      </c>
    </row>
    <row r="1473" spans="1:5" x14ac:dyDescent="0.2">
      <c r="A1473" s="81">
        <v>34869</v>
      </c>
      <c r="D1473">
        <v>1143.4000000000001</v>
      </c>
    </row>
    <row r="1474" spans="1:5" x14ac:dyDescent="0.2">
      <c r="A1474" s="81">
        <v>34876</v>
      </c>
      <c r="D1474">
        <v>1143.8</v>
      </c>
    </row>
    <row r="1475" spans="1:5" x14ac:dyDescent="0.2">
      <c r="A1475" s="81">
        <v>34881</v>
      </c>
      <c r="B1475">
        <v>750.7</v>
      </c>
      <c r="C1475">
        <v>2337.6999999999998</v>
      </c>
      <c r="E1475">
        <v>3567.4</v>
      </c>
    </row>
    <row r="1476" spans="1:5" x14ac:dyDescent="0.2">
      <c r="A1476" s="81">
        <v>34883</v>
      </c>
      <c r="D1476">
        <v>1141</v>
      </c>
    </row>
    <row r="1477" spans="1:5" x14ac:dyDescent="0.2">
      <c r="A1477" s="81">
        <v>34890</v>
      </c>
      <c r="D1477">
        <v>1149</v>
      </c>
    </row>
    <row r="1478" spans="1:5" x14ac:dyDescent="0.2">
      <c r="A1478" s="81">
        <v>34897</v>
      </c>
      <c r="D1478">
        <v>1145.5</v>
      </c>
    </row>
    <row r="1479" spans="1:5" x14ac:dyDescent="0.2">
      <c r="A1479" s="81">
        <v>34904</v>
      </c>
      <c r="D1479">
        <v>1143</v>
      </c>
    </row>
    <row r="1480" spans="1:5" x14ac:dyDescent="0.2">
      <c r="A1480" s="81">
        <v>34911</v>
      </c>
      <c r="D1480">
        <v>1146.2</v>
      </c>
    </row>
    <row r="1481" spans="1:5" x14ac:dyDescent="0.2">
      <c r="A1481" s="81">
        <v>34912</v>
      </c>
      <c r="B1481">
        <v>749.1</v>
      </c>
      <c r="C1481">
        <v>2347.3000000000002</v>
      </c>
      <c r="E1481">
        <v>3589</v>
      </c>
    </row>
    <row r="1482" spans="1:5" x14ac:dyDescent="0.2">
      <c r="A1482" s="81">
        <v>34918</v>
      </c>
      <c r="D1482">
        <v>1146</v>
      </c>
    </row>
    <row r="1483" spans="1:5" x14ac:dyDescent="0.2">
      <c r="A1483" s="81">
        <v>34925</v>
      </c>
      <c r="D1483">
        <v>1147.4000000000001</v>
      </c>
    </row>
    <row r="1484" spans="1:5" x14ac:dyDescent="0.2">
      <c r="A1484" s="81">
        <v>34932</v>
      </c>
      <c r="D1484">
        <v>1146.3</v>
      </c>
    </row>
    <row r="1485" spans="1:5" x14ac:dyDescent="0.2">
      <c r="A1485" s="81">
        <v>34939</v>
      </c>
      <c r="D1485">
        <v>1143.4000000000001</v>
      </c>
    </row>
    <row r="1486" spans="1:5" x14ac:dyDescent="0.2">
      <c r="A1486" s="81">
        <v>34943</v>
      </c>
      <c r="B1486">
        <v>745.9</v>
      </c>
      <c r="C1486">
        <v>2352.8000000000002</v>
      </c>
      <c r="E1486">
        <v>3602.1</v>
      </c>
    </row>
    <row r="1487" spans="1:5" x14ac:dyDescent="0.2">
      <c r="A1487" s="81">
        <v>34946</v>
      </c>
      <c r="D1487">
        <v>1142.7</v>
      </c>
    </row>
    <row r="1488" spans="1:5" x14ac:dyDescent="0.2">
      <c r="A1488" s="81">
        <v>34953</v>
      </c>
      <c r="D1488">
        <v>1148.5999999999999</v>
      </c>
    </row>
    <row r="1489" spans="1:5" x14ac:dyDescent="0.2">
      <c r="A1489" s="81">
        <v>34960</v>
      </c>
      <c r="D1489">
        <v>1142.0999999999999</v>
      </c>
    </row>
    <row r="1490" spans="1:5" x14ac:dyDescent="0.2">
      <c r="A1490" s="81">
        <v>34967</v>
      </c>
      <c r="D1490">
        <v>1140</v>
      </c>
    </row>
    <row r="1491" spans="1:5" x14ac:dyDescent="0.2">
      <c r="A1491" s="81">
        <v>34973</v>
      </c>
      <c r="B1491">
        <v>740.9</v>
      </c>
      <c r="C1491">
        <v>2354</v>
      </c>
      <c r="E1491">
        <v>3613.4</v>
      </c>
    </row>
    <row r="1492" spans="1:5" x14ac:dyDescent="0.2">
      <c r="A1492" s="81">
        <v>34974</v>
      </c>
      <c r="D1492">
        <v>1133.8</v>
      </c>
    </row>
    <row r="1493" spans="1:5" x14ac:dyDescent="0.2">
      <c r="A1493" s="81">
        <v>34981</v>
      </c>
      <c r="D1493">
        <v>1137.3</v>
      </c>
    </row>
    <row r="1494" spans="1:5" x14ac:dyDescent="0.2">
      <c r="A1494" s="81">
        <v>34988</v>
      </c>
      <c r="D1494">
        <v>1141.2</v>
      </c>
    </row>
    <row r="1495" spans="1:5" x14ac:dyDescent="0.2">
      <c r="A1495" s="81">
        <v>34995</v>
      </c>
      <c r="D1495">
        <v>1136.0999999999999</v>
      </c>
    </row>
    <row r="1496" spans="1:5" x14ac:dyDescent="0.2">
      <c r="A1496" s="81">
        <v>35002</v>
      </c>
      <c r="D1496">
        <v>1135.2</v>
      </c>
    </row>
    <row r="1497" spans="1:5" x14ac:dyDescent="0.2">
      <c r="A1497" s="81">
        <v>35004</v>
      </c>
      <c r="B1497">
        <v>737.9</v>
      </c>
      <c r="C1497">
        <v>2355.1999999999998</v>
      </c>
      <c r="E1497">
        <v>3619.9</v>
      </c>
    </row>
    <row r="1498" spans="1:5" x14ac:dyDescent="0.2">
      <c r="A1498" s="81">
        <v>35009</v>
      </c>
      <c r="D1498">
        <v>1137.9000000000001</v>
      </c>
    </row>
    <row r="1499" spans="1:5" x14ac:dyDescent="0.2">
      <c r="A1499" s="81">
        <v>35016</v>
      </c>
      <c r="D1499">
        <v>1134.3</v>
      </c>
    </row>
    <row r="1500" spans="1:5" x14ac:dyDescent="0.2">
      <c r="A1500" s="81">
        <v>35023</v>
      </c>
      <c r="D1500">
        <v>1134.5999999999999</v>
      </c>
    </row>
    <row r="1501" spans="1:5" x14ac:dyDescent="0.2">
      <c r="A1501" s="81">
        <v>35030</v>
      </c>
      <c r="D1501">
        <v>1133.8</v>
      </c>
    </row>
    <row r="1502" spans="1:5" x14ac:dyDescent="0.2">
      <c r="A1502" s="81">
        <v>35034</v>
      </c>
      <c r="B1502">
        <v>732.6</v>
      </c>
      <c r="C1502">
        <v>2358.3000000000002</v>
      </c>
      <c r="E1502">
        <v>3629.5</v>
      </c>
    </row>
    <row r="1503" spans="1:5" x14ac:dyDescent="0.2">
      <c r="A1503" s="81">
        <v>35037</v>
      </c>
      <c r="D1503">
        <v>1125.5</v>
      </c>
    </row>
    <row r="1504" spans="1:5" x14ac:dyDescent="0.2">
      <c r="A1504" s="81">
        <v>35044</v>
      </c>
      <c r="D1504">
        <v>1131</v>
      </c>
    </row>
    <row r="1505" spans="1:5" x14ac:dyDescent="0.2">
      <c r="A1505" s="81">
        <v>35051</v>
      </c>
      <c r="D1505">
        <v>1122.7</v>
      </c>
    </row>
    <row r="1506" spans="1:5" x14ac:dyDescent="0.2">
      <c r="A1506" s="81">
        <v>35058</v>
      </c>
      <c r="D1506">
        <v>1127</v>
      </c>
    </row>
    <row r="1507" spans="1:5" x14ac:dyDescent="0.2">
      <c r="A1507" s="81">
        <v>35065</v>
      </c>
      <c r="B1507">
        <v>726.2</v>
      </c>
      <c r="C1507">
        <v>2358</v>
      </c>
      <c r="D1507">
        <v>1130.5</v>
      </c>
      <c r="E1507">
        <v>3647.9</v>
      </c>
    </row>
    <row r="1508" spans="1:5" x14ac:dyDescent="0.2">
      <c r="A1508" s="81">
        <v>35072</v>
      </c>
      <c r="D1508">
        <v>1124.9000000000001</v>
      </c>
    </row>
    <row r="1509" spans="1:5" x14ac:dyDescent="0.2">
      <c r="A1509" s="81">
        <v>35079</v>
      </c>
      <c r="D1509">
        <v>1129.4000000000001</v>
      </c>
    </row>
    <row r="1510" spans="1:5" x14ac:dyDescent="0.2">
      <c r="A1510" s="81">
        <v>35086</v>
      </c>
      <c r="D1510">
        <v>1120.8</v>
      </c>
    </row>
    <row r="1511" spans="1:5" x14ac:dyDescent="0.2">
      <c r="A1511" s="81">
        <v>35093</v>
      </c>
      <c r="D1511">
        <v>1117.9000000000001</v>
      </c>
    </row>
    <row r="1512" spans="1:5" x14ac:dyDescent="0.2">
      <c r="A1512" s="81">
        <v>35096</v>
      </c>
      <c r="B1512">
        <v>721.6</v>
      </c>
      <c r="C1512">
        <v>2362.5</v>
      </c>
      <c r="E1512">
        <v>3661.8</v>
      </c>
    </row>
    <row r="1513" spans="1:5" x14ac:dyDescent="0.2">
      <c r="A1513" s="81">
        <v>35100</v>
      </c>
      <c r="D1513">
        <v>1121.5</v>
      </c>
    </row>
    <row r="1514" spans="1:5" x14ac:dyDescent="0.2">
      <c r="A1514" s="81">
        <v>35107</v>
      </c>
      <c r="D1514">
        <v>1118.5999999999999</v>
      </c>
    </row>
    <row r="1515" spans="1:5" x14ac:dyDescent="0.2">
      <c r="A1515" s="81">
        <v>35114</v>
      </c>
      <c r="D1515">
        <v>1115.7</v>
      </c>
    </row>
    <row r="1516" spans="1:5" x14ac:dyDescent="0.2">
      <c r="A1516" s="81">
        <v>35121</v>
      </c>
      <c r="D1516">
        <v>1116.9000000000001</v>
      </c>
    </row>
    <row r="1517" spans="1:5" x14ac:dyDescent="0.2">
      <c r="A1517" s="81">
        <v>35125</v>
      </c>
      <c r="B1517">
        <v>721.9</v>
      </c>
      <c r="C1517">
        <v>2371</v>
      </c>
      <c r="E1517">
        <v>3686.9</v>
      </c>
    </row>
    <row r="1518" spans="1:5" x14ac:dyDescent="0.2">
      <c r="A1518" s="81">
        <v>35128</v>
      </c>
      <c r="D1518">
        <v>1123</v>
      </c>
    </row>
    <row r="1519" spans="1:5" x14ac:dyDescent="0.2">
      <c r="A1519" s="81">
        <v>35135</v>
      </c>
      <c r="D1519">
        <v>1118.7</v>
      </c>
    </row>
    <row r="1520" spans="1:5" x14ac:dyDescent="0.2">
      <c r="A1520" s="81">
        <v>35142</v>
      </c>
      <c r="D1520">
        <v>1120.8</v>
      </c>
    </row>
    <row r="1521" spans="1:5" x14ac:dyDescent="0.2">
      <c r="A1521" s="81">
        <v>35149</v>
      </c>
      <c r="D1521">
        <v>1123.2</v>
      </c>
    </row>
    <row r="1522" spans="1:5" x14ac:dyDescent="0.2">
      <c r="A1522" s="81">
        <v>35156</v>
      </c>
      <c r="B1522">
        <v>720.6</v>
      </c>
      <c r="C1522">
        <v>2368.8000000000002</v>
      </c>
      <c r="D1522">
        <v>1128.8</v>
      </c>
      <c r="E1522">
        <v>3697.7</v>
      </c>
    </row>
    <row r="1523" spans="1:5" x14ac:dyDescent="0.2">
      <c r="A1523" s="81">
        <v>35163</v>
      </c>
      <c r="D1523">
        <v>1124.0999999999999</v>
      </c>
    </row>
    <row r="1524" spans="1:5" x14ac:dyDescent="0.2">
      <c r="A1524" s="81">
        <v>35170</v>
      </c>
      <c r="D1524">
        <v>1130.4000000000001</v>
      </c>
    </row>
    <row r="1525" spans="1:5" x14ac:dyDescent="0.2">
      <c r="A1525" s="81">
        <v>35177</v>
      </c>
      <c r="D1525">
        <v>1125</v>
      </c>
    </row>
    <row r="1526" spans="1:5" x14ac:dyDescent="0.2">
      <c r="A1526" s="81">
        <v>35184</v>
      </c>
      <c r="D1526">
        <v>1118.5999999999999</v>
      </c>
    </row>
    <row r="1527" spans="1:5" x14ac:dyDescent="0.2">
      <c r="A1527" s="81">
        <v>35186</v>
      </c>
      <c r="B1527">
        <v>713.9</v>
      </c>
      <c r="C1527">
        <v>2371.9</v>
      </c>
      <c r="E1527">
        <v>3709.6</v>
      </c>
    </row>
    <row r="1528" spans="1:5" x14ac:dyDescent="0.2">
      <c r="A1528" s="81">
        <v>35191</v>
      </c>
      <c r="D1528">
        <v>1123</v>
      </c>
    </row>
    <row r="1529" spans="1:5" x14ac:dyDescent="0.2">
      <c r="A1529" s="81">
        <v>35198</v>
      </c>
      <c r="D1529">
        <v>1117.5999999999999</v>
      </c>
    </row>
    <row r="1530" spans="1:5" x14ac:dyDescent="0.2">
      <c r="A1530" s="81">
        <v>35205</v>
      </c>
      <c r="D1530">
        <v>1117.3</v>
      </c>
    </row>
    <row r="1531" spans="1:5" x14ac:dyDescent="0.2">
      <c r="A1531" s="81">
        <v>35212</v>
      </c>
      <c r="D1531">
        <v>1110.8</v>
      </c>
    </row>
    <row r="1532" spans="1:5" x14ac:dyDescent="0.2">
      <c r="A1532" s="81">
        <v>35217</v>
      </c>
      <c r="B1532">
        <v>711.7</v>
      </c>
      <c r="C1532">
        <v>2375.6</v>
      </c>
      <c r="E1532">
        <v>3722.5</v>
      </c>
    </row>
    <row r="1533" spans="1:5" x14ac:dyDescent="0.2">
      <c r="A1533" s="81">
        <v>35219</v>
      </c>
      <c r="D1533">
        <v>1114.2</v>
      </c>
    </row>
    <row r="1534" spans="1:5" x14ac:dyDescent="0.2">
      <c r="A1534" s="81">
        <v>35226</v>
      </c>
      <c r="D1534">
        <v>1114.9000000000001</v>
      </c>
    </row>
    <row r="1535" spans="1:5" x14ac:dyDescent="0.2">
      <c r="A1535" s="81">
        <v>35233</v>
      </c>
      <c r="D1535">
        <v>1114.5</v>
      </c>
    </row>
    <row r="1536" spans="1:5" x14ac:dyDescent="0.2">
      <c r="A1536" s="81">
        <v>35240</v>
      </c>
      <c r="D1536">
        <v>1113</v>
      </c>
    </row>
    <row r="1537" spans="1:5" x14ac:dyDescent="0.2">
      <c r="A1537" s="81">
        <v>35247</v>
      </c>
      <c r="B1537">
        <v>708.5</v>
      </c>
      <c r="C1537">
        <v>2380.3000000000002</v>
      </c>
      <c r="D1537">
        <v>1119.2</v>
      </c>
      <c r="E1537">
        <v>3737.1</v>
      </c>
    </row>
    <row r="1538" spans="1:5" x14ac:dyDescent="0.2">
      <c r="A1538" s="81">
        <v>35254</v>
      </c>
      <c r="D1538">
        <v>1109</v>
      </c>
    </row>
    <row r="1539" spans="1:5" x14ac:dyDescent="0.2">
      <c r="A1539" s="81">
        <v>35261</v>
      </c>
      <c r="D1539">
        <v>1115.0999999999999</v>
      </c>
    </row>
    <row r="1540" spans="1:5" x14ac:dyDescent="0.2">
      <c r="A1540" s="81">
        <v>35268</v>
      </c>
      <c r="D1540">
        <v>1113.0999999999999</v>
      </c>
    </row>
    <row r="1541" spans="1:5" x14ac:dyDescent="0.2">
      <c r="A1541" s="81">
        <v>35275</v>
      </c>
      <c r="D1541">
        <v>1112.0999999999999</v>
      </c>
    </row>
    <row r="1542" spans="1:5" x14ac:dyDescent="0.2">
      <c r="A1542" s="81">
        <v>35278</v>
      </c>
      <c r="B1542">
        <v>700.8</v>
      </c>
      <c r="C1542">
        <v>2381.6999999999998</v>
      </c>
      <c r="E1542">
        <v>3744</v>
      </c>
    </row>
    <row r="1543" spans="1:5" x14ac:dyDescent="0.2">
      <c r="A1543" s="81">
        <v>35282</v>
      </c>
      <c r="D1543">
        <v>1108.5</v>
      </c>
    </row>
    <row r="1544" spans="1:5" x14ac:dyDescent="0.2">
      <c r="A1544" s="81">
        <v>35289</v>
      </c>
      <c r="D1544">
        <v>1106.0999999999999</v>
      </c>
    </row>
    <row r="1545" spans="1:5" x14ac:dyDescent="0.2">
      <c r="A1545" s="81">
        <v>35296</v>
      </c>
      <c r="D1545">
        <v>1098.0999999999999</v>
      </c>
    </row>
    <row r="1546" spans="1:5" x14ac:dyDescent="0.2">
      <c r="A1546" s="81">
        <v>35303</v>
      </c>
      <c r="D1546">
        <v>1098.5999999999999</v>
      </c>
    </row>
    <row r="1547" spans="1:5" x14ac:dyDescent="0.2">
      <c r="A1547" s="81">
        <v>35309</v>
      </c>
      <c r="B1547">
        <v>695.1</v>
      </c>
      <c r="C1547">
        <v>2380.1</v>
      </c>
      <c r="E1547">
        <v>3753.4</v>
      </c>
    </row>
    <row r="1548" spans="1:5" x14ac:dyDescent="0.2">
      <c r="A1548" s="81">
        <v>35310</v>
      </c>
      <c r="D1548">
        <v>1097.9000000000001</v>
      </c>
    </row>
    <row r="1549" spans="1:5" x14ac:dyDescent="0.2">
      <c r="A1549" s="81">
        <v>35317</v>
      </c>
      <c r="D1549">
        <v>1103.8</v>
      </c>
    </row>
    <row r="1550" spans="1:5" x14ac:dyDescent="0.2">
      <c r="A1550" s="81">
        <v>35324</v>
      </c>
      <c r="D1550">
        <v>1096.7</v>
      </c>
    </row>
    <row r="1551" spans="1:5" x14ac:dyDescent="0.2">
      <c r="A1551" s="81">
        <v>35331</v>
      </c>
      <c r="D1551">
        <v>1091.7</v>
      </c>
    </row>
    <row r="1552" spans="1:5" x14ac:dyDescent="0.2">
      <c r="A1552" s="81">
        <v>35338</v>
      </c>
      <c r="D1552">
        <v>1091.8</v>
      </c>
    </row>
    <row r="1553" spans="1:5" x14ac:dyDescent="0.2">
      <c r="A1553" s="81">
        <v>35339</v>
      </c>
      <c r="B1553">
        <v>686.3</v>
      </c>
      <c r="C1553">
        <v>2384.8000000000002</v>
      </c>
      <c r="E1553">
        <v>3772.8</v>
      </c>
    </row>
    <row r="1554" spans="1:5" x14ac:dyDescent="0.2">
      <c r="A1554" s="81">
        <v>35345</v>
      </c>
      <c r="D1554">
        <v>1088.5</v>
      </c>
    </row>
    <row r="1555" spans="1:5" x14ac:dyDescent="0.2">
      <c r="A1555" s="81">
        <v>35352</v>
      </c>
      <c r="D1555">
        <v>1091.5999999999999</v>
      </c>
    </row>
    <row r="1556" spans="1:5" x14ac:dyDescent="0.2">
      <c r="A1556" s="81">
        <v>35359</v>
      </c>
      <c r="D1556">
        <v>1086.7</v>
      </c>
    </row>
    <row r="1557" spans="1:5" x14ac:dyDescent="0.2">
      <c r="A1557" s="81">
        <v>35366</v>
      </c>
      <c r="D1557">
        <v>1077.8</v>
      </c>
    </row>
    <row r="1558" spans="1:5" x14ac:dyDescent="0.2">
      <c r="A1558" s="81">
        <v>35370</v>
      </c>
      <c r="B1558">
        <v>682.7</v>
      </c>
      <c r="C1558">
        <v>2391.4</v>
      </c>
      <c r="E1558">
        <v>3795.1</v>
      </c>
    </row>
    <row r="1559" spans="1:5" x14ac:dyDescent="0.2">
      <c r="A1559" s="81">
        <v>35373</v>
      </c>
      <c r="D1559">
        <v>1081.2</v>
      </c>
    </row>
    <row r="1560" spans="1:5" x14ac:dyDescent="0.2">
      <c r="A1560" s="81">
        <v>35380</v>
      </c>
      <c r="D1560">
        <v>1088.0999999999999</v>
      </c>
    </row>
    <row r="1561" spans="1:5" x14ac:dyDescent="0.2">
      <c r="A1561" s="81">
        <v>35387</v>
      </c>
      <c r="D1561">
        <v>1087.7</v>
      </c>
    </row>
    <row r="1562" spans="1:5" x14ac:dyDescent="0.2">
      <c r="A1562" s="81">
        <v>35394</v>
      </c>
      <c r="D1562">
        <v>1078.0999999999999</v>
      </c>
    </row>
    <row r="1563" spans="1:5" x14ac:dyDescent="0.2">
      <c r="A1563" s="81">
        <v>35400</v>
      </c>
      <c r="B1563">
        <v>679.6</v>
      </c>
      <c r="C1563">
        <v>2400.1</v>
      </c>
      <c r="E1563">
        <v>3818.6</v>
      </c>
    </row>
    <row r="1564" spans="1:5" x14ac:dyDescent="0.2">
      <c r="A1564" s="81">
        <v>35401</v>
      </c>
      <c r="D1564">
        <v>1081</v>
      </c>
    </row>
    <row r="1565" spans="1:5" x14ac:dyDescent="0.2">
      <c r="A1565" s="81">
        <v>35408</v>
      </c>
      <c r="D1565">
        <v>1091.0999999999999</v>
      </c>
    </row>
    <row r="1566" spans="1:5" x14ac:dyDescent="0.2">
      <c r="A1566" s="81">
        <v>35415</v>
      </c>
      <c r="D1566">
        <v>1083.9000000000001</v>
      </c>
    </row>
    <row r="1567" spans="1:5" x14ac:dyDescent="0.2">
      <c r="A1567" s="81">
        <v>35422</v>
      </c>
      <c r="D1567">
        <v>1080.2</v>
      </c>
    </row>
    <row r="1568" spans="1:5" x14ac:dyDescent="0.2">
      <c r="A1568" s="81">
        <v>35429</v>
      </c>
      <c r="D1568">
        <v>1070.7</v>
      </c>
    </row>
    <row r="1569" spans="1:5" x14ac:dyDescent="0.2">
      <c r="A1569" s="81">
        <v>35431</v>
      </c>
      <c r="B1569">
        <v>678.3</v>
      </c>
      <c r="C1569">
        <v>2405.6</v>
      </c>
      <c r="E1569">
        <v>3834.6</v>
      </c>
    </row>
    <row r="1570" spans="1:5" x14ac:dyDescent="0.2">
      <c r="A1570" s="81">
        <v>35436</v>
      </c>
      <c r="D1570">
        <v>1079.5999999999999</v>
      </c>
    </row>
    <row r="1571" spans="1:5" x14ac:dyDescent="0.2">
      <c r="A1571" s="81">
        <v>35443</v>
      </c>
      <c r="D1571">
        <v>1089.9000000000001</v>
      </c>
    </row>
    <row r="1572" spans="1:5" x14ac:dyDescent="0.2">
      <c r="A1572" s="81">
        <v>35450</v>
      </c>
      <c r="D1572">
        <v>1081.7</v>
      </c>
    </row>
    <row r="1573" spans="1:5" x14ac:dyDescent="0.2">
      <c r="A1573" s="81">
        <v>35457</v>
      </c>
      <c r="D1573">
        <v>1075.8</v>
      </c>
    </row>
    <row r="1574" spans="1:5" x14ac:dyDescent="0.2">
      <c r="A1574" s="81">
        <v>35462</v>
      </c>
      <c r="B1574">
        <v>675.5</v>
      </c>
      <c r="C1574">
        <v>2408.5</v>
      </c>
      <c r="E1574">
        <v>3846.3</v>
      </c>
    </row>
    <row r="1575" spans="1:5" x14ac:dyDescent="0.2">
      <c r="A1575" s="81">
        <v>35464</v>
      </c>
      <c r="D1575">
        <v>1077.2</v>
      </c>
    </row>
    <row r="1576" spans="1:5" x14ac:dyDescent="0.2">
      <c r="A1576" s="81">
        <v>35471</v>
      </c>
      <c r="D1576">
        <v>1086.5</v>
      </c>
    </row>
    <row r="1577" spans="1:5" x14ac:dyDescent="0.2">
      <c r="A1577" s="81">
        <v>35478</v>
      </c>
      <c r="D1577">
        <v>1078.2</v>
      </c>
    </row>
    <row r="1578" spans="1:5" x14ac:dyDescent="0.2">
      <c r="A1578" s="81">
        <v>35485</v>
      </c>
      <c r="D1578">
        <v>1075.3</v>
      </c>
    </row>
    <row r="1579" spans="1:5" x14ac:dyDescent="0.2">
      <c r="A1579" s="81">
        <v>35490</v>
      </c>
      <c r="B1579">
        <v>671.2</v>
      </c>
      <c r="C1579">
        <v>2416.3000000000002</v>
      </c>
      <c r="E1579">
        <v>3861.2</v>
      </c>
    </row>
    <row r="1580" spans="1:5" x14ac:dyDescent="0.2">
      <c r="A1580" s="81">
        <v>35492</v>
      </c>
      <c r="D1580">
        <v>1073.5999999999999</v>
      </c>
    </row>
    <row r="1581" spans="1:5" x14ac:dyDescent="0.2">
      <c r="A1581" s="81">
        <v>35499</v>
      </c>
      <c r="D1581">
        <v>1081.3</v>
      </c>
    </row>
    <row r="1582" spans="1:5" x14ac:dyDescent="0.2">
      <c r="A1582" s="81">
        <v>35506</v>
      </c>
      <c r="D1582">
        <v>1075.2</v>
      </c>
    </row>
    <row r="1583" spans="1:5" x14ac:dyDescent="0.2">
      <c r="A1583" s="81">
        <v>35513</v>
      </c>
      <c r="D1583">
        <v>1069.4000000000001</v>
      </c>
    </row>
    <row r="1584" spans="1:5" x14ac:dyDescent="0.2">
      <c r="A1584" s="81">
        <v>35520</v>
      </c>
      <c r="D1584">
        <v>1063.5999999999999</v>
      </c>
    </row>
    <row r="1585" spans="1:5" x14ac:dyDescent="0.2">
      <c r="A1585" s="81">
        <v>35521</v>
      </c>
      <c r="B1585">
        <v>665.4</v>
      </c>
      <c r="C1585">
        <v>2424.6</v>
      </c>
      <c r="E1585">
        <v>3877</v>
      </c>
    </row>
    <row r="1586" spans="1:5" x14ac:dyDescent="0.2">
      <c r="A1586" s="81">
        <v>35527</v>
      </c>
      <c r="D1586">
        <v>1069.7</v>
      </c>
    </row>
    <row r="1587" spans="1:5" x14ac:dyDescent="0.2">
      <c r="A1587" s="81">
        <v>35534</v>
      </c>
      <c r="D1587">
        <v>1066.5999999999999</v>
      </c>
    </row>
    <row r="1588" spans="1:5" x14ac:dyDescent="0.2">
      <c r="A1588" s="81">
        <v>35541</v>
      </c>
      <c r="D1588">
        <v>1064.0999999999999</v>
      </c>
    </row>
    <row r="1589" spans="1:5" x14ac:dyDescent="0.2">
      <c r="A1589" s="81">
        <v>35548</v>
      </c>
      <c r="D1589">
        <v>1055.5</v>
      </c>
    </row>
    <row r="1590" spans="1:5" x14ac:dyDescent="0.2">
      <c r="A1590" s="81">
        <v>35551</v>
      </c>
      <c r="B1590">
        <v>665.3</v>
      </c>
      <c r="C1590">
        <v>2432.3000000000002</v>
      </c>
      <c r="E1590">
        <v>3889.2</v>
      </c>
    </row>
    <row r="1591" spans="1:5" x14ac:dyDescent="0.2">
      <c r="A1591" s="81">
        <v>35555</v>
      </c>
      <c r="D1591">
        <v>1062.7</v>
      </c>
    </row>
    <row r="1592" spans="1:5" x14ac:dyDescent="0.2">
      <c r="A1592" s="81">
        <v>35562</v>
      </c>
      <c r="D1592">
        <v>1067.3</v>
      </c>
    </row>
    <row r="1593" spans="1:5" x14ac:dyDescent="0.2">
      <c r="A1593" s="81">
        <v>35569</v>
      </c>
      <c r="D1593">
        <v>1063.3</v>
      </c>
    </row>
    <row r="1594" spans="1:5" x14ac:dyDescent="0.2">
      <c r="A1594" s="81">
        <v>35576</v>
      </c>
      <c r="D1594">
        <v>1060.5999999999999</v>
      </c>
    </row>
    <row r="1595" spans="1:5" x14ac:dyDescent="0.2">
      <c r="A1595" s="81">
        <v>35582</v>
      </c>
      <c r="B1595">
        <v>665.5</v>
      </c>
      <c r="C1595">
        <v>2438.1999999999998</v>
      </c>
      <c r="E1595">
        <v>3906</v>
      </c>
    </row>
    <row r="1596" spans="1:5" x14ac:dyDescent="0.2">
      <c r="A1596" s="81">
        <v>35583</v>
      </c>
      <c r="D1596">
        <v>1065.0999999999999</v>
      </c>
    </row>
    <row r="1597" spans="1:5" x14ac:dyDescent="0.2">
      <c r="A1597" s="81">
        <v>35590</v>
      </c>
      <c r="D1597">
        <v>1072.3</v>
      </c>
    </row>
    <row r="1598" spans="1:5" x14ac:dyDescent="0.2">
      <c r="A1598" s="81">
        <v>35597</v>
      </c>
      <c r="D1598">
        <v>1068.5999999999999</v>
      </c>
    </row>
    <row r="1599" spans="1:5" x14ac:dyDescent="0.2">
      <c r="A1599" s="81">
        <v>35604</v>
      </c>
      <c r="D1599">
        <v>1061.7</v>
      </c>
    </row>
    <row r="1600" spans="1:5" x14ac:dyDescent="0.2">
      <c r="A1600" s="81">
        <v>35611</v>
      </c>
      <c r="D1600">
        <v>1062.0999999999999</v>
      </c>
    </row>
    <row r="1601" spans="1:5" x14ac:dyDescent="0.2">
      <c r="A1601" s="81">
        <v>35612</v>
      </c>
      <c r="B1601">
        <v>664.3</v>
      </c>
      <c r="C1601">
        <v>2446.3000000000002</v>
      </c>
      <c r="E1601">
        <v>3923.9</v>
      </c>
    </row>
    <row r="1602" spans="1:5" x14ac:dyDescent="0.2">
      <c r="A1602" s="81">
        <v>35618</v>
      </c>
      <c r="D1602">
        <v>1065.5999999999999</v>
      </c>
    </row>
    <row r="1603" spans="1:5" x14ac:dyDescent="0.2">
      <c r="A1603" s="81">
        <v>35625</v>
      </c>
      <c r="D1603">
        <v>1069.3</v>
      </c>
    </row>
    <row r="1604" spans="1:5" x14ac:dyDescent="0.2">
      <c r="A1604" s="81">
        <v>35632</v>
      </c>
      <c r="D1604">
        <v>1064</v>
      </c>
    </row>
    <row r="1605" spans="1:5" x14ac:dyDescent="0.2">
      <c r="A1605" s="81">
        <v>35639</v>
      </c>
      <c r="D1605">
        <v>1060.5999999999999</v>
      </c>
    </row>
    <row r="1606" spans="1:5" x14ac:dyDescent="0.2">
      <c r="A1606" s="81">
        <v>35643</v>
      </c>
      <c r="B1606">
        <v>668.7</v>
      </c>
      <c r="C1606">
        <v>2461.1</v>
      </c>
      <c r="E1606">
        <v>3957.4</v>
      </c>
    </row>
    <row r="1607" spans="1:5" x14ac:dyDescent="0.2">
      <c r="A1607" s="81">
        <v>35646</v>
      </c>
      <c r="D1607">
        <v>1071</v>
      </c>
    </row>
    <row r="1608" spans="1:5" x14ac:dyDescent="0.2">
      <c r="A1608" s="81">
        <v>35653</v>
      </c>
      <c r="D1608">
        <v>1080.2</v>
      </c>
    </row>
    <row r="1609" spans="1:5" x14ac:dyDescent="0.2">
      <c r="A1609" s="81">
        <v>35660</v>
      </c>
      <c r="D1609">
        <v>1076.4000000000001</v>
      </c>
    </row>
    <row r="1610" spans="1:5" x14ac:dyDescent="0.2">
      <c r="A1610" s="81">
        <v>35667</v>
      </c>
      <c r="D1610">
        <v>1074.5</v>
      </c>
    </row>
    <row r="1611" spans="1:5" x14ac:dyDescent="0.2">
      <c r="A1611" s="81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5" x14ac:dyDescent="0.2">
      <c r="A1612" s="81">
        <v>35681</v>
      </c>
      <c r="D1612">
        <v>1077.5999999999999</v>
      </c>
    </row>
    <row r="1613" spans="1:5" x14ac:dyDescent="0.2">
      <c r="A1613" s="81">
        <v>35688</v>
      </c>
      <c r="D1613">
        <v>1066.5</v>
      </c>
    </row>
    <row r="1614" spans="1:5" x14ac:dyDescent="0.2">
      <c r="A1614" s="81">
        <v>35695</v>
      </c>
      <c r="D1614">
        <v>1062.2</v>
      </c>
    </row>
    <row r="1615" spans="1:5" x14ac:dyDescent="0.2">
      <c r="A1615" s="81">
        <v>35702</v>
      </c>
      <c r="D1615">
        <v>1060.0999999999999</v>
      </c>
    </row>
    <row r="1616" spans="1:5" x14ac:dyDescent="0.2">
      <c r="A1616" s="81">
        <v>35704</v>
      </c>
      <c r="B1616">
        <v>659.8</v>
      </c>
      <c r="C1616">
        <v>2472</v>
      </c>
      <c r="E1616">
        <v>3992.3</v>
      </c>
    </row>
    <row r="1617" spans="1:5" x14ac:dyDescent="0.2">
      <c r="A1617" s="81">
        <v>35709</v>
      </c>
      <c r="D1617">
        <v>1068.8</v>
      </c>
    </row>
    <row r="1618" spans="1:5" x14ac:dyDescent="0.2">
      <c r="A1618" s="81">
        <v>35716</v>
      </c>
      <c r="D1618">
        <v>1066.3</v>
      </c>
    </row>
    <row r="1619" spans="1:5" x14ac:dyDescent="0.2">
      <c r="A1619" s="81">
        <v>35723</v>
      </c>
      <c r="D1619">
        <v>1064.5</v>
      </c>
    </row>
    <row r="1620" spans="1:5" x14ac:dyDescent="0.2">
      <c r="A1620" s="81">
        <v>35730</v>
      </c>
      <c r="D1620">
        <v>1058.7</v>
      </c>
    </row>
    <row r="1621" spans="1:5" x14ac:dyDescent="0.2">
      <c r="A1621" s="81">
        <v>35735</v>
      </c>
      <c r="B1621">
        <v>662.3</v>
      </c>
      <c r="C1621">
        <v>2482.9</v>
      </c>
      <c r="E1621">
        <v>4014.8</v>
      </c>
    </row>
    <row r="1622" spans="1:5" x14ac:dyDescent="0.2">
      <c r="A1622" s="81">
        <v>35737</v>
      </c>
      <c r="D1622">
        <v>1073.0999999999999</v>
      </c>
    </row>
    <row r="1623" spans="1:5" x14ac:dyDescent="0.2">
      <c r="A1623" s="81">
        <v>35744</v>
      </c>
      <c r="D1623">
        <v>1075.4000000000001</v>
      </c>
    </row>
    <row r="1624" spans="1:5" x14ac:dyDescent="0.2">
      <c r="A1624" s="81">
        <v>35751</v>
      </c>
      <c r="D1624">
        <v>1070.4000000000001</v>
      </c>
    </row>
    <row r="1625" spans="1:5" x14ac:dyDescent="0.2">
      <c r="A1625" s="81">
        <v>35758</v>
      </c>
      <c r="D1625">
        <v>1066.4000000000001</v>
      </c>
    </row>
    <row r="1626" spans="1:5" x14ac:dyDescent="0.2">
      <c r="A1626" s="81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5" x14ac:dyDescent="0.2">
      <c r="A1627" s="81">
        <v>35772</v>
      </c>
      <c r="D1627">
        <v>1072.2</v>
      </c>
    </row>
    <row r="1628" spans="1:5" x14ac:dyDescent="0.2">
      <c r="A1628" s="81">
        <v>35779</v>
      </c>
      <c r="D1628">
        <v>1072.9000000000001</v>
      </c>
    </row>
    <row r="1629" spans="1:5" x14ac:dyDescent="0.2">
      <c r="A1629" s="81">
        <v>35786</v>
      </c>
      <c r="D1629">
        <v>1070.5999999999999</v>
      </c>
    </row>
    <row r="1630" spans="1:5" x14ac:dyDescent="0.2">
      <c r="A1630" s="81">
        <v>35793</v>
      </c>
      <c r="D1630">
        <v>1071.4000000000001</v>
      </c>
    </row>
    <row r="1631" spans="1:5" x14ac:dyDescent="0.2">
      <c r="A1631" s="81">
        <v>35796</v>
      </c>
      <c r="B1631">
        <v>663</v>
      </c>
      <c r="C1631">
        <v>2503.8000000000002</v>
      </c>
      <c r="E1631">
        <v>4056.2</v>
      </c>
    </row>
    <row r="1632" spans="1:5" x14ac:dyDescent="0.2">
      <c r="A1632" s="81">
        <v>35800</v>
      </c>
      <c r="D1632">
        <v>1080.9000000000001</v>
      </c>
    </row>
    <row r="1633" spans="1:5" x14ac:dyDescent="0.2">
      <c r="A1633" s="81">
        <v>35807</v>
      </c>
      <c r="D1633">
        <v>1078</v>
      </c>
    </row>
    <row r="1634" spans="1:5" x14ac:dyDescent="0.2">
      <c r="A1634" s="81">
        <v>35814</v>
      </c>
      <c r="D1634">
        <v>1070.3</v>
      </c>
    </row>
    <row r="1635" spans="1:5" x14ac:dyDescent="0.2">
      <c r="A1635" s="81">
        <v>35821</v>
      </c>
      <c r="D1635">
        <v>1070.9000000000001</v>
      </c>
    </row>
    <row r="1636" spans="1:5" x14ac:dyDescent="0.2">
      <c r="A1636" s="81">
        <v>35827</v>
      </c>
      <c r="B1636">
        <v>665.3</v>
      </c>
      <c r="C1636">
        <v>2524</v>
      </c>
      <c r="E1636">
        <v>4088.9</v>
      </c>
    </row>
    <row r="1637" spans="1:5" x14ac:dyDescent="0.2">
      <c r="A1637" s="81">
        <v>35828</v>
      </c>
      <c r="D1637">
        <v>1072.2</v>
      </c>
    </row>
    <row r="1638" spans="1:5" x14ac:dyDescent="0.2">
      <c r="A1638" s="81">
        <v>35835</v>
      </c>
      <c r="D1638">
        <v>1080.0999999999999</v>
      </c>
    </row>
    <row r="1639" spans="1:5" x14ac:dyDescent="0.2">
      <c r="A1639" s="81">
        <v>35842</v>
      </c>
      <c r="D1639">
        <v>1077.4000000000001</v>
      </c>
    </row>
    <row r="1640" spans="1:5" x14ac:dyDescent="0.2">
      <c r="A1640" s="81">
        <v>35849</v>
      </c>
      <c r="D1640">
        <v>1076.8</v>
      </c>
    </row>
    <row r="1641" spans="1:5" x14ac:dyDescent="0.2">
      <c r="A1641" s="81">
        <v>35855</v>
      </c>
      <c r="B1641">
        <v>664.8</v>
      </c>
      <c r="C1641">
        <v>2539.6999999999998</v>
      </c>
      <c r="E1641">
        <v>4114.3</v>
      </c>
    </row>
    <row r="1642" spans="1:5" x14ac:dyDescent="0.2">
      <c r="A1642" s="81">
        <v>35856</v>
      </c>
      <c r="D1642">
        <v>1079.3</v>
      </c>
    </row>
    <row r="1643" spans="1:5" x14ac:dyDescent="0.2">
      <c r="A1643" s="81">
        <v>35863</v>
      </c>
      <c r="D1643">
        <v>1085.8</v>
      </c>
    </row>
    <row r="1644" spans="1:5" x14ac:dyDescent="0.2">
      <c r="A1644" s="81">
        <v>35870</v>
      </c>
      <c r="D1644">
        <v>1081.7</v>
      </c>
    </row>
    <row r="1645" spans="1:5" x14ac:dyDescent="0.2">
      <c r="A1645" s="81">
        <v>35877</v>
      </c>
      <c r="D1645">
        <v>1074.4000000000001</v>
      </c>
    </row>
    <row r="1646" spans="1:5" x14ac:dyDescent="0.2">
      <c r="A1646" s="81">
        <v>35884</v>
      </c>
      <c r="D1646">
        <v>1064.8</v>
      </c>
    </row>
    <row r="1647" spans="1:5" x14ac:dyDescent="0.2">
      <c r="A1647" s="81">
        <v>35886</v>
      </c>
      <c r="B1647">
        <v>663.7</v>
      </c>
      <c r="C1647">
        <v>2552.5</v>
      </c>
      <c r="E1647">
        <v>4140.2</v>
      </c>
    </row>
    <row r="1648" spans="1:5" x14ac:dyDescent="0.2">
      <c r="A1648" s="81">
        <v>35891</v>
      </c>
      <c r="D1648">
        <v>1079.0999999999999</v>
      </c>
    </row>
    <row r="1649" spans="1:5" x14ac:dyDescent="0.2">
      <c r="A1649" s="81">
        <v>35898</v>
      </c>
      <c r="D1649">
        <v>1078.2</v>
      </c>
    </row>
    <row r="1650" spans="1:5" x14ac:dyDescent="0.2">
      <c r="A1650" s="81">
        <v>35905</v>
      </c>
      <c r="D1650">
        <v>1079.4000000000001</v>
      </c>
    </row>
    <row r="1651" spans="1:5" x14ac:dyDescent="0.2">
      <c r="A1651" s="81">
        <v>35912</v>
      </c>
      <c r="D1651">
        <v>1068.5</v>
      </c>
    </row>
    <row r="1652" spans="1:5" x14ac:dyDescent="0.2">
      <c r="A1652" s="81">
        <v>35916</v>
      </c>
      <c r="B1652">
        <v>663.7</v>
      </c>
      <c r="C1652">
        <v>2561.1</v>
      </c>
      <c r="E1652">
        <v>4164.3999999999996</v>
      </c>
    </row>
    <row r="1653" spans="1:5" x14ac:dyDescent="0.2">
      <c r="A1653" s="81">
        <v>35919</v>
      </c>
      <c r="D1653">
        <v>1078.9000000000001</v>
      </c>
    </row>
    <row r="1654" spans="1:5" x14ac:dyDescent="0.2">
      <c r="A1654" s="81">
        <v>35926</v>
      </c>
      <c r="D1654">
        <v>1084.4000000000001</v>
      </c>
    </row>
    <row r="1655" spans="1:5" x14ac:dyDescent="0.2">
      <c r="A1655" s="81">
        <v>35933</v>
      </c>
      <c r="D1655">
        <v>1081.2</v>
      </c>
    </row>
    <row r="1656" spans="1:5" x14ac:dyDescent="0.2">
      <c r="A1656" s="81">
        <v>35940</v>
      </c>
      <c r="D1656">
        <v>1072.9000000000001</v>
      </c>
    </row>
    <row r="1657" spans="1:5" x14ac:dyDescent="0.2">
      <c r="A1657" s="81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5" x14ac:dyDescent="0.2">
      <c r="A1658" s="81">
        <v>35954</v>
      </c>
      <c r="D1658">
        <v>1081</v>
      </c>
    </row>
    <row r="1659" spans="1:5" x14ac:dyDescent="0.2">
      <c r="A1659" s="81">
        <v>35961</v>
      </c>
      <c r="D1659">
        <v>1083.8</v>
      </c>
    </row>
    <row r="1660" spans="1:5" x14ac:dyDescent="0.2">
      <c r="A1660" s="81">
        <v>35968</v>
      </c>
      <c r="D1660">
        <v>1071.8</v>
      </c>
    </row>
    <row r="1661" spans="1:5" x14ac:dyDescent="0.2">
      <c r="A1661" s="81">
        <v>35975</v>
      </c>
      <c r="D1661">
        <v>1066.9000000000001</v>
      </c>
    </row>
    <row r="1662" spans="1:5" x14ac:dyDescent="0.2">
      <c r="A1662" s="81">
        <v>35977</v>
      </c>
      <c r="B1662">
        <v>658.8</v>
      </c>
      <c r="C1662">
        <v>2575.9</v>
      </c>
      <c r="E1662">
        <v>4203.8</v>
      </c>
    </row>
    <row r="1663" spans="1:5" x14ac:dyDescent="0.2">
      <c r="A1663" s="81">
        <v>35982</v>
      </c>
      <c r="D1663">
        <v>1083.2</v>
      </c>
    </row>
    <row r="1664" spans="1:5" x14ac:dyDescent="0.2">
      <c r="A1664" s="81">
        <v>35989</v>
      </c>
      <c r="D1664">
        <v>1075</v>
      </c>
    </row>
    <row r="1665" spans="1:5" x14ac:dyDescent="0.2">
      <c r="A1665" s="81">
        <v>35996</v>
      </c>
      <c r="D1665">
        <v>1072.7</v>
      </c>
    </row>
    <row r="1666" spans="1:5" x14ac:dyDescent="0.2">
      <c r="A1666" s="81">
        <v>36003</v>
      </c>
      <c r="D1666">
        <v>1067.7</v>
      </c>
    </row>
    <row r="1667" spans="1:5" x14ac:dyDescent="0.2">
      <c r="A1667" s="81">
        <v>36008</v>
      </c>
      <c r="B1667">
        <v>658.4</v>
      </c>
      <c r="C1667">
        <v>2587.9</v>
      </c>
      <c r="E1667">
        <v>4228.7</v>
      </c>
    </row>
    <row r="1668" spans="1:5" x14ac:dyDescent="0.2">
      <c r="A1668" s="81">
        <v>36010</v>
      </c>
      <c r="D1668">
        <v>1079.8</v>
      </c>
    </row>
    <row r="1669" spans="1:5" x14ac:dyDescent="0.2">
      <c r="A1669" s="81">
        <v>36017</v>
      </c>
      <c r="D1669">
        <v>1084.0999999999999</v>
      </c>
    </row>
    <row r="1670" spans="1:5" x14ac:dyDescent="0.2">
      <c r="A1670" s="81">
        <v>36024</v>
      </c>
      <c r="D1670">
        <v>1075.4000000000001</v>
      </c>
    </row>
    <row r="1671" spans="1:5" x14ac:dyDescent="0.2">
      <c r="A1671" s="81">
        <v>36031</v>
      </c>
      <c r="D1671">
        <v>1072.4000000000001</v>
      </c>
    </row>
    <row r="1672" spans="1:5" x14ac:dyDescent="0.2">
      <c r="A1672" s="81">
        <v>36038</v>
      </c>
      <c r="D1672">
        <v>1069.8</v>
      </c>
    </row>
    <row r="1673" spans="1:5" x14ac:dyDescent="0.2">
      <c r="A1673" s="81">
        <v>36039</v>
      </c>
      <c r="B1673">
        <v>660.5</v>
      </c>
      <c r="C1673">
        <v>2610.1999999999998</v>
      </c>
      <c r="E1673">
        <v>4267.6000000000004</v>
      </c>
    </row>
    <row r="1674" spans="1:5" x14ac:dyDescent="0.2">
      <c r="A1674" s="81">
        <v>36045</v>
      </c>
      <c r="D1674">
        <v>1076.2</v>
      </c>
    </row>
    <row r="1675" spans="1:5" x14ac:dyDescent="0.2">
      <c r="A1675" s="81">
        <v>36052</v>
      </c>
      <c r="D1675">
        <v>1083.9000000000001</v>
      </c>
    </row>
    <row r="1676" spans="1:5" x14ac:dyDescent="0.2">
      <c r="A1676" s="81">
        <v>36059</v>
      </c>
      <c r="D1676">
        <v>1083.4000000000001</v>
      </c>
    </row>
    <row r="1677" spans="1:5" x14ac:dyDescent="0.2">
      <c r="A1677" s="81">
        <v>36066</v>
      </c>
      <c r="D1677">
        <v>1074.5</v>
      </c>
    </row>
    <row r="1678" spans="1:5" x14ac:dyDescent="0.2">
      <c r="A1678" s="81">
        <v>36069</v>
      </c>
      <c r="B1678">
        <v>662.6</v>
      </c>
      <c r="C1678">
        <v>2628.2</v>
      </c>
      <c r="E1678">
        <v>4307.7</v>
      </c>
    </row>
    <row r="1679" spans="1:5" x14ac:dyDescent="0.2">
      <c r="A1679" s="81">
        <v>36073</v>
      </c>
      <c r="D1679">
        <v>1084.2</v>
      </c>
    </row>
    <row r="1680" spans="1:5" x14ac:dyDescent="0.2">
      <c r="A1680" s="81">
        <v>36080</v>
      </c>
      <c r="D1680">
        <v>1084</v>
      </c>
    </row>
    <row r="1681" spans="1:5" x14ac:dyDescent="0.2">
      <c r="A1681" s="81">
        <v>36087</v>
      </c>
      <c r="D1681">
        <v>1086.0999999999999</v>
      </c>
    </row>
    <row r="1682" spans="1:5" x14ac:dyDescent="0.2">
      <c r="A1682" s="81">
        <v>36094</v>
      </c>
      <c r="D1682">
        <v>1086.9000000000001</v>
      </c>
    </row>
    <row r="1683" spans="1:5" x14ac:dyDescent="0.2">
      <c r="A1683" s="81">
        <v>36100</v>
      </c>
      <c r="B1683">
        <v>667.2</v>
      </c>
      <c r="C1683">
        <v>2648.6</v>
      </c>
      <c r="E1683">
        <v>4346.3999999999996</v>
      </c>
    </row>
    <row r="1684" spans="1:5" x14ac:dyDescent="0.2">
      <c r="A1684" s="81">
        <v>36101</v>
      </c>
      <c r="D1684">
        <v>1088.9000000000001</v>
      </c>
    </row>
    <row r="1685" spans="1:5" x14ac:dyDescent="0.2">
      <c r="A1685" s="81">
        <v>36108</v>
      </c>
      <c r="D1685">
        <v>1096.0999999999999</v>
      </c>
    </row>
    <row r="1686" spans="1:5" x14ac:dyDescent="0.2">
      <c r="A1686" s="81">
        <v>36115</v>
      </c>
      <c r="D1686">
        <v>1097.2</v>
      </c>
    </row>
    <row r="1687" spans="1:5" x14ac:dyDescent="0.2">
      <c r="A1687" s="81">
        <v>36122</v>
      </c>
      <c r="D1687">
        <v>1092.4000000000001</v>
      </c>
    </row>
    <row r="1688" spans="1:5" x14ac:dyDescent="0.2">
      <c r="A1688" s="81">
        <v>36129</v>
      </c>
      <c r="D1688">
        <v>1096.0999999999999</v>
      </c>
    </row>
    <row r="1689" spans="1:5" x14ac:dyDescent="0.2">
      <c r="A1689" s="81">
        <v>36130</v>
      </c>
      <c r="B1689">
        <v>666.1</v>
      </c>
      <c r="C1689">
        <v>2661.3</v>
      </c>
      <c r="E1689">
        <v>4375.2</v>
      </c>
    </row>
    <row r="1690" spans="1:5" x14ac:dyDescent="0.2">
      <c r="A1690" s="81">
        <v>36136</v>
      </c>
      <c r="D1690">
        <v>1094.2</v>
      </c>
    </row>
    <row r="1691" spans="1:5" x14ac:dyDescent="0.2">
      <c r="A1691" s="81">
        <v>36143</v>
      </c>
      <c r="D1691">
        <v>1095.0999999999999</v>
      </c>
    </row>
    <row r="1692" spans="1:5" x14ac:dyDescent="0.2">
      <c r="A1692" s="81">
        <v>36150</v>
      </c>
      <c r="D1692">
        <v>1094.5</v>
      </c>
    </row>
    <row r="1693" spans="1:5" x14ac:dyDescent="0.2">
      <c r="A1693" s="81">
        <v>36157</v>
      </c>
      <c r="D1693">
        <v>1091.5999999999999</v>
      </c>
    </row>
    <row r="1694" spans="1:5" x14ac:dyDescent="0.2">
      <c r="A1694" s="81">
        <v>36161</v>
      </c>
      <c r="B1694">
        <v>666.7</v>
      </c>
      <c r="C1694">
        <v>2673.1</v>
      </c>
      <c r="E1694">
        <v>4402.6000000000004</v>
      </c>
    </row>
    <row r="1695" spans="1:5" x14ac:dyDescent="0.2">
      <c r="A1695" s="81">
        <v>36164</v>
      </c>
      <c r="D1695">
        <v>1107.0999999999999</v>
      </c>
    </row>
    <row r="1696" spans="1:5" x14ac:dyDescent="0.2">
      <c r="A1696" s="81">
        <v>36171</v>
      </c>
      <c r="D1696">
        <v>1102.7</v>
      </c>
    </row>
    <row r="1697" spans="1:5" x14ac:dyDescent="0.2">
      <c r="A1697" s="81">
        <v>36178</v>
      </c>
      <c r="D1697">
        <v>1095.3</v>
      </c>
    </row>
    <row r="1698" spans="1:5" x14ac:dyDescent="0.2">
      <c r="A1698" s="81">
        <v>36185</v>
      </c>
      <c r="D1698">
        <v>1093.9000000000001</v>
      </c>
    </row>
    <row r="1699" spans="1:5" x14ac:dyDescent="0.2">
      <c r="A1699" s="81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5" x14ac:dyDescent="0.2">
      <c r="A1700" s="81">
        <v>36199</v>
      </c>
      <c r="D1700">
        <v>1095.4000000000001</v>
      </c>
    </row>
    <row r="1701" spans="1:5" x14ac:dyDescent="0.2">
      <c r="A1701" s="81">
        <v>36206</v>
      </c>
      <c r="D1701">
        <v>1097.4000000000001</v>
      </c>
    </row>
    <row r="1702" spans="1:5" x14ac:dyDescent="0.2">
      <c r="A1702" s="81">
        <v>36213</v>
      </c>
      <c r="D1702">
        <v>1099.8</v>
      </c>
    </row>
    <row r="1703" spans="1:5" x14ac:dyDescent="0.2">
      <c r="A1703" s="81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5" x14ac:dyDescent="0.2">
      <c r="A1704" s="81">
        <v>36227</v>
      </c>
      <c r="D1704">
        <v>1098.5999999999999</v>
      </c>
    </row>
    <row r="1705" spans="1:5" x14ac:dyDescent="0.2">
      <c r="A1705" s="81">
        <v>36234</v>
      </c>
      <c r="D1705">
        <v>1097.5999999999999</v>
      </c>
    </row>
    <row r="1706" spans="1:5" x14ac:dyDescent="0.2">
      <c r="A1706" s="81">
        <v>36241</v>
      </c>
      <c r="D1706">
        <v>1097.3</v>
      </c>
    </row>
    <row r="1707" spans="1:5" x14ac:dyDescent="0.2">
      <c r="A1707" s="81">
        <v>36248</v>
      </c>
      <c r="D1707">
        <v>1093.8</v>
      </c>
    </row>
    <row r="1708" spans="1:5" x14ac:dyDescent="0.2">
      <c r="A1708" s="81">
        <v>36251</v>
      </c>
      <c r="B1708">
        <v>664</v>
      </c>
      <c r="C1708">
        <v>2688.8</v>
      </c>
      <c r="E1708">
        <v>4460.7</v>
      </c>
    </row>
    <row r="1709" spans="1:5" x14ac:dyDescent="0.2">
      <c r="A1709" s="81">
        <v>36255</v>
      </c>
      <c r="D1709">
        <v>1101.5</v>
      </c>
    </row>
    <row r="1710" spans="1:5" x14ac:dyDescent="0.2">
      <c r="A1710" s="81">
        <v>36262</v>
      </c>
      <c r="D1710">
        <v>1104.2</v>
      </c>
    </row>
    <row r="1711" spans="1:5" x14ac:dyDescent="0.2">
      <c r="A1711" s="81">
        <v>36269</v>
      </c>
      <c r="D1711">
        <v>1099.5</v>
      </c>
    </row>
    <row r="1712" spans="1:5" x14ac:dyDescent="0.2">
      <c r="A1712" s="81">
        <v>36276</v>
      </c>
      <c r="D1712">
        <v>1095.0999999999999</v>
      </c>
    </row>
    <row r="1713" spans="1:5" x14ac:dyDescent="0.2">
      <c r="A1713" s="81">
        <v>36281</v>
      </c>
      <c r="B1713">
        <v>664.9</v>
      </c>
      <c r="C1713">
        <v>2702</v>
      </c>
      <c r="E1713">
        <v>4485.3</v>
      </c>
    </row>
    <row r="1714" spans="1:5" x14ac:dyDescent="0.2">
      <c r="A1714" s="81">
        <v>36283</v>
      </c>
      <c r="D1714">
        <v>1109.2</v>
      </c>
    </row>
    <row r="1715" spans="1:5" x14ac:dyDescent="0.2">
      <c r="A1715" s="81">
        <v>36290</v>
      </c>
      <c r="D1715">
        <v>1109.9000000000001</v>
      </c>
    </row>
    <row r="1716" spans="1:5" x14ac:dyDescent="0.2">
      <c r="A1716" s="81">
        <v>36297</v>
      </c>
      <c r="D1716">
        <v>1102.9000000000001</v>
      </c>
    </row>
    <row r="1717" spans="1:5" x14ac:dyDescent="0.2">
      <c r="A1717" s="81">
        <v>36304</v>
      </c>
      <c r="D1717">
        <v>1099.3</v>
      </c>
    </row>
    <row r="1718" spans="1:5" x14ac:dyDescent="0.2">
      <c r="A1718" s="81">
        <v>36311</v>
      </c>
      <c r="D1718">
        <v>1099.2</v>
      </c>
    </row>
    <row r="1719" spans="1:5" x14ac:dyDescent="0.2">
      <c r="A1719" s="81">
        <v>36312</v>
      </c>
      <c r="B1719">
        <v>662.5</v>
      </c>
      <c r="C1719">
        <v>2715.2</v>
      </c>
      <c r="E1719">
        <v>4507.2</v>
      </c>
    </row>
    <row r="1720" spans="1:5" x14ac:dyDescent="0.2">
      <c r="A1720" s="81">
        <v>36318</v>
      </c>
      <c r="D1720">
        <v>1100.5999999999999</v>
      </c>
    </row>
    <row r="1721" spans="1:5" x14ac:dyDescent="0.2">
      <c r="A1721" s="81">
        <v>36325</v>
      </c>
      <c r="D1721">
        <v>1103.0999999999999</v>
      </c>
    </row>
    <row r="1722" spans="1:5" x14ac:dyDescent="0.2">
      <c r="A1722" s="81">
        <v>36332</v>
      </c>
      <c r="D1722">
        <v>1101.5999999999999</v>
      </c>
    </row>
    <row r="1723" spans="1:5" x14ac:dyDescent="0.2">
      <c r="A1723" s="81">
        <v>36339</v>
      </c>
      <c r="D1723">
        <v>1095.0999999999999</v>
      </c>
    </row>
    <row r="1724" spans="1:5" x14ac:dyDescent="0.2">
      <c r="A1724" s="81">
        <v>36342</v>
      </c>
      <c r="B1724">
        <v>659.3</v>
      </c>
      <c r="C1724">
        <v>2720.2</v>
      </c>
      <c r="E1724">
        <v>4534.5</v>
      </c>
    </row>
    <row r="1725" spans="1:5" x14ac:dyDescent="0.2">
      <c r="A1725" s="81">
        <v>36346</v>
      </c>
      <c r="D1725">
        <v>1091.5</v>
      </c>
    </row>
    <row r="1726" spans="1:5" x14ac:dyDescent="0.2">
      <c r="A1726" s="81">
        <v>36353</v>
      </c>
      <c r="D1726">
        <v>1107.5</v>
      </c>
    </row>
    <row r="1727" spans="1:5" x14ac:dyDescent="0.2">
      <c r="A1727" s="81">
        <v>36360</v>
      </c>
      <c r="D1727">
        <v>1097.2</v>
      </c>
    </row>
    <row r="1728" spans="1:5" x14ac:dyDescent="0.2">
      <c r="A1728" s="81">
        <v>36367</v>
      </c>
      <c r="D1728">
        <v>1096.5</v>
      </c>
    </row>
    <row r="1729" spans="1:5" x14ac:dyDescent="0.2">
      <c r="A1729" s="81">
        <v>36373</v>
      </c>
      <c r="B1729">
        <v>657.8</v>
      </c>
      <c r="C1729">
        <v>2723.9</v>
      </c>
      <c r="E1729">
        <v>4551.7</v>
      </c>
    </row>
    <row r="1730" spans="1:5" x14ac:dyDescent="0.2">
      <c r="A1730" s="81">
        <v>36374</v>
      </c>
      <c r="D1730">
        <v>1099.9000000000001</v>
      </c>
    </row>
    <row r="1731" spans="1:5" x14ac:dyDescent="0.2">
      <c r="A1731" s="81">
        <v>36381</v>
      </c>
      <c r="D1731">
        <v>1110.9000000000001</v>
      </c>
    </row>
    <row r="1732" spans="1:5" x14ac:dyDescent="0.2">
      <c r="A1732" s="81">
        <v>36388</v>
      </c>
      <c r="D1732">
        <v>1106.2</v>
      </c>
    </row>
    <row r="1733" spans="1:5" x14ac:dyDescent="0.2">
      <c r="A1733" s="81">
        <v>36395</v>
      </c>
      <c r="D1733">
        <v>1096.9000000000001</v>
      </c>
    </row>
    <row r="1734" spans="1:5" x14ac:dyDescent="0.2">
      <c r="A1734" s="81">
        <v>36402</v>
      </c>
      <c r="D1734">
        <v>1082.8</v>
      </c>
    </row>
    <row r="1735" spans="1:5" x14ac:dyDescent="0.2">
      <c r="A1735" s="81">
        <v>36404</v>
      </c>
      <c r="B1735">
        <v>653.5</v>
      </c>
      <c r="C1735">
        <v>2722.1</v>
      </c>
      <c r="E1735">
        <v>4567.7</v>
      </c>
    </row>
    <row r="1736" spans="1:5" x14ac:dyDescent="0.2">
      <c r="A1736" s="81">
        <v>36409</v>
      </c>
      <c r="D1736">
        <v>1092.3</v>
      </c>
    </row>
    <row r="1737" spans="1:5" x14ac:dyDescent="0.2">
      <c r="A1737" s="81">
        <v>36416</v>
      </c>
      <c r="D1737">
        <v>1100.4000000000001</v>
      </c>
    </row>
    <row r="1738" spans="1:5" x14ac:dyDescent="0.2">
      <c r="A1738" s="81">
        <v>36423</v>
      </c>
      <c r="D1738">
        <v>1100.9000000000001</v>
      </c>
    </row>
    <row r="1739" spans="1:5" x14ac:dyDescent="0.2">
      <c r="A1739" s="81">
        <v>36430</v>
      </c>
      <c r="D1739">
        <v>1089.5999999999999</v>
      </c>
    </row>
    <row r="1740" spans="1:5" x14ac:dyDescent="0.2">
      <c r="A1740" s="81">
        <v>36434</v>
      </c>
      <c r="B1740">
        <v>656.3</v>
      </c>
      <c r="C1740">
        <v>2731.4</v>
      </c>
      <c r="E1740">
        <v>4591.5</v>
      </c>
    </row>
    <row r="1741" spans="1:5" x14ac:dyDescent="0.2">
      <c r="A1741" s="81">
        <v>36437</v>
      </c>
      <c r="D1741">
        <v>1101</v>
      </c>
    </row>
    <row r="1742" spans="1:5" x14ac:dyDescent="0.2">
      <c r="A1742" s="81">
        <v>36444</v>
      </c>
      <c r="D1742">
        <v>1106.8</v>
      </c>
    </row>
    <row r="1743" spans="1:5" x14ac:dyDescent="0.2">
      <c r="A1743" s="81">
        <v>36451</v>
      </c>
      <c r="D1743">
        <v>1103</v>
      </c>
    </row>
    <row r="1744" spans="1:5" x14ac:dyDescent="0.2">
      <c r="A1744" s="81">
        <v>36458</v>
      </c>
      <c r="D1744">
        <v>1101.5999999999999</v>
      </c>
    </row>
    <row r="1745" spans="1:5" x14ac:dyDescent="0.2">
      <c r="A1745" s="81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5" x14ac:dyDescent="0.2">
      <c r="A1746" s="81">
        <v>36472</v>
      </c>
      <c r="D1746">
        <v>1110.4000000000001</v>
      </c>
    </row>
    <row r="1747" spans="1:5" x14ac:dyDescent="0.2">
      <c r="A1747" s="81">
        <v>36479</v>
      </c>
      <c r="D1747">
        <v>1116.5</v>
      </c>
    </row>
    <row r="1748" spans="1:5" x14ac:dyDescent="0.2">
      <c r="A1748" s="81">
        <v>36486</v>
      </c>
      <c r="D1748">
        <v>1113</v>
      </c>
    </row>
    <row r="1749" spans="1:5" x14ac:dyDescent="0.2">
      <c r="A1749" s="81">
        <v>36493</v>
      </c>
      <c r="D1749">
        <v>1104.8</v>
      </c>
    </row>
    <row r="1750" spans="1:5" x14ac:dyDescent="0.2">
      <c r="A1750" s="81">
        <v>36495</v>
      </c>
      <c r="B1750">
        <v>664.8</v>
      </c>
      <c r="C1750">
        <v>2747.6</v>
      </c>
      <c r="E1750">
        <v>4638</v>
      </c>
    </row>
    <row r="1751" spans="1:5" x14ac:dyDescent="0.2">
      <c r="A1751" s="81">
        <v>36500</v>
      </c>
      <c r="D1751">
        <v>1110.3</v>
      </c>
    </row>
    <row r="1752" spans="1:5" x14ac:dyDescent="0.2">
      <c r="A1752" s="81">
        <v>36507</v>
      </c>
      <c r="D1752">
        <v>1122</v>
      </c>
    </row>
    <row r="1753" spans="1:5" x14ac:dyDescent="0.2">
      <c r="A1753" s="81">
        <v>36514</v>
      </c>
      <c r="D1753">
        <v>1120.5</v>
      </c>
    </row>
    <row r="1754" spans="1:5" x14ac:dyDescent="0.2">
      <c r="A1754" s="81">
        <v>36521</v>
      </c>
      <c r="D1754">
        <v>1126.5</v>
      </c>
    </row>
    <row r="1755" spans="1:5" x14ac:dyDescent="0.2">
      <c r="A1755" s="81">
        <v>36526</v>
      </c>
      <c r="B1755">
        <v>662.8</v>
      </c>
      <c r="C1755">
        <v>2756.2</v>
      </c>
      <c r="E1755">
        <v>4666.2</v>
      </c>
    </row>
    <row r="1756" spans="1:5" x14ac:dyDescent="0.2">
      <c r="A1756" s="81">
        <v>36528</v>
      </c>
      <c r="D1756">
        <v>1138.5999999999999</v>
      </c>
    </row>
    <row r="1757" spans="1:5" x14ac:dyDescent="0.2">
      <c r="A1757" s="81">
        <v>36535</v>
      </c>
      <c r="D1757">
        <v>1133.4000000000001</v>
      </c>
    </row>
    <row r="1758" spans="1:5" x14ac:dyDescent="0.2">
      <c r="A1758" s="81">
        <v>36542</v>
      </c>
      <c r="D1758">
        <v>1125.0999999999999</v>
      </c>
    </row>
    <row r="1759" spans="1:5" x14ac:dyDescent="0.2">
      <c r="A1759" s="81">
        <v>36549</v>
      </c>
      <c r="D1759">
        <v>1122.3</v>
      </c>
    </row>
    <row r="1760" spans="1:5" x14ac:dyDescent="0.2">
      <c r="A1760" s="81">
        <v>36556</v>
      </c>
      <c r="D1760">
        <v>1108.9000000000001</v>
      </c>
    </row>
    <row r="1761" spans="1:5" x14ac:dyDescent="0.2">
      <c r="A1761" s="81">
        <v>36557</v>
      </c>
      <c r="B1761">
        <v>652.1</v>
      </c>
      <c r="C1761">
        <v>2752.6</v>
      </c>
      <c r="E1761">
        <v>4679.3999999999996</v>
      </c>
    </row>
    <row r="1762" spans="1:5" x14ac:dyDescent="0.2">
      <c r="A1762" s="81">
        <v>36563</v>
      </c>
      <c r="D1762">
        <v>1114.3</v>
      </c>
    </row>
    <row r="1763" spans="1:5" x14ac:dyDescent="0.2">
      <c r="A1763" s="81">
        <v>36570</v>
      </c>
      <c r="D1763">
        <v>1112.2</v>
      </c>
    </row>
    <row r="1764" spans="1:5" x14ac:dyDescent="0.2">
      <c r="A1764" s="81">
        <v>36577</v>
      </c>
      <c r="D1764">
        <v>1106.4000000000001</v>
      </c>
    </row>
    <row r="1765" spans="1:5" x14ac:dyDescent="0.2">
      <c r="A1765" s="81">
        <v>36584</v>
      </c>
      <c r="D1765">
        <v>1101.8</v>
      </c>
    </row>
    <row r="1766" spans="1:5" x14ac:dyDescent="0.2">
      <c r="A1766" s="81">
        <v>36586</v>
      </c>
      <c r="B1766">
        <v>647.70000000000005</v>
      </c>
      <c r="C1766">
        <v>2754.5</v>
      </c>
      <c r="E1766">
        <v>4710.2</v>
      </c>
    </row>
    <row r="1767" spans="1:5" x14ac:dyDescent="0.2">
      <c r="A1767" s="81">
        <v>36591</v>
      </c>
      <c r="D1767">
        <v>1107.0999999999999</v>
      </c>
    </row>
    <row r="1768" spans="1:5" x14ac:dyDescent="0.2">
      <c r="A1768" s="81">
        <v>36598</v>
      </c>
      <c r="D1768">
        <v>1105.5</v>
      </c>
    </row>
    <row r="1769" spans="1:5" x14ac:dyDescent="0.2">
      <c r="A1769" s="81">
        <v>36605</v>
      </c>
      <c r="D1769">
        <v>1106.5</v>
      </c>
    </row>
    <row r="1770" spans="1:5" x14ac:dyDescent="0.2">
      <c r="A1770" s="81">
        <v>36612</v>
      </c>
      <c r="D1770">
        <v>1104.9000000000001</v>
      </c>
    </row>
    <row r="1771" spans="1:5" x14ac:dyDescent="0.2">
      <c r="A1771" s="81">
        <v>36617</v>
      </c>
      <c r="B1771">
        <v>652.79999999999995</v>
      </c>
      <c r="C1771">
        <v>2788.8</v>
      </c>
      <c r="E1771">
        <v>4766.1000000000004</v>
      </c>
    </row>
    <row r="1772" spans="1:5" x14ac:dyDescent="0.2">
      <c r="A1772" s="81">
        <v>36619</v>
      </c>
      <c r="D1772">
        <v>1117.8</v>
      </c>
    </row>
    <row r="1773" spans="1:5" x14ac:dyDescent="0.2">
      <c r="A1773" s="81">
        <v>36626</v>
      </c>
      <c r="D1773">
        <v>1121.8</v>
      </c>
    </row>
    <row r="1774" spans="1:5" x14ac:dyDescent="0.2">
      <c r="A1774" s="81">
        <v>36633</v>
      </c>
      <c r="D1774">
        <v>1118.2</v>
      </c>
    </row>
    <row r="1775" spans="1:5" x14ac:dyDescent="0.2">
      <c r="A1775" s="81">
        <v>36640</v>
      </c>
      <c r="D1775">
        <v>1114.9000000000001</v>
      </c>
    </row>
    <row r="1776" spans="1:5" x14ac:dyDescent="0.2">
      <c r="A1776" s="81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5" x14ac:dyDescent="0.2">
      <c r="A1777" s="81">
        <v>36654</v>
      </c>
      <c r="D1777">
        <v>1106.5</v>
      </c>
    </row>
    <row r="1778" spans="1:5" x14ac:dyDescent="0.2">
      <c r="A1778" s="81">
        <v>36661</v>
      </c>
      <c r="D1778">
        <v>1111.2</v>
      </c>
    </row>
    <row r="1779" spans="1:5" x14ac:dyDescent="0.2">
      <c r="A1779" s="81">
        <v>36668</v>
      </c>
      <c r="D1779">
        <v>1105.0999999999999</v>
      </c>
    </row>
    <row r="1780" spans="1:5" x14ac:dyDescent="0.2">
      <c r="A1780" s="81">
        <v>36675</v>
      </c>
      <c r="D1780">
        <v>1097.8</v>
      </c>
    </row>
    <row r="1781" spans="1:5" x14ac:dyDescent="0.2">
      <c r="A1781" s="81">
        <v>36678</v>
      </c>
      <c r="B1781">
        <v>640.29999999999995</v>
      </c>
      <c r="C1781">
        <v>2771.1</v>
      </c>
      <c r="E1781">
        <v>4771.8</v>
      </c>
    </row>
    <row r="1782" spans="1:5" x14ac:dyDescent="0.2">
      <c r="A1782" s="81">
        <v>36682</v>
      </c>
      <c r="D1782">
        <v>1102</v>
      </c>
    </row>
    <row r="1783" spans="1:5" x14ac:dyDescent="0.2">
      <c r="A1783" s="81">
        <v>36689</v>
      </c>
      <c r="D1783">
        <v>1104.4000000000001</v>
      </c>
    </row>
    <row r="1784" spans="1:5" x14ac:dyDescent="0.2">
      <c r="A1784" s="81">
        <v>36696</v>
      </c>
      <c r="D1784">
        <v>1101.0999999999999</v>
      </c>
    </row>
    <row r="1785" spans="1:5" x14ac:dyDescent="0.2">
      <c r="A1785" s="81">
        <v>36703</v>
      </c>
      <c r="D1785">
        <v>1099</v>
      </c>
    </row>
    <row r="1786" spans="1:5" x14ac:dyDescent="0.2">
      <c r="A1786" s="81">
        <v>36708</v>
      </c>
      <c r="B1786">
        <v>639</v>
      </c>
      <c r="C1786">
        <v>2773.2</v>
      </c>
      <c r="E1786">
        <v>4789.3999999999996</v>
      </c>
    </row>
    <row r="1787" spans="1:5" x14ac:dyDescent="0.2">
      <c r="A1787" s="81">
        <v>36710</v>
      </c>
      <c r="D1787">
        <v>1109.4000000000001</v>
      </c>
    </row>
    <row r="1788" spans="1:5" x14ac:dyDescent="0.2">
      <c r="A1788" s="81">
        <v>36717</v>
      </c>
      <c r="D1788">
        <v>1114.5999999999999</v>
      </c>
    </row>
    <row r="1789" spans="1:5" x14ac:dyDescent="0.2">
      <c r="A1789" s="81">
        <v>36724</v>
      </c>
      <c r="D1789">
        <v>1100.9000000000001</v>
      </c>
    </row>
    <row r="1790" spans="1:5" x14ac:dyDescent="0.2">
      <c r="A1790" s="81">
        <v>36731</v>
      </c>
      <c r="D1790">
        <v>1099.5</v>
      </c>
    </row>
    <row r="1791" spans="1:5" x14ac:dyDescent="0.2">
      <c r="A1791" s="81">
        <v>36738</v>
      </c>
      <c r="D1791">
        <v>1096.2</v>
      </c>
    </row>
    <row r="1792" spans="1:5" x14ac:dyDescent="0.2">
      <c r="A1792" s="81">
        <v>36739</v>
      </c>
      <c r="B1792">
        <v>637.1</v>
      </c>
      <c r="C1792">
        <v>2789.5</v>
      </c>
      <c r="E1792">
        <v>4817.5</v>
      </c>
    </row>
    <row r="1793" spans="1:5" x14ac:dyDescent="0.2">
      <c r="A1793" s="81">
        <v>36745</v>
      </c>
      <c r="D1793">
        <v>1097.9000000000001</v>
      </c>
    </row>
    <row r="1794" spans="1:5" x14ac:dyDescent="0.2">
      <c r="A1794" s="81">
        <v>36752</v>
      </c>
      <c r="D1794">
        <v>1100.3</v>
      </c>
    </row>
    <row r="1795" spans="1:5" x14ac:dyDescent="0.2">
      <c r="A1795" s="81">
        <v>36759</v>
      </c>
      <c r="D1795">
        <v>1102.2</v>
      </c>
    </row>
    <row r="1796" spans="1:5" x14ac:dyDescent="0.2">
      <c r="A1796" s="81">
        <v>36766</v>
      </c>
      <c r="D1796">
        <v>1101.4000000000001</v>
      </c>
    </row>
    <row r="1797" spans="1:5" x14ac:dyDescent="0.2">
      <c r="A1797" s="81">
        <v>36770</v>
      </c>
      <c r="B1797">
        <v>633.5</v>
      </c>
      <c r="C1797">
        <v>2795.6</v>
      </c>
      <c r="E1797">
        <v>4853.2</v>
      </c>
    </row>
    <row r="1798" spans="1:5" x14ac:dyDescent="0.2">
      <c r="A1798" s="81">
        <v>36773</v>
      </c>
      <c r="D1798">
        <v>1097.7</v>
      </c>
    </row>
    <row r="1799" spans="1:5" x14ac:dyDescent="0.2">
      <c r="A1799" s="81">
        <v>36780</v>
      </c>
      <c r="D1799">
        <v>1106.5</v>
      </c>
    </row>
    <row r="1800" spans="1:5" x14ac:dyDescent="0.2">
      <c r="A1800" s="81">
        <v>36787</v>
      </c>
      <c r="D1800">
        <v>1098.5</v>
      </c>
    </row>
    <row r="1801" spans="1:5" x14ac:dyDescent="0.2">
      <c r="A1801" s="81">
        <v>36794</v>
      </c>
      <c r="D1801">
        <v>1096.7</v>
      </c>
    </row>
    <row r="1802" spans="1:5" x14ac:dyDescent="0.2">
      <c r="A1802" s="81">
        <v>36800</v>
      </c>
      <c r="B1802">
        <v>631.79999999999995</v>
      </c>
      <c r="C1802">
        <v>2800</v>
      </c>
      <c r="E1802">
        <v>4869.2</v>
      </c>
    </row>
    <row r="1803" spans="1:5" x14ac:dyDescent="0.2">
      <c r="A1803" s="81">
        <v>36801</v>
      </c>
      <c r="D1803">
        <v>1097.9000000000001</v>
      </c>
    </row>
    <row r="1804" spans="1:5" x14ac:dyDescent="0.2">
      <c r="A1804" s="81">
        <v>36808</v>
      </c>
      <c r="D1804">
        <v>1099.9000000000001</v>
      </c>
    </row>
    <row r="1805" spans="1:5" x14ac:dyDescent="0.2">
      <c r="A1805" s="81">
        <v>36815</v>
      </c>
      <c r="D1805">
        <v>1100.2</v>
      </c>
    </row>
    <row r="1806" spans="1:5" x14ac:dyDescent="0.2">
      <c r="A1806" s="81">
        <v>36822</v>
      </c>
      <c r="D1806">
        <v>1099.3</v>
      </c>
    </row>
    <row r="1807" spans="1:5" x14ac:dyDescent="0.2">
      <c r="A1807" s="81">
        <v>36829</v>
      </c>
      <c r="D1807">
        <v>1096.8</v>
      </c>
    </row>
    <row r="1808" spans="1:5" x14ac:dyDescent="0.2">
      <c r="A1808" s="81">
        <v>36831</v>
      </c>
      <c r="B1808">
        <v>627.1</v>
      </c>
      <c r="C1808">
        <v>2801.4</v>
      </c>
      <c r="E1808">
        <v>4880.1000000000004</v>
      </c>
    </row>
    <row r="1809" spans="1:5" x14ac:dyDescent="0.2">
      <c r="A1809" s="81">
        <v>36836</v>
      </c>
      <c r="D1809">
        <v>1091.7</v>
      </c>
    </row>
    <row r="1810" spans="1:5" x14ac:dyDescent="0.2">
      <c r="A1810" s="81">
        <v>36843</v>
      </c>
      <c r="D1810">
        <v>1089.9000000000001</v>
      </c>
    </row>
    <row r="1811" spans="1:5" x14ac:dyDescent="0.2">
      <c r="A1811" s="81">
        <v>36850</v>
      </c>
      <c r="D1811">
        <v>1093.9000000000001</v>
      </c>
    </row>
    <row r="1812" spans="1:5" x14ac:dyDescent="0.2">
      <c r="A1812" s="81">
        <v>36857</v>
      </c>
      <c r="D1812">
        <v>1096.5999999999999</v>
      </c>
    </row>
    <row r="1813" spans="1:5" x14ac:dyDescent="0.2">
      <c r="A1813" s="81">
        <v>36861</v>
      </c>
      <c r="B1813">
        <v>623.5</v>
      </c>
      <c r="C1813">
        <v>2820.6</v>
      </c>
      <c r="E1813">
        <v>4924.7</v>
      </c>
    </row>
    <row r="1814" spans="1:5" x14ac:dyDescent="0.2">
      <c r="A1814" s="81">
        <v>36864</v>
      </c>
      <c r="D1814">
        <v>1086.4000000000001</v>
      </c>
    </row>
    <row r="1815" spans="1:5" x14ac:dyDescent="0.2">
      <c r="A1815" s="81">
        <v>36871</v>
      </c>
      <c r="D1815">
        <v>1092.9000000000001</v>
      </c>
    </row>
    <row r="1816" spans="1:5" x14ac:dyDescent="0.2">
      <c r="A1816" s="81">
        <v>36878</v>
      </c>
      <c r="D1816">
        <v>1084.4000000000001</v>
      </c>
    </row>
    <row r="1817" spans="1:5" x14ac:dyDescent="0.2">
      <c r="A1817" s="81">
        <v>36885</v>
      </c>
      <c r="D1817">
        <v>1090.0999999999999</v>
      </c>
    </row>
    <row r="1818" spans="1:5" x14ac:dyDescent="0.2">
      <c r="A1818" s="81">
        <v>36892</v>
      </c>
      <c r="B1818">
        <v>624.5</v>
      </c>
      <c r="C1818">
        <v>2833.3</v>
      </c>
      <c r="D1818">
        <v>1088.3</v>
      </c>
      <c r="E1818">
        <v>4975.3</v>
      </c>
    </row>
    <row r="1819" spans="1:5" x14ac:dyDescent="0.2">
      <c r="A1819" s="81">
        <v>36899</v>
      </c>
      <c r="D1819">
        <v>1094.2</v>
      </c>
    </row>
    <row r="1820" spans="1:5" x14ac:dyDescent="0.2">
      <c r="A1820" s="81">
        <v>36906</v>
      </c>
      <c r="D1820">
        <v>1096.2</v>
      </c>
    </row>
    <row r="1821" spans="1:5" x14ac:dyDescent="0.2">
      <c r="A1821" s="81">
        <v>36913</v>
      </c>
      <c r="D1821">
        <v>1101.7</v>
      </c>
    </row>
    <row r="1822" spans="1:5" x14ac:dyDescent="0.2">
      <c r="A1822" s="81">
        <v>36920</v>
      </c>
      <c r="D1822">
        <v>1094.8</v>
      </c>
    </row>
    <row r="1823" spans="1:5" x14ac:dyDescent="0.2">
      <c r="A1823" s="81">
        <v>36923</v>
      </c>
      <c r="B1823">
        <v>625.70000000000005</v>
      </c>
      <c r="C1823">
        <v>2848.6</v>
      </c>
      <c r="E1823">
        <v>5013.5</v>
      </c>
    </row>
    <row r="1824" spans="1:5" x14ac:dyDescent="0.2">
      <c r="A1824" s="81">
        <v>36927</v>
      </c>
      <c r="D1824">
        <v>1099.7</v>
      </c>
    </row>
    <row r="1825" spans="1:5" x14ac:dyDescent="0.2">
      <c r="A1825" s="81">
        <v>36934</v>
      </c>
      <c r="D1825">
        <v>1099.3</v>
      </c>
    </row>
    <row r="1826" spans="1:5" x14ac:dyDescent="0.2">
      <c r="A1826" s="81">
        <v>36941</v>
      </c>
      <c r="D1826">
        <v>1098.8</v>
      </c>
    </row>
    <row r="1827" spans="1:5" x14ac:dyDescent="0.2">
      <c r="A1827" s="81">
        <v>36948</v>
      </c>
      <c r="D1827">
        <v>1104.4000000000001</v>
      </c>
    </row>
    <row r="1828" spans="1:5" x14ac:dyDescent="0.2">
      <c r="A1828" s="81">
        <v>36951</v>
      </c>
      <c r="B1828">
        <v>629.70000000000005</v>
      </c>
      <c r="C1828">
        <v>2879.7</v>
      </c>
      <c r="E1828">
        <v>5071.2</v>
      </c>
    </row>
    <row r="1829" spans="1:5" x14ac:dyDescent="0.2">
      <c r="A1829" s="81">
        <v>36955</v>
      </c>
      <c r="D1829">
        <v>1109.3</v>
      </c>
    </row>
    <row r="1830" spans="1:5" x14ac:dyDescent="0.2">
      <c r="A1830" s="81">
        <v>36962</v>
      </c>
      <c r="D1830">
        <v>1108.3</v>
      </c>
    </row>
    <row r="1831" spans="1:5" x14ac:dyDescent="0.2">
      <c r="A1831" s="81">
        <v>36969</v>
      </c>
      <c r="D1831">
        <v>1107.7</v>
      </c>
    </row>
    <row r="1832" spans="1:5" x14ac:dyDescent="0.2">
      <c r="A1832" s="81">
        <v>36976</v>
      </c>
      <c r="D1832">
        <v>1106.7</v>
      </c>
    </row>
    <row r="1833" spans="1:5" x14ac:dyDescent="0.2">
      <c r="A1833" s="81">
        <v>36982</v>
      </c>
      <c r="B1833">
        <v>633</v>
      </c>
      <c r="C1833">
        <v>2911.1</v>
      </c>
      <c r="E1833">
        <v>5135.2</v>
      </c>
    </row>
    <row r="1834" spans="1:5" x14ac:dyDescent="0.2">
      <c r="A1834" s="81">
        <v>36983</v>
      </c>
      <c r="D1834">
        <v>1113.9000000000001</v>
      </c>
    </row>
    <row r="1835" spans="1:5" x14ac:dyDescent="0.2">
      <c r="A1835" s="81">
        <v>36990</v>
      </c>
      <c r="D1835">
        <v>1114.9000000000001</v>
      </c>
    </row>
    <row r="1836" spans="1:5" x14ac:dyDescent="0.2">
      <c r="A1836" s="81">
        <v>36997</v>
      </c>
      <c r="D1836">
        <v>1118.2</v>
      </c>
    </row>
    <row r="1837" spans="1:5" x14ac:dyDescent="0.2">
      <c r="A1837" s="81">
        <v>37004</v>
      </c>
      <c r="D1837">
        <v>1117.7</v>
      </c>
    </row>
    <row r="1838" spans="1:5" x14ac:dyDescent="0.2">
      <c r="A1838" s="81">
        <v>37011</v>
      </c>
      <c r="D1838">
        <v>1116.8</v>
      </c>
    </row>
    <row r="1839" spans="1:5" x14ac:dyDescent="0.2">
      <c r="A1839" s="81">
        <v>37012</v>
      </c>
      <c r="B1839">
        <v>630.9</v>
      </c>
      <c r="C1839">
        <v>2894.6</v>
      </c>
      <c r="E1839">
        <v>5132.2</v>
      </c>
    </row>
    <row r="1840" spans="1:5" x14ac:dyDescent="0.2">
      <c r="A1840" s="81">
        <v>37018</v>
      </c>
      <c r="D1840">
        <v>1113.9000000000001</v>
      </c>
    </row>
    <row r="1841" spans="1:5" x14ac:dyDescent="0.2">
      <c r="A1841" s="81">
        <v>37025</v>
      </c>
      <c r="D1841">
        <v>1117.5</v>
      </c>
    </row>
    <row r="1842" spans="1:5" x14ac:dyDescent="0.2">
      <c r="A1842" s="81">
        <v>37032</v>
      </c>
      <c r="D1842">
        <v>1122.3</v>
      </c>
    </row>
    <row r="1843" spans="1:5" x14ac:dyDescent="0.2">
      <c r="A1843" s="81">
        <v>37039</v>
      </c>
      <c r="D1843">
        <v>1117.4000000000001</v>
      </c>
    </row>
    <row r="1844" spans="1:5" x14ac:dyDescent="0.2">
      <c r="A1844" s="81">
        <v>37043</v>
      </c>
      <c r="B1844">
        <v>633.79999999999995</v>
      </c>
      <c r="C1844">
        <v>2910.8</v>
      </c>
      <c r="E1844">
        <v>5172.5</v>
      </c>
    </row>
    <row r="1845" spans="1:5" x14ac:dyDescent="0.2">
      <c r="A1845" s="81">
        <v>37046</v>
      </c>
      <c r="D1845">
        <v>1125.2</v>
      </c>
    </row>
    <row r="1846" spans="1:5" x14ac:dyDescent="0.2">
      <c r="A1846" s="81">
        <v>37053</v>
      </c>
      <c r="D1846">
        <v>1126.2</v>
      </c>
    </row>
    <row r="1847" spans="1:5" x14ac:dyDescent="0.2">
      <c r="A1847" s="81">
        <v>37060</v>
      </c>
      <c r="D1847">
        <v>1126.4000000000001</v>
      </c>
    </row>
    <row r="1848" spans="1:5" x14ac:dyDescent="0.2">
      <c r="A1848" s="81">
        <v>37067</v>
      </c>
      <c r="D1848">
        <v>1124.0999999999999</v>
      </c>
    </row>
    <row r="1849" spans="1:5" x14ac:dyDescent="0.2">
      <c r="A1849" s="81">
        <v>37073</v>
      </c>
      <c r="B1849">
        <v>642</v>
      </c>
      <c r="C1849">
        <v>2932.6</v>
      </c>
      <c r="E1849">
        <v>5202.3999999999996</v>
      </c>
    </row>
    <row r="1850" spans="1:5" x14ac:dyDescent="0.2">
      <c r="A1850" s="81">
        <v>37074</v>
      </c>
      <c r="D1850">
        <v>1129.9000000000001</v>
      </c>
    </row>
    <row r="1851" spans="1:5" x14ac:dyDescent="0.2">
      <c r="A1851" s="81">
        <v>37081</v>
      </c>
      <c r="D1851">
        <v>1133.9000000000001</v>
      </c>
    </row>
    <row r="1852" spans="1:5" x14ac:dyDescent="0.2">
      <c r="A1852" s="81">
        <v>37088</v>
      </c>
      <c r="D1852">
        <v>1142.0999999999999</v>
      </c>
    </row>
    <row r="1853" spans="1:5" x14ac:dyDescent="0.2">
      <c r="A1853" s="81">
        <v>37095</v>
      </c>
      <c r="D1853">
        <v>1142</v>
      </c>
    </row>
    <row r="1854" spans="1:5" x14ac:dyDescent="0.2">
      <c r="A1854" s="81">
        <v>37102</v>
      </c>
      <c r="D1854">
        <v>1139.4000000000001</v>
      </c>
    </row>
    <row r="1855" spans="1:5" x14ac:dyDescent="0.2">
      <c r="A1855" s="81">
        <v>37104</v>
      </c>
      <c r="B1855">
        <v>648.4</v>
      </c>
      <c r="C1855">
        <v>2951.7</v>
      </c>
      <c r="E1855">
        <v>5236.3</v>
      </c>
    </row>
    <row r="1856" spans="1:5" x14ac:dyDescent="0.2">
      <c r="A1856" s="81">
        <v>37109</v>
      </c>
      <c r="D1856">
        <v>1143.3</v>
      </c>
    </row>
    <row r="1857" spans="1:5" x14ac:dyDescent="0.2">
      <c r="A1857" s="81">
        <v>37116</v>
      </c>
      <c r="D1857">
        <v>1148.5999999999999</v>
      </c>
    </row>
    <row r="1858" spans="1:5" x14ac:dyDescent="0.2">
      <c r="A1858" s="81">
        <v>37123</v>
      </c>
      <c r="D1858">
        <v>1149.9000000000001</v>
      </c>
    </row>
    <row r="1859" spans="1:5" x14ac:dyDescent="0.2">
      <c r="A1859" s="81">
        <v>37130</v>
      </c>
      <c r="D1859">
        <v>1149</v>
      </c>
    </row>
    <row r="1860" spans="1:5" x14ac:dyDescent="0.2">
      <c r="A1860" s="81">
        <v>37135</v>
      </c>
      <c r="B1860">
        <v>677</v>
      </c>
      <c r="C1860">
        <v>3002.5</v>
      </c>
      <c r="E1860">
        <v>5347.4</v>
      </c>
    </row>
    <row r="1861" spans="1:5" x14ac:dyDescent="0.2">
      <c r="A1861" s="81">
        <v>37137</v>
      </c>
      <c r="D1861">
        <v>1165.5</v>
      </c>
    </row>
    <row r="1862" spans="1:5" x14ac:dyDescent="0.2">
      <c r="A1862" s="81">
        <v>37144</v>
      </c>
      <c r="D1862">
        <v>1167</v>
      </c>
    </row>
    <row r="1863" spans="1:5" x14ac:dyDescent="0.2">
      <c r="A1863" s="81">
        <v>37151</v>
      </c>
      <c r="D1863">
        <v>1292</v>
      </c>
    </row>
    <row r="1864" spans="1:5" x14ac:dyDescent="0.2">
      <c r="A1864" s="81">
        <v>37158</v>
      </c>
      <c r="D1864">
        <v>1206.0999999999999</v>
      </c>
    </row>
    <row r="1865" spans="1:5" x14ac:dyDescent="0.2">
      <c r="A1865" s="81">
        <v>37165</v>
      </c>
      <c r="B1865">
        <v>656.4</v>
      </c>
      <c r="C1865">
        <v>3004.5</v>
      </c>
      <c r="D1865">
        <v>1171.3</v>
      </c>
      <c r="E1865">
        <v>5336</v>
      </c>
    </row>
    <row r="1866" spans="1:5" x14ac:dyDescent="0.2">
      <c r="A1866" s="81">
        <v>37172</v>
      </c>
      <c r="D1866">
        <v>1166.9000000000001</v>
      </c>
    </row>
    <row r="1867" spans="1:5" x14ac:dyDescent="0.2">
      <c r="A1867" s="81">
        <v>37179</v>
      </c>
      <c r="D1867">
        <v>1166.7</v>
      </c>
    </row>
    <row r="1868" spans="1:5" x14ac:dyDescent="0.2">
      <c r="A1868" s="81">
        <v>37186</v>
      </c>
      <c r="D1868">
        <v>1167.2</v>
      </c>
    </row>
    <row r="1869" spans="1:5" x14ac:dyDescent="0.2">
      <c r="A1869" s="81">
        <v>37193</v>
      </c>
      <c r="D1869">
        <v>1161.2</v>
      </c>
    </row>
    <row r="1870" spans="1:5" x14ac:dyDescent="0.2">
      <c r="A1870" s="81">
        <v>37196</v>
      </c>
      <c r="B1870">
        <v>659.7</v>
      </c>
      <c r="C1870">
        <v>3030.8</v>
      </c>
      <c r="E1870">
        <v>5379.6</v>
      </c>
    </row>
    <row r="1871" spans="1:5" x14ac:dyDescent="0.2">
      <c r="A1871" s="81">
        <v>37200</v>
      </c>
      <c r="D1871">
        <v>1164.8</v>
      </c>
    </row>
    <row r="1872" spans="1:5" x14ac:dyDescent="0.2">
      <c r="A1872" s="81">
        <v>37207</v>
      </c>
      <c r="D1872">
        <v>1170.2</v>
      </c>
    </row>
    <row r="1873" spans="1:5" x14ac:dyDescent="0.2">
      <c r="A1873" s="81">
        <v>37214</v>
      </c>
      <c r="D1873">
        <v>1171.9000000000001</v>
      </c>
    </row>
    <row r="1874" spans="1:5" x14ac:dyDescent="0.2">
      <c r="A1874" s="81">
        <v>37221</v>
      </c>
      <c r="D1874">
        <v>1172.0999999999999</v>
      </c>
    </row>
    <row r="1875" spans="1:5" x14ac:dyDescent="0.2">
      <c r="A1875" s="81">
        <v>37226</v>
      </c>
      <c r="B1875">
        <v>667</v>
      </c>
      <c r="C1875">
        <v>3062.4</v>
      </c>
      <c r="E1875">
        <v>5432.7</v>
      </c>
    </row>
    <row r="1876" spans="1:5" x14ac:dyDescent="0.2">
      <c r="A1876" s="81">
        <v>37228</v>
      </c>
      <c r="D1876">
        <v>1176.5</v>
      </c>
    </row>
    <row r="1877" spans="1:5" x14ac:dyDescent="0.2">
      <c r="A1877" s="81">
        <v>37235</v>
      </c>
      <c r="D1877">
        <v>1186.3</v>
      </c>
    </row>
    <row r="1878" spans="1:5" x14ac:dyDescent="0.2">
      <c r="A1878" s="81">
        <v>37242</v>
      </c>
      <c r="D1878">
        <v>1183.5999999999999</v>
      </c>
    </row>
    <row r="1879" spans="1:5" x14ac:dyDescent="0.2">
      <c r="A1879" s="81">
        <v>37249</v>
      </c>
      <c r="D1879">
        <v>1181.7</v>
      </c>
    </row>
    <row r="1880" spans="1:5" x14ac:dyDescent="0.2">
      <c r="A1880" s="81">
        <v>37256</v>
      </c>
      <c r="D1880">
        <v>1184.2</v>
      </c>
    </row>
    <row r="1881" spans="1:5" x14ac:dyDescent="0.2">
      <c r="A1881" s="81">
        <v>37257</v>
      </c>
      <c r="B1881">
        <v>670.1</v>
      </c>
      <c r="C1881">
        <v>3068.7</v>
      </c>
      <c r="E1881">
        <v>5453</v>
      </c>
    </row>
    <row r="1882" spans="1:5" x14ac:dyDescent="0.2">
      <c r="A1882" s="81">
        <v>37263</v>
      </c>
      <c r="D1882">
        <v>1190.3</v>
      </c>
    </row>
    <row r="1883" spans="1:5" x14ac:dyDescent="0.2">
      <c r="A1883" s="81">
        <v>37270</v>
      </c>
      <c r="D1883">
        <v>1194.5999999999999</v>
      </c>
    </row>
    <row r="1884" spans="1:5" x14ac:dyDescent="0.2">
      <c r="A1884" s="81">
        <v>37277</v>
      </c>
      <c r="D1884">
        <v>1193.5999999999999</v>
      </c>
    </row>
    <row r="1885" spans="1:5" x14ac:dyDescent="0.2">
      <c r="A1885" s="81">
        <v>37284</v>
      </c>
      <c r="D1885">
        <v>1184.5999999999999</v>
      </c>
    </row>
    <row r="1886" spans="1:5" x14ac:dyDescent="0.2">
      <c r="A1886" s="81">
        <v>37288</v>
      </c>
      <c r="B1886">
        <v>668.9</v>
      </c>
      <c r="C1886">
        <v>3080</v>
      </c>
      <c r="E1886">
        <v>5482.4</v>
      </c>
    </row>
    <row r="1887" spans="1:5" x14ac:dyDescent="0.2">
      <c r="A1887" s="81">
        <v>37291</v>
      </c>
      <c r="D1887">
        <v>1189.5</v>
      </c>
    </row>
    <row r="1888" spans="1:5" x14ac:dyDescent="0.2">
      <c r="A1888" s="81">
        <v>37298</v>
      </c>
      <c r="D1888">
        <v>1190.4000000000001</v>
      </c>
    </row>
    <row r="1889" spans="1:5" x14ac:dyDescent="0.2">
      <c r="A1889" s="81">
        <v>37305</v>
      </c>
      <c r="D1889">
        <v>1192.4000000000001</v>
      </c>
    </row>
    <row r="1890" spans="1:5" x14ac:dyDescent="0.2">
      <c r="A1890" s="81">
        <v>37312</v>
      </c>
      <c r="D1890">
        <v>1189.4000000000001</v>
      </c>
    </row>
    <row r="1891" spans="1:5" x14ac:dyDescent="0.2">
      <c r="A1891" s="81">
        <v>37316</v>
      </c>
      <c r="B1891">
        <v>668.5</v>
      </c>
      <c r="C1891">
        <v>3078</v>
      </c>
      <c r="E1891">
        <v>5494.2</v>
      </c>
    </row>
    <row r="1892" spans="1:5" x14ac:dyDescent="0.2">
      <c r="A1892" s="81">
        <v>37319</v>
      </c>
      <c r="D1892">
        <v>1191.0999999999999</v>
      </c>
    </row>
    <row r="1893" spans="1:5" x14ac:dyDescent="0.2">
      <c r="A1893" s="81">
        <v>37326</v>
      </c>
      <c r="D1893">
        <v>1198.5999999999999</v>
      </c>
    </row>
    <row r="1894" spans="1:5" x14ac:dyDescent="0.2">
      <c r="A1894" s="81">
        <v>37333</v>
      </c>
      <c r="D1894">
        <v>1196.0999999999999</v>
      </c>
    </row>
    <row r="1895" spans="1:5" x14ac:dyDescent="0.2">
      <c r="A1895" s="81">
        <v>37340</v>
      </c>
      <c r="D1895">
        <v>1193</v>
      </c>
    </row>
    <row r="1896" spans="1:5" x14ac:dyDescent="0.2">
      <c r="A1896" s="81">
        <v>37347</v>
      </c>
      <c r="B1896">
        <v>662</v>
      </c>
      <c r="C1896">
        <v>3064.4</v>
      </c>
      <c r="D1896">
        <v>1185.3</v>
      </c>
      <c r="E1896">
        <v>5494.4</v>
      </c>
    </row>
    <row r="1897" spans="1:5" x14ac:dyDescent="0.2">
      <c r="A1897" s="81">
        <v>37354</v>
      </c>
      <c r="D1897">
        <v>1185.0999999999999</v>
      </c>
    </row>
    <row r="1898" spans="1:5" x14ac:dyDescent="0.2">
      <c r="A1898" s="81">
        <v>37361</v>
      </c>
      <c r="D1898">
        <v>1187.5</v>
      </c>
    </row>
    <row r="1899" spans="1:5" x14ac:dyDescent="0.2">
      <c r="A1899" s="81">
        <v>37368</v>
      </c>
      <c r="D1899">
        <v>1188</v>
      </c>
    </row>
    <row r="1900" spans="1:5" x14ac:dyDescent="0.2">
      <c r="A1900" s="81">
        <v>37375</v>
      </c>
      <c r="D1900">
        <v>1187.9000000000001</v>
      </c>
    </row>
    <row r="1901" spans="1:5" x14ac:dyDescent="0.2">
      <c r="A1901" s="81">
        <v>37377</v>
      </c>
      <c r="B1901">
        <v>662.6</v>
      </c>
      <c r="C1901">
        <v>3075.5</v>
      </c>
      <c r="E1901">
        <v>5520.6</v>
      </c>
    </row>
    <row r="1902" spans="1:5" x14ac:dyDescent="0.2">
      <c r="A1902" s="81">
        <v>37382</v>
      </c>
      <c r="D1902">
        <v>1181.0999999999999</v>
      </c>
    </row>
    <row r="1903" spans="1:5" x14ac:dyDescent="0.2">
      <c r="A1903" s="81">
        <v>37389</v>
      </c>
      <c r="D1903">
        <v>1186.0999999999999</v>
      </c>
    </row>
    <row r="1904" spans="1:5" x14ac:dyDescent="0.2">
      <c r="A1904" s="81">
        <v>37396</v>
      </c>
      <c r="D1904">
        <v>1188.0999999999999</v>
      </c>
    </row>
    <row r="1905" spans="1:5" x14ac:dyDescent="0.2">
      <c r="A1905" s="81">
        <v>37403</v>
      </c>
      <c r="D1905">
        <v>1192.2</v>
      </c>
    </row>
    <row r="1906" spans="1:5" x14ac:dyDescent="0.2">
      <c r="A1906" s="81">
        <v>37408</v>
      </c>
      <c r="B1906">
        <v>664.4</v>
      </c>
      <c r="C1906">
        <v>3087.8</v>
      </c>
      <c r="E1906">
        <v>5545.6</v>
      </c>
    </row>
    <row r="1907" spans="1:5" x14ac:dyDescent="0.2">
      <c r="A1907" s="81">
        <v>37410</v>
      </c>
      <c r="D1907">
        <v>1204.2</v>
      </c>
    </row>
    <row r="1908" spans="1:5" x14ac:dyDescent="0.2">
      <c r="A1908" s="81">
        <v>37417</v>
      </c>
      <c r="D1908">
        <v>1192.3</v>
      </c>
    </row>
    <row r="1909" spans="1:5" x14ac:dyDescent="0.2">
      <c r="A1909" s="81">
        <v>37424</v>
      </c>
      <c r="D1909">
        <v>1188.9000000000001</v>
      </c>
    </row>
    <row r="1910" spans="1:5" x14ac:dyDescent="0.2">
      <c r="A1910" s="81">
        <v>37431</v>
      </c>
      <c r="D1910">
        <v>1193.3</v>
      </c>
    </row>
    <row r="1911" spans="1:5" x14ac:dyDescent="0.2">
      <c r="A1911" s="81">
        <v>37438</v>
      </c>
      <c r="B1911">
        <v>666.2</v>
      </c>
      <c r="C1911">
        <v>3104.6</v>
      </c>
      <c r="D1911">
        <v>1194.0999999999999</v>
      </c>
      <c r="E1911">
        <v>5588.2</v>
      </c>
    </row>
    <row r="1912" spans="1:5" x14ac:dyDescent="0.2">
      <c r="A1912" s="81">
        <v>37445</v>
      </c>
      <c r="D1912">
        <v>1193.4000000000001</v>
      </c>
    </row>
    <row r="1913" spans="1:5" x14ac:dyDescent="0.2">
      <c r="A1913" s="81">
        <v>37452</v>
      </c>
      <c r="D1913">
        <v>1202</v>
      </c>
    </row>
    <row r="1914" spans="1:5" x14ac:dyDescent="0.2">
      <c r="A1914" s="81">
        <v>37459</v>
      </c>
      <c r="D1914">
        <v>1203.0999999999999</v>
      </c>
    </row>
    <row r="1915" spans="1:5" x14ac:dyDescent="0.2">
      <c r="A1915" s="81">
        <v>37466</v>
      </c>
      <c r="D1915">
        <v>1203.7</v>
      </c>
    </row>
    <row r="1916" spans="1:5" x14ac:dyDescent="0.2">
      <c r="A1916" s="81">
        <v>37469</v>
      </c>
      <c r="B1916">
        <v>657.7</v>
      </c>
      <c r="C1916">
        <v>3119.4</v>
      </c>
      <c r="E1916">
        <v>5630.6</v>
      </c>
    </row>
    <row r="1917" spans="1:5" x14ac:dyDescent="0.2">
      <c r="A1917" s="81">
        <v>37473</v>
      </c>
      <c r="D1917">
        <v>1181.5999999999999</v>
      </c>
    </row>
    <row r="1918" spans="1:5" x14ac:dyDescent="0.2">
      <c r="A1918" s="81">
        <v>37480</v>
      </c>
      <c r="D1918">
        <v>1182.0999999999999</v>
      </c>
    </row>
    <row r="1919" spans="1:5" x14ac:dyDescent="0.2">
      <c r="A1919" s="81">
        <v>37487</v>
      </c>
      <c r="D1919">
        <v>1182.5999999999999</v>
      </c>
    </row>
    <row r="1920" spans="1:5" x14ac:dyDescent="0.2">
      <c r="A1920" s="81">
        <v>37494</v>
      </c>
      <c r="D1920">
        <v>1188.8</v>
      </c>
    </row>
    <row r="1921" spans="1:5" x14ac:dyDescent="0.2">
      <c r="A1921" s="81">
        <v>37500</v>
      </c>
      <c r="B1921">
        <v>661.6</v>
      </c>
      <c r="C1921">
        <v>3127.8</v>
      </c>
      <c r="E1921">
        <v>5655</v>
      </c>
    </row>
    <row r="1922" spans="1:5" x14ac:dyDescent="0.2">
      <c r="A1922" s="81">
        <v>37501</v>
      </c>
      <c r="D1922">
        <v>1203.3</v>
      </c>
    </row>
    <row r="1923" spans="1:5" x14ac:dyDescent="0.2">
      <c r="A1923" s="81">
        <v>37508</v>
      </c>
      <c r="D1923">
        <v>1191.5</v>
      </c>
    </row>
    <row r="1924" spans="1:5" x14ac:dyDescent="0.2">
      <c r="A1924" s="81">
        <v>37515</v>
      </c>
      <c r="D1924">
        <v>1191.8</v>
      </c>
    </row>
    <row r="1925" spans="1:5" x14ac:dyDescent="0.2">
      <c r="A1925" s="81">
        <v>37522</v>
      </c>
      <c r="D1925">
        <v>1192.8</v>
      </c>
    </row>
    <row r="1926" spans="1:5" x14ac:dyDescent="0.2">
      <c r="A1926" s="81">
        <v>37529</v>
      </c>
      <c r="D1926">
        <v>1206.3</v>
      </c>
    </row>
    <row r="1927" spans="1:5" x14ac:dyDescent="0.2">
      <c r="A1927" s="81">
        <v>37530</v>
      </c>
      <c r="B1927">
        <v>664.5</v>
      </c>
      <c r="C1927">
        <v>3145.5</v>
      </c>
      <c r="E1927">
        <v>5699.6</v>
      </c>
    </row>
    <row r="1928" spans="1:5" x14ac:dyDescent="0.2">
      <c r="A1928" s="81">
        <v>37536</v>
      </c>
      <c r="D1928">
        <v>1188.0999999999999</v>
      </c>
    </row>
    <row r="1929" spans="1:5" x14ac:dyDescent="0.2">
      <c r="A1929" s="81">
        <v>37543</v>
      </c>
      <c r="D1929">
        <v>1206.7</v>
      </c>
    </row>
    <row r="1930" spans="1:5" x14ac:dyDescent="0.2">
      <c r="A1930" s="81">
        <v>37550</v>
      </c>
      <c r="D1930">
        <v>1207.4000000000001</v>
      </c>
    </row>
    <row r="1931" spans="1:5" x14ac:dyDescent="0.2">
      <c r="A1931" s="81">
        <v>37557</v>
      </c>
      <c r="D1931">
        <v>1212.0999999999999</v>
      </c>
    </row>
    <row r="1932" spans="1:5" x14ac:dyDescent="0.2">
      <c r="A1932" s="81">
        <v>37561</v>
      </c>
      <c r="B1932">
        <v>666.4</v>
      </c>
      <c r="C1932">
        <v>3167.9</v>
      </c>
      <c r="E1932">
        <v>5749.7</v>
      </c>
    </row>
    <row r="1933" spans="1:5" x14ac:dyDescent="0.2">
      <c r="A1933" s="81">
        <v>37564</v>
      </c>
      <c r="D1933">
        <v>1208</v>
      </c>
    </row>
    <row r="1934" spans="1:5" x14ac:dyDescent="0.2">
      <c r="A1934" s="81">
        <v>37571</v>
      </c>
      <c r="D1934">
        <v>1208.5</v>
      </c>
    </row>
    <row r="1935" spans="1:5" x14ac:dyDescent="0.2">
      <c r="A1935" s="81">
        <v>37578</v>
      </c>
      <c r="D1935">
        <v>1205.4000000000001</v>
      </c>
    </row>
    <row r="1936" spans="1:5" x14ac:dyDescent="0.2">
      <c r="A1936" s="81">
        <v>37585</v>
      </c>
      <c r="D1936">
        <v>1203.8</v>
      </c>
    </row>
    <row r="1937" spans="1:5" x14ac:dyDescent="0.2">
      <c r="A1937" s="81">
        <v>37591</v>
      </c>
      <c r="B1937">
        <v>671.2</v>
      </c>
      <c r="C1937">
        <v>3174.3</v>
      </c>
      <c r="E1937">
        <v>5770.9</v>
      </c>
    </row>
    <row r="1938" spans="1:5" x14ac:dyDescent="0.2">
      <c r="A1938" s="81">
        <v>37592</v>
      </c>
      <c r="D1938">
        <v>1226.5</v>
      </c>
    </row>
    <row r="1939" spans="1:5" x14ac:dyDescent="0.2">
      <c r="A1939" s="81">
        <v>37599</v>
      </c>
      <c r="D1939">
        <v>1218.8</v>
      </c>
    </row>
    <row r="1940" spans="1:5" x14ac:dyDescent="0.2">
      <c r="A1940" s="81">
        <v>37606</v>
      </c>
      <c r="D1940">
        <v>1217.3</v>
      </c>
    </row>
    <row r="1941" spans="1:5" x14ac:dyDescent="0.2">
      <c r="A1941" s="81">
        <v>37613</v>
      </c>
      <c r="D1941">
        <v>1223.4000000000001</v>
      </c>
    </row>
    <row r="1942" spans="1:5" x14ac:dyDescent="0.2">
      <c r="A1942" s="81">
        <v>37620</v>
      </c>
      <c r="D1942">
        <v>1220.2</v>
      </c>
    </row>
    <row r="1943" spans="1:5" x14ac:dyDescent="0.2">
      <c r="A1943" s="81">
        <v>37622</v>
      </c>
      <c r="B1943">
        <v>672.1</v>
      </c>
      <c r="C1943">
        <v>3178.3</v>
      </c>
      <c r="E1943">
        <v>5803.5</v>
      </c>
    </row>
    <row r="1944" spans="1:5" x14ac:dyDescent="0.2">
      <c r="A1944" s="81">
        <v>37627</v>
      </c>
      <c r="D1944">
        <v>1215.7</v>
      </c>
    </row>
    <row r="1945" spans="1:5" x14ac:dyDescent="0.2">
      <c r="A1945" s="81">
        <v>37634</v>
      </c>
      <c r="D1945">
        <v>1221.8</v>
      </c>
    </row>
    <row r="1946" spans="1:5" x14ac:dyDescent="0.2">
      <c r="A1946" s="81">
        <v>37641</v>
      </c>
      <c r="D1946">
        <v>1229.7</v>
      </c>
    </row>
    <row r="1947" spans="1:5" x14ac:dyDescent="0.2">
      <c r="A1947" s="81">
        <v>37648</v>
      </c>
      <c r="D1947">
        <v>1229.4000000000001</v>
      </c>
    </row>
    <row r="1948" spans="1:5" x14ac:dyDescent="0.2">
      <c r="A1948" s="81">
        <v>37653</v>
      </c>
      <c r="B1948">
        <v>674.4</v>
      </c>
      <c r="C1948">
        <v>3180.6</v>
      </c>
      <c r="E1948">
        <v>5839.5</v>
      </c>
    </row>
    <row r="1949" spans="1:5" x14ac:dyDescent="0.2">
      <c r="A1949" s="81">
        <v>37655</v>
      </c>
      <c r="D1949">
        <v>1246.5999999999999</v>
      </c>
    </row>
    <row r="1950" spans="1:5" x14ac:dyDescent="0.2">
      <c r="A1950" s="81">
        <v>37662</v>
      </c>
      <c r="D1950">
        <v>1234.2</v>
      </c>
    </row>
    <row r="1951" spans="1:5" x14ac:dyDescent="0.2">
      <c r="A1951" s="81">
        <v>37669</v>
      </c>
      <c r="D1951">
        <v>1241.0999999999999</v>
      </c>
    </row>
    <row r="1952" spans="1:5" x14ac:dyDescent="0.2">
      <c r="A1952" s="81">
        <v>37676</v>
      </c>
      <c r="D1952">
        <v>1231.3</v>
      </c>
    </row>
    <row r="1953" spans="1:5" x14ac:dyDescent="0.2">
      <c r="A1953" s="81">
        <v>37681</v>
      </c>
      <c r="B1953">
        <v>673.9</v>
      </c>
      <c r="C1953">
        <v>3186.7</v>
      </c>
      <c r="E1953">
        <v>5860.3</v>
      </c>
    </row>
    <row r="1954" spans="1:5" x14ac:dyDescent="0.2">
      <c r="A1954" s="81">
        <v>37683</v>
      </c>
      <c r="D1954">
        <v>1245.5999999999999</v>
      </c>
    </row>
    <row r="1955" spans="1:5" x14ac:dyDescent="0.2">
      <c r="A1955" s="81">
        <v>37690</v>
      </c>
      <c r="D1955">
        <v>1242.5</v>
      </c>
    </row>
    <row r="1956" spans="1:5" x14ac:dyDescent="0.2">
      <c r="A1956" s="81">
        <v>37697</v>
      </c>
      <c r="D1956">
        <v>1235.9000000000001</v>
      </c>
    </row>
    <row r="1957" spans="1:5" x14ac:dyDescent="0.2">
      <c r="A1957" s="81">
        <v>37704</v>
      </c>
      <c r="D1957">
        <v>1235.9000000000001</v>
      </c>
    </row>
    <row r="1958" spans="1:5" x14ac:dyDescent="0.2">
      <c r="A1958" s="81">
        <v>37711</v>
      </c>
      <c r="D1958">
        <v>1240.4000000000001</v>
      </c>
    </row>
    <row r="1959" spans="1:5" x14ac:dyDescent="0.2">
      <c r="A1959" s="81">
        <v>37712</v>
      </c>
      <c r="B1959">
        <v>682.3</v>
      </c>
      <c r="C1959">
        <v>3219.3</v>
      </c>
      <c r="E1959">
        <v>5897.7</v>
      </c>
    </row>
    <row r="1960" spans="1:5" x14ac:dyDescent="0.2">
      <c r="A1960" s="81">
        <v>37718</v>
      </c>
      <c r="D1960">
        <v>1235.8</v>
      </c>
    </row>
    <row r="1961" spans="1:5" x14ac:dyDescent="0.2">
      <c r="A1961" s="81">
        <v>37725</v>
      </c>
      <c r="D1961">
        <v>1249.9000000000001</v>
      </c>
    </row>
    <row r="1962" spans="1:5" x14ac:dyDescent="0.2">
      <c r="A1962" s="81">
        <v>37732</v>
      </c>
      <c r="D1962">
        <v>1255.9000000000001</v>
      </c>
    </row>
    <row r="1963" spans="1:5" x14ac:dyDescent="0.2">
      <c r="A1963" s="81">
        <v>37739</v>
      </c>
      <c r="D1963">
        <v>1255.4000000000001</v>
      </c>
    </row>
    <row r="1964" spans="1:5" x14ac:dyDescent="0.2">
      <c r="A1964" s="81">
        <v>37742</v>
      </c>
      <c r="B1964">
        <v>693.7</v>
      </c>
      <c r="C1964">
        <v>3257.5</v>
      </c>
      <c r="E1964">
        <v>5958</v>
      </c>
    </row>
    <row r="1965" spans="1:5" x14ac:dyDescent="0.2">
      <c r="A1965" s="81">
        <v>37746</v>
      </c>
      <c r="D1965">
        <v>1261.2</v>
      </c>
    </row>
    <row r="1966" spans="1:5" x14ac:dyDescent="0.2">
      <c r="A1966" s="81">
        <v>37753</v>
      </c>
      <c r="D1966">
        <v>1268.8</v>
      </c>
    </row>
    <row r="1967" spans="1:5" x14ac:dyDescent="0.2">
      <c r="A1967" s="81">
        <v>37760</v>
      </c>
      <c r="D1967">
        <v>1268.2</v>
      </c>
    </row>
    <row r="1968" spans="1:5" x14ac:dyDescent="0.2">
      <c r="A1968" s="81">
        <v>37767</v>
      </c>
      <c r="D1968">
        <v>1269.5</v>
      </c>
    </row>
    <row r="1969" spans="1:5" x14ac:dyDescent="0.2">
      <c r="A1969" s="81">
        <v>37773</v>
      </c>
      <c r="B1969">
        <v>699.6</v>
      </c>
      <c r="C1969">
        <v>3274</v>
      </c>
      <c r="E1969">
        <v>5994.7</v>
      </c>
    </row>
    <row r="1970" spans="1:5" x14ac:dyDescent="0.2">
      <c r="A1970" s="81">
        <v>37774</v>
      </c>
      <c r="D1970">
        <v>1276.4000000000001</v>
      </c>
    </row>
    <row r="1971" spans="1:5" x14ac:dyDescent="0.2">
      <c r="A1971" s="81">
        <v>37781</v>
      </c>
      <c r="D1971">
        <v>1279.0999999999999</v>
      </c>
    </row>
    <row r="1972" spans="1:5" x14ac:dyDescent="0.2">
      <c r="A1972" s="81">
        <v>37788</v>
      </c>
      <c r="D1972">
        <v>1287.5999999999999</v>
      </c>
    </row>
    <row r="1973" spans="1:5" x14ac:dyDescent="0.2">
      <c r="A1973" s="81">
        <v>37795</v>
      </c>
      <c r="D1973">
        <v>1276.9000000000001</v>
      </c>
    </row>
    <row r="1974" spans="1:5" x14ac:dyDescent="0.2">
      <c r="A1974" s="81">
        <v>37802</v>
      </c>
      <c r="D1974">
        <v>1281.7</v>
      </c>
    </row>
    <row r="1975" spans="1:5" x14ac:dyDescent="0.2">
      <c r="A1975" s="81">
        <v>37803</v>
      </c>
      <c r="B1975">
        <v>700.9</v>
      </c>
      <c r="C1975">
        <v>3288.7</v>
      </c>
      <c r="E1975">
        <v>6041.4</v>
      </c>
    </row>
    <row r="1976" spans="1:5" x14ac:dyDescent="0.2">
      <c r="A1976" s="81">
        <v>37809</v>
      </c>
      <c r="D1976">
        <v>1276.4000000000001</v>
      </c>
    </row>
    <row r="1977" spans="1:5" x14ac:dyDescent="0.2">
      <c r="A1977" s="81">
        <v>37816</v>
      </c>
      <c r="D1977">
        <v>1289.0999999999999</v>
      </c>
    </row>
    <row r="1978" spans="1:5" x14ac:dyDescent="0.2">
      <c r="A1978" s="81">
        <v>37823</v>
      </c>
      <c r="D1978">
        <v>1292.0999999999999</v>
      </c>
    </row>
    <row r="1979" spans="1:5" x14ac:dyDescent="0.2">
      <c r="A1979" s="81">
        <v>37830</v>
      </c>
      <c r="D1979">
        <v>1286.4000000000001</v>
      </c>
    </row>
    <row r="1980" spans="1:5" x14ac:dyDescent="0.2">
      <c r="A1980" s="81">
        <v>37834</v>
      </c>
      <c r="B1980">
        <v>702.7</v>
      </c>
      <c r="C1980">
        <v>3306</v>
      </c>
      <c r="E1980">
        <v>6099.5</v>
      </c>
    </row>
    <row r="1981" spans="1:5" x14ac:dyDescent="0.2">
      <c r="A1981" s="81">
        <v>37837</v>
      </c>
      <c r="D1981">
        <v>1301.4000000000001</v>
      </c>
    </row>
    <row r="1982" spans="1:5" x14ac:dyDescent="0.2">
      <c r="A1982" s="81">
        <v>37844</v>
      </c>
      <c r="D1982">
        <v>1295.4000000000001</v>
      </c>
    </row>
    <row r="1983" spans="1:5" x14ac:dyDescent="0.2">
      <c r="A1983" s="81">
        <v>37851</v>
      </c>
      <c r="D1983">
        <v>1309.5</v>
      </c>
    </row>
    <row r="1984" spans="1:5" x14ac:dyDescent="0.2">
      <c r="A1984" s="81">
        <v>37858</v>
      </c>
      <c r="D1984">
        <v>1288.4000000000001</v>
      </c>
    </row>
    <row r="1985" spans="1:5" x14ac:dyDescent="0.2">
      <c r="A1985" s="81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5" x14ac:dyDescent="0.2">
      <c r="A1986" s="81">
        <v>37872</v>
      </c>
      <c r="D1986">
        <v>1295.0999999999999</v>
      </c>
    </row>
    <row r="1987" spans="1:5" x14ac:dyDescent="0.2">
      <c r="A1987" s="81">
        <v>37879</v>
      </c>
      <c r="D1987">
        <v>1299.9000000000001</v>
      </c>
    </row>
    <row r="1988" spans="1:5" x14ac:dyDescent="0.2">
      <c r="A1988" s="81">
        <v>37886</v>
      </c>
      <c r="D1988">
        <v>1299.4000000000001</v>
      </c>
    </row>
    <row r="1989" spans="1:5" x14ac:dyDescent="0.2">
      <c r="A1989" s="81">
        <v>37893</v>
      </c>
      <c r="D1989">
        <v>1297.0999999999999</v>
      </c>
    </row>
    <row r="1990" spans="1:5" x14ac:dyDescent="0.2">
      <c r="A1990" s="81">
        <v>37895</v>
      </c>
      <c r="B1990">
        <v>701.9</v>
      </c>
      <c r="C1990">
        <v>3278.8</v>
      </c>
      <c r="E1990">
        <v>6062.5</v>
      </c>
    </row>
    <row r="1991" spans="1:5" x14ac:dyDescent="0.2">
      <c r="A1991" s="81">
        <v>37900</v>
      </c>
      <c r="D1991">
        <v>1285.8</v>
      </c>
    </row>
    <row r="1992" spans="1:5" x14ac:dyDescent="0.2">
      <c r="A1992" s="81">
        <v>37907</v>
      </c>
      <c r="D1992">
        <v>1297</v>
      </c>
    </row>
    <row r="1993" spans="1:5" x14ac:dyDescent="0.2">
      <c r="A1993" s="81">
        <v>37914</v>
      </c>
      <c r="D1993">
        <v>1297.8</v>
      </c>
    </row>
    <row r="1994" spans="1:5" x14ac:dyDescent="0.2">
      <c r="A1994" s="81">
        <v>37921</v>
      </c>
      <c r="D1994">
        <v>1298.2</v>
      </c>
    </row>
    <row r="1995" spans="1:5" x14ac:dyDescent="0.2">
      <c r="A1995" s="81">
        <v>37926</v>
      </c>
      <c r="B1995">
        <v>702.2</v>
      </c>
      <c r="C1995">
        <v>3279.8</v>
      </c>
      <c r="E1995">
        <v>6067.7</v>
      </c>
    </row>
    <row r="1996" spans="1:5" x14ac:dyDescent="0.2">
      <c r="A1996" s="81">
        <v>37928</v>
      </c>
      <c r="D1996">
        <v>1316.5</v>
      </c>
    </row>
    <row r="1997" spans="1:5" x14ac:dyDescent="0.2">
      <c r="A1997" s="81">
        <v>37935</v>
      </c>
      <c r="D1997">
        <v>1306.2</v>
      </c>
    </row>
    <row r="1998" spans="1:5" x14ac:dyDescent="0.2">
      <c r="A1998" s="81">
        <v>37942</v>
      </c>
      <c r="D1998">
        <v>1297.7</v>
      </c>
    </row>
    <row r="1999" spans="1:5" x14ac:dyDescent="0.2">
      <c r="A1999" s="81">
        <v>37949</v>
      </c>
      <c r="D1999">
        <v>1293</v>
      </c>
    </row>
    <row r="2000" spans="1:5" x14ac:dyDescent="0.2">
      <c r="A2000" s="81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5" x14ac:dyDescent="0.2">
      <c r="A2001" s="81">
        <v>37963</v>
      </c>
      <c r="D2001">
        <v>1304.9000000000001</v>
      </c>
    </row>
    <row r="2002" spans="1:5" x14ac:dyDescent="0.2">
      <c r="A2002" s="81">
        <v>37970</v>
      </c>
      <c r="D2002">
        <v>1311.8</v>
      </c>
    </row>
    <row r="2003" spans="1:5" x14ac:dyDescent="0.2">
      <c r="A2003" s="81">
        <v>37977</v>
      </c>
      <c r="D2003">
        <v>1308.4000000000001</v>
      </c>
    </row>
    <row r="2004" spans="1:5" x14ac:dyDescent="0.2">
      <c r="A2004" s="81">
        <v>37984</v>
      </c>
      <c r="D2004">
        <v>1302.8</v>
      </c>
    </row>
    <row r="2005" spans="1:5" x14ac:dyDescent="0.2">
      <c r="A2005" s="81">
        <v>37987</v>
      </c>
      <c r="B2005">
        <v>701</v>
      </c>
      <c r="C2005">
        <v>3260.5</v>
      </c>
      <c r="E2005">
        <v>6074.4</v>
      </c>
    </row>
    <row r="2006" spans="1:5" x14ac:dyDescent="0.2">
      <c r="A2006" s="81">
        <v>37991</v>
      </c>
      <c r="D2006">
        <v>1303</v>
      </c>
    </row>
    <row r="2007" spans="1:5" x14ac:dyDescent="0.2">
      <c r="A2007" s="81">
        <v>37998</v>
      </c>
      <c r="D2007">
        <v>1300.4000000000001</v>
      </c>
    </row>
    <row r="2008" spans="1:5" x14ac:dyDescent="0.2">
      <c r="A2008" s="81">
        <v>38005</v>
      </c>
      <c r="D2008">
        <v>1307.5</v>
      </c>
    </row>
    <row r="2009" spans="1:5" x14ac:dyDescent="0.2">
      <c r="A2009" s="81">
        <v>38012</v>
      </c>
      <c r="D2009">
        <v>1307.9000000000001</v>
      </c>
    </row>
    <row r="2010" spans="1:5" x14ac:dyDescent="0.2">
      <c r="A2010" s="81">
        <v>38018</v>
      </c>
      <c r="B2010">
        <v>707.8</v>
      </c>
      <c r="C2010">
        <v>3274.3</v>
      </c>
      <c r="E2010">
        <v>6113.2</v>
      </c>
    </row>
    <row r="2011" spans="1:5" x14ac:dyDescent="0.2">
      <c r="A2011" s="81">
        <v>38019</v>
      </c>
      <c r="D2011">
        <v>1312.3</v>
      </c>
    </row>
    <row r="2012" spans="1:5" x14ac:dyDescent="0.2">
      <c r="A2012" s="81">
        <v>38026</v>
      </c>
      <c r="D2012">
        <v>1321</v>
      </c>
    </row>
    <row r="2013" spans="1:5" x14ac:dyDescent="0.2">
      <c r="A2013" s="81">
        <v>38033</v>
      </c>
      <c r="D2013">
        <v>1328.2</v>
      </c>
    </row>
    <row r="2014" spans="1:5" x14ac:dyDescent="0.2">
      <c r="A2014" s="81">
        <v>38040</v>
      </c>
      <c r="D2014">
        <v>1320.3</v>
      </c>
    </row>
    <row r="2015" spans="1:5" x14ac:dyDescent="0.2">
      <c r="A2015" s="81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5" x14ac:dyDescent="0.2">
      <c r="A2016" s="81">
        <v>38054</v>
      </c>
      <c r="D2016">
        <v>1318.5</v>
      </c>
    </row>
    <row r="2017" spans="1:5" x14ac:dyDescent="0.2">
      <c r="A2017" s="81">
        <v>38061</v>
      </c>
      <c r="D2017">
        <v>1329.7</v>
      </c>
    </row>
    <row r="2018" spans="1:5" x14ac:dyDescent="0.2">
      <c r="A2018" s="81">
        <v>38068</v>
      </c>
      <c r="D2018">
        <v>1335.8</v>
      </c>
    </row>
    <row r="2019" spans="1:5" x14ac:dyDescent="0.2">
      <c r="A2019" s="81">
        <v>38075</v>
      </c>
      <c r="D2019">
        <v>1334.1</v>
      </c>
    </row>
    <row r="2020" spans="1:5" x14ac:dyDescent="0.2">
      <c r="A2020" s="81">
        <v>38078</v>
      </c>
      <c r="B2020">
        <v>711.2</v>
      </c>
      <c r="C2020">
        <v>3303.2</v>
      </c>
      <c r="E2020">
        <v>6190.2</v>
      </c>
    </row>
    <row r="2021" spans="1:5" x14ac:dyDescent="0.2">
      <c r="A2021" s="81">
        <v>38082</v>
      </c>
      <c r="D2021">
        <v>1321.9</v>
      </c>
    </row>
    <row r="2022" spans="1:5" x14ac:dyDescent="0.2">
      <c r="A2022" s="81">
        <v>38089</v>
      </c>
      <c r="D2022">
        <v>1330.1</v>
      </c>
    </row>
    <row r="2023" spans="1:5" x14ac:dyDescent="0.2">
      <c r="A2023" s="81">
        <v>38096</v>
      </c>
      <c r="D2023">
        <v>1327.1</v>
      </c>
    </row>
    <row r="2024" spans="1:5" x14ac:dyDescent="0.2">
      <c r="A2024" s="81">
        <v>38103</v>
      </c>
      <c r="D2024">
        <v>1334.6</v>
      </c>
    </row>
    <row r="2025" spans="1:5" x14ac:dyDescent="0.2">
      <c r="A2025" s="81">
        <v>38108</v>
      </c>
      <c r="B2025">
        <v>708.4</v>
      </c>
      <c r="C2025">
        <v>3330</v>
      </c>
      <c r="E2025">
        <v>6267</v>
      </c>
    </row>
    <row r="2026" spans="1:5" x14ac:dyDescent="0.2">
      <c r="A2026" s="81">
        <v>38110</v>
      </c>
      <c r="D2026">
        <v>1357.7</v>
      </c>
    </row>
    <row r="2027" spans="1:5" x14ac:dyDescent="0.2">
      <c r="A2027" s="81">
        <v>38117</v>
      </c>
      <c r="D2027">
        <v>1328</v>
      </c>
    </row>
    <row r="2028" spans="1:5" x14ac:dyDescent="0.2">
      <c r="A2028" s="81">
        <v>38124</v>
      </c>
      <c r="D2028">
        <v>1336</v>
      </c>
    </row>
    <row r="2029" spans="1:5" x14ac:dyDescent="0.2">
      <c r="A2029" s="81">
        <v>38131</v>
      </c>
      <c r="D2029">
        <v>1335.6</v>
      </c>
    </row>
    <row r="2030" spans="1:5" x14ac:dyDescent="0.2">
      <c r="A2030" s="81">
        <v>38138</v>
      </c>
      <c r="D2030">
        <v>1323.1</v>
      </c>
    </row>
    <row r="2031" spans="1:5" x14ac:dyDescent="0.2">
      <c r="A2031" s="81">
        <v>38139</v>
      </c>
      <c r="B2031">
        <v>710.8</v>
      </c>
      <c r="C2031">
        <v>3318.9</v>
      </c>
      <c r="E2031">
        <v>6269.4</v>
      </c>
    </row>
    <row r="2032" spans="1:5" x14ac:dyDescent="0.2">
      <c r="A2032" s="81">
        <v>38145</v>
      </c>
      <c r="D2032">
        <v>1327.8</v>
      </c>
    </row>
    <row r="2033" spans="1:5" x14ac:dyDescent="0.2">
      <c r="A2033" s="81">
        <v>38152</v>
      </c>
      <c r="D2033">
        <v>1345.7</v>
      </c>
    </row>
    <row r="2034" spans="1:5" x14ac:dyDescent="0.2">
      <c r="A2034" s="81">
        <v>38159</v>
      </c>
      <c r="D2034">
        <v>1348</v>
      </c>
    </row>
    <row r="2035" spans="1:5" x14ac:dyDescent="0.2">
      <c r="A2035" s="81">
        <v>38166</v>
      </c>
      <c r="D2035">
        <v>1353</v>
      </c>
    </row>
    <row r="2036" spans="1:5" x14ac:dyDescent="0.2">
      <c r="A2036" s="81">
        <v>38169</v>
      </c>
      <c r="B2036">
        <v>709</v>
      </c>
      <c r="C2036">
        <v>3322.6</v>
      </c>
      <c r="E2036">
        <v>6283.1</v>
      </c>
    </row>
    <row r="2037" spans="1:5" x14ac:dyDescent="0.2">
      <c r="A2037" s="81">
        <v>38173</v>
      </c>
      <c r="D2037">
        <v>1330.1</v>
      </c>
    </row>
    <row r="2038" spans="1:5" x14ac:dyDescent="0.2">
      <c r="A2038" s="81">
        <v>38180</v>
      </c>
      <c r="D2038">
        <v>1341.1</v>
      </c>
    </row>
    <row r="2039" spans="1:5" x14ac:dyDescent="0.2">
      <c r="A2039" s="81">
        <v>38187</v>
      </c>
      <c r="D2039">
        <v>1337.2</v>
      </c>
    </row>
    <row r="2040" spans="1:5" x14ac:dyDescent="0.2">
      <c r="A2040" s="81">
        <v>38194</v>
      </c>
      <c r="D2040">
        <v>1347.6</v>
      </c>
    </row>
    <row r="2041" spans="1:5" x14ac:dyDescent="0.2">
      <c r="A2041" s="81">
        <v>38200</v>
      </c>
      <c r="B2041">
        <v>715.8</v>
      </c>
      <c r="C2041">
        <v>3334.7</v>
      </c>
      <c r="E2041">
        <v>6309.2</v>
      </c>
    </row>
    <row r="2042" spans="1:5" x14ac:dyDescent="0.2">
      <c r="A2042" s="81">
        <v>38201</v>
      </c>
      <c r="D2042">
        <v>1346.8</v>
      </c>
    </row>
    <row r="2043" spans="1:5" x14ac:dyDescent="0.2">
      <c r="A2043" s="81">
        <v>38208</v>
      </c>
      <c r="D2043">
        <v>1352</v>
      </c>
    </row>
    <row r="2044" spans="1:5" x14ac:dyDescent="0.2">
      <c r="A2044" s="81">
        <v>38215</v>
      </c>
      <c r="D2044">
        <v>1355.2</v>
      </c>
    </row>
    <row r="2045" spans="1:5" x14ac:dyDescent="0.2">
      <c r="A2045" s="81">
        <v>38222</v>
      </c>
      <c r="D2045">
        <v>1362.5</v>
      </c>
    </row>
    <row r="2046" spans="1:5" x14ac:dyDescent="0.2">
      <c r="A2046" s="81">
        <v>38229</v>
      </c>
      <c r="D2046">
        <v>1351.4</v>
      </c>
    </row>
    <row r="2047" spans="1:5" x14ac:dyDescent="0.2">
      <c r="A2047" s="81">
        <v>38231</v>
      </c>
      <c r="B2047">
        <v>717.9</v>
      </c>
      <c r="C2047">
        <v>3342.4</v>
      </c>
      <c r="E2047">
        <v>6343.9</v>
      </c>
    </row>
    <row r="2048" spans="1:5" x14ac:dyDescent="0.2">
      <c r="A2048" s="81">
        <v>38236</v>
      </c>
      <c r="D2048">
        <v>1342.3</v>
      </c>
    </row>
    <row r="2049" spans="1:5" x14ac:dyDescent="0.2">
      <c r="A2049" s="81">
        <v>38243</v>
      </c>
      <c r="D2049">
        <v>1359.9</v>
      </c>
    </row>
    <row r="2050" spans="1:5" x14ac:dyDescent="0.2">
      <c r="A2050" s="81">
        <v>38250</v>
      </c>
      <c r="D2050">
        <v>1372.2</v>
      </c>
    </row>
    <row r="2051" spans="1:5" x14ac:dyDescent="0.2">
      <c r="A2051" s="81">
        <v>38257</v>
      </c>
      <c r="D2051">
        <v>1372</v>
      </c>
    </row>
    <row r="2052" spans="1:5" x14ac:dyDescent="0.2">
      <c r="A2052" s="81">
        <v>38261</v>
      </c>
      <c r="B2052">
        <v>714</v>
      </c>
      <c r="C2052">
        <v>3339.7</v>
      </c>
      <c r="E2052">
        <v>6372.1</v>
      </c>
    </row>
    <row r="2053" spans="1:5" x14ac:dyDescent="0.2">
      <c r="A2053" s="81">
        <v>38264</v>
      </c>
      <c r="D2053">
        <v>1364.4</v>
      </c>
    </row>
    <row r="2054" spans="1:5" x14ac:dyDescent="0.2">
      <c r="A2054" s="81">
        <v>38271</v>
      </c>
      <c r="D2054">
        <v>1365.5</v>
      </c>
    </row>
    <row r="2055" spans="1:5" x14ac:dyDescent="0.2">
      <c r="A2055" s="81">
        <v>38278</v>
      </c>
      <c r="D2055">
        <v>1359.7</v>
      </c>
    </row>
    <row r="2056" spans="1:5" x14ac:dyDescent="0.2">
      <c r="A2056" s="81">
        <v>38285</v>
      </c>
      <c r="D2056">
        <v>1368.5</v>
      </c>
    </row>
    <row r="2057" spans="1:5" x14ac:dyDescent="0.2">
      <c r="A2057" s="81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5" x14ac:dyDescent="0.2">
      <c r="A2058" s="81">
        <v>38299</v>
      </c>
      <c r="D2058">
        <v>1363.9</v>
      </c>
    </row>
    <row r="2059" spans="1:5" x14ac:dyDescent="0.2">
      <c r="A2059" s="81">
        <v>38306</v>
      </c>
      <c r="D2059">
        <v>1371.2</v>
      </c>
    </row>
    <row r="2060" spans="1:5" x14ac:dyDescent="0.2">
      <c r="A2060" s="81">
        <v>38313</v>
      </c>
      <c r="D2060">
        <v>1379.2</v>
      </c>
    </row>
    <row r="2061" spans="1:5" x14ac:dyDescent="0.2">
      <c r="A2061" s="81">
        <v>38320</v>
      </c>
      <c r="D2061">
        <v>1387.5</v>
      </c>
    </row>
    <row r="2062" spans="1:5" x14ac:dyDescent="0.2">
      <c r="A2062" s="81">
        <v>38322</v>
      </c>
      <c r="B2062">
        <v>717.8</v>
      </c>
      <c r="C2062">
        <v>3347.5</v>
      </c>
      <c r="E2062">
        <v>6417.2</v>
      </c>
    </row>
    <row r="2063" spans="1:5" x14ac:dyDescent="0.2">
      <c r="A2063" s="81">
        <v>38327</v>
      </c>
      <c r="D2063">
        <v>1359.6</v>
      </c>
    </row>
    <row r="2064" spans="1:5" x14ac:dyDescent="0.2">
      <c r="A2064" s="81">
        <v>38334</v>
      </c>
      <c r="D2064">
        <v>1369.7</v>
      </c>
    </row>
    <row r="2065" spans="1:5" x14ac:dyDescent="0.2">
      <c r="A2065" s="81">
        <v>38341</v>
      </c>
      <c r="D2065">
        <v>1380</v>
      </c>
    </row>
    <row r="2066" spans="1:5" x14ac:dyDescent="0.2">
      <c r="A2066" s="81">
        <v>38348</v>
      </c>
      <c r="D2066">
        <v>1387.5</v>
      </c>
    </row>
    <row r="2067" spans="1:5" x14ac:dyDescent="0.2">
      <c r="A2067" s="81">
        <v>38353</v>
      </c>
      <c r="B2067">
        <v>713.5</v>
      </c>
      <c r="C2067">
        <v>3352.5</v>
      </c>
      <c r="E2067">
        <v>6423.4</v>
      </c>
    </row>
    <row r="2068" spans="1:5" x14ac:dyDescent="0.2">
      <c r="A2068" s="81">
        <v>38355</v>
      </c>
      <c r="D2068">
        <v>1373.7</v>
      </c>
    </row>
    <row r="2069" spans="1:5" x14ac:dyDescent="0.2">
      <c r="A2069" s="81">
        <v>38362</v>
      </c>
      <c r="D2069">
        <v>1347.5</v>
      </c>
    </row>
    <row r="2070" spans="1:5" x14ac:dyDescent="0.2">
      <c r="A2070" s="81">
        <v>38369</v>
      </c>
      <c r="D2070">
        <v>1348.5</v>
      </c>
    </row>
    <row r="2071" spans="1:5" x14ac:dyDescent="0.2">
      <c r="A2071" s="81">
        <v>38376</v>
      </c>
      <c r="D2071">
        <v>1362.7</v>
      </c>
    </row>
    <row r="2072" spans="1:5" x14ac:dyDescent="0.2">
      <c r="A2072" s="81">
        <v>38383</v>
      </c>
      <c r="D2072">
        <v>1364.9</v>
      </c>
    </row>
    <row r="2073" spans="1:5" x14ac:dyDescent="0.2">
      <c r="A2073" s="81">
        <v>38384</v>
      </c>
      <c r="B2073">
        <v>712.6</v>
      </c>
      <c r="C2073">
        <v>3342.9</v>
      </c>
      <c r="E2073">
        <v>6431.8</v>
      </c>
    </row>
    <row r="2074" spans="1:5" x14ac:dyDescent="0.2">
      <c r="A2074" s="81">
        <v>38390</v>
      </c>
      <c r="D2074">
        <v>1353.7</v>
      </c>
    </row>
    <row r="2075" spans="1:5" x14ac:dyDescent="0.2">
      <c r="A2075" s="81">
        <v>38397</v>
      </c>
      <c r="D2075">
        <v>1368.7</v>
      </c>
    </row>
    <row r="2076" spans="1:5" x14ac:dyDescent="0.2">
      <c r="A2076" s="81">
        <v>38404</v>
      </c>
      <c r="D2076">
        <v>1381.5</v>
      </c>
    </row>
    <row r="2077" spans="1:5" x14ac:dyDescent="0.2">
      <c r="A2077" s="81">
        <v>38411</v>
      </c>
      <c r="D2077">
        <v>1380.5</v>
      </c>
    </row>
    <row r="2078" spans="1:5" x14ac:dyDescent="0.2">
      <c r="A2078" s="81">
        <v>38412</v>
      </c>
      <c r="B2078">
        <v>709.9</v>
      </c>
      <c r="C2078">
        <v>3335.5</v>
      </c>
      <c r="E2078">
        <v>6440.8</v>
      </c>
    </row>
    <row r="2079" spans="1:5" x14ac:dyDescent="0.2">
      <c r="A2079" s="81">
        <v>38418</v>
      </c>
      <c r="D2079">
        <v>1362.8</v>
      </c>
    </row>
    <row r="2080" spans="1:5" x14ac:dyDescent="0.2">
      <c r="A2080" s="81">
        <v>38425</v>
      </c>
      <c r="D2080">
        <v>1370.1</v>
      </c>
    </row>
    <row r="2081" spans="1:5" x14ac:dyDescent="0.2">
      <c r="A2081" s="81">
        <v>38432</v>
      </c>
      <c r="D2081">
        <v>1376.3</v>
      </c>
    </row>
    <row r="2082" spans="1:5" x14ac:dyDescent="0.2">
      <c r="A2082" s="81">
        <v>38439</v>
      </c>
      <c r="D2082">
        <v>1378.4</v>
      </c>
    </row>
    <row r="2083" spans="1:5" x14ac:dyDescent="0.2">
      <c r="A2083" s="81">
        <v>38443</v>
      </c>
      <c r="B2083">
        <v>701.3</v>
      </c>
      <c r="C2083">
        <v>3332.3</v>
      </c>
      <c r="E2083">
        <v>6454.7</v>
      </c>
    </row>
    <row r="2084" spans="1:5" x14ac:dyDescent="0.2">
      <c r="A2084" s="81">
        <v>38446</v>
      </c>
      <c r="D2084">
        <v>1361.1</v>
      </c>
    </row>
    <row r="2085" spans="1:5" x14ac:dyDescent="0.2">
      <c r="A2085" s="81">
        <v>38453</v>
      </c>
      <c r="D2085">
        <v>1355.3</v>
      </c>
    </row>
    <row r="2086" spans="1:5" x14ac:dyDescent="0.2">
      <c r="A2086" s="81">
        <v>38460</v>
      </c>
      <c r="D2086">
        <v>1355.1</v>
      </c>
    </row>
    <row r="2087" spans="1:5" x14ac:dyDescent="0.2">
      <c r="A2087" s="81">
        <v>38467</v>
      </c>
      <c r="D2087">
        <v>1361.7</v>
      </c>
    </row>
    <row r="2088" spans="1:5" x14ac:dyDescent="0.2">
      <c r="A2088" s="81">
        <v>38473</v>
      </c>
      <c r="B2088">
        <v>705.6</v>
      </c>
      <c r="C2088">
        <v>3343</v>
      </c>
      <c r="E2088">
        <v>6472</v>
      </c>
    </row>
    <row r="2089" spans="1:5" x14ac:dyDescent="0.2">
      <c r="A2089" s="81">
        <v>38474</v>
      </c>
      <c r="D2089">
        <v>1360.4</v>
      </c>
    </row>
    <row r="2090" spans="1:5" x14ac:dyDescent="0.2">
      <c r="A2090" s="81">
        <v>38481</v>
      </c>
      <c r="D2090">
        <v>1361.8</v>
      </c>
    </row>
    <row r="2091" spans="1:5" x14ac:dyDescent="0.2">
      <c r="A2091" s="81">
        <v>38488</v>
      </c>
      <c r="D2091">
        <v>1357.6</v>
      </c>
    </row>
    <row r="2092" spans="1:5" x14ac:dyDescent="0.2">
      <c r="A2092" s="81">
        <v>38495</v>
      </c>
      <c r="D2092">
        <v>1367.4</v>
      </c>
    </row>
    <row r="2093" spans="1:5" x14ac:dyDescent="0.2">
      <c r="A2093" s="81">
        <v>38502</v>
      </c>
      <c r="D2093">
        <v>1379.4</v>
      </c>
    </row>
    <row r="2094" spans="1:5" x14ac:dyDescent="0.2">
      <c r="A2094" s="81">
        <v>38504</v>
      </c>
      <c r="B2094">
        <v>712.5</v>
      </c>
      <c r="C2094">
        <v>3358</v>
      </c>
      <c r="E2094">
        <v>6504.4</v>
      </c>
    </row>
    <row r="2095" spans="1:5" x14ac:dyDescent="0.2">
      <c r="A2095" s="81">
        <v>38509</v>
      </c>
      <c r="D2095">
        <v>1361.7</v>
      </c>
    </row>
    <row r="2096" spans="1:5" x14ac:dyDescent="0.2">
      <c r="A2096" s="81">
        <v>38516</v>
      </c>
      <c r="D2096">
        <v>1372.6</v>
      </c>
    </row>
    <row r="2097" spans="1:5" x14ac:dyDescent="0.2">
      <c r="A2097" s="81">
        <v>38523</v>
      </c>
      <c r="D2097">
        <v>1389.9</v>
      </c>
    </row>
    <row r="2098" spans="1:5" x14ac:dyDescent="0.2">
      <c r="A2098" s="81">
        <v>38530</v>
      </c>
      <c r="D2098">
        <v>1395.5</v>
      </c>
    </row>
    <row r="2099" spans="1:5" x14ac:dyDescent="0.2">
      <c r="A2099" s="81">
        <v>38534</v>
      </c>
      <c r="B2099">
        <v>702.4</v>
      </c>
      <c r="C2099">
        <v>3353.5</v>
      </c>
      <c r="E2099">
        <v>6536</v>
      </c>
    </row>
    <row r="2100" spans="1:5" x14ac:dyDescent="0.2">
      <c r="A2100" s="81">
        <v>38537</v>
      </c>
      <c r="D2100">
        <v>1375.6</v>
      </c>
    </row>
    <row r="2101" spans="1:5" x14ac:dyDescent="0.2">
      <c r="A2101" s="81">
        <v>38544</v>
      </c>
      <c r="D2101">
        <v>1364.8</v>
      </c>
    </row>
    <row r="2102" spans="1:5" x14ac:dyDescent="0.2">
      <c r="A2102" s="81">
        <v>38551</v>
      </c>
      <c r="D2102">
        <v>1364.4</v>
      </c>
    </row>
    <row r="2103" spans="1:5" x14ac:dyDescent="0.2">
      <c r="A2103" s="81">
        <v>38558</v>
      </c>
      <c r="D2103">
        <v>1379.6</v>
      </c>
    </row>
    <row r="2104" spans="1:5" x14ac:dyDescent="0.2">
      <c r="A2104" s="81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5" x14ac:dyDescent="0.2">
      <c r="A2105" s="81">
        <v>38572</v>
      </c>
      <c r="D2105">
        <v>1366.5</v>
      </c>
    </row>
    <row r="2106" spans="1:5" x14ac:dyDescent="0.2">
      <c r="A2106" s="81">
        <v>38579</v>
      </c>
      <c r="D2106">
        <v>1375.6</v>
      </c>
    </row>
    <row r="2107" spans="1:5" x14ac:dyDescent="0.2">
      <c r="A2107" s="81">
        <v>38586</v>
      </c>
      <c r="D2107">
        <v>1388.5</v>
      </c>
    </row>
    <row r="2108" spans="1:5" x14ac:dyDescent="0.2">
      <c r="A2108" s="81">
        <v>38593</v>
      </c>
      <c r="D2108">
        <v>1386.5</v>
      </c>
    </row>
    <row r="2109" spans="1:5" x14ac:dyDescent="0.2">
      <c r="A2109" s="81">
        <v>38596</v>
      </c>
      <c r="B2109">
        <v>693.5</v>
      </c>
      <c r="C2109">
        <v>3321.4</v>
      </c>
      <c r="E2109">
        <v>6602.9</v>
      </c>
    </row>
    <row r="2110" spans="1:5" x14ac:dyDescent="0.2">
      <c r="A2110" s="81">
        <v>38600</v>
      </c>
      <c r="D2110">
        <v>1364.4</v>
      </c>
    </row>
    <row r="2111" spans="1:5" x14ac:dyDescent="0.2">
      <c r="A2111" s="81">
        <v>38607</v>
      </c>
      <c r="D2111">
        <v>1366.9</v>
      </c>
    </row>
    <row r="2112" spans="1:5" x14ac:dyDescent="0.2">
      <c r="A2112" s="81">
        <v>38614</v>
      </c>
      <c r="D2112">
        <v>1380.1</v>
      </c>
    </row>
    <row r="2113" spans="1:5" x14ac:dyDescent="0.2">
      <c r="A2113" s="81">
        <v>38621</v>
      </c>
      <c r="D2113">
        <v>1388.5</v>
      </c>
    </row>
    <row r="2114" spans="1:5" x14ac:dyDescent="0.2">
      <c r="A2114" s="81">
        <v>38626</v>
      </c>
      <c r="B2114">
        <v>691.4</v>
      </c>
      <c r="C2114">
        <v>3333.5</v>
      </c>
      <c r="E2114">
        <v>6637</v>
      </c>
    </row>
    <row r="2115" spans="1:5" x14ac:dyDescent="0.2">
      <c r="A2115" s="81">
        <v>38628</v>
      </c>
      <c r="D2115">
        <v>1396.7</v>
      </c>
    </row>
    <row r="2116" spans="1:5" x14ac:dyDescent="0.2">
      <c r="A2116" s="81">
        <v>38635</v>
      </c>
      <c r="D2116">
        <v>1372.5</v>
      </c>
    </row>
    <row r="2117" spans="1:5" x14ac:dyDescent="0.2">
      <c r="A2117" s="81">
        <v>38642</v>
      </c>
      <c r="D2117">
        <v>1365.5</v>
      </c>
    </row>
    <row r="2118" spans="1:5" x14ac:dyDescent="0.2">
      <c r="A2118" s="81">
        <v>38649</v>
      </c>
      <c r="D2118">
        <v>1382</v>
      </c>
    </row>
    <row r="2119" spans="1:5" x14ac:dyDescent="0.2">
      <c r="A2119" s="81">
        <v>38656</v>
      </c>
      <c r="D2119">
        <v>1377.3</v>
      </c>
    </row>
    <row r="2120" spans="1:5" x14ac:dyDescent="0.2">
      <c r="A2120" s="81">
        <v>38657</v>
      </c>
      <c r="B2120">
        <v>694.6</v>
      </c>
      <c r="C2120">
        <v>3358.6</v>
      </c>
      <c r="E2120">
        <v>6653.4</v>
      </c>
    </row>
    <row r="2121" spans="1:5" x14ac:dyDescent="0.2">
      <c r="A2121" s="81">
        <v>38663</v>
      </c>
      <c r="D2121">
        <v>1360.5</v>
      </c>
    </row>
    <row r="2122" spans="1:5" x14ac:dyDescent="0.2">
      <c r="A2122" s="81">
        <v>38670</v>
      </c>
      <c r="D2122">
        <v>1370.9</v>
      </c>
    </row>
    <row r="2123" spans="1:5" x14ac:dyDescent="0.2">
      <c r="A2123" s="81">
        <v>38677</v>
      </c>
      <c r="D2123">
        <v>1388</v>
      </c>
    </row>
    <row r="2124" spans="1:5" x14ac:dyDescent="0.2">
      <c r="A2124" s="81">
        <v>38684</v>
      </c>
      <c r="D2124">
        <v>1386.3</v>
      </c>
    </row>
    <row r="2125" spans="1:5" x14ac:dyDescent="0.2">
      <c r="A2125" s="81">
        <v>38687</v>
      </c>
      <c r="B2125">
        <v>693.7</v>
      </c>
      <c r="C2125">
        <v>3372.1</v>
      </c>
      <c r="E2125">
        <v>6680.1</v>
      </c>
    </row>
    <row r="2126" spans="1:5" x14ac:dyDescent="0.2">
      <c r="A2126" s="81">
        <v>38691</v>
      </c>
      <c r="D2126">
        <v>1371.5</v>
      </c>
    </row>
    <row r="2127" spans="1:5" x14ac:dyDescent="0.2">
      <c r="A2127" s="81">
        <v>38698</v>
      </c>
      <c r="D2127">
        <v>1368</v>
      </c>
    </row>
    <row r="2128" spans="1:5" x14ac:dyDescent="0.2">
      <c r="A2128" s="81">
        <v>38705</v>
      </c>
      <c r="D2128">
        <v>1373.1</v>
      </c>
    </row>
    <row r="2129" spans="1:5" x14ac:dyDescent="0.2">
      <c r="A2129" s="81">
        <v>38712</v>
      </c>
      <c r="D2129">
        <v>1383</v>
      </c>
    </row>
    <row r="2130" spans="1:5" x14ac:dyDescent="0.2">
      <c r="A2130" s="81">
        <v>38718</v>
      </c>
      <c r="B2130">
        <v>692.2</v>
      </c>
      <c r="C2130">
        <v>3373.1</v>
      </c>
      <c r="E2130">
        <v>6722.5</v>
      </c>
    </row>
    <row r="2131" spans="1:5" x14ac:dyDescent="0.2">
      <c r="A2131" s="81">
        <v>38719</v>
      </c>
      <c r="D2131">
        <v>1375.5</v>
      </c>
    </row>
    <row r="2132" spans="1:5" x14ac:dyDescent="0.2">
      <c r="A2132" s="81">
        <v>38726</v>
      </c>
      <c r="D2132">
        <v>1372</v>
      </c>
    </row>
    <row r="2133" spans="1:5" x14ac:dyDescent="0.2">
      <c r="A2133" s="81">
        <v>38733</v>
      </c>
      <c r="D2133">
        <v>1375.8</v>
      </c>
    </row>
    <row r="2134" spans="1:5" x14ac:dyDescent="0.2">
      <c r="A2134" s="81">
        <v>38740</v>
      </c>
      <c r="D2134">
        <v>1383.1</v>
      </c>
    </row>
    <row r="2135" spans="1:5" x14ac:dyDescent="0.2">
      <c r="A2135" s="81">
        <v>38747</v>
      </c>
      <c r="D2135">
        <v>1389.8</v>
      </c>
    </row>
    <row r="2136" spans="1:5" x14ac:dyDescent="0.2">
      <c r="A2136" s="81">
        <v>38749</v>
      </c>
      <c r="B2136">
        <v>691.3</v>
      </c>
      <c r="C2136">
        <v>3383.6</v>
      </c>
      <c r="E2136">
        <v>6746.8</v>
      </c>
    </row>
    <row r="2137" spans="1:5" x14ac:dyDescent="0.2">
      <c r="A2137" s="81">
        <v>38754</v>
      </c>
      <c r="D2137">
        <v>1369.2</v>
      </c>
    </row>
    <row r="2138" spans="1:5" x14ac:dyDescent="0.2">
      <c r="A2138" s="81">
        <v>38761</v>
      </c>
      <c r="D2138">
        <v>1368.6</v>
      </c>
    </row>
    <row r="2139" spans="1:5" x14ac:dyDescent="0.2">
      <c r="A2139" s="81">
        <v>38768</v>
      </c>
      <c r="D2139">
        <v>1383.3</v>
      </c>
    </row>
    <row r="2140" spans="1:5" x14ac:dyDescent="0.2">
      <c r="A2140" s="81">
        <v>38775</v>
      </c>
      <c r="D2140">
        <v>1393</v>
      </c>
    </row>
    <row r="2141" spans="1:5" x14ac:dyDescent="0.2">
      <c r="A2141" s="81">
        <v>38777</v>
      </c>
      <c r="B2141">
        <v>692.6</v>
      </c>
      <c r="C2141">
        <v>3385.6</v>
      </c>
      <c r="E2141">
        <v>6761.1</v>
      </c>
    </row>
    <row r="2142" spans="1:5" x14ac:dyDescent="0.2">
      <c r="A2142" s="81">
        <v>38782</v>
      </c>
      <c r="D2142">
        <v>1366.2</v>
      </c>
    </row>
    <row r="2143" spans="1:5" x14ac:dyDescent="0.2">
      <c r="A2143" s="81">
        <v>38789</v>
      </c>
      <c r="D2143">
        <v>1371</v>
      </c>
    </row>
    <row r="2144" spans="1:5" x14ac:dyDescent="0.2">
      <c r="A2144" s="81">
        <v>38796</v>
      </c>
      <c r="D2144">
        <v>1387.9</v>
      </c>
    </row>
    <row r="2145" spans="1:5" x14ac:dyDescent="0.2">
      <c r="A2145" s="81">
        <v>38803</v>
      </c>
      <c r="D2145">
        <v>1394.8</v>
      </c>
    </row>
    <row r="2146" spans="1:5" x14ac:dyDescent="0.2">
      <c r="A2146" s="81">
        <v>38808</v>
      </c>
      <c r="B2146">
        <v>688.3</v>
      </c>
      <c r="C2146">
        <v>3387.4</v>
      </c>
      <c r="E2146">
        <v>6798.5</v>
      </c>
    </row>
    <row r="2147" spans="1:5" x14ac:dyDescent="0.2">
      <c r="A2147" s="81">
        <v>38810</v>
      </c>
      <c r="D2147">
        <v>1401.4</v>
      </c>
    </row>
    <row r="2148" spans="1:5" x14ac:dyDescent="0.2">
      <c r="A2148" s="81">
        <v>38817</v>
      </c>
      <c r="D2148">
        <v>1375.7</v>
      </c>
    </row>
    <row r="2149" spans="1:5" x14ac:dyDescent="0.2">
      <c r="A2149" s="81">
        <v>38824</v>
      </c>
      <c r="D2149">
        <v>1379.4</v>
      </c>
    </row>
    <row r="2150" spans="1:5" x14ac:dyDescent="0.2">
      <c r="A2150" s="81">
        <v>38831</v>
      </c>
      <c r="D2150">
        <v>1388.1</v>
      </c>
    </row>
    <row r="2151" spans="1:5" x14ac:dyDescent="0.2">
      <c r="A2151" s="81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5" x14ac:dyDescent="0.2">
      <c r="A2152" s="81">
        <v>38845</v>
      </c>
      <c r="D2152">
        <v>1373.8</v>
      </c>
    </row>
    <row r="2153" spans="1:5" x14ac:dyDescent="0.2">
      <c r="A2153" s="81">
        <v>38852</v>
      </c>
      <c r="D2153">
        <v>1389.4</v>
      </c>
    </row>
    <row r="2154" spans="1:5" x14ac:dyDescent="0.2">
      <c r="A2154" s="81">
        <v>38859</v>
      </c>
      <c r="D2154">
        <v>1394.8</v>
      </c>
    </row>
    <row r="2155" spans="1:5" x14ac:dyDescent="0.2">
      <c r="A2155" s="81">
        <v>38866</v>
      </c>
      <c r="D2155">
        <v>1397.9</v>
      </c>
    </row>
    <row r="2156" spans="1:5" x14ac:dyDescent="0.2">
      <c r="A2156" s="81">
        <v>38869</v>
      </c>
      <c r="B2156">
        <v>681.6</v>
      </c>
      <c r="C2156">
        <v>3391.1</v>
      </c>
      <c r="E2156">
        <v>6843.2</v>
      </c>
    </row>
    <row r="2157" spans="1:5" x14ac:dyDescent="0.2">
      <c r="A2157" s="81">
        <v>38873</v>
      </c>
      <c r="D2157">
        <v>1369.1</v>
      </c>
    </row>
    <row r="2158" spans="1:5" x14ac:dyDescent="0.2">
      <c r="A2158" s="81">
        <v>38880</v>
      </c>
      <c r="D2158">
        <v>1367.7</v>
      </c>
    </row>
    <row r="2159" spans="1:5" x14ac:dyDescent="0.2">
      <c r="A2159" s="81">
        <v>38887</v>
      </c>
      <c r="D2159">
        <v>1370.9</v>
      </c>
    </row>
    <row r="2160" spans="1:5" x14ac:dyDescent="0.2">
      <c r="A2160" s="81">
        <v>38894</v>
      </c>
      <c r="D2160">
        <v>1383.6</v>
      </c>
    </row>
    <row r="2161" spans="1:5" x14ac:dyDescent="0.2">
      <c r="A2161" s="81">
        <v>38899</v>
      </c>
      <c r="B2161">
        <v>676.4</v>
      </c>
      <c r="C2161">
        <v>3393.1</v>
      </c>
      <c r="E2161">
        <v>6884.6</v>
      </c>
    </row>
    <row r="2162" spans="1:5" x14ac:dyDescent="0.2">
      <c r="A2162" s="81">
        <v>38901</v>
      </c>
      <c r="D2162">
        <v>1390.5</v>
      </c>
    </row>
    <row r="2163" spans="1:5" x14ac:dyDescent="0.2">
      <c r="A2163" s="81">
        <v>38908</v>
      </c>
      <c r="D2163">
        <v>1372.4</v>
      </c>
    </row>
    <row r="2164" spans="1:5" x14ac:dyDescent="0.2">
      <c r="A2164" s="81">
        <v>38915</v>
      </c>
      <c r="D2164">
        <v>1359.2</v>
      </c>
    </row>
    <row r="2165" spans="1:5" x14ac:dyDescent="0.2">
      <c r="A2165" s="81">
        <v>38922</v>
      </c>
      <c r="D2165">
        <v>1377.5</v>
      </c>
    </row>
    <row r="2166" spans="1:5" x14ac:dyDescent="0.2">
      <c r="A2166" s="81">
        <v>38929</v>
      </c>
      <c r="D2166">
        <v>1372.9</v>
      </c>
    </row>
    <row r="2167" spans="1:5" x14ac:dyDescent="0.2">
      <c r="A2167" s="81">
        <v>38930</v>
      </c>
      <c r="B2167">
        <v>673.4</v>
      </c>
      <c r="C2167">
        <v>3393.2</v>
      </c>
      <c r="E2167">
        <v>6915.4</v>
      </c>
    </row>
    <row r="2168" spans="1:5" x14ac:dyDescent="0.2">
      <c r="A2168" s="81">
        <v>38936</v>
      </c>
      <c r="D2168">
        <v>1357.2</v>
      </c>
    </row>
    <row r="2169" spans="1:5" x14ac:dyDescent="0.2">
      <c r="A2169" s="81">
        <v>38943</v>
      </c>
      <c r="D2169">
        <v>1364.8</v>
      </c>
    </row>
    <row r="2170" spans="1:5" x14ac:dyDescent="0.2">
      <c r="A2170" s="81">
        <v>38950</v>
      </c>
      <c r="D2170">
        <v>1382.8</v>
      </c>
    </row>
    <row r="2171" spans="1:5" x14ac:dyDescent="0.2">
      <c r="A2171" s="81">
        <v>38957</v>
      </c>
      <c r="D2171">
        <v>1384</v>
      </c>
    </row>
    <row r="2172" spans="1:5" x14ac:dyDescent="0.2">
      <c r="A2172" s="81">
        <v>38961</v>
      </c>
      <c r="B2172">
        <v>672.8</v>
      </c>
      <c r="C2172">
        <v>3423.4</v>
      </c>
      <c r="E2172">
        <v>6942.6</v>
      </c>
    </row>
    <row r="2173" spans="1:5" x14ac:dyDescent="0.2">
      <c r="A2173" s="81">
        <v>38964</v>
      </c>
      <c r="D2173">
        <v>1373.8</v>
      </c>
    </row>
    <row r="2174" spans="1:5" x14ac:dyDescent="0.2">
      <c r="A2174" s="81">
        <v>38971</v>
      </c>
      <c r="D2174">
        <v>1365.4</v>
      </c>
    </row>
    <row r="2175" spans="1:5" x14ac:dyDescent="0.2">
      <c r="A2175" s="81">
        <v>38978</v>
      </c>
      <c r="D2175">
        <v>1357.6</v>
      </c>
    </row>
    <row r="2176" spans="1:5" x14ac:dyDescent="0.2">
      <c r="A2176" s="81">
        <v>38985</v>
      </c>
      <c r="D2176">
        <v>1364.9</v>
      </c>
    </row>
    <row r="2177" spans="1:5" x14ac:dyDescent="0.2">
      <c r="A2177" s="81">
        <v>38991</v>
      </c>
      <c r="B2177">
        <v>678.7</v>
      </c>
      <c r="C2177">
        <v>3462.9</v>
      </c>
      <c r="E2177">
        <v>6991.6</v>
      </c>
    </row>
    <row r="2178" spans="1:5" x14ac:dyDescent="0.2">
      <c r="A2178" s="81">
        <v>38992</v>
      </c>
      <c r="D2178">
        <v>1364.3</v>
      </c>
    </row>
    <row r="2179" spans="1:5" x14ac:dyDescent="0.2">
      <c r="A2179" s="81">
        <v>38999</v>
      </c>
      <c r="D2179">
        <v>1368.1</v>
      </c>
    </row>
    <row r="2180" spans="1:5" x14ac:dyDescent="0.2">
      <c r="A2180" s="81">
        <v>39006</v>
      </c>
      <c r="D2180">
        <v>1360.6</v>
      </c>
    </row>
    <row r="2181" spans="1:5" x14ac:dyDescent="0.2">
      <c r="A2181" s="81">
        <v>39013</v>
      </c>
      <c r="D2181">
        <v>1380.3</v>
      </c>
    </row>
    <row r="2182" spans="1:5" x14ac:dyDescent="0.2">
      <c r="A2182" s="81">
        <v>39020</v>
      </c>
      <c r="D2182">
        <v>1376.4</v>
      </c>
    </row>
    <row r="2183" spans="1:5" x14ac:dyDescent="0.2">
      <c r="A2183" s="81">
        <v>39022</v>
      </c>
      <c r="B2183">
        <v>678.6</v>
      </c>
      <c r="C2183">
        <v>3478.5</v>
      </c>
      <c r="E2183">
        <v>7026.5</v>
      </c>
    </row>
    <row r="2184" spans="1:5" x14ac:dyDescent="0.2">
      <c r="A2184" s="81">
        <v>39027</v>
      </c>
      <c r="D2184">
        <v>1351.1</v>
      </c>
    </row>
    <row r="2185" spans="1:5" x14ac:dyDescent="0.2">
      <c r="A2185" s="81">
        <v>39034</v>
      </c>
      <c r="D2185">
        <v>1361.3</v>
      </c>
    </row>
    <row r="2186" spans="1:5" x14ac:dyDescent="0.2">
      <c r="A2186" s="81">
        <v>39041</v>
      </c>
      <c r="D2186">
        <v>1380.2</v>
      </c>
    </row>
    <row r="2187" spans="1:5" x14ac:dyDescent="0.2">
      <c r="A2187" s="81">
        <v>39048</v>
      </c>
      <c r="D2187">
        <v>1386.4</v>
      </c>
    </row>
    <row r="2188" spans="1:5" x14ac:dyDescent="0.2">
      <c r="A2188" s="81">
        <v>39052</v>
      </c>
      <c r="B2188">
        <v>672.9</v>
      </c>
      <c r="C2188">
        <v>3480.8</v>
      </c>
      <c r="E2188">
        <v>7069.5</v>
      </c>
    </row>
    <row r="2189" spans="1:5" x14ac:dyDescent="0.2">
      <c r="A2189" s="81">
        <v>39055</v>
      </c>
      <c r="D2189">
        <v>1374.1</v>
      </c>
    </row>
    <row r="2190" spans="1:5" x14ac:dyDescent="0.2">
      <c r="A2190" s="81">
        <v>39062</v>
      </c>
      <c r="D2190">
        <v>1360.3</v>
      </c>
    </row>
    <row r="2191" spans="1:5" x14ac:dyDescent="0.2">
      <c r="A2191" s="81">
        <v>39069</v>
      </c>
      <c r="D2191">
        <v>1359.2</v>
      </c>
    </row>
    <row r="2192" spans="1:5" x14ac:dyDescent="0.2">
      <c r="A2192" s="81">
        <v>39076</v>
      </c>
      <c r="D2192">
        <v>1380.4</v>
      </c>
    </row>
    <row r="2193" spans="1:5" x14ac:dyDescent="0.2">
      <c r="A2193" s="81">
        <v>39083</v>
      </c>
      <c r="B2193">
        <v>674.3</v>
      </c>
      <c r="C2193">
        <v>3493.7</v>
      </c>
      <c r="D2193">
        <v>1361.3</v>
      </c>
      <c r="E2193">
        <v>7107.4</v>
      </c>
    </row>
    <row r="2194" spans="1:5" x14ac:dyDescent="0.2">
      <c r="A2194" s="81">
        <v>39090</v>
      </c>
      <c r="D2194">
        <v>1355.7</v>
      </c>
    </row>
    <row r="2195" spans="1:5" x14ac:dyDescent="0.2">
      <c r="A2195" s="81">
        <v>39097</v>
      </c>
      <c r="D2195">
        <v>1382.9</v>
      </c>
    </row>
    <row r="2196" spans="1:5" x14ac:dyDescent="0.2">
      <c r="A2196" s="81">
        <v>39104</v>
      </c>
      <c r="D2196">
        <v>1373.2</v>
      </c>
    </row>
    <row r="2197" spans="1:5" x14ac:dyDescent="0.2">
      <c r="A2197" s="81">
        <v>39111</v>
      </c>
      <c r="D2197">
        <v>1377</v>
      </c>
    </row>
    <row r="2198" spans="1:5" x14ac:dyDescent="0.2">
      <c r="A2198" s="81">
        <v>39114</v>
      </c>
      <c r="B2198">
        <v>667.4</v>
      </c>
      <c r="C2198">
        <v>3487.9</v>
      </c>
      <c r="E2198">
        <v>7123.2</v>
      </c>
    </row>
    <row r="2199" spans="1:5" x14ac:dyDescent="0.2">
      <c r="A2199" s="81">
        <v>39118</v>
      </c>
      <c r="D2199">
        <v>1369.9</v>
      </c>
    </row>
    <row r="2200" spans="1:5" x14ac:dyDescent="0.2">
      <c r="A2200" s="81">
        <v>39125</v>
      </c>
      <c r="D2200">
        <v>1361.7</v>
      </c>
    </row>
    <row r="2201" spans="1:5" x14ac:dyDescent="0.2">
      <c r="A2201" s="81">
        <v>39132</v>
      </c>
      <c r="D2201">
        <v>1361.7</v>
      </c>
    </row>
    <row r="2202" spans="1:5" x14ac:dyDescent="0.2">
      <c r="A2202" s="81">
        <v>39139</v>
      </c>
      <c r="D2202">
        <v>1362</v>
      </c>
    </row>
    <row r="2203" spans="1:5" x14ac:dyDescent="0.2">
      <c r="A2203" s="81">
        <v>39142</v>
      </c>
      <c r="B2203">
        <v>665.7</v>
      </c>
      <c r="C2203">
        <v>3486.3</v>
      </c>
      <c r="E2203">
        <v>7156.9</v>
      </c>
    </row>
    <row r="2204" spans="1:5" x14ac:dyDescent="0.2">
      <c r="A2204" s="81">
        <v>39146</v>
      </c>
      <c r="D2204">
        <v>1358.6</v>
      </c>
    </row>
    <row r="2205" spans="1:5" x14ac:dyDescent="0.2">
      <c r="A2205" s="81">
        <v>39153</v>
      </c>
      <c r="D2205">
        <v>1363.5</v>
      </c>
    </row>
    <row r="2206" spans="1:5" x14ac:dyDescent="0.2">
      <c r="A2206" s="81">
        <v>39160</v>
      </c>
      <c r="D2206">
        <v>1360.2</v>
      </c>
    </row>
    <row r="2207" spans="1:5" x14ac:dyDescent="0.2">
      <c r="A2207" s="81">
        <v>39167</v>
      </c>
      <c r="D2207">
        <v>1373.6</v>
      </c>
    </row>
    <row r="2208" spans="1:5" x14ac:dyDescent="0.2">
      <c r="A2208" s="81">
        <v>39173</v>
      </c>
      <c r="B2208">
        <v>669.2</v>
      </c>
      <c r="C2208">
        <v>3511</v>
      </c>
      <c r="E2208">
        <v>7229.3</v>
      </c>
    </row>
    <row r="2209" spans="1:5" x14ac:dyDescent="0.2">
      <c r="A2209" s="81">
        <v>39174</v>
      </c>
      <c r="D2209">
        <v>1377.5</v>
      </c>
    </row>
    <row r="2210" spans="1:5" x14ac:dyDescent="0.2">
      <c r="A2210" s="81">
        <v>39181</v>
      </c>
      <c r="D2210">
        <v>1379.6</v>
      </c>
    </row>
    <row r="2211" spans="1:5" x14ac:dyDescent="0.2">
      <c r="A2211" s="81">
        <v>39188</v>
      </c>
      <c r="D2211">
        <v>1374.5</v>
      </c>
    </row>
    <row r="2212" spans="1:5" x14ac:dyDescent="0.2">
      <c r="A2212" s="81">
        <v>39195</v>
      </c>
      <c r="D2212">
        <v>1375.7</v>
      </c>
    </row>
    <row r="2213" spans="1:5" x14ac:dyDescent="0.2">
      <c r="A2213" s="81">
        <v>39202</v>
      </c>
      <c r="D2213">
        <v>1382.5</v>
      </c>
    </row>
    <row r="2214" spans="1:5" x14ac:dyDescent="0.2">
      <c r="A2214" s="81">
        <v>39203</v>
      </c>
      <c r="B2214">
        <v>667.9</v>
      </c>
      <c r="C2214">
        <v>3503.3</v>
      </c>
      <c r="E2214">
        <v>7243.2</v>
      </c>
    </row>
    <row r="2215" spans="1:5" x14ac:dyDescent="0.2">
      <c r="A2215" s="81">
        <v>39209</v>
      </c>
      <c r="D2215">
        <v>1367.2</v>
      </c>
    </row>
    <row r="2216" spans="1:5" x14ac:dyDescent="0.2">
      <c r="A2216" s="81">
        <v>39216</v>
      </c>
      <c r="D2216">
        <v>1382.3</v>
      </c>
    </row>
    <row r="2217" spans="1:5" x14ac:dyDescent="0.2">
      <c r="A2217" s="81">
        <v>39223</v>
      </c>
      <c r="D2217">
        <v>1384.1</v>
      </c>
    </row>
    <row r="2218" spans="1:5" x14ac:dyDescent="0.2">
      <c r="A2218" s="81">
        <v>39230</v>
      </c>
      <c r="D2218">
        <v>1388.5</v>
      </c>
    </row>
    <row r="2219" spans="1:5" x14ac:dyDescent="0.2">
      <c r="A2219" s="81">
        <v>39234</v>
      </c>
      <c r="B2219">
        <v>660.2</v>
      </c>
      <c r="C2219">
        <v>3511.2</v>
      </c>
      <c r="E2219">
        <v>7276.3</v>
      </c>
    </row>
    <row r="2220" spans="1:5" x14ac:dyDescent="0.2">
      <c r="A2220" s="81">
        <v>39237</v>
      </c>
      <c r="D2220">
        <v>1384.6</v>
      </c>
    </row>
    <row r="2221" spans="1:5" x14ac:dyDescent="0.2">
      <c r="A2221" s="81">
        <v>39244</v>
      </c>
      <c r="D2221">
        <v>1370.7</v>
      </c>
    </row>
    <row r="2222" spans="1:5" x14ac:dyDescent="0.2">
      <c r="A2222" s="81">
        <v>39251</v>
      </c>
      <c r="D2222">
        <v>1356.3</v>
      </c>
    </row>
    <row r="2223" spans="1:5" x14ac:dyDescent="0.2">
      <c r="A2223" s="81">
        <v>39258</v>
      </c>
      <c r="D2223">
        <v>1362.9</v>
      </c>
    </row>
    <row r="2224" spans="1:5" x14ac:dyDescent="0.2">
      <c r="A2224" s="81">
        <v>39264</v>
      </c>
      <c r="B2224">
        <v>660.8</v>
      </c>
      <c r="C2224">
        <v>3519.5</v>
      </c>
      <c r="E2224">
        <v>7306.6</v>
      </c>
    </row>
    <row r="2225" spans="1:5" x14ac:dyDescent="0.2">
      <c r="A2225" s="81">
        <v>39265</v>
      </c>
      <c r="D2225">
        <v>1375.8</v>
      </c>
    </row>
    <row r="2226" spans="1:5" x14ac:dyDescent="0.2">
      <c r="A2226" s="81">
        <v>39272</v>
      </c>
      <c r="D2226">
        <v>1370.5</v>
      </c>
    </row>
    <row r="2227" spans="1:5" x14ac:dyDescent="0.2">
      <c r="A2227" s="81">
        <v>39279</v>
      </c>
      <c r="D2227">
        <v>1373.5</v>
      </c>
    </row>
    <row r="2228" spans="1:5" x14ac:dyDescent="0.2">
      <c r="A2228" s="81">
        <v>39286</v>
      </c>
      <c r="D2228">
        <v>1373.2</v>
      </c>
    </row>
    <row r="2229" spans="1:5" x14ac:dyDescent="0.2">
      <c r="A2229" s="81">
        <v>39293</v>
      </c>
      <c r="D2229">
        <v>1370.4</v>
      </c>
    </row>
    <row r="2230" spans="1:5" x14ac:dyDescent="0.2">
      <c r="A2230" s="81">
        <v>39295</v>
      </c>
      <c r="B2230">
        <v>662.7</v>
      </c>
      <c r="C2230">
        <v>3555.1</v>
      </c>
      <c r="E2230">
        <v>7382.8</v>
      </c>
    </row>
    <row r="2231" spans="1:5" x14ac:dyDescent="0.2">
      <c r="A2231" s="81">
        <v>39300</v>
      </c>
      <c r="D2231">
        <v>1359.9</v>
      </c>
    </row>
    <row r="2232" spans="1:5" x14ac:dyDescent="0.2">
      <c r="A2232" s="81">
        <v>39307</v>
      </c>
      <c r="D2232">
        <v>1364.1</v>
      </c>
    </row>
    <row r="2233" spans="1:5" x14ac:dyDescent="0.2">
      <c r="A2233" s="81">
        <v>39314</v>
      </c>
      <c r="D2233">
        <v>1372.8</v>
      </c>
    </row>
    <row r="2234" spans="1:5" x14ac:dyDescent="0.2">
      <c r="A2234" s="81">
        <v>39321</v>
      </c>
      <c r="D2234">
        <v>1385.6</v>
      </c>
    </row>
    <row r="2235" spans="1:5" x14ac:dyDescent="0.2">
      <c r="A2235" s="81">
        <v>39326</v>
      </c>
      <c r="B2235">
        <v>659.7</v>
      </c>
      <c r="C2235">
        <v>3548.9</v>
      </c>
      <c r="E2235">
        <v>7401.1</v>
      </c>
    </row>
    <row r="2236" spans="1:5" x14ac:dyDescent="0.2">
      <c r="A2236" s="81">
        <v>39328</v>
      </c>
      <c r="D2236">
        <v>1412.6</v>
      </c>
    </row>
    <row r="2237" spans="1:5" x14ac:dyDescent="0.2">
      <c r="A2237" s="81">
        <v>39335</v>
      </c>
      <c r="D2237">
        <v>1382.1</v>
      </c>
    </row>
    <row r="2238" spans="1:5" x14ac:dyDescent="0.2">
      <c r="A2238" s="81">
        <v>39342</v>
      </c>
      <c r="D2238">
        <v>1373.5</v>
      </c>
    </row>
    <row r="2239" spans="1:5" x14ac:dyDescent="0.2">
      <c r="A2239" s="81">
        <v>39349</v>
      </c>
      <c r="D2239">
        <v>1365.4</v>
      </c>
    </row>
    <row r="2240" spans="1:5" x14ac:dyDescent="0.2">
      <c r="A2240" s="81">
        <v>39356</v>
      </c>
      <c r="B2240">
        <v>659.4</v>
      </c>
      <c r="C2240">
        <v>3544.5</v>
      </c>
      <c r="D2240">
        <v>1364.1</v>
      </c>
      <c r="E2240">
        <v>7414.8</v>
      </c>
    </row>
    <row r="2241" spans="1:5" x14ac:dyDescent="0.2">
      <c r="A2241" s="81">
        <v>39363</v>
      </c>
      <c r="D2241">
        <v>1376.8</v>
      </c>
    </row>
    <row r="2242" spans="1:5" x14ac:dyDescent="0.2">
      <c r="A2242" s="81">
        <v>39370</v>
      </c>
      <c r="D2242">
        <v>1382.9</v>
      </c>
    </row>
    <row r="2243" spans="1:5" x14ac:dyDescent="0.2">
      <c r="A2243" s="81">
        <v>39377</v>
      </c>
      <c r="D2243">
        <v>1383.1</v>
      </c>
    </row>
    <row r="2244" spans="1:5" x14ac:dyDescent="0.2">
      <c r="A2244" s="81">
        <v>39384</v>
      </c>
      <c r="D2244">
        <v>1379.7</v>
      </c>
    </row>
    <row r="2245" spans="1:5" x14ac:dyDescent="0.2">
      <c r="A2245" s="81">
        <v>39387</v>
      </c>
      <c r="B2245">
        <v>650.70000000000005</v>
      </c>
      <c r="C2245">
        <v>3528.7</v>
      </c>
      <c r="E2245">
        <v>7439.6</v>
      </c>
    </row>
    <row r="2246" spans="1:5" x14ac:dyDescent="0.2">
      <c r="A2246" s="81">
        <v>39391</v>
      </c>
      <c r="D2246">
        <v>1369.6</v>
      </c>
    </row>
    <row r="2247" spans="1:5" x14ac:dyDescent="0.2">
      <c r="A2247" s="81">
        <v>39398</v>
      </c>
      <c r="D2247">
        <v>1367.8</v>
      </c>
    </row>
    <row r="2248" spans="1:5" x14ac:dyDescent="0.2">
      <c r="A2248" s="81">
        <v>39405</v>
      </c>
      <c r="D2248">
        <v>1367.2</v>
      </c>
    </row>
    <row r="2249" spans="1:5" x14ac:dyDescent="0.2">
      <c r="A2249" s="81">
        <v>39412</v>
      </c>
      <c r="D2249">
        <v>1374.5</v>
      </c>
    </row>
    <row r="2250" spans="1:5" x14ac:dyDescent="0.2">
      <c r="A2250" s="81">
        <v>39417</v>
      </c>
      <c r="B2250">
        <v>649.5</v>
      </c>
      <c r="C2250">
        <v>3532.5</v>
      </c>
      <c r="E2250">
        <v>7469.4</v>
      </c>
    </row>
    <row r="2251" spans="1:5" x14ac:dyDescent="0.2">
      <c r="A2251" s="81">
        <v>39419</v>
      </c>
      <c r="D2251">
        <v>1384.8</v>
      </c>
    </row>
    <row r="2252" spans="1:5" x14ac:dyDescent="0.2">
      <c r="A2252" s="81">
        <v>39426</v>
      </c>
      <c r="D2252">
        <v>1377.6</v>
      </c>
    </row>
    <row r="2253" spans="1:5" x14ac:dyDescent="0.2">
      <c r="A2253" s="81">
        <v>39433</v>
      </c>
      <c r="D2253">
        <v>1365.1</v>
      </c>
    </row>
    <row r="2254" spans="1:5" x14ac:dyDescent="0.2">
      <c r="A2254" s="81">
        <v>39440</v>
      </c>
      <c r="D2254">
        <v>1378.1</v>
      </c>
    </row>
    <row r="2255" spans="1:5" x14ac:dyDescent="0.2">
      <c r="A2255" s="81">
        <v>39447</v>
      </c>
      <c r="D2255">
        <v>1367.9</v>
      </c>
    </row>
    <row r="2256" spans="1:5" x14ac:dyDescent="0.2">
      <c r="A2256" s="81">
        <v>39448</v>
      </c>
      <c r="B2256">
        <v>649.29999999999995</v>
      </c>
      <c r="C2256">
        <v>3536.3</v>
      </c>
      <c r="E2256">
        <v>7503.1</v>
      </c>
    </row>
    <row r="2257" spans="1:5" x14ac:dyDescent="0.2">
      <c r="A2257" s="81">
        <v>39454</v>
      </c>
      <c r="D2257">
        <v>1367.3</v>
      </c>
    </row>
    <row r="2258" spans="1:5" x14ac:dyDescent="0.2">
      <c r="A2258" s="81">
        <v>39461</v>
      </c>
      <c r="D2258">
        <v>1370.2</v>
      </c>
    </row>
    <row r="2259" spans="1:5" x14ac:dyDescent="0.2">
      <c r="A2259" s="81">
        <v>39468</v>
      </c>
      <c r="D2259">
        <v>1390</v>
      </c>
    </row>
    <row r="2260" spans="1:5" x14ac:dyDescent="0.2">
      <c r="A2260" s="81">
        <v>39475</v>
      </c>
      <c r="D2260">
        <v>1379.6</v>
      </c>
    </row>
    <row r="2261" spans="1:5" x14ac:dyDescent="0.2">
      <c r="A2261" s="81">
        <v>39479</v>
      </c>
      <c r="B2261">
        <v>649</v>
      </c>
      <c r="C2261">
        <v>3567.5</v>
      </c>
      <c r="E2261">
        <v>7587.6</v>
      </c>
    </row>
    <row r="2262" spans="1:5" x14ac:dyDescent="0.2">
      <c r="A2262" s="81">
        <v>39482</v>
      </c>
      <c r="D2262">
        <v>1386.1</v>
      </c>
    </row>
    <row r="2263" spans="1:5" x14ac:dyDescent="0.2">
      <c r="A2263" s="81">
        <v>39489</v>
      </c>
      <c r="D2263">
        <v>1374.4</v>
      </c>
    </row>
    <row r="2264" spans="1:5" x14ac:dyDescent="0.2">
      <c r="A2264" s="81">
        <v>39496</v>
      </c>
      <c r="D2264">
        <v>1375</v>
      </c>
    </row>
    <row r="2265" spans="1:5" x14ac:dyDescent="0.2">
      <c r="A2265" s="81">
        <v>39503</v>
      </c>
      <c r="D2265">
        <v>1376.9</v>
      </c>
    </row>
    <row r="2266" spans="1:5" x14ac:dyDescent="0.2">
      <c r="A2266" s="81">
        <v>39508</v>
      </c>
      <c r="B2266">
        <v>650.6</v>
      </c>
      <c r="C2266">
        <v>3585.6</v>
      </c>
      <c r="E2266">
        <v>7653.3</v>
      </c>
    </row>
    <row r="2267" spans="1:5" x14ac:dyDescent="0.2">
      <c r="A2267" s="81">
        <v>39510</v>
      </c>
      <c r="D2267">
        <v>1401</v>
      </c>
    </row>
    <row r="2268" spans="1:5" x14ac:dyDescent="0.2">
      <c r="A2268" s="81">
        <v>39517</v>
      </c>
      <c r="D2268">
        <v>1391.3</v>
      </c>
    </row>
    <row r="2269" spans="1:5" x14ac:dyDescent="0.2">
      <c r="A2269" s="81">
        <v>39524</v>
      </c>
      <c r="D2269">
        <v>1381.5</v>
      </c>
    </row>
    <row r="2270" spans="1:5" x14ac:dyDescent="0.2">
      <c r="A2270" s="81">
        <v>39531</v>
      </c>
      <c r="D2270">
        <v>1387.1</v>
      </c>
    </row>
    <row r="2271" spans="1:5" x14ac:dyDescent="0.2">
      <c r="A2271" s="81">
        <v>39538</v>
      </c>
      <c r="D2271">
        <v>1389.7</v>
      </c>
    </row>
    <row r="2272" spans="1:5" x14ac:dyDescent="0.2">
      <c r="A2272" s="81">
        <v>39539</v>
      </c>
      <c r="B2272">
        <v>650.4</v>
      </c>
      <c r="C2272">
        <v>3597.3</v>
      </c>
      <c r="E2272">
        <v>7696.1</v>
      </c>
    </row>
    <row r="2273" spans="1:5" x14ac:dyDescent="0.2">
      <c r="A2273" s="81">
        <v>39545</v>
      </c>
      <c r="D2273">
        <v>1374.2</v>
      </c>
    </row>
    <row r="2274" spans="1:5" x14ac:dyDescent="0.2">
      <c r="A2274" s="81">
        <v>39552</v>
      </c>
      <c r="D2274">
        <v>1389.2</v>
      </c>
    </row>
    <row r="2275" spans="1:5" x14ac:dyDescent="0.2">
      <c r="A2275" s="81">
        <v>39559</v>
      </c>
      <c r="D2275">
        <v>1403.8</v>
      </c>
    </row>
    <row r="2276" spans="1:5" x14ac:dyDescent="0.2">
      <c r="A2276" s="81">
        <v>39566</v>
      </c>
      <c r="D2276">
        <v>1397.7</v>
      </c>
    </row>
    <row r="2277" spans="1:5" x14ac:dyDescent="0.2">
      <c r="A2277" s="81">
        <v>39569</v>
      </c>
      <c r="B2277">
        <v>647.5</v>
      </c>
      <c r="C2277">
        <v>3581.8</v>
      </c>
      <c r="E2277">
        <v>7708.3</v>
      </c>
    </row>
    <row r="2278" spans="1:5" x14ac:dyDescent="0.2">
      <c r="A2278" s="81">
        <v>39573</v>
      </c>
      <c r="D2278">
        <v>1393.5</v>
      </c>
    </row>
    <row r="2279" spans="1:5" x14ac:dyDescent="0.2">
      <c r="A2279" s="81">
        <v>39580</v>
      </c>
      <c r="D2279">
        <v>1392</v>
      </c>
    </row>
    <row r="2280" spans="1:5" x14ac:dyDescent="0.2">
      <c r="A2280" s="81">
        <v>39587</v>
      </c>
      <c r="D2280">
        <v>1385.7</v>
      </c>
    </row>
    <row r="2281" spans="1:5" x14ac:dyDescent="0.2">
      <c r="A2281" s="81">
        <v>39594</v>
      </c>
      <c r="D2281">
        <v>1394</v>
      </c>
    </row>
    <row r="2282" spans="1:5" x14ac:dyDescent="0.2">
      <c r="A2282" s="81">
        <v>39600</v>
      </c>
      <c r="B2282">
        <v>645.9</v>
      </c>
      <c r="C2282">
        <v>3552.7</v>
      </c>
      <c r="E2282">
        <v>7725.8</v>
      </c>
    </row>
    <row r="2283" spans="1:5" x14ac:dyDescent="0.2">
      <c r="A2283" s="81">
        <v>39601</v>
      </c>
      <c r="D2283">
        <v>1405.2</v>
      </c>
    </row>
    <row r="2284" spans="1:5" x14ac:dyDescent="0.2">
      <c r="A2284" s="81">
        <v>39608</v>
      </c>
      <c r="D2284">
        <v>1410.9</v>
      </c>
    </row>
    <row r="2285" spans="1:5" x14ac:dyDescent="0.2">
      <c r="A2285" s="81">
        <v>39615</v>
      </c>
      <c r="D2285">
        <v>1403.7</v>
      </c>
    </row>
    <row r="2286" spans="1:5" x14ac:dyDescent="0.2">
      <c r="A2286" s="81">
        <v>39622</v>
      </c>
      <c r="D2286">
        <v>1398.9</v>
      </c>
    </row>
    <row r="2287" spans="1:5" x14ac:dyDescent="0.2">
      <c r="A2287" s="81">
        <v>39629</v>
      </c>
      <c r="D2287">
        <v>1404.6</v>
      </c>
    </row>
    <row r="2288" spans="1:5" x14ac:dyDescent="0.2">
      <c r="A2288" s="81">
        <v>39630</v>
      </c>
      <c r="B2288">
        <v>648.9</v>
      </c>
      <c r="C2288">
        <v>3548.6</v>
      </c>
      <c r="E2288">
        <v>7772.1</v>
      </c>
    </row>
    <row r="2289" spans="1:5" x14ac:dyDescent="0.2">
      <c r="A2289" s="81">
        <v>39636</v>
      </c>
      <c r="D2289">
        <v>1412.6</v>
      </c>
    </row>
    <row r="2290" spans="1:5" x14ac:dyDescent="0.2">
      <c r="A2290" s="81">
        <v>39643</v>
      </c>
      <c r="D2290">
        <v>1421.5</v>
      </c>
    </row>
    <row r="2291" spans="1:5" x14ac:dyDescent="0.2">
      <c r="A2291" s="81">
        <v>39650</v>
      </c>
      <c r="D2291">
        <v>1426.9</v>
      </c>
    </row>
    <row r="2292" spans="1:5" x14ac:dyDescent="0.2">
      <c r="A2292" s="81">
        <v>39657</v>
      </c>
      <c r="D2292">
        <v>1422.3</v>
      </c>
    </row>
    <row r="2293" spans="1:5" x14ac:dyDescent="0.2">
      <c r="A2293" s="81">
        <v>39661</v>
      </c>
      <c r="B2293">
        <v>643.6</v>
      </c>
      <c r="C2293">
        <v>3560.7</v>
      </c>
      <c r="E2293">
        <v>7787</v>
      </c>
    </row>
    <row r="2294" spans="1:5" x14ac:dyDescent="0.2">
      <c r="A2294" s="81">
        <v>39664</v>
      </c>
      <c r="D2294">
        <v>1423.5</v>
      </c>
    </row>
    <row r="2295" spans="1:5" x14ac:dyDescent="0.2">
      <c r="A2295" s="81">
        <v>39671</v>
      </c>
      <c r="D2295">
        <v>1412.7</v>
      </c>
    </row>
    <row r="2296" spans="1:5" x14ac:dyDescent="0.2">
      <c r="A2296" s="81">
        <v>39678</v>
      </c>
      <c r="D2296">
        <v>1394.4</v>
      </c>
    </row>
    <row r="2297" spans="1:5" x14ac:dyDescent="0.2">
      <c r="A2297" s="81">
        <v>39685</v>
      </c>
      <c r="D2297">
        <v>1404.9</v>
      </c>
    </row>
    <row r="2298" spans="1:5" x14ac:dyDescent="0.2">
      <c r="A2298" s="81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5" x14ac:dyDescent="0.2">
      <c r="A2299" s="81">
        <v>39699</v>
      </c>
      <c r="D2299">
        <v>1423.9</v>
      </c>
    </row>
    <row r="2300" spans="1:5" x14ac:dyDescent="0.2">
      <c r="A2300" s="81">
        <v>39706</v>
      </c>
      <c r="D2300">
        <v>1437</v>
      </c>
    </row>
    <row r="2301" spans="1:5" x14ac:dyDescent="0.2">
      <c r="A2301" s="81">
        <v>39713</v>
      </c>
      <c r="D2301">
        <v>1490.1</v>
      </c>
    </row>
    <row r="2302" spans="1:5" x14ac:dyDescent="0.2">
      <c r="A2302" s="81">
        <v>39720</v>
      </c>
      <c r="D2302">
        <v>1504.6</v>
      </c>
    </row>
    <row r="2303" spans="1:5" x14ac:dyDescent="0.2">
      <c r="A2303" s="81">
        <v>39722</v>
      </c>
      <c r="B2303">
        <v>679.2</v>
      </c>
      <c r="C2303">
        <v>3669.7</v>
      </c>
      <c r="E2303">
        <v>7963.1</v>
      </c>
    </row>
    <row r="2304" spans="1:5" x14ac:dyDescent="0.2">
      <c r="A2304" s="81">
        <v>39727</v>
      </c>
      <c r="D2304">
        <v>1461</v>
      </c>
    </row>
    <row r="2305" spans="1:5" x14ac:dyDescent="0.2">
      <c r="A2305" s="81">
        <v>39734</v>
      </c>
      <c r="D2305">
        <v>1464.9</v>
      </c>
    </row>
    <row r="2306" spans="1:5" x14ac:dyDescent="0.2">
      <c r="A2306" s="81">
        <v>39741</v>
      </c>
      <c r="D2306">
        <v>1457.4</v>
      </c>
    </row>
    <row r="2307" spans="1:5" x14ac:dyDescent="0.2">
      <c r="A2307" s="81">
        <v>39748</v>
      </c>
      <c r="D2307">
        <v>1483.7</v>
      </c>
    </row>
    <row r="2308" spans="1:5" x14ac:dyDescent="0.2">
      <c r="A2308" s="81">
        <v>39753</v>
      </c>
      <c r="B2308">
        <v>710.6</v>
      </c>
      <c r="C2308">
        <v>3759.5</v>
      </c>
      <c r="E2308">
        <v>8013.5</v>
      </c>
    </row>
    <row r="2309" spans="1:5" x14ac:dyDescent="0.2">
      <c r="A2309" s="81">
        <v>39755</v>
      </c>
      <c r="D2309">
        <v>1520</v>
      </c>
    </row>
    <row r="2310" spans="1:5" x14ac:dyDescent="0.2">
      <c r="A2310" s="81">
        <v>39762</v>
      </c>
      <c r="D2310">
        <v>1505.5</v>
      </c>
    </row>
    <row r="2311" spans="1:5" x14ac:dyDescent="0.2">
      <c r="A2311" s="81">
        <v>39769</v>
      </c>
      <c r="D2311">
        <v>1506.8</v>
      </c>
    </row>
    <row r="2312" spans="1:5" x14ac:dyDescent="0.2">
      <c r="A2312" s="81">
        <v>39776</v>
      </c>
      <c r="D2312">
        <v>1518.3</v>
      </c>
    </row>
    <row r="2313" spans="1:5" x14ac:dyDescent="0.2">
      <c r="A2313" s="81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5" x14ac:dyDescent="0.2">
      <c r="A2314" s="81">
        <v>39790</v>
      </c>
      <c r="D2314">
        <v>1590</v>
      </c>
    </row>
    <row r="2315" spans="1:5" x14ac:dyDescent="0.2">
      <c r="A2315" s="81">
        <v>39797</v>
      </c>
      <c r="D2315">
        <v>1612</v>
      </c>
    </row>
    <row r="2316" spans="1:5" x14ac:dyDescent="0.2">
      <c r="A2316" s="81">
        <v>39804</v>
      </c>
      <c r="D2316">
        <v>1610.2</v>
      </c>
    </row>
    <row r="2317" spans="1:5" x14ac:dyDescent="0.2">
      <c r="A2317" s="81">
        <v>39811</v>
      </c>
      <c r="D2317">
        <v>1597.3</v>
      </c>
    </row>
    <row r="2318" spans="1:5" x14ac:dyDescent="0.2">
      <c r="A2318" s="81">
        <v>39814</v>
      </c>
      <c r="B2318">
        <v>746.8</v>
      </c>
      <c r="C2318">
        <v>3902.7</v>
      </c>
      <c r="E2318">
        <v>8271.2000000000007</v>
      </c>
    </row>
    <row r="2319" spans="1:5" x14ac:dyDescent="0.2">
      <c r="A2319" s="81">
        <v>39818</v>
      </c>
      <c r="D2319">
        <v>1629.7</v>
      </c>
    </row>
    <row r="2320" spans="1:5" x14ac:dyDescent="0.2">
      <c r="A2320" s="81">
        <v>39825</v>
      </c>
      <c r="D2320">
        <v>1609.5</v>
      </c>
    </row>
    <row r="2321" spans="1:5" x14ac:dyDescent="0.2">
      <c r="A2321" s="81">
        <v>39832</v>
      </c>
      <c r="D2321">
        <v>1561.1</v>
      </c>
    </row>
    <row r="2322" spans="1:5" x14ac:dyDescent="0.2">
      <c r="A2322" s="81">
        <v>39839</v>
      </c>
      <c r="D2322">
        <v>1555.1</v>
      </c>
    </row>
    <row r="2323" spans="1:5" x14ac:dyDescent="0.2">
      <c r="A2323" s="81">
        <v>39845</v>
      </c>
      <c r="B2323">
        <v>736.8</v>
      </c>
      <c r="C2323">
        <v>3902.4</v>
      </c>
      <c r="E2323">
        <v>8300.5</v>
      </c>
    </row>
    <row r="2324" spans="1:5" x14ac:dyDescent="0.2">
      <c r="A2324" s="81">
        <v>39846</v>
      </c>
      <c r="D2324">
        <v>1567.4</v>
      </c>
    </row>
    <row r="2325" spans="1:5" x14ac:dyDescent="0.2">
      <c r="A2325" s="81">
        <v>39853</v>
      </c>
      <c r="D2325">
        <v>1575.7</v>
      </c>
    </row>
    <row r="2326" spans="1:5" x14ac:dyDescent="0.2">
      <c r="A2326" s="81">
        <v>39860</v>
      </c>
      <c r="D2326">
        <v>1565</v>
      </c>
    </row>
    <row r="2327" spans="1:5" x14ac:dyDescent="0.2">
      <c r="A2327" s="81">
        <v>39867</v>
      </c>
      <c r="D2327">
        <v>1558.9</v>
      </c>
    </row>
    <row r="2328" spans="1:5" x14ac:dyDescent="0.2">
      <c r="A2328" s="81">
        <v>39873</v>
      </c>
      <c r="B2328">
        <v>743</v>
      </c>
      <c r="C2328">
        <v>3937.3</v>
      </c>
      <c r="E2328">
        <v>8366.5</v>
      </c>
    </row>
    <row r="2329" spans="1:5" x14ac:dyDescent="0.2">
      <c r="A2329" s="81">
        <v>39874</v>
      </c>
      <c r="D2329">
        <v>1570.1</v>
      </c>
    </row>
    <row r="2330" spans="1:5" x14ac:dyDescent="0.2">
      <c r="A2330" s="81">
        <v>39881</v>
      </c>
      <c r="D2330">
        <v>1583.8</v>
      </c>
    </row>
    <row r="2331" spans="1:5" x14ac:dyDescent="0.2">
      <c r="A2331" s="81">
        <v>39888</v>
      </c>
      <c r="D2331">
        <v>1575.7</v>
      </c>
    </row>
    <row r="2332" spans="1:5" x14ac:dyDescent="0.2">
      <c r="A2332" s="81">
        <v>39895</v>
      </c>
      <c r="D2332">
        <v>1575.1</v>
      </c>
    </row>
    <row r="2333" spans="1:5" x14ac:dyDescent="0.2">
      <c r="A2333" s="81">
        <v>39902</v>
      </c>
      <c r="D2333">
        <v>1572.3</v>
      </c>
    </row>
    <row r="2334" spans="1:5" x14ac:dyDescent="0.2">
      <c r="A2334" s="81">
        <v>39904</v>
      </c>
      <c r="B2334">
        <v>757.7</v>
      </c>
      <c r="C2334">
        <v>3934.9</v>
      </c>
      <c r="E2334">
        <v>8369.9</v>
      </c>
    </row>
    <row r="2335" spans="1:5" x14ac:dyDescent="0.2">
      <c r="A2335" s="81">
        <v>39909</v>
      </c>
      <c r="D2335">
        <v>1655.6</v>
      </c>
    </row>
    <row r="2336" spans="1:5" x14ac:dyDescent="0.2">
      <c r="A2336" s="81">
        <v>39916</v>
      </c>
      <c r="D2336">
        <v>1604.1</v>
      </c>
    </row>
    <row r="2337" spans="1:5" x14ac:dyDescent="0.2">
      <c r="A2337" s="81">
        <v>39923</v>
      </c>
      <c r="D2337">
        <v>1595.4</v>
      </c>
    </row>
    <row r="2338" spans="1:5" x14ac:dyDescent="0.2">
      <c r="A2338" s="81">
        <v>39930</v>
      </c>
      <c r="D2338">
        <v>1598</v>
      </c>
    </row>
    <row r="2339" spans="1:5" x14ac:dyDescent="0.2">
      <c r="A2339" s="81">
        <v>39934</v>
      </c>
      <c r="B2339">
        <v>759.3</v>
      </c>
      <c r="C2339">
        <v>3956.2</v>
      </c>
      <c r="E2339">
        <v>8427.6</v>
      </c>
    </row>
    <row r="2340" spans="1:5" x14ac:dyDescent="0.2">
      <c r="A2340" s="81">
        <v>39937</v>
      </c>
      <c r="D2340">
        <v>1611.3</v>
      </c>
    </row>
    <row r="2341" spans="1:5" x14ac:dyDescent="0.2">
      <c r="A2341" s="81">
        <v>39944</v>
      </c>
      <c r="D2341">
        <v>1617.5</v>
      </c>
    </row>
    <row r="2342" spans="1:5" x14ac:dyDescent="0.2">
      <c r="A2342" s="81">
        <v>39951</v>
      </c>
      <c r="D2342">
        <v>1617.1</v>
      </c>
    </row>
    <row r="2343" spans="1:5" x14ac:dyDescent="0.2">
      <c r="A2343" s="81">
        <v>39958</v>
      </c>
      <c r="D2343">
        <v>1623.4</v>
      </c>
    </row>
    <row r="2344" spans="1:5" x14ac:dyDescent="0.2">
      <c r="A2344" s="81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5" x14ac:dyDescent="0.2">
      <c r="A2345" s="81">
        <v>39972</v>
      </c>
      <c r="D2345">
        <v>1650.5</v>
      </c>
    </row>
    <row r="2346" spans="1:5" x14ac:dyDescent="0.2">
      <c r="A2346" s="81">
        <v>39979</v>
      </c>
      <c r="D2346">
        <v>1659.5</v>
      </c>
    </row>
    <row r="2347" spans="1:5" x14ac:dyDescent="0.2">
      <c r="A2347" s="81">
        <v>39986</v>
      </c>
      <c r="D2347">
        <v>1671.6</v>
      </c>
    </row>
    <row r="2348" spans="1:5" x14ac:dyDescent="0.2">
      <c r="A2348" s="81">
        <v>39993</v>
      </c>
      <c r="D2348">
        <v>1660.7</v>
      </c>
    </row>
    <row r="2349" spans="1:5" x14ac:dyDescent="0.2">
      <c r="A2349" s="81">
        <v>39995</v>
      </c>
      <c r="B2349">
        <v>774.2</v>
      </c>
      <c r="C2349">
        <v>3931.5</v>
      </c>
      <c r="E2349">
        <v>8442</v>
      </c>
    </row>
    <row r="2350" spans="1:5" x14ac:dyDescent="0.2">
      <c r="A2350" s="81">
        <v>40000</v>
      </c>
      <c r="D2350">
        <v>1653.2</v>
      </c>
    </row>
    <row r="2351" spans="1:5" x14ac:dyDescent="0.2">
      <c r="A2351" s="81">
        <v>40007</v>
      </c>
      <c r="D2351">
        <v>1663.9</v>
      </c>
    </row>
    <row r="2352" spans="1:5" x14ac:dyDescent="0.2">
      <c r="A2352" s="81">
        <v>40014</v>
      </c>
      <c r="D2352">
        <v>1662.6</v>
      </c>
    </row>
    <row r="2353" spans="1:5" x14ac:dyDescent="0.2">
      <c r="A2353" s="81">
        <v>40021</v>
      </c>
      <c r="D2353">
        <v>1659.2</v>
      </c>
    </row>
    <row r="2354" spans="1:5" x14ac:dyDescent="0.2">
      <c r="A2354" s="81">
        <v>40026</v>
      </c>
      <c r="B2354">
        <v>770.5</v>
      </c>
      <c r="C2354">
        <v>3918.3</v>
      </c>
      <c r="E2354">
        <v>8441.7999999999993</v>
      </c>
    </row>
    <row r="2355" spans="1:5" x14ac:dyDescent="0.2">
      <c r="A2355" s="81">
        <v>40028</v>
      </c>
      <c r="D2355">
        <v>1679.3</v>
      </c>
    </row>
    <row r="2356" spans="1:5" x14ac:dyDescent="0.2">
      <c r="A2356" s="81">
        <v>40035</v>
      </c>
      <c r="D2356">
        <v>1669.5</v>
      </c>
    </row>
    <row r="2357" spans="1:5" x14ac:dyDescent="0.2">
      <c r="A2357" s="81">
        <v>40042</v>
      </c>
      <c r="D2357">
        <v>1668.9</v>
      </c>
    </row>
    <row r="2358" spans="1:5" x14ac:dyDescent="0.2">
      <c r="A2358" s="81">
        <v>40049</v>
      </c>
      <c r="D2358">
        <v>1649.2</v>
      </c>
    </row>
    <row r="2359" spans="1:5" x14ac:dyDescent="0.2">
      <c r="A2359" s="81">
        <v>40056</v>
      </c>
      <c r="D2359">
        <v>1644.2</v>
      </c>
    </row>
    <row r="2360" spans="1:5" x14ac:dyDescent="0.2">
      <c r="A2360" s="81">
        <v>40057</v>
      </c>
      <c r="B2360">
        <v>771.3</v>
      </c>
      <c r="C2360">
        <v>3910.4</v>
      </c>
      <c r="E2360">
        <v>8441.1</v>
      </c>
    </row>
    <row r="2361" spans="1:5" x14ac:dyDescent="0.2">
      <c r="A2361" s="81">
        <v>40063</v>
      </c>
      <c r="D2361">
        <v>1660.5</v>
      </c>
    </row>
    <row r="2362" spans="1:5" x14ac:dyDescent="0.2">
      <c r="A2362" s="81">
        <v>40070</v>
      </c>
      <c r="D2362">
        <v>1674.9</v>
      </c>
    </row>
    <row r="2363" spans="1:5" x14ac:dyDescent="0.2">
      <c r="A2363" s="81">
        <v>40077</v>
      </c>
      <c r="D2363">
        <v>1662.9</v>
      </c>
    </row>
    <row r="2364" spans="1:5" x14ac:dyDescent="0.2">
      <c r="A2364" s="81">
        <v>40084</v>
      </c>
      <c r="D2364">
        <v>1662.1</v>
      </c>
    </row>
    <row r="2365" spans="1:5" x14ac:dyDescent="0.2">
      <c r="A2365" s="81">
        <v>40087</v>
      </c>
      <c r="B2365">
        <v>774.9</v>
      </c>
      <c r="C2365">
        <v>3911.2</v>
      </c>
      <c r="E2365">
        <v>8468.1</v>
      </c>
    </row>
    <row r="2366" spans="1:5" x14ac:dyDescent="0.2">
      <c r="A2366" s="81">
        <v>40091</v>
      </c>
      <c r="D2366">
        <v>1662.2</v>
      </c>
    </row>
    <row r="2367" spans="1:5" x14ac:dyDescent="0.2">
      <c r="A2367" s="81">
        <v>40098</v>
      </c>
      <c r="D2367">
        <v>1674.6</v>
      </c>
    </row>
    <row r="2368" spans="1:5" x14ac:dyDescent="0.2">
      <c r="A2368" s="81">
        <v>40105</v>
      </c>
      <c r="D2368">
        <v>1680.9</v>
      </c>
    </row>
    <row r="2369" spans="1:5" x14ac:dyDescent="0.2">
      <c r="A2369" s="81">
        <v>40112</v>
      </c>
      <c r="D2369">
        <v>1685.4</v>
      </c>
    </row>
    <row r="2370" spans="1:5" x14ac:dyDescent="0.2">
      <c r="A2370" s="81">
        <v>40118</v>
      </c>
      <c r="B2370">
        <v>774.7</v>
      </c>
      <c r="C2370">
        <v>3912</v>
      </c>
      <c r="E2370">
        <v>8498.2000000000007</v>
      </c>
    </row>
    <row r="2371" spans="1:5" x14ac:dyDescent="0.2">
      <c r="A2371" s="81">
        <v>40119</v>
      </c>
      <c r="D2371">
        <v>1682.6</v>
      </c>
    </row>
    <row r="2372" spans="1:5" x14ac:dyDescent="0.2">
      <c r="A2372" s="81">
        <v>40126</v>
      </c>
      <c r="D2372">
        <v>1680.4</v>
      </c>
    </row>
    <row r="2373" spans="1:5" x14ac:dyDescent="0.2">
      <c r="A2373" s="81">
        <v>40133</v>
      </c>
      <c r="D2373">
        <v>1680.8</v>
      </c>
    </row>
    <row r="2374" spans="1:5" x14ac:dyDescent="0.2">
      <c r="A2374" s="81">
        <v>40140</v>
      </c>
      <c r="D2374">
        <v>1683</v>
      </c>
    </row>
    <row r="2375" spans="1:5" x14ac:dyDescent="0.2">
      <c r="A2375" s="81">
        <v>40147</v>
      </c>
      <c r="D2375">
        <v>1688.2</v>
      </c>
    </row>
    <row r="2376" spans="1:5" x14ac:dyDescent="0.2">
      <c r="A2376" s="81">
        <v>40148</v>
      </c>
      <c r="B2376">
        <v>778.8</v>
      </c>
      <c r="C2376">
        <v>3907.6</v>
      </c>
      <c r="E2376">
        <v>8493.1</v>
      </c>
    </row>
    <row r="2377" spans="1:5" x14ac:dyDescent="0.2">
      <c r="A2377" s="81">
        <v>40154</v>
      </c>
      <c r="D2377">
        <v>1684.8</v>
      </c>
    </row>
    <row r="2378" spans="1:5" x14ac:dyDescent="0.2">
      <c r="A2378" s="81">
        <v>40161</v>
      </c>
      <c r="D2378">
        <v>1691.1</v>
      </c>
    </row>
    <row r="2379" spans="1:5" x14ac:dyDescent="0.2">
      <c r="A2379" s="81">
        <v>40168</v>
      </c>
      <c r="D2379">
        <v>1698.6</v>
      </c>
    </row>
    <row r="2380" spans="1:5" x14ac:dyDescent="0.2">
      <c r="A2380" s="81">
        <v>40175</v>
      </c>
      <c r="D2380">
        <v>1690.1</v>
      </c>
    </row>
    <row r="2381" spans="1:5" x14ac:dyDescent="0.2">
      <c r="A2381" s="81">
        <v>40179</v>
      </c>
      <c r="B2381">
        <v>770</v>
      </c>
      <c r="C2381">
        <v>3887.8</v>
      </c>
      <c r="E2381">
        <v>8455.4</v>
      </c>
    </row>
    <row r="2382" spans="1:5" x14ac:dyDescent="0.2">
      <c r="A2382" s="81">
        <v>40182</v>
      </c>
      <c r="D2382">
        <v>1708.6</v>
      </c>
    </row>
    <row r="2383" spans="1:5" x14ac:dyDescent="0.2">
      <c r="A2383" s="81">
        <v>40189</v>
      </c>
      <c r="D2383">
        <v>1665.4</v>
      </c>
    </row>
    <row r="2384" spans="1:5" x14ac:dyDescent="0.2">
      <c r="A2384" s="81">
        <v>40196</v>
      </c>
      <c r="D2384">
        <v>1669.7</v>
      </c>
    </row>
    <row r="2385" spans="1:5" x14ac:dyDescent="0.2">
      <c r="A2385" s="81">
        <v>40203</v>
      </c>
      <c r="D2385">
        <v>1672.6</v>
      </c>
    </row>
    <row r="2386" spans="1:5" x14ac:dyDescent="0.2">
      <c r="A2386" s="81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5" x14ac:dyDescent="0.2">
      <c r="A2387" s="81">
        <v>40217</v>
      </c>
      <c r="D2387">
        <v>1688.6</v>
      </c>
    </row>
    <row r="2388" spans="1:5" x14ac:dyDescent="0.2">
      <c r="A2388" s="81">
        <v>40224</v>
      </c>
      <c r="D2388">
        <v>1717.2</v>
      </c>
    </row>
    <row r="2389" spans="1:5" x14ac:dyDescent="0.2">
      <c r="A2389" s="81">
        <v>40231</v>
      </c>
      <c r="D2389">
        <v>1702.1</v>
      </c>
    </row>
    <row r="2390" spans="1:5" x14ac:dyDescent="0.2">
      <c r="A2390" s="81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5" x14ac:dyDescent="0.2">
      <c r="A2391" s="81">
        <v>40245</v>
      </c>
      <c r="D2391">
        <v>1704.2</v>
      </c>
    </row>
    <row r="2392" spans="1:5" x14ac:dyDescent="0.2">
      <c r="A2392" s="81">
        <v>40252</v>
      </c>
      <c r="D2392">
        <v>1722.9</v>
      </c>
    </row>
    <row r="2393" spans="1:5" x14ac:dyDescent="0.2">
      <c r="A2393" s="81">
        <v>40259</v>
      </c>
      <c r="D2393">
        <v>1722.2</v>
      </c>
    </row>
    <row r="2394" spans="1:5" x14ac:dyDescent="0.2">
      <c r="A2394" s="81">
        <v>40266</v>
      </c>
      <c r="D2394">
        <v>1708.3</v>
      </c>
    </row>
    <row r="2395" spans="1:5" x14ac:dyDescent="0.2">
      <c r="A2395" s="81">
        <v>40269</v>
      </c>
      <c r="B2395">
        <v>781.5</v>
      </c>
      <c r="C2395">
        <v>3924.9</v>
      </c>
      <c r="E2395">
        <v>8532.7999999999993</v>
      </c>
    </row>
    <row r="2396" spans="1:5" x14ac:dyDescent="0.2">
      <c r="A2396" s="81">
        <v>40273</v>
      </c>
      <c r="D2396">
        <v>1686</v>
      </c>
    </row>
    <row r="2397" spans="1:5" x14ac:dyDescent="0.2">
      <c r="A2397" s="81">
        <v>40280</v>
      </c>
      <c r="D2397">
        <v>1697.7</v>
      </c>
    </row>
    <row r="2398" spans="1:5" x14ac:dyDescent="0.2">
      <c r="A2398" s="81">
        <v>40287</v>
      </c>
      <c r="D2398">
        <v>1699.4</v>
      </c>
    </row>
    <row r="2399" spans="1:5" x14ac:dyDescent="0.2">
      <c r="A2399" s="81">
        <v>40294</v>
      </c>
      <c r="D2399">
        <v>1692.3</v>
      </c>
    </row>
    <row r="2400" spans="1:5" x14ac:dyDescent="0.2">
      <c r="A2400" s="81">
        <v>40299</v>
      </c>
      <c r="B2400">
        <v>787</v>
      </c>
      <c r="C2400">
        <v>3952.2</v>
      </c>
      <c r="E2400">
        <v>8587.7000000000007</v>
      </c>
    </row>
    <row r="2401" spans="1:5" x14ac:dyDescent="0.2">
      <c r="A2401" s="81">
        <v>40301</v>
      </c>
      <c r="D2401">
        <v>1728.3</v>
      </c>
    </row>
    <row r="2402" spans="1:5" x14ac:dyDescent="0.2">
      <c r="A2402" s="81">
        <v>40308</v>
      </c>
      <c r="D2402">
        <v>1710.7</v>
      </c>
    </row>
    <row r="2403" spans="1:5" x14ac:dyDescent="0.2">
      <c r="A2403" s="81">
        <v>40315</v>
      </c>
      <c r="D2403">
        <v>1702.8</v>
      </c>
    </row>
    <row r="2404" spans="1:5" x14ac:dyDescent="0.2">
      <c r="A2404" s="81">
        <v>40322</v>
      </c>
      <c r="D2404">
        <v>1707.5</v>
      </c>
    </row>
    <row r="2405" spans="1:5" x14ac:dyDescent="0.2">
      <c r="A2405" s="81">
        <v>40329</v>
      </c>
      <c r="D2405">
        <v>1711.5</v>
      </c>
    </row>
    <row r="2406" spans="1:5" x14ac:dyDescent="0.2">
      <c r="A2406" s="81">
        <v>40330</v>
      </c>
      <c r="B2406">
        <v>797.2</v>
      </c>
      <c r="C2406">
        <v>3962.6</v>
      </c>
      <c r="E2406">
        <v>8606.7000000000007</v>
      </c>
    </row>
    <row r="2407" spans="1:5" x14ac:dyDescent="0.2">
      <c r="A2407" s="81">
        <v>40336</v>
      </c>
      <c r="D2407">
        <v>1717.9</v>
      </c>
    </row>
    <row r="2408" spans="1:5" x14ac:dyDescent="0.2">
      <c r="A2408" s="81">
        <v>40343</v>
      </c>
      <c r="D2408">
        <v>1722.3</v>
      </c>
    </row>
    <row r="2409" spans="1:5" x14ac:dyDescent="0.2">
      <c r="A2409" s="81">
        <v>40350</v>
      </c>
      <c r="D2409">
        <v>1741.3</v>
      </c>
    </row>
    <row r="2410" spans="1:5" x14ac:dyDescent="0.2">
      <c r="A2410" s="81">
        <v>40357</v>
      </c>
      <c r="D2410">
        <v>1748.3</v>
      </c>
    </row>
    <row r="2411" spans="1:5" x14ac:dyDescent="0.2">
      <c r="A2411" s="81">
        <v>40360</v>
      </c>
      <c r="B2411">
        <v>792.3</v>
      </c>
      <c r="C2411">
        <v>3959.6</v>
      </c>
      <c r="E2411">
        <v>8616.2999999999993</v>
      </c>
    </row>
    <row r="2412" spans="1:5" x14ac:dyDescent="0.2">
      <c r="A2412" s="81">
        <v>40364</v>
      </c>
      <c r="D2412">
        <v>1719.3</v>
      </c>
    </row>
    <row r="2413" spans="1:5" x14ac:dyDescent="0.2">
      <c r="A2413" s="81">
        <v>40371</v>
      </c>
      <c r="D2413">
        <v>1722.3</v>
      </c>
    </row>
    <row r="2414" spans="1:5" x14ac:dyDescent="0.2">
      <c r="A2414" s="81">
        <v>40378</v>
      </c>
      <c r="D2414">
        <v>1718.8</v>
      </c>
    </row>
    <row r="2415" spans="1:5" x14ac:dyDescent="0.2">
      <c r="A2415" s="81">
        <v>40385</v>
      </c>
      <c r="D2415">
        <v>1730.6</v>
      </c>
    </row>
    <row r="2416" spans="1:5" x14ac:dyDescent="0.2">
      <c r="A2416" s="81">
        <v>40391</v>
      </c>
      <c r="B2416">
        <v>802.4</v>
      </c>
      <c r="C2416">
        <v>3977</v>
      </c>
      <c r="E2416">
        <v>8666.7000000000007</v>
      </c>
    </row>
    <row r="2417" spans="1:5" x14ac:dyDescent="0.2">
      <c r="A2417" s="81">
        <v>40392</v>
      </c>
      <c r="D2417">
        <v>1729.2</v>
      </c>
    </row>
    <row r="2418" spans="1:5" x14ac:dyDescent="0.2">
      <c r="A2418" s="81">
        <v>40399</v>
      </c>
      <c r="D2418">
        <v>1743.4</v>
      </c>
    </row>
    <row r="2419" spans="1:5" x14ac:dyDescent="0.2">
      <c r="A2419" s="81">
        <v>40406</v>
      </c>
      <c r="D2419">
        <v>1742.1</v>
      </c>
    </row>
    <row r="2420" spans="1:5" x14ac:dyDescent="0.2">
      <c r="A2420" s="81">
        <v>40413</v>
      </c>
      <c r="D2420">
        <v>1757.4</v>
      </c>
    </row>
    <row r="2421" spans="1:5" x14ac:dyDescent="0.2">
      <c r="A2421" s="81">
        <v>40420</v>
      </c>
      <c r="D2421">
        <v>1757.3</v>
      </c>
    </row>
    <row r="2422" spans="1:5" x14ac:dyDescent="0.2">
      <c r="A2422" s="81">
        <v>40422</v>
      </c>
      <c r="B2422">
        <v>809.2</v>
      </c>
      <c r="C2422">
        <v>3984.8</v>
      </c>
      <c r="E2422">
        <v>8697.7999999999993</v>
      </c>
    </row>
    <row r="2423" spans="1:5" x14ac:dyDescent="0.2">
      <c r="A2423" s="81">
        <v>40427</v>
      </c>
      <c r="D2423">
        <v>1749.5</v>
      </c>
    </row>
    <row r="2424" spans="1:5" x14ac:dyDescent="0.2">
      <c r="A2424" s="81">
        <v>40434</v>
      </c>
      <c r="D2424">
        <v>1768.6</v>
      </c>
    </row>
    <row r="2425" spans="1:5" x14ac:dyDescent="0.2">
      <c r="A2425" s="81">
        <v>40441</v>
      </c>
      <c r="D2425">
        <v>1769.6</v>
      </c>
    </row>
    <row r="2426" spans="1:5" x14ac:dyDescent="0.2">
      <c r="A2426" s="81">
        <v>40448</v>
      </c>
      <c r="D2426">
        <v>1770.2</v>
      </c>
    </row>
    <row r="2427" spans="1:5" x14ac:dyDescent="0.2">
      <c r="A2427" s="81">
        <v>40452</v>
      </c>
      <c r="B2427">
        <v>812.8</v>
      </c>
      <c r="C2427">
        <v>3993.4</v>
      </c>
      <c r="E2427">
        <v>8746.9</v>
      </c>
    </row>
    <row r="2428" spans="1:5" x14ac:dyDescent="0.2">
      <c r="A2428" s="81">
        <v>40455</v>
      </c>
      <c r="D2428">
        <v>1776.2</v>
      </c>
    </row>
    <row r="2429" spans="1:5" x14ac:dyDescent="0.2">
      <c r="A2429" s="81">
        <v>40462</v>
      </c>
      <c r="D2429">
        <v>1789.5</v>
      </c>
    </row>
    <row r="2430" spans="1:5" x14ac:dyDescent="0.2">
      <c r="A2430" s="81">
        <v>40469</v>
      </c>
      <c r="D2430">
        <v>1776.5</v>
      </c>
    </row>
    <row r="2431" spans="1:5" x14ac:dyDescent="0.2">
      <c r="A2431" s="81">
        <v>40476</v>
      </c>
      <c r="D2431">
        <v>1789.5</v>
      </c>
    </row>
    <row r="2432" spans="1:5" x14ac:dyDescent="0.2">
      <c r="A2432" s="81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5" x14ac:dyDescent="0.2">
      <c r="A2433" s="81">
        <v>40490</v>
      </c>
      <c r="D2433">
        <v>1867.7</v>
      </c>
    </row>
    <row r="2434" spans="1:5" x14ac:dyDescent="0.2">
      <c r="A2434" s="81">
        <v>40497</v>
      </c>
      <c r="D2434">
        <v>1802</v>
      </c>
    </row>
    <row r="2435" spans="1:5" x14ac:dyDescent="0.2">
      <c r="A2435" s="81">
        <v>40504</v>
      </c>
      <c r="D2435">
        <v>1819</v>
      </c>
    </row>
    <row r="2436" spans="1:5" x14ac:dyDescent="0.2">
      <c r="A2436" s="81">
        <v>40511</v>
      </c>
      <c r="D2436">
        <v>1836.1</v>
      </c>
    </row>
    <row r="2437" spans="1:5" x14ac:dyDescent="0.2">
      <c r="A2437" s="81">
        <v>40513</v>
      </c>
      <c r="B2437">
        <v>833.1</v>
      </c>
      <c r="C2437">
        <v>3991.2</v>
      </c>
      <c r="E2437">
        <v>8799.4</v>
      </c>
    </row>
    <row r="2438" spans="1:5" x14ac:dyDescent="0.2">
      <c r="A2438" s="81">
        <v>40518</v>
      </c>
      <c r="D2438">
        <v>1812.3</v>
      </c>
    </row>
    <row r="2439" spans="1:5" x14ac:dyDescent="0.2">
      <c r="A2439" s="81">
        <v>40525</v>
      </c>
      <c r="D2439">
        <v>1829</v>
      </c>
    </row>
    <row r="2440" spans="1:5" x14ac:dyDescent="0.2">
      <c r="A2440" s="81">
        <v>40532</v>
      </c>
      <c r="D2440">
        <v>1840.8</v>
      </c>
    </row>
    <row r="2441" spans="1:5" x14ac:dyDescent="0.2">
      <c r="A2441" s="81">
        <v>40539</v>
      </c>
      <c r="D2441">
        <v>1853.6</v>
      </c>
    </row>
    <row r="2442" spans="1:5" x14ac:dyDescent="0.2">
      <c r="A2442" s="81">
        <v>40544</v>
      </c>
      <c r="B2442">
        <v>834.7</v>
      </c>
      <c r="C2442">
        <v>3987.8</v>
      </c>
      <c r="E2442">
        <v>8820.4</v>
      </c>
    </row>
    <row r="2443" spans="1:5" x14ac:dyDescent="0.2">
      <c r="A2443" s="81">
        <v>40546</v>
      </c>
      <c r="D2443">
        <v>1849.9</v>
      </c>
    </row>
    <row r="2444" spans="1:5" x14ac:dyDescent="0.2">
      <c r="A2444" s="81">
        <v>40553</v>
      </c>
      <c r="D2444">
        <v>1834.5</v>
      </c>
    </row>
    <row r="2445" spans="1:5" x14ac:dyDescent="0.2">
      <c r="A2445" s="81">
        <v>40560</v>
      </c>
      <c r="D2445">
        <v>1858.3</v>
      </c>
    </row>
    <row r="2446" spans="1:5" x14ac:dyDescent="0.2">
      <c r="A2446" s="81">
        <v>40567</v>
      </c>
      <c r="D2446">
        <v>1854.1</v>
      </c>
    </row>
    <row r="2447" spans="1:5" x14ac:dyDescent="0.2">
      <c r="A2447" s="81">
        <v>40574</v>
      </c>
      <c r="D2447">
        <v>1868.8</v>
      </c>
    </row>
    <row r="2448" spans="1:5" x14ac:dyDescent="0.2">
      <c r="A2448" s="81">
        <v>40575</v>
      </c>
      <c r="B2448">
        <v>842.8</v>
      </c>
      <c r="C2448">
        <v>4003.7</v>
      </c>
      <c r="E2448">
        <v>8884.2000000000007</v>
      </c>
    </row>
    <row r="2449" spans="1:5" x14ac:dyDescent="0.2">
      <c r="A2449" s="81">
        <v>40581</v>
      </c>
      <c r="D2449">
        <v>1850.4</v>
      </c>
    </row>
    <row r="2450" spans="1:5" x14ac:dyDescent="0.2">
      <c r="A2450" s="81">
        <v>40588</v>
      </c>
      <c r="D2450">
        <v>1859.1</v>
      </c>
    </row>
    <row r="2451" spans="1:5" x14ac:dyDescent="0.2">
      <c r="A2451" s="81">
        <v>40595</v>
      </c>
      <c r="D2451">
        <v>1885.8</v>
      </c>
    </row>
    <row r="2452" spans="1:5" x14ac:dyDescent="0.2">
      <c r="A2452" s="81">
        <v>40602</v>
      </c>
      <c r="D2452">
        <v>1895.2</v>
      </c>
    </row>
    <row r="2453" spans="1:5" x14ac:dyDescent="0.2">
      <c r="A2453" s="81">
        <v>40603</v>
      </c>
      <c r="B2453">
        <v>850.3</v>
      </c>
      <c r="C2453">
        <v>4008.4</v>
      </c>
      <c r="E2453">
        <v>8940.6</v>
      </c>
    </row>
    <row r="2454" spans="1:5" x14ac:dyDescent="0.2">
      <c r="A2454" s="81">
        <v>40609</v>
      </c>
      <c r="D2454">
        <v>1875.6</v>
      </c>
    </row>
    <row r="2455" spans="1:5" x14ac:dyDescent="0.2">
      <c r="A2455" s="81">
        <v>40616</v>
      </c>
      <c r="D2455">
        <v>1889.6</v>
      </c>
    </row>
    <row r="2456" spans="1:5" x14ac:dyDescent="0.2">
      <c r="A2456" s="81">
        <v>40623</v>
      </c>
      <c r="D2456">
        <v>1901.2</v>
      </c>
    </row>
    <row r="2457" spans="1:5" x14ac:dyDescent="0.2">
      <c r="A2457" s="81">
        <v>40630</v>
      </c>
      <c r="D2457">
        <v>1897.1</v>
      </c>
    </row>
    <row r="2458" spans="1:5" x14ac:dyDescent="0.2">
      <c r="A2458" s="81">
        <v>40634</v>
      </c>
      <c r="B2458">
        <v>846.5</v>
      </c>
      <c r="C2458">
        <v>4017.1</v>
      </c>
      <c r="E2458">
        <v>9002.1</v>
      </c>
    </row>
    <row r="2459" spans="1:5" x14ac:dyDescent="0.2">
      <c r="A2459" s="81">
        <v>40637</v>
      </c>
      <c r="D2459">
        <v>1895.4</v>
      </c>
    </row>
    <row r="2460" spans="1:5" x14ac:dyDescent="0.2">
      <c r="A2460" s="81">
        <v>40644</v>
      </c>
      <c r="D2460">
        <v>1896.4</v>
      </c>
    </row>
    <row r="2461" spans="1:5" x14ac:dyDescent="0.2">
      <c r="A2461" s="81">
        <v>40651</v>
      </c>
      <c r="D2461">
        <v>1892.8</v>
      </c>
    </row>
    <row r="2462" spans="1:5" x14ac:dyDescent="0.2">
      <c r="A2462" s="81">
        <v>40658</v>
      </c>
      <c r="D2462">
        <v>1902.2</v>
      </c>
    </row>
    <row r="2463" spans="1:5" x14ac:dyDescent="0.2">
      <c r="A2463" s="81">
        <v>40664</v>
      </c>
      <c r="B2463">
        <v>863.7</v>
      </c>
      <c r="C2463">
        <v>4035.8</v>
      </c>
      <c r="E2463">
        <v>9072.7000000000007</v>
      </c>
    </row>
    <row r="2464" spans="1:5" x14ac:dyDescent="0.2">
      <c r="A2464" s="81">
        <v>40665</v>
      </c>
      <c r="D2464">
        <v>1920.6</v>
      </c>
    </row>
    <row r="2465" spans="1:5" x14ac:dyDescent="0.2">
      <c r="A2465" s="81">
        <v>40672</v>
      </c>
      <c r="D2465">
        <v>1928.1</v>
      </c>
    </row>
    <row r="2466" spans="1:5" x14ac:dyDescent="0.2">
      <c r="A2466" s="81">
        <v>40679</v>
      </c>
      <c r="D2466">
        <v>1930.7</v>
      </c>
    </row>
    <row r="2467" spans="1:5" x14ac:dyDescent="0.2">
      <c r="A2467" s="81">
        <v>40686</v>
      </c>
      <c r="D2467">
        <v>1942.2</v>
      </c>
    </row>
    <row r="2468" spans="1:5" x14ac:dyDescent="0.2">
      <c r="A2468" s="81">
        <v>40693</v>
      </c>
      <c r="D2468">
        <v>1956.5</v>
      </c>
    </row>
    <row r="2469" spans="1:5" x14ac:dyDescent="0.2">
      <c r="A2469" s="81">
        <v>40695</v>
      </c>
      <c r="B2469">
        <v>873.4</v>
      </c>
      <c r="C2469">
        <v>4069.5</v>
      </c>
      <c r="E2469">
        <v>9148.4</v>
      </c>
    </row>
    <row r="2470" spans="1:5" x14ac:dyDescent="0.2">
      <c r="A2470" s="81">
        <v>40700</v>
      </c>
      <c r="D2470">
        <v>1936</v>
      </c>
    </row>
    <row r="2471" spans="1:5" x14ac:dyDescent="0.2">
      <c r="A2471" s="81">
        <v>40707</v>
      </c>
      <c r="D2471">
        <v>1951.5</v>
      </c>
    </row>
    <row r="2472" spans="1:5" x14ac:dyDescent="0.2">
      <c r="A2472" s="81">
        <v>40714</v>
      </c>
      <c r="D2472">
        <v>1961.5</v>
      </c>
    </row>
    <row r="2473" spans="1:5" x14ac:dyDescent="0.2">
      <c r="A2473" s="81">
        <v>40721</v>
      </c>
      <c r="D2473">
        <v>1959.4</v>
      </c>
    </row>
    <row r="2474" spans="1:5" x14ac:dyDescent="0.2">
      <c r="A2474" s="81">
        <v>40725</v>
      </c>
      <c r="B2474">
        <v>885.6</v>
      </c>
      <c r="C2474">
        <v>4132.2</v>
      </c>
      <c r="E2474">
        <v>9313.7999999999993</v>
      </c>
    </row>
    <row r="2475" spans="1:5" x14ac:dyDescent="0.2">
      <c r="A2475" s="81">
        <v>40728</v>
      </c>
      <c r="D2475">
        <v>1985.7</v>
      </c>
    </row>
    <row r="2476" spans="1:5" x14ac:dyDescent="0.2">
      <c r="A2476" s="81">
        <v>40735</v>
      </c>
      <c r="D2476">
        <v>1983.7</v>
      </c>
    </row>
    <row r="2477" spans="1:5" x14ac:dyDescent="0.2">
      <c r="A2477" s="81">
        <v>40742</v>
      </c>
      <c r="D2477">
        <v>1975.8</v>
      </c>
    </row>
    <row r="2478" spans="1:5" x14ac:dyDescent="0.2">
      <c r="A2478" s="81">
        <v>40749</v>
      </c>
      <c r="D2478">
        <v>2001.2</v>
      </c>
    </row>
    <row r="2479" spans="1:5" x14ac:dyDescent="0.2">
      <c r="A2479" s="81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5" x14ac:dyDescent="0.2">
      <c r="A2480" s="81">
        <v>40763</v>
      </c>
      <c r="D2480">
        <v>2094.4</v>
      </c>
    </row>
    <row r="2481" spans="1:5" x14ac:dyDescent="0.2">
      <c r="A2481" s="81">
        <v>40770</v>
      </c>
      <c r="D2481">
        <v>2109.1</v>
      </c>
    </row>
    <row r="2482" spans="1:5" x14ac:dyDescent="0.2">
      <c r="A2482" s="81">
        <v>40777</v>
      </c>
      <c r="D2482">
        <v>2136</v>
      </c>
    </row>
    <row r="2483" spans="1:5" x14ac:dyDescent="0.2">
      <c r="A2483" s="81">
        <v>40784</v>
      </c>
      <c r="D2483">
        <v>2122.4</v>
      </c>
    </row>
    <row r="2484" spans="1:5" x14ac:dyDescent="0.2">
      <c r="A2484" s="81">
        <v>40787</v>
      </c>
      <c r="B2484">
        <v>935.6</v>
      </c>
      <c r="C2484">
        <v>4203.8999999999996</v>
      </c>
      <c r="E2484">
        <v>9525.7999999999993</v>
      </c>
    </row>
    <row r="2485" spans="1:5" x14ac:dyDescent="0.2">
      <c r="A2485" s="81">
        <v>40791</v>
      </c>
      <c r="D2485">
        <v>2110.1</v>
      </c>
    </row>
    <row r="2486" spans="1:5" x14ac:dyDescent="0.2">
      <c r="A2486" s="81">
        <v>40798</v>
      </c>
      <c r="D2486">
        <v>2118.6999999999998</v>
      </c>
    </row>
    <row r="2487" spans="1:5" x14ac:dyDescent="0.2">
      <c r="A2487" s="81">
        <v>40805</v>
      </c>
      <c r="D2487">
        <v>2120.9</v>
      </c>
    </row>
    <row r="2488" spans="1:5" x14ac:dyDescent="0.2">
      <c r="A2488" s="81">
        <v>40812</v>
      </c>
      <c r="D2488">
        <v>2128</v>
      </c>
    </row>
    <row r="2489" spans="1:5" x14ac:dyDescent="0.2">
      <c r="A2489" s="81">
        <v>40817</v>
      </c>
      <c r="B2489">
        <v>938.7</v>
      </c>
      <c r="C2489">
        <v>4215.8999999999996</v>
      </c>
      <c r="E2489">
        <v>9559.5</v>
      </c>
    </row>
    <row r="2490" spans="1:5" x14ac:dyDescent="0.2">
      <c r="A2490" s="81">
        <v>40819</v>
      </c>
      <c r="D2490">
        <v>2176.6999999999998</v>
      </c>
    </row>
    <row r="2491" spans="1:5" x14ac:dyDescent="0.2">
      <c r="A2491" s="81">
        <v>40826</v>
      </c>
      <c r="D2491">
        <v>2150.8000000000002</v>
      </c>
    </row>
    <row r="2492" spans="1:5" x14ac:dyDescent="0.2">
      <c r="A2492" s="81">
        <v>40833</v>
      </c>
      <c r="D2492">
        <v>2128.1999999999998</v>
      </c>
    </row>
    <row r="2493" spans="1:5" x14ac:dyDescent="0.2">
      <c r="A2493" s="81">
        <v>40840</v>
      </c>
      <c r="D2493">
        <v>2126.6</v>
      </c>
    </row>
    <row r="2494" spans="1:5" x14ac:dyDescent="0.2">
      <c r="A2494" s="81">
        <v>40847</v>
      </c>
      <c r="D2494">
        <v>2136.1999999999998</v>
      </c>
    </row>
    <row r="2495" spans="1:5" x14ac:dyDescent="0.2">
      <c r="A2495" s="81">
        <v>40848</v>
      </c>
      <c r="B2495">
        <v>960.5</v>
      </c>
      <c r="C2495">
        <v>4230.3999999999996</v>
      </c>
      <c r="E2495">
        <v>9610.1</v>
      </c>
    </row>
    <row r="2496" spans="1:5" x14ac:dyDescent="0.2">
      <c r="A2496" s="81">
        <v>40854</v>
      </c>
      <c r="D2496">
        <v>2147.3000000000002</v>
      </c>
    </row>
    <row r="2497" spans="1:5" x14ac:dyDescent="0.2">
      <c r="A2497" s="81">
        <v>40861</v>
      </c>
      <c r="D2497">
        <v>2171.9</v>
      </c>
    </row>
    <row r="2498" spans="1:5" x14ac:dyDescent="0.2">
      <c r="A2498" s="81">
        <v>40868</v>
      </c>
      <c r="D2498">
        <v>2179.4</v>
      </c>
    </row>
    <row r="2499" spans="1:5" x14ac:dyDescent="0.2">
      <c r="A2499" s="81">
        <v>40875</v>
      </c>
      <c r="D2499">
        <v>2171.1999999999998</v>
      </c>
    </row>
    <row r="2500" spans="1:5" x14ac:dyDescent="0.2">
      <c r="A2500" s="81">
        <v>40878</v>
      </c>
      <c r="B2500">
        <v>953.1</v>
      </c>
      <c r="C2500">
        <v>4250.3</v>
      </c>
      <c r="E2500">
        <v>9657.7000000000007</v>
      </c>
    </row>
    <row r="2501" spans="1:5" x14ac:dyDescent="0.2">
      <c r="A2501" s="81">
        <v>40882</v>
      </c>
      <c r="D2501">
        <v>2158.5</v>
      </c>
    </row>
    <row r="2502" spans="1:5" x14ac:dyDescent="0.2">
      <c r="A2502" s="81">
        <v>40889</v>
      </c>
      <c r="D2502">
        <v>2165.6999999999998</v>
      </c>
    </row>
    <row r="2503" spans="1:5" x14ac:dyDescent="0.2">
      <c r="A2503" s="81">
        <v>40896</v>
      </c>
      <c r="D2503">
        <v>2149.8000000000002</v>
      </c>
    </row>
    <row r="2504" spans="1:5" x14ac:dyDescent="0.2">
      <c r="A2504" s="81">
        <v>40903</v>
      </c>
      <c r="D2504">
        <v>2156.3000000000002</v>
      </c>
    </row>
    <row r="2505" spans="1:5" x14ac:dyDescent="0.2">
      <c r="A2505" s="81">
        <v>40909</v>
      </c>
      <c r="B2505">
        <v>964.5</v>
      </c>
      <c r="C2505">
        <v>4271.2</v>
      </c>
      <c r="E2505">
        <v>9731.5</v>
      </c>
    </row>
    <row r="2506" spans="1:5" x14ac:dyDescent="0.2">
      <c r="A2506" s="81">
        <v>40910</v>
      </c>
      <c r="D2506">
        <v>2199.1999999999998</v>
      </c>
    </row>
    <row r="2507" spans="1:5" x14ac:dyDescent="0.2">
      <c r="A2507" s="81">
        <v>40917</v>
      </c>
      <c r="D2507">
        <v>2199.3000000000002</v>
      </c>
    </row>
    <row r="2508" spans="1:5" x14ac:dyDescent="0.2">
      <c r="A2508" s="81">
        <v>40924</v>
      </c>
      <c r="D2508">
        <v>2198.1</v>
      </c>
    </row>
    <row r="2509" spans="1:5" x14ac:dyDescent="0.2">
      <c r="A2509" s="81">
        <v>40931</v>
      </c>
      <c r="D2509">
        <v>2207.4</v>
      </c>
    </row>
    <row r="2510" spans="1:5" x14ac:dyDescent="0.2">
      <c r="A2510" s="81">
        <v>40938</v>
      </c>
      <c r="D2510">
        <v>2204.3000000000002</v>
      </c>
    </row>
    <row r="2511" spans="1:5" x14ac:dyDescent="0.2">
      <c r="A2511" s="81">
        <v>40940</v>
      </c>
      <c r="B2511">
        <v>967.8</v>
      </c>
      <c r="C2511">
        <v>4287.3999999999996</v>
      </c>
      <c r="E2511">
        <v>9789.2999999999993</v>
      </c>
    </row>
    <row r="2512" spans="1:5" x14ac:dyDescent="0.2">
      <c r="A2512" s="81">
        <v>40945</v>
      </c>
      <c r="D2512">
        <v>2197.3000000000002</v>
      </c>
    </row>
    <row r="2513" spans="1:5" x14ac:dyDescent="0.2">
      <c r="A2513" s="81">
        <v>40952</v>
      </c>
      <c r="D2513">
        <v>2211.8000000000002</v>
      </c>
    </row>
    <row r="2514" spans="1:5" x14ac:dyDescent="0.2">
      <c r="A2514" s="81">
        <v>40959</v>
      </c>
      <c r="D2514">
        <v>2217.4</v>
      </c>
    </row>
    <row r="2515" spans="1:5" x14ac:dyDescent="0.2">
      <c r="A2515" s="81">
        <v>40966</v>
      </c>
      <c r="D2515">
        <v>2210.4</v>
      </c>
    </row>
    <row r="2516" spans="1:5" x14ac:dyDescent="0.2">
      <c r="A2516" s="81">
        <v>40969</v>
      </c>
      <c r="B2516">
        <v>975.7</v>
      </c>
      <c r="C2516">
        <v>4299.3</v>
      </c>
      <c r="E2516">
        <v>9837.1</v>
      </c>
    </row>
    <row r="2517" spans="1:5" x14ac:dyDescent="0.2">
      <c r="A2517" s="81">
        <v>40973</v>
      </c>
      <c r="D2517">
        <v>2213.6999999999998</v>
      </c>
    </row>
    <row r="2518" spans="1:5" x14ac:dyDescent="0.2">
      <c r="A2518" s="81">
        <v>40980</v>
      </c>
      <c r="D2518">
        <v>2228.9</v>
      </c>
    </row>
    <row r="2519" spans="1:5" x14ac:dyDescent="0.2">
      <c r="A2519" s="81">
        <v>40987</v>
      </c>
      <c r="D2519">
        <v>2227.9</v>
      </c>
    </row>
    <row r="2520" spans="1:5" x14ac:dyDescent="0.2">
      <c r="A2520" s="81">
        <v>40994</v>
      </c>
      <c r="D2520">
        <v>2227.1999999999998</v>
      </c>
    </row>
    <row r="2521" spans="1:5" x14ac:dyDescent="0.2">
      <c r="A2521" s="81">
        <v>41000</v>
      </c>
      <c r="B2521">
        <v>979.2</v>
      </c>
      <c r="C2521">
        <v>4315.2</v>
      </c>
      <c r="E2521">
        <v>9889.9</v>
      </c>
    </row>
    <row r="2522" spans="1:5" x14ac:dyDescent="0.2">
      <c r="A2522" s="81">
        <v>41001</v>
      </c>
      <c r="D2522">
        <v>2247.1</v>
      </c>
    </row>
    <row r="2523" spans="1:5" x14ac:dyDescent="0.2">
      <c r="A2523" s="81">
        <v>41008</v>
      </c>
      <c r="D2523">
        <v>2249.9</v>
      </c>
    </row>
    <row r="2524" spans="1:5" x14ac:dyDescent="0.2">
      <c r="A2524" s="81">
        <v>41015</v>
      </c>
      <c r="D2524">
        <v>2241.8000000000002</v>
      </c>
    </row>
    <row r="2525" spans="1:5" x14ac:dyDescent="0.2">
      <c r="A2525" s="81">
        <v>41022</v>
      </c>
      <c r="D2525">
        <v>2247.4</v>
      </c>
    </row>
    <row r="2526" spans="1:5" x14ac:dyDescent="0.2">
      <c r="A2526" s="81">
        <v>41029</v>
      </c>
      <c r="D2526">
        <v>2253.5</v>
      </c>
    </row>
    <row r="2527" spans="1:5" x14ac:dyDescent="0.2">
      <c r="A2527" s="81">
        <v>41030</v>
      </c>
      <c r="B2527">
        <v>988.3</v>
      </c>
      <c r="C2527">
        <v>4343.7</v>
      </c>
      <c r="E2527">
        <v>9934.6</v>
      </c>
    </row>
    <row r="2528" spans="1:5" x14ac:dyDescent="0.2">
      <c r="A2528" s="81">
        <v>41036</v>
      </c>
      <c r="D2528">
        <v>2241.3000000000002</v>
      </c>
    </row>
    <row r="2529" spans="1:5" x14ac:dyDescent="0.2">
      <c r="A2529" s="81">
        <v>41043</v>
      </c>
      <c r="D2529">
        <v>2267.3000000000002</v>
      </c>
    </row>
    <row r="2530" spans="1:5" x14ac:dyDescent="0.2">
      <c r="A2530" s="81">
        <v>41050</v>
      </c>
      <c r="D2530">
        <v>2261.9</v>
      </c>
    </row>
    <row r="2531" spans="1:5" x14ac:dyDescent="0.2">
      <c r="A2531" s="81">
        <v>41057</v>
      </c>
      <c r="D2531">
        <v>2256.6</v>
      </c>
    </row>
    <row r="2532" spans="1:5" x14ac:dyDescent="0.2">
      <c r="A2532" s="81">
        <v>41061</v>
      </c>
      <c r="B2532">
        <v>998.5</v>
      </c>
      <c r="C2532">
        <v>4375.1000000000004</v>
      </c>
      <c r="E2532">
        <v>9998.1</v>
      </c>
    </row>
    <row r="2533" spans="1:5" x14ac:dyDescent="0.2">
      <c r="A2533" s="81">
        <v>41064</v>
      </c>
      <c r="D2533">
        <v>2255.1999999999998</v>
      </c>
    </row>
    <row r="2534" spans="1:5" x14ac:dyDescent="0.2">
      <c r="A2534" s="81">
        <v>41071</v>
      </c>
      <c r="D2534">
        <v>2290.5</v>
      </c>
    </row>
    <row r="2535" spans="1:5" x14ac:dyDescent="0.2">
      <c r="A2535" s="81">
        <v>41078</v>
      </c>
      <c r="D2535">
        <v>2274.6</v>
      </c>
    </row>
    <row r="2536" spans="1:5" x14ac:dyDescent="0.2">
      <c r="A2536" s="81">
        <v>41085</v>
      </c>
      <c r="D2536">
        <v>2272.9</v>
      </c>
    </row>
    <row r="2537" spans="1:5" x14ac:dyDescent="0.2">
      <c r="A2537" s="81">
        <v>41091</v>
      </c>
      <c r="B2537">
        <v>1012.1</v>
      </c>
      <c r="C2537">
        <v>4398.8</v>
      </c>
      <c r="E2537">
        <v>10055.299999999999</v>
      </c>
    </row>
    <row r="2538" spans="1:5" x14ac:dyDescent="0.2">
      <c r="A2538" s="81">
        <v>41092</v>
      </c>
      <c r="D2538">
        <v>2284.4</v>
      </c>
    </row>
    <row r="2539" spans="1:5" x14ac:dyDescent="0.2">
      <c r="A2539" s="81">
        <v>41099</v>
      </c>
      <c r="D2539">
        <v>2337.5</v>
      </c>
    </row>
    <row r="2540" spans="1:5" x14ac:dyDescent="0.2">
      <c r="A2540" s="81">
        <v>41106</v>
      </c>
      <c r="D2540">
        <v>2316.1999999999998</v>
      </c>
    </row>
    <row r="2541" spans="1:5" x14ac:dyDescent="0.2">
      <c r="A2541" s="81">
        <v>41113</v>
      </c>
      <c r="D2541">
        <v>2317.6999999999998</v>
      </c>
    </row>
    <row r="2542" spans="1:5" x14ac:dyDescent="0.2">
      <c r="A2542" s="81">
        <v>41120</v>
      </c>
      <c r="D2542">
        <v>2311.6999999999998</v>
      </c>
    </row>
    <row r="2543" spans="1:5" x14ac:dyDescent="0.2">
      <c r="A2543" s="81">
        <v>41122</v>
      </c>
      <c r="B2543">
        <v>1022.5</v>
      </c>
      <c r="C2543">
        <v>4399.5</v>
      </c>
      <c r="E2543">
        <v>10115.200000000001</v>
      </c>
    </row>
    <row r="2544" spans="1:5" x14ac:dyDescent="0.2">
      <c r="A2544" s="81">
        <v>41127</v>
      </c>
      <c r="D2544">
        <v>2310.6</v>
      </c>
    </row>
    <row r="2545" spans="1:5" x14ac:dyDescent="0.2">
      <c r="A2545" s="81">
        <v>41134</v>
      </c>
      <c r="D2545">
        <v>2350</v>
      </c>
    </row>
    <row r="2546" spans="1:5" x14ac:dyDescent="0.2">
      <c r="A2546" s="81">
        <v>41141</v>
      </c>
      <c r="D2546">
        <v>2341.8000000000002</v>
      </c>
    </row>
    <row r="2547" spans="1:5" x14ac:dyDescent="0.2">
      <c r="A2547" s="81">
        <v>41148</v>
      </c>
      <c r="D2547">
        <v>2346.1999999999998</v>
      </c>
    </row>
    <row r="2548" spans="1:5" x14ac:dyDescent="0.2">
      <c r="A2548" s="81">
        <v>41153</v>
      </c>
      <c r="B2548">
        <v>1031.3</v>
      </c>
      <c r="C2548">
        <v>4412.3</v>
      </c>
      <c r="E2548">
        <v>10193.1</v>
      </c>
    </row>
    <row r="2549" spans="1:5" x14ac:dyDescent="0.2">
      <c r="A2549" s="81">
        <v>41155</v>
      </c>
      <c r="D2549">
        <v>2420.6999999999998</v>
      </c>
    </row>
    <row r="2550" spans="1:5" x14ac:dyDescent="0.2">
      <c r="A2550" s="81">
        <v>41162</v>
      </c>
      <c r="D2550">
        <v>2405.4</v>
      </c>
    </row>
    <row r="2551" spans="1:5" x14ac:dyDescent="0.2">
      <c r="A2551" s="81">
        <v>41169</v>
      </c>
      <c r="D2551">
        <v>2379.6</v>
      </c>
    </row>
    <row r="2552" spans="1:5" x14ac:dyDescent="0.2">
      <c r="A2552" s="81">
        <v>41176</v>
      </c>
      <c r="D2552">
        <v>2378.6</v>
      </c>
    </row>
    <row r="2553" spans="1:5" x14ac:dyDescent="0.2">
      <c r="A2553" s="81">
        <v>41183</v>
      </c>
      <c r="B2553">
        <v>1042.7</v>
      </c>
      <c r="C2553">
        <v>4427.8</v>
      </c>
      <c r="D2553">
        <v>2382.4</v>
      </c>
      <c r="E2553">
        <v>10256.5</v>
      </c>
    </row>
    <row r="2554" spans="1:5" x14ac:dyDescent="0.2">
      <c r="A2554" s="81">
        <v>41190</v>
      </c>
      <c r="D2554">
        <v>2422.4</v>
      </c>
    </row>
    <row r="2555" spans="1:5" x14ac:dyDescent="0.2">
      <c r="A2555" s="81">
        <v>41197</v>
      </c>
      <c r="D2555">
        <v>2422.1999999999998</v>
      </c>
    </row>
    <row r="2556" spans="1:5" x14ac:dyDescent="0.2">
      <c r="A2556" s="81">
        <v>41204</v>
      </c>
      <c r="D2556">
        <v>2417.1</v>
      </c>
    </row>
    <row r="2557" spans="1:5" x14ac:dyDescent="0.2">
      <c r="A2557" s="81">
        <v>41211</v>
      </c>
      <c r="D2557">
        <v>2429.4</v>
      </c>
    </row>
    <row r="2558" spans="1:5" x14ac:dyDescent="0.2">
      <c r="A2558" s="81">
        <v>41214</v>
      </c>
      <c r="B2558">
        <v>1053.4000000000001</v>
      </c>
      <c r="C2558">
        <v>4462.6000000000004</v>
      </c>
      <c r="E2558">
        <v>10319.799999999999</v>
      </c>
    </row>
    <row r="2559" spans="1:5" x14ac:dyDescent="0.2">
      <c r="A2559" s="81">
        <v>41218</v>
      </c>
      <c r="D2559">
        <v>2430.1999999999998</v>
      </c>
    </row>
    <row r="2560" spans="1:5" x14ac:dyDescent="0.2">
      <c r="A2560" s="81">
        <v>41225</v>
      </c>
      <c r="D2560">
        <v>2414.8000000000002</v>
      </c>
    </row>
    <row r="2561" spans="1:5" x14ac:dyDescent="0.2">
      <c r="A2561" s="81">
        <v>41232</v>
      </c>
      <c r="D2561">
        <v>2420.5</v>
      </c>
    </row>
    <row r="2562" spans="1:5" x14ac:dyDescent="0.2">
      <c r="A2562" s="81">
        <v>41239</v>
      </c>
      <c r="D2562">
        <v>2405.1999999999998</v>
      </c>
    </row>
    <row r="2563" spans="1:5" x14ac:dyDescent="0.2">
      <c r="A2563" s="81">
        <v>41244</v>
      </c>
      <c r="B2563">
        <v>1063.7</v>
      </c>
      <c r="C2563">
        <v>4520.1000000000004</v>
      </c>
      <c r="E2563">
        <v>10451.5</v>
      </c>
    </row>
    <row r="2564" spans="1:5" x14ac:dyDescent="0.2">
      <c r="A2564" s="81">
        <v>41246</v>
      </c>
      <c r="D2564">
        <v>2467.5</v>
      </c>
    </row>
    <row r="2565" spans="1:5" x14ac:dyDescent="0.2">
      <c r="A2565" s="81">
        <v>41253</v>
      </c>
      <c r="D2565">
        <v>2469.3000000000002</v>
      </c>
    </row>
    <row r="2566" spans="1:5" x14ac:dyDescent="0.2">
      <c r="A2566" s="81">
        <v>41260</v>
      </c>
      <c r="D2566">
        <v>2438.6</v>
      </c>
    </row>
    <row r="2567" spans="1:5" x14ac:dyDescent="0.2">
      <c r="A2567" s="81">
        <v>41267</v>
      </c>
      <c r="D2567">
        <v>2474.4</v>
      </c>
    </row>
    <row r="2568" spans="1:5" x14ac:dyDescent="0.2">
      <c r="A2568" s="81">
        <v>41274</v>
      </c>
      <c r="D2568">
        <v>2459.6999999999998</v>
      </c>
    </row>
    <row r="2569" spans="1:5" x14ac:dyDescent="0.2">
      <c r="A2569" s="81">
        <v>41275</v>
      </c>
      <c r="B2569">
        <v>1066.8</v>
      </c>
      <c r="C2569">
        <v>4522.2</v>
      </c>
      <c r="E2569">
        <v>10477</v>
      </c>
    </row>
    <row r="2570" spans="1:5" x14ac:dyDescent="0.2">
      <c r="A2570" s="81">
        <v>41281</v>
      </c>
      <c r="D2570">
        <v>2459.6</v>
      </c>
    </row>
    <row r="2571" spans="1:5" x14ac:dyDescent="0.2">
      <c r="A2571" s="81">
        <v>41288</v>
      </c>
      <c r="D2571">
        <v>2480.1</v>
      </c>
    </row>
    <row r="2572" spans="1:5" x14ac:dyDescent="0.2">
      <c r="A2572" s="81">
        <v>41295</v>
      </c>
      <c r="D2572">
        <v>2488.5</v>
      </c>
    </row>
    <row r="2573" spans="1:5" x14ac:dyDescent="0.2">
      <c r="A2573" s="81">
        <v>41302</v>
      </c>
      <c r="D2573">
        <v>2465.1999999999998</v>
      </c>
    </row>
    <row r="2574" spans="1:5" x14ac:dyDescent="0.2">
      <c r="A2574" s="81">
        <v>41306</v>
      </c>
      <c r="B2574">
        <v>1062.0999999999999</v>
      </c>
      <c r="C2574">
        <v>4503</v>
      </c>
      <c r="E2574">
        <v>10489.1</v>
      </c>
    </row>
    <row r="2575" spans="1:5" x14ac:dyDescent="0.2">
      <c r="A2575" s="81">
        <v>41309</v>
      </c>
      <c r="D2575">
        <v>2474</v>
      </c>
    </row>
    <row r="2576" spans="1:5" x14ac:dyDescent="0.2">
      <c r="A2576" s="81">
        <v>41316</v>
      </c>
      <c r="D2576">
        <v>2484.3000000000002</v>
      </c>
    </row>
    <row r="2577" spans="1:5" x14ac:dyDescent="0.2">
      <c r="A2577" s="81">
        <v>41323</v>
      </c>
      <c r="D2577">
        <v>2469.4</v>
      </c>
    </row>
    <row r="2578" spans="1:5" x14ac:dyDescent="0.2">
      <c r="A2578" s="81">
        <v>41330</v>
      </c>
      <c r="D2578">
        <v>2465.9</v>
      </c>
    </row>
    <row r="2579" spans="1:5" x14ac:dyDescent="0.2">
      <c r="A2579" s="81">
        <v>41334</v>
      </c>
      <c r="B2579">
        <v>1068.5999999999999</v>
      </c>
      <c r="C2579">
        <v>4544.3999999999996</v>
      </c>
      <c r="E2579">
        <v>10555.8</v>
      </c>
    </row>
    <row r="2580" spans="1:5" x14ac:dyDescent="0.2">
      <c r="A2580" s="81">
        <v>41337</v>
      </c>
      <c r="D2580">
        <v>2461.8000000000002</v>
      </c>
    </row>
    <row r="2581" spans="1:5" x14ac:dyDescent="0.2">
      <c r="A2581" s="81">
        <v>41344</v>
      </c>
      <c r="D2581">
        <v>2468.3000000000002</v>
      </c>
    </row>
    <row r="2582" spans="1:5" x14ac:dyDescent="0.2">
      <c r="A2582" s="81">
        <v>41351</v>
      </c>
      <c r="D2582">
        <v>2466.8000000000002</v>
      </c>
    </row>
    <row r="2583" spans="1:5" x14ac:dyDescent="0.2">
      <c r="A2583" s="81">
        <v>41358</v>
      </c>
      <c r="D2583">
        <v>2488.8000000000002</v>
      </c>
    </row>
    <row r="2584" spans="1:5" x14ac:dyDescent="0.2">
      <c r="A2584" s="81">
        <v>41365</v>
      </c>
      <c r="B2584">
        <v>1084.2</v>
      </c>
      <c r="C2584">
        <v>4568.8</v>
      </c>
      <c r="D2584">
        <v>2511.8000000000002</v>
      </c>
      <c r="E2584">
        <v>10590.3</v>
      </c>
    </row>
    <row r="2585" spans="1:5" x14ac:dyDescent="0.2">
      <c r="A2585" s="81">
        <v>41372</v>
      </c>
      <c r="D2585">
        <v>2486.3000000000002</v>
      </c>
    </row>
    <row r="2586" spans="1:5" x14ac:dyDescent="0.2">
      <c r="A2586" s="81">
        <v>41379</v>
      </c>
      <c r="D2586">
        <v>2514.6</v>
      </c>
    </row>
    <row r="2587" spans="1:5" x14ac:dyDescent="0.2">
      <c r="A2587" s="81">
        <v>41386</v>
      </c>
      <c r="D2587">
        <v>2527.4</v>
      </c>
    </row>
    <row r="2588" spans="1:5" x14ac:dyDescent="0.2">
      <c r="A2588" s="81">
        <v>41393</v>
      </c>
      <c r="D2588">
        <v>2534.5</v>
      </c>
    </row>
    <row r="2589" spans="1:5" x14ac:dyDescent="0.2">
      <c r="A2589" s="81">
        <v>41395</v>
      </c>
      <c r="B2589">
        <v>1091.8</v>
      </c>
      <c r="C2589">
        <v>4584.1000000000004</v>
      </c>
      <c r="E2589">
        <v>10630.1</v>
      </c>
    </row>
    <row r="2590" spans="1:5" x14ac:dyDescent="0.2">
      <c r="A2590" s="81">
        <v>41400</v>
      </c>
      <c r="D2590">
        <v>2501.5</v>
      </c>
    </row>
    <row r="2591" spans="1:5" x14ac:dyDescent="0.2">
      <c r="A2591" s="81">
        <v>41407</v>
      </c>
      <c r="D2591">
        <v>2523.3000000000002</v>
      </c>
    </row>
    <row r="2592" spans="1:5" x14ac:dyDescent="0.2">
      <c r="A2592" s="81">
        <v>41414</v>
      </c>
      <c r="D2592">
        <v>2524.1</v>
      </c>
    </row>
    <row r="2593" spans="1:5" x14ac:dyDescent="0.2">
      <c r="A2593" s="81">
        <v>41421</v>
      </c>
      <c r="D2593">
        <v>2535.9</v>
      </c>
    </row>
    <row r="2594" spans="1:5" x14ac:dyDescent="0.2">
      <c r="A2594" s="81">
        <v>41426</v>
      </c>
      <c r="B2594">
        <v>1089.5</v>
      </c>
      <c r="C2594">
        <v>4595.7</v>
      </c>
      <c r="E2594">
        <v>10682.5</v>
      </c>
    </row>
    <row r="2595" spans="1:5" x14ac:dyDescent="0.2">
      <c r="A2595" s="81">
        <v>41428</v>
      </c>
      <c r="D2595">
        <v>2585.8000000000002</v>
      </c>
    </row>
    <row r="2596" spans="1:5" x14ac:dyDescent="0.2">
      <c r="A2596" s="81">
        <v>41435</v>
      </c>
      <c r="D2596">
        <v>2538.9</v>
      </c>
    </row>
    <row r="2597" spans="1:5" x14ac:dyDescent="0.2">
      <c r="A2597" s="81">
        <v>41442</v>
      </c>
      <c r="D2597">
        <v>2513.1999999999998</v>
      </c>
    </row>
    <row r="2598" spans="1:5" x14ac:dyDescent="0.2">
      <c r="A2598" s="81">
        <v>41449</v>
      </c>
      <c r="D2598">
        <v>2522.4</v>
      </c>
    </row>
    <row r="2599" spans="1:5" x14ac:dyDescent="0.2">
      <c r="A2599" s="81">
        <v>41456</v>
      </c>
      <c r="B2599">
        <v>1091.4000000000001</v>
      </c>
      <c r="C2599">
        <v>4606.7</v>
      </c>
      <c r="D2599">
        <v>2526.6</v>
      </c>
      <c r="E2599">
        <v>10728.9</v>
      </c>
    </row>
    <row r="2600" spans="1:5" x14ac:dyDescent="0.2">
      <c r="A2600" s="81">
        <v>41463</v>
      </c>
      <c r="D2600">
        <v>2526.9</v>
      </c>
    </row>
    <row r="2601" spans="1:5" x14ac:dyDescent="0.2">
      <c r="A2601" s="81">
        <v>41470</v>
      </c>
      <c r="D2601">
        <v>2544</v>
      </c>
    </row>
    <row r="2602" spans="1:5" x14ac:dyDescent="0.2">
      <c r="A2602" s="81">
        <v>41477</v>
      </c>
      <c r="D2602">
        <v>2565.6</v>
      </c>
    </row>
    <row r="2603" spans="1:5" x14ac:dyDescent="0.2">
      <c r="A2603" s="81">
        <v>41484</v>
      </c>
      <c r="D2603">
        <v>2552.1999999999998</v>
      </c>
    </row>
    <row r="2604" spans="1:5" x14ac:dyDescent="0.2">
      <c r="A2604" s="81">
        <v>41487</v>
      </c>
      <c r="B2604">
        <v>1093.9000000000001</v>
      </c>
      <c r="C2604">
        <v>4619.1000000000004</v>
      </c>
      <c r="E2604">
        <v>10783.5</v>
      </c>
    </row>
    <row r="2605" spans="1:5" x14ac:dyDescent="0.2">
      <c r="A2605" s="81">
        <v>41491</v>
      </c>
      <c r="D2605">
        <v>2533.6</v>
      </c>
    </row>
    <row r="2606" spans="1:5" x14ac:dyDescent="0.2">
      <c r="A2606" s="81">
        <v>41498</v>
      </c>
      <c r="D2606">
        <v>2545.5</v>
      </c>
    </row>
    <row r="2607" spans="1:5" x14ac:dyDescent="0.2">
      <c r="A2607" s="81">
        <v>41505</v>
      </c>
      <c r="D2607">
        <v>2537.8000000000002</v>
      </c>
    </row>
    <row r="2608" spans="1:5" x14ac:dyDescent="0.2">
      <c r="A2608" s="81">
        <v>41512</v>
      </c>
      <c r="D2608">
        <v>2562.8000000000002</v>
      </c>
    </row>
    <row r="2609" spans="1:5" x14ac:dyDescent="0.2">
      <c r="A2609" s="81">
        <v>41518</v>
      </c>
      <c r="B2609">
        <v>1105.2</v>
      </c>
      <c r="C2609">
        <v>4639.5</v>
      </c>
      <c r="E2609">
        <v>10835.3</v>
      </c>
    </row>
    <row r="2610" spans="1:5" x14ac:dyDescent="0.2">
      <c r="A2610" s="81">
        <v>41519</v>
      </c>
      <c r="D2610">
        <v>2585.5</v>
      </c>
    </row>
    <row r="2611" spans="1:5" x14ac:dyDescent="0.2">
      <c r="A2611" s="81">
        <v>41526</v>
      </c>
      <c r="D2611">
        <v>2581.1999999999998</v>
      </c>
    </row>
    <row r="2612" spans="1:5" x14ac:dyDescent="0.2">
      <c r="A2612" s="81">
        <v>41533</v>
      </c>
      <c r="D2612">
        <v>2572.1</v>
      </c>
    </row>
    <row r="2613" spans="1:5" x14ac:dyDescent="0.2">
      <c r="A2613" s="81">
        <v>41540</v>
      </c>
      <c r="D2613">
        <v>2590.6999999999998</v>
      </c>
    </row>
    <row r="2614" spans="1:5" x14ac:dyDescent="0.2">
      <c r="A2614" s="81">
        <v>41547</v>
      </c>
      <c r="D2614">
        <v>2589.9</v>
      </c>
    </row>
    <row r="2615" spans="1:5" x14ac:dyDescent="0.2">
      <c r="A2615" s="81">
        <v>41548</v>
      </c>
      <c r="B2615">
        <v>1121.2</v>
      </c>
      <c r="C2615">
        <v>4685.6000000000004</v>
      </c>
      <c r="E2615">
        <v>10948.7</v>
      </c>
    </row>
    <row r="2616" spans="1:5" x14ac:dyDescent="0.2">
      <c r="A2616" s="81">
        <v>41554</v>
      </c>
      <c r="D2616">
        <v>2568.8000000000002</v>
      </c>
    </row>
    <row r="2617" spans="1:5" x14ac:dyDescent="0.2">
      <c r="A2617" s="81">
        <v>41561</v>
      </c>
      <c r="D2617">
        <v>2641.1</v>
      </c>
    </row>
    <row r="2618" spans="1:5" x14ac:dyDescent="0.2">
      <c r="A2618" s="81">
        <v>41568</v>
      </c>
      <c r="D2618">
        <v>2662.6</v>
      </c>
    </row>
    <row r="2619" spans="1:5" x14ac:dyDescent="0.2">
      <c r="A2619" s="81">
        <v>41575</v>
      </c>
      <c r="D2619">
        <v>2625.4</v>
      </c>
    </row>
    <row r="2620" spans="1:5" x14ac:dyDescent="0.2">
      <c r="A2620" s="81">
        <v>41579</v>
      </c>
      <c r="B2620">
        <v>1123.7</v>
      </c>
      <c r="C2620">
        <v>4679.2</v>
      </c>
      <c r="E2620">
        <v>10954.1</v>
      </c>
    </row>
    <row r="2621" spans="1:5" x14ac:dyDescent="0.2">
      <c r="A2621" s="81">
        <v>41582</v>
      </c>
      <c r="D2621">
        <v>2604.8000000000002</v>
      </c>
    </row>
    <row r="2622" spans="1:5" x14ac:dyDescent="0.2">
      <c r="A2622" s="81">
        <v>41589</v>
      </c>
      <c r="D2622">
        <v>2615</v>
      </c>
    </row>
    <row r="2623" spans="1:5" x14ac:dyDescent="0.2">
      <c r="A2623" s="81">
        <v>41596</v>
      </c>
      <c r="D2623">
        <v>2622.8</v>
      </c>
    </row>
    <row r="2624" spans="1:5" x14ac:dyDescent="0.2">
      <c r="A2624" s="81">
        <v>41603</v>
      </c>
      <c r="D2624">
        <v>2627.9</v>
      </c>
    </row>
    <row r="2625" spans="1:5" x14ac:dyDescent="0.2">
      <c r="A2625" s="81">
        <v>41609</v>
      </c>
      <c r="B2625">
        <v>1134.5</v>
      </c>
      <c r="C2625">
        <v>4695.1000000000004</v>
      </c>
      <c r="E2625">
        <v>11020.3</v>
      </c>
    </row>
    <row r="2626" spans="1:5" x14ac:dyDescent="0.2">
      <c r="A2626" s="81">
        <v>41610</v>
      </c>
      <c r="D2626">
        <v>2654.5</v>
      </c>
    </row>
    <row r="2627" spans="1:5" x14ac:dyDescent="0.2">
      <c r="A2627" s="81">
        <v>41617</v>
      </c>
      <c r="D2627">
        <v>2672.8</v>
      </c>
    </row>
    <row r="2628" spans="1:5" x14ac:dyDescent="0.2">
      <c r="A2628" s="81">
        <v>41624</v>
      </c>
      <c r="D2628">
        <v>2656.2</v>
      </c>
    </row>
    <row r="2629" spans="1:5" x14ac:dyDescent="0.2">
      <c r="A2629" s="81">
        <v>41631</v>
      </c>
      <c r="D2629">
        <v>2682.7</v>
      </c>
    </row>
    <row r="2630" spans="1:5" x14ac:dyDescent="0.2">
      <c r="A2630" s="81">
        <v>41638</v>
      </c>
      <c r="D2630">
        <v>2648.4</v>
      </c>
    </row>
    <row r="2631" spans="1:5" x14ac:dyDescent="0.2">
      <c r="A2631" s="81">
        <v>41640</v>
      </c>
      <c r="B2631">
        <v>1146.0999999999999</v>
      </c>
      <c r="C2631">
        <v>4707.7</v>
      </c>
      <c r="E2631">
        <v>11076.6</v>
      </c>
    </row>
    <row r="2632" spans="1:5" x14ac:dyDescent="0.2">
      <c r="A2632" s="81">
        <v>41645</v>
      </c>
      <c r="D2632">
        <v>2668.2</v>
      </c>
    </row>
    <row r="2633" spans="1:5" x14ac:dyDescent="0.2">
      <c r="A2633" s="81">
        <v>41652</v>
      </c>
      <c r="D2633">
        <v>2673.9</v>
      </c>
    </row>
    <row r="2634" spans="1:5" x14ac:dyDescent="0.2">
      <c r="A2634" s="81">
        <v>41659</v>
      </c>
      <c r="D2634">
        <v>2704.5</v>
      </c>
    </row>
    <row r="2635" spans="1:5" x14ac:dyDescent="0.2">
      <c r="A2635" s="81">
        <v>41666</v>
      </c>
      <c r="D2635">
        <v>2694.1</v>
      </c>
    </row>
    <row r="2636" spans="1:5" x14ac:dyDescent="0.2">
      <c r="A2636" s="81">
        <v>41671</v>
      </c>
      <c r="B2636">
        <v>1158.3</v>
      </c>
      <c r="C2636">
        <v>4741.8999999999996</v>
      </c>
      <c r="E2636">
        <v>11169.3</v>
      </c>
    </row>
    <row r="2637" spans="1:5" x14ac:dyDescent="0.2">
      <c r="A2637" s="81">
        <v>41673</v>
      </c>
      <c r="D2637">
        <v>2766.9</v>
      </c>
    </row>
    <row r="2638" spans="1:5" x14ac:dyDescent="0.2">
      <c r="A2638" s="81">
        <v>41680</v>
      </c>
      <c r="D2638">
        <v>2719.4</v>
      </c>
    </row>
    <row r="2639" spans="1:5" x14ac:dyDescent="0.2">
      <c r="A2639" s="81">
        <v>41687</v>
      </c>
      <c r="D2639">
        <v>2711.3</v>
      </c>
    </row>
    <row r="2640" spans="1:5" x14ac:dyDescent="0.2">
      <c r="A2640" s="81">
        <v>41694</v>
      </c>
      <c r="D2640">
        <v>2707.1</v>
      </c>
    </row>
    <row r="2641" spans="1:5" x14ac:dyDescent="0.2">
      <c r="A2641" s="81">
        <v>41699</v>
      </c>
      <c r="B2641">
        <v>1167.3</v>
      </c>
      <c r="C2641">
        <v>4748.3999999999996</v>
      </c>
      <c r="E2641">
        <v>11207.6</v>
      </c>
    </row>
    <row r="2642" spans="1:5" x14ac:dyDescent="0.2">
      <c r="A2642" s="81">
        <v>41701</v>
      </c>
      <c r="D2642">
        <v>2764.5</v>
      </c>
    </row>
    <row r="2643" spans="1:5" x14ac:dyDescent="0.2">
      <c r="A2643" s="81">
        <v>41708</v>
      </c>
      <c r="D2643">
        <v>2762.5</v>
      </c>
    </row>
    <row r="2644" spans="1:5" x14ac:dyDescent="0.2">
      <c r="A2644" s="81">
        <v>41715</v>
      </c>
      <c r="D2644">
        <v>2740.1</v>
      </c>
    </row>
    <row r="2645" spans="1:5" x14ac:dyDescent="0.2">
      <c r="A2645" s="81">
        <v>41722</v>
      </c>
      <c r="D2645">
        <v>2749.5</v>
      </c>
    </row>
    <row r="2646" spans="1:5" x14ac:dyDescent="0.2">
      <c r="A2646" s="81">
        <v>41729</v>
      </c>
      <c r="D2646">
        <v>2762.3</v>
      </c>
    </row>
    <row r="2647" spans="1:5" x14ac:dyDescent="0.2">
      <c r="A2647" s="81">
        <v>41730</v>
      </c>
      <c r="B2647">
        <v>1174.7</v>
      </c>
      <c r="C2647">
        <v>4761.7</v>
      </c>
      <c r="E2647">
        <v>11259.8</v>
      </c>
    </row>
    <row r="2648" spans="1:5" x14ac:dyDescent="0.2">
      <c r="A2648" s="81">
        <v>41736</v>
      </c>
      <c r="D2648">
        <v>2739.3</v>
      </c>
    </row>
    <row r="2649" spans="1:5" x14ac:dyDescent="0.2">
      <c r="A2649" s="81">
        <v>41743</v>
      </c>
      <c r="D2649">
        <v>2790</v>
      </c>
    </row>
    <row r="2650" spans="1:5" x14ac:dyDescent="0.2">
      <c r="A2650" s="81">
        <v>41750</v>
      </c>
      <c r="D2650">
        <v>2789.5</v>
      </c>
    </row>
    <row r="2651" spans="1:5" x14ac:dyDescent="0.2">
      <c r="A2651" s="81">
        <v>41757</v>
      </c>
      <c r="D2651">
        <v>2793.1</v>
      </c>
    </row>
    <row r="2652" spans="1:5" x14ac:dyDescent="0.2">
      <c r="A2652" s="81">
        <v>41760</v>
      </c>
      <c r="B2652">
        <v>1179.4000000000001</v>
      </c>
      <c r="C2652">
        <v>4780.7</v>
      </c>
      <c r="E2652">
        <v>11326.3</v>
      </c>
    </row>
    <row r="2653" spans="1:5" x14ac:dyDescent="0.2">
      <c r="A2653" s="81">
        <v>41764</v>
      </c>
      <c r="D2653">
        <v>2783.9</v>
      </c>
    </row>
    <row r="2654" spans="1:5" x14ac:dyDescent="0.2">
      <c r="A2654" s="81">
        <v>41771</v>
      </c>
      <c r="D2654">
        <v>2798.8</v>
      </c>
    </row>
    <row r="2655" spans="1:5" x14ac:dyDescent="0.2">
      <c r="A2655" s="81">
        <v>41778</v>
      </c>
      <c r="D2655">
        <v>2782.3</v>
      </c>
    </row>
    <row r="2656" spans="1:5" x14ac:dyDescent="0.2">
      <c r="A2656" s="81">
        <v>41785</v>
      </c>
      <c r="D2656">
        <v>2792.3</v>
      </c>
    </row>
    <row r="2657" spans="1:5" x14ac:dyDescent="0.2">
      <c r="A2657" s="81">
        <v>41791</v>
      </c>
      <c r="B2657">
        <v>1192.7</v>
      </c>
      <c r="C2657">
        <v>4795.8</v>
      </c>
      <c r="E2657">
        <v>11377.2</v>
      </c>
    </row>
    <row r="2658" spans="1:5" x14ac:dyDescent="0.2">
      <c r="A2658" s="81">
        <v>41792</v>
      </c>
      <c r="D2658">
        <v>2820.5</v>
      </c>
    </row>
    <row r="2659" spans="1:5" x14ac:dyDescent="0.2">
      <c r="A2659" s="81">
        <v>41799</v>
      </c>
      <c r="D2659">
        <v>2831.3</v>
      </c>
    </row>
    <row r="2660" spans="1:5" x14ac:dyDescent="0.2">
      <c r="A2660" s="81">
        <v>41806</v>
      </c>
      <c r="D2660">
        <v>2825.5</v>
      </c>
    </row>
    <row r="2661" spans="1:5" x14ac:dyDescent="0.2">
      <c r="A2661" s="81">
        <v>41813</v>
      </c>
      <c r="D2661">
        <v>2829.2</v>
      </c>
    </row>
    <row r="2662" spans="1:5" x14ac:dyDescent="0.2">
      <c r="A2662" s="81">
        <v>41820</v>
      </c>
      <c r="D2662">
        <v>2834.5</v>
      </c>
    </row>
    <row r="2663" spans="1:5" x14ac:dyDescent="0.2">
      <c r="A2663" s="81">
        <v>41821</v>
      </c>
      <c r="B2663">
        <v>1195.8</v>
      </c>
      <c r="C2663">
        <v>4814.3999999999996</v>
      </c>
      <c r="E2663">
        <v>11434</v>
      </c>
    </row>
    <row r="2664" spans="1:5" x14ac:dyDescent="0.2">
      <c r="A2664" s="81">
        <v>41827</v>
      </c>
      <c r="D2664">
        <v>2812.5</v>
      </c>
    </row>
    <row r="2665" spans="1:5" x14ac:dyDescent="0.2">
      <c r="A2665" s="81">
        <v>41834</v>
      </c>
      <c r="D2665">
        <v>2853.2</v>
      </c>
    </row>
    <row r="2666" spans="1:5" x14ac:dyDescent="0.2">
      <c r="A2666" s="81">
        <v>41841</v>
      </c>
      <c r="D2666">
        <v>2860.9</v>
      </c>
    </row>
    <row r="2667" spans="1:5" x14ac:dyDescent="0.2">
      <c r="A2667" s="81">
        <v>41848</v>
      </c>
      <c r="D2667">
        <v>2841.4</v>
      </c>
    </row>
    <row r="2668" spans="1:5" x14ac:dyDescent="0.2">
      <c r="A2668" s="81">
        <v>41852</v>
      </c>
      <c r="B2668">
        <v>1180.7</v>
      </c>
      <c r="C2668">
        <v>4827.3</v>
      </c>
      <c r="E2668">
        <v>11462.9</v>
      </c>
    </row>
    <row r="2669" spans="1:5" x14ac:dyDescent="0.2">
      <c r="A2669" s="81">
        <v>41855</v>
      </c>
      <c r="D2669">
        <v>2841.9</v>
      </c>
    </row>
    <row r="2670" spans="1:5" x14ac:dyDescent="0.2">
      <c r="A2670" s="81">
        <v>41862</v>
      </c>
      <c r="D2670">
        <v>2807.8</v>
      </c>
    </row>
    <row r="2671" spans="1:5" x14ac:dyDescent="0.2">
      <c r="A2671" s="81">
        <v>41869</v>
      </c>
      <c r="D2671">
        <v>2781.3</v>
      </c>
    </row>
    <row r="2672" spans="1:5" x14ac:dyDescent="0.2">
      <c r="A2672" s="81">
        <v>41876</v>
      </c>
      <c r="D2672">
        <v>2794.1</v>
      </c>
    </row>
    <row r="2673" spans="1:5" x14ac:dyDescent="0.2">
      <c r="A2673" s="81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5" x14ac:dyDescent="0.2">
      <c r="A2674" s="81">
        <v>41890</v>
      </c>
      <c r="D2674">
        <v>2841</v>
      </c>
    </row>
    <row r="2675" spans="1:5" x14ac:dyDescent="0.2">
      <c r="A2675" s="81">
        <v>41897</v>
      </c>
      <c r="D2675">
        <v>2870.6</v>
      </c>
    </row>
    <row r="2676" spans="1:5" x14ac:dyDescent="0.2">
      <c r="A2676" s="81">
        <v>41904</v>
      </c>
      <c r="D2676">
        <v>2873</v>
      </c>
    </row>
    <row r="2677" spans="1:5" x14ac:dyDescent="0.2">
      <c r="A2677" s="81">
        <v>41911</v>
      </c>
      <c r="D2677">
        <v>2874</v>
      </c>
    </row>
    <row r="2678" spans="1:5" x14ac:dyDescent="0.2">
      <c r="A2678" s="81">
        <v>41913</v>
      </c>
      <c r="B2678">
        <v>1208.0999999999999</v>
      </c>
      <c r="C2678">
        <v>4868.2</v>
      </c>
      <c r="E2678">
        <v>11558.6</v>
      </c>
    </row>
    <row r="2679" spans="1:5" x14ac:dyDescent="0.2">
      <c r="A2679" s="81">
        <v>41918</v>
      </c>
      <c r="D2679">
        <v>2851.7</v>
      </c>
    </row>
    <row r="2680" spans="1:5" x14ac:dyDescent="0.2">
      <c r="A2680" s="81">
        <v>41925</v>
      </c>
      <c r="D2680">
        <v>2857.2</v>
      </c>
    </row>
    <row r="2681" spans="1:5" x14ac:dyDescent="0.2">
      <c r="A2681" s="81">
        <v>41932</v>
      </c>
      <c r="D2681">
        <v>2862.6</v>
      </c>
    </row>
    <row r="2682" spans="1:5" x14ac:dyDescent="0.2">
      <c r="A2682" s="81">
        <v>41939</v>
      </c>
      <c r="D2682">
        <v>2869.6</v>
      </c>
    </row>
    <row r="2683" spans="1:5" x14ac:dyDescent="0.2">
      <c r="A2683" s="81">
        <v>41944</v>
      </c>
      <c r="B2683">
        <v>1217.9000000000001</v>
      </c>
      <c r="C2683">
        <v>4892.6000000000004</v>
      </c>
      <c r="E2683">
        <v>11594.7</v>
      </c>
    </row>
    <row r="2684" spans="1:5" x14ac:dyDescent="0.2">
      <c r="A2684" s="81">
        <v>41946</v>
      </c>
      <c r="D2684">
        <v>2919.6</v>
      </c>
    </row>
    <row r="2685" spans="1:5" x14ac:dyDescent="0.2">
      <c r="A2685" s="81">
        <v>41953</v>
      </c>
      <c r="D2685">
        <v>2891.6</v>
      </c>
    </row>
    <row r="2686" spans="1:5" x14ac:dyDescent="0.2">
      <c r="A2686" s="81">
        <v>41960</v>
      </c>
      <c r="D2686">
        <v>2871.4</v>
      </c>
    </row>
    <row r="2687" spans="1:5" x14ac:dyDescent="0.2">
      <c r="A2687" s="81">
        <v>41967</v>
      </c>
      <c r="D2687">
        <v>2880.7</v>
      </c>
    </row>
    <row r="2688" spans="1:5" x14ac:dyDescent="0.2">
      <c r="A2688" s="81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5" x14ac:dyDescent="0.2">
      <c r="A2689" s="81">
        <v>41981</v>
      </c>
      <c r="D2689">
        <v>2929</v>
      </c>
    </row>
    <row r="2690" spans="1:5" x14ac:dyDescent="0.2">
      <c r="A2690" s="81">
        <v>41988</v>
      </c>
      <c r="D2690">
        <v>2944.2</v>
      </c>
    </row>
    <row r="2691" spans="1:5" x14ac:dyDescent="0.2">
      <c r="A2691" s="81">
        <v>41995</v>
      </c>
      <c r="D2691">
        <v>2959.7</v>
      </c>
    </row>
    <row r="2692" spans="1:5" x14ac:dyDescent="0.2">
      <c r="A2692" s="81">
        <v>42002</v>
      </c>
      <c r="D2692">
        <v>2937.8</v>
      </c>
    </row>
    <row r="2693" spans="1:5" x14ac:dyDescent="0.2">
      <c r="A2693" s="81">
        <v>42005</v>
      </c>
      <c r="B2693">
        <v>1252.8</v>
      </c>
      <c r="C2693">
        <v>5002.8</v>
      </c>
      <c r="E2693">
        <v>11743.9</v>
      </c>
    </row>
    <row r="2694" spans="1:5" x14ac:dyDescent="0.2">
      <c r="A2694" s="81">
        <v>42009</v>
      </c>
      <c r="D2694">
        <v>2934</v>
      </c>
    </row>
    <row r="2695" spans="1:5" x14ac:dyDescent="0.2">
      <c r="A2695" s="81">
        <v>42016</v>
      </c>
      <c r="D2695">
        <v>2930.6</v>
      </c>
    </row>
    <row r="2696" spans="1:5" x14ac:dyDescent="0.2">
      <c r="A2696" s="81">
        <v>42023</v>
      </c>
      <c r="D2696">
        <v>2917.8</v>
      </c>
    </row>
    <row r="2697" spans="1:5" x14ac:dyDescent="0.2">
      <c r="A2697" s="81">
        <v>42030</v>
      </c>
      <c r="D2697">
        <v>2935.5</v>
      </c>
    </row>
    <row r="2698" spans="1:5" x14ac:dyDescent="0.2">
      <c r="A2698" s="81">
        <v>42036</v>
      </c>
      <c r="B2698">
        <v>1278.7</v>
      </c>
      <c r="C2698">
        <v>5044.3999999999996</v>
      </c>
      <c r="E2698">
        <v>11871.7</v>
      </c>
    </row>
    <row r="2699" spans="1:5" x14ac:dyDescent="0.2">
      <c r="A2699" s="81">
        <v>42037</v>
      </c>
      <c r="D2699">
        <v>2999.4</v>
      </c>
    </row>
    <row r="2700" spans="1:5" x14ac:dyDescent="0.2">
      <c r="A2700" s="81">
        <v>42044</v>
      </c>
      <c r="D2700">
        <v>3002.2</v>
      </c>
    </row>
    <row r="2701" spans="1:5" x14ac:dyDescent="0.2">
      <c r="A2701" s="81">
        <v>42051</v>
      </c>
      <c r="D2701">
        <v>3005.6</v>
      </c>
    </row>
    <row r="2702" spans="1:5" x14ac:dyDescent="0.2">
      <c r="A2702" s="81">
        <v>42058</v>
      </c>
      <c r="D2702">
        <v>3006.4</v>
      </c>
    </row>
    <row r="2703" spans="1:5" x14ac:dyDescent="0.2">
      <c r="A2703" s="81">
        <v>42064</v>
      </c>
      <c r="B2703">
        <v>1272.2</v>
      </c>
      <c r="C2703">
        <v>5037.8</v>
      </c>
      <c r="E2703">
        <v>11888.1</v>
      </c>
    </row>
    <row r="2704" spans="1:5" x14ac:dyDescent="0.2">
      <c r="A2704" s="81">
        <v>42065</v>
      </c>
      <c r="D2704">
        <v>3015.5</v>
      </c>
    </row>
    <row r="2705" spans="1:5" x14ac:dyDescent="0.2">
      <c r="A2705" s="81">
        <v>42072</v>
      </c>
      <c r="D2705">
        <v>3013.2</v>
      </c>
    </row>
    <row r="2706" spans="1:5" x14ac:dyDescent="0.2">
      <c r="A2706" s="81">
        <v>42079</v>
      </c>
      <c r="D2706">
        <v>2995.8</v>
      </c>
    </row>
    <row r="2707" spans="1:5" x14ac:dyDescent="0.2">
      <c r="A2707" s="81">
        <v>42086</v>
      </c>
      <c r="D2707">
        <v>3000.2</v>
      </c>
    </row>
    <row r="2708" spans="1:5" x14ac:dyDescent="0.2">
      <c r="A2708" s="81">
        <v>42093</v>
      </c>
      <c r="D2708">
        <v>2987.5</v>
      </c>
    </row>
    <row r="2709" spans="1:5" x14ac:dyDescent="0.2">
      <c r="A2709" s="81">
        <v>42095</v>
      </c>
      <c r="B2709">
        <v>1270.5999999999999</v>
      </c>
      <c r="C2709">
        <v>5049.3</v>
      </c>
      <c r="E2709">
        <v>11927.6</v>
      </c>
    </row>
    <row r="2710" spans="1:5" x14ac:dyDescent="0.2">
      <c r="A2710" s="81">
        <v>42100</v>
      </c>
      <c r="D2710">
        <v>2977.8</v>
      </c>
    </row>
    <row r="2711" spans="1:5" x14ac:dyDescent="0.2">
      <c r="A2711" s="81">
        <v>42107</v>
      </c>
      <c r="D2711">
        <v>3014.8</v>
      </c>
    </row>
    <row r="2712" spans="1:5" x14ac:dyDescent="0.2">
      <c r="A2712" s="81">
        <v>42114</v>
      </c>
      <c r="D2712">
        <v>3015.8</v>
      </c>
    </row>
    <row r="2713" spans="1:5" x14ac:dyDescent="0.2">
      <c r="A2713" s="81">
        <v>42121</v>
      </c>
      <c r="D2713">
        <v>2994.4</v>
      </c>
    </row>
    <row r="2714" spans="1:5" x14ac:dyDescent="0.2">
      <c r="A2714" s="81">
        <v>42125</v>
      </c>
      <c r="B2714">
        <v>1258.9000000000001</v>
      </c>
      <c r="C2714">
        <v>5045.5</v>
      </c>
      <c r="E2714">
        <v>11957.9</v>
      </c>
    </row>
    <row r="2715" spans="1:5" x14ac:dyDescent="0.2">
      <c r="A2715" s="81">
        <v>42128</v>
      </c>
      <c r="D2715">
        <v>2995.3</v>
      </c>
    </row>
    <row r="2716" spans="1:5" x14ac:dyDescent="0.2">
      <c r="A2716" s="81">
        <v>42135</v>
      </c>
      <c r="D2716">
        <v>2997.1</v>
      </c>
    </row>
    <row r="2717" spans="1:5" x14ac:dyDescent="0.2">
      <c r="A2717" s="81">
        <v>42142</v>
      </c>
      <c r="D2717">
        <v>2970.3</v>
      </c>
    </row>
    <row r="2718" spans="1:5" x14ac:dyDescent="0.2">
      <c r="A2718" s="81">
        <v>42149</v>
      </c>
      <c r="D2718">
        <v>2994.8</v>
      </c>
    </row>
    <row r="2719" spans="1:5" x14ac:dyDescent="0.2">
      <c r="A2719" s="81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5" x14ac:dyDescent="0.2">
      <c r="A2720" s="81">
        <v>42163</v>
      </c>
      <c r="D2720">
        <v>2990.7</v>
      </c>
    </row>
    <row r="2721" spans="1:5" x14ac:dyDescent="0.2">
      <c r="A2721" s="81">
        <v>42170</v>
      </c>
      <c r="D2721">
        <v>3012.6</v>
      </c>
    </row>
    <row r="2722" spans="1:5" x14ac:dyDescent="0.2">
      <c r="A2722" s="81">
        <v>42177</v>
      </c>
      <c r="D2722">
        <v>3037.1</v>
      </c>
    </row>
    <row r="2723" spans="1:5" x14ac:dyDescent="0.2">
      <c r="A2723" s="81">
        <v>42184</v>
      </c>
      <c r="D2723">
        <v>3047.2</v>
      </c>
    </row>
    <row r="2724" spans="1:5" x14ac:dyDescent="0.2">
      <c r="A2724" s="81">
        <v>42186</v>
      </c>
      <c r="B2724">
        <v>1276.3</v>
      </c>
      <c r="C2724">
        <v>5063.1000000000004</v>
      </c>
      <c r="E2724">
        <v>12052</v>
      </c>
    </row>
    <row r="2725" spans="1:5" x14ac:dyDescent="0.2">
      <c r="A2725" s="81">
        <v>42191</v>
      </c>
      <c r="D2725">
        <v>3022.5</v>
      </c>
    </row>
    <row r="2726" spans="1:5" x14ac:dyDescent="0.2">
      <c r="A2726" s="81">
        <v>42198</v>
      </c>
      <c r="D2726">
        <v>3035.5</v>
      </c>
    </row>
    <row r="2727" spans="1:5" x14ac:dyDescent="0.2">
      <c r="A2727" s="81">
        <v>42205</v>
      </c>
      <c r="D2727">
        <v>3038.4</v>
      </c>
    </row>
    <row r="2728" spans="1:5" x14ac:dyDescent="0.2">
      <c r="A2728" s="81">
        <v>42212</v>
      </c>
      <c r="D2728">
        <v>3033.5</v>
      </c>
    </row>
    <row r="2729" spans="1:5" x14ac:dyDescent="0.2">
      <c r="A2729" s="81">
        <v>42217</v>
      </c>
      <c r="B2729">
        <v>1272.3</v>
      </c>
      <c r="C2729">
        <v>5083.6000000000004</v>
      </c>
      <c r="E2729">
        <v>12100.6</v>
      </c>
    </row>
    <row r="2730" spans="1:5" x14ac:dyDescent="0.2">
      <c r="A2730" s="81">
        <v>42219</v>
      </c>
      <c r="D2730">
        <v>3092</v>
      </c>
    </row>
    <row r="2731" spans="1:5" x14ac:dyDescent="0.2">
      <c r="A2731" s="81">
        <v>42226</v>
      </c>
      <c r="D2731">
        <v>3033.6</v>
      </c>
    </row>
    <row r="2732" spans="1:5" x14ac:dyDescent="0.2">
      <c r="A2732" s="81">
        <v>42233</v>
      </c>
      <c r="D2732">
        <v>3013.6</v>
      </c>
    </row>
    <row r="2733" spans="1:5" x14ac:dyDescent="0.2">
      <c r="A2733" s="81">
        <v>42240</v>
      </c>
      <c r="D2733">
        <v>3025.7</v>
      </c>
    </row>
    <row r="2734" spans="1:5" x14ac:dyDescent="0.2">
      <c r="A2734" s="81">
        <v>42247</v>
      </c>
      <c r="D2734">
        <v>3018.5</v>
      </c>
    </row>
    <row r="2735" spans="1:5" x14ac:dyDescent="0.2">
      <c r="A2735" s="81">
        <v>42248</v>
      </c>
      <c r="B2735">
        <v>1281.3</v>
      </c>
      <c r="C2735">
        <v>5117.8</v>
      </c>
      <c r="E2735">
        <v>12154.6</v>
      </c>
    </row>
    <row r="2736" spans="1:5" x14ac:dyDescent="0.2">
      <c r="A2736" s="81">
        <v>42254</v>
      </c>
      <c r="D2736">
        <v>3012</v>
      </c>
    </row>
    <row r="2737" spans="1:5" x14ac:dyDescent="0.2">
      <c r="A2737" s="81">
        <v>42261</v>
      </c>
      <c r="D2737">
        <v>3048.2</v>
      </c>
    </row>
    <row r="2738" spans="1:5" x14ac:dyDescent="0.2">
      <c r="A2738" s="81">
        <v>42268</v>
      </c>
      <c r="D2738">
        <v>3074.9</v>
      </c>
    </row>
    <row r="2739" spans="1:5" x14ac:dyDescent="0.2">
      <c r="A2739" s="81">
        <v>42275</v>
      </c>
      <c r="D2739">
        <v>3053.2</v>
      </c>
    </row>
    <row r="2740" spans="1:5" x14ac:dyDescent="0.2">
      <c r="A2740" s="81">
        <v>42278</v>
      </c>
      <c r="B2740">
        <v>1269.0999999999999</v>
      </c>
      <c r="C2740">
        <v>5128.7</v>
      </c>
      <c r="E2740">
        <v>12192.5</v>
      </c>
    </row>
    <row r="2741" spans="1:5" x14ac:dyDescent="0.2">
      <c r="A2741" s="81">
        <v>42282</v>
      </c>
      <c r="D2741">
        <v>3016.1</v>
      </c>
    </row>
    <row r="2742" spans="1:5" x14ac:dyDescent="0.2">
      <c r="A2742" s="81">
        <v>42289</v>
      </c>
      <c r="D2742">
        <v>2999.1</v>
      </c>
    </row>
    <row r="2743" spans="1:5" x14ac:dyDescent="0.2">
      <c r="A2743" s="81">
        <v>42296</v>
      </c>
      <c r="D2743">
        <v>2996.2</v>
      </c>
    </row>
    <row r="2744" spans="1:5" x14ac:dyDescent="0.2">
      <c r="A2744" s="81">
        <v>42303</v>
      </c>
      <c r="D2744">
        <v>3023.1</v>
      </c>
    </row>
    <row r="2745" spans="1:5" x14ac:dyDescent="0.2">
      <c r="A2745" s="81">
        <v>42309</v>
      </c>
      <c r="B2745">
        <v>1294.5</v>
      </c>
      <c r="C2745">
        <v>5158</v>
      </c>
      <c r="E2745">
        <v>12277</v>
      </c>
    </row>
    <row r="2746" spans="1:5" x14ac:dyDescent="0.2">
      <c r="A2746" s="81">
        <v>42310</v>
      </c>
      <c r="D2746">
        <v>3067.6</v>
      </c>
    </row>
    <row r="2747" spans="1:5" x14ac:dyDescent="0.2">
      <c r="A2747" s="81">
        <v>42317</v>
      </c>
      <c r="D2747">
        <v>3077.4</v>
      </c>
    </row>
    <row r="2748" spans="1:5" x14ac:dyDescent="0.2">
      <c r="A2748" s="81">
        <v>42324</v>
      </c>
      <c r="D2748">
        <v>3072.7</v>
      </c>
    </row>
    <row r="2749" spans="1:5" x14ac:dyDescent="0.2">
      <c r="A2749" s="81">
        <v>42331</v>
      </c>
      <c r="D2749">
        <v>3095.2</v>
      </c>
    </row>
    <row r="2750" spans="1:5" x14ac:dyDescent="0.2">
      <c r="A2750" s="81">
        <v>42338</v>
      </c>
      <c r="D2750">
        <v>3084.4</v>
      </c>
    </row>
    <row r="2751" spans="1:5" x14ac:dyDescent="0.2">
      <c r="A2751" s="81">
        <v>42339</v>
      </c>
      <c r="B2751">
        <v>1302.3</v>
      </c>
      <c r="C2751">
        <v>5190.1000000000004</v>
      </c>
      <c r="E2751">
        <v>12340.1</v>
      </c>
    </row>
    <row r="2752" spans="1:5" x14ac:dyDescent="0.2">
      <c r="A2752" s="81">
        <v>42345</v>
      </c>
      <c r="D2752">
        <v>3038.9</v>
      </c>
    </row>
    <row r="2753" spans="1:5" x14ac:dyDescent="0.2">
      <c r="A2753" s="81">
        <v>42352</v>
      </c>
      <c r="D2753">
        <v>3083.8</v>
      </c>
    </row>
    <row r="2754" spans="1:5" x14ac:dyDescent="0.2">
      <c r="A2754" s="81">
        <v>42359</v>
      </c>
      <c r="D2754">
        <v>3116.8</v>
      </c>
    </row>
    <row r="2755" spans="1:5" x14ac:dyDescent="0.2">
      <c r="A2755" s="81">
        <v>42366</v>
      </c>
      <c r="D2755">
        <v>3099.9</v>
      </c>
    </row>
    <row r="2756" spans="1:5" x14ac:dyDescent="0.2">
      <c r="A2756" s="81">
        <v>42370</v>
      </c>
      <c r="B2756">
        <v>1304.4000000000001</v>
      </c>
      <c r="C2756">
        <v>5247.8</v>
      </c>
      <c r="E2756">
        <v>12471.4</v>
      </c>
    </row>
    <row r="2757" spans="1:5" x14ac:dyDescent="0.2">
      <c r="A2757" s="81">
        <v>42373</v>
      </c>
      <c r="D2757">
        <v>3177.3</v>
      </c>
    </row>
    <row r="2758" spans="1:5" x14ac:dyDescent="0.2">
      <c r="A2758" s="81">
        <v>42380</v>
      </c>
      <c r="D2758">
        <v>3090.4</v>
      </c>
    </row>
    <row r="2759" spans="1:5" x14ac:dyDescent="0.2">
      <c r="A2759" s="81">
        <v>42387</v>
      </c>
      <c r="D2759">
        <v>3079.7</v>
      </c>
    </row>
    <row r="2760" spans="1:5" x14ac:dyDescent="0.2">
      <c r="A2760" s="81">
        <v>42394</v>
      </c>
      <c r="D2760">
        <v>3093.3</v>
      </c>
    </row>
    <row r="2761" spans="1:5" x14ac:dyDescent="0.2">
      <c r="A2761" s="81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5" x14ac:dyDescent="0.2">
      <c r="A2762" s="81">
        <v>42408</v>
      </c>
      <c r="D2762">
        <v>3084.2</v>
      </c>
    </row>
    <row r="2763" spans="1:5" x14ac:dyDescent="0.2">
      <c r="A2763" s="81">
        <v>42415</v>
      </c>
      <c r="D2763">
        <v>3138.4</v>
      </c>
    </row>
    <row r="2764" spans="1:5" x14ac:dyDescent="0.2">
      <c r="A2764" s="81">
        <v>42422</v>
      </c>
      <c r="D2764">
        <v>3134.3</v>
      </c>
    </row>
    <row r="2765" spans="1:5" x14ac:dyDescent="0.2">
      <c r="A2765" s="81">
        <v>42429</v>
      </c>
      <c r="D2765">
        <v>3165.8</v>
      </c>
    </row>
    <row r="2766" spans="1:5" x14ac:dyDescent="0.2">
      <c r="A2766" s="81">
        <v>42430</v>
      </c>
      <c r="B2766">
        <v>1326.1</v>
      </c>
      <c r="C2766">
        <v>5299.3</v>
      </c>
      <c r="E2766">
        <v>12616.6</v>
      </c>
    </row>
    <row r="2767" spans="1:5" x14ac:dyDescent="0.2">
      <c r="A2767" s="81">
        <v>42436</v>
      </c>
      <c r="D2767">
        <v>3107.5</v>
      </c>
    </row>
    <row r="2768" spans="1:5" x14ac:dyDescent="0.2">
      <c r="A2768" s="81">
        <v>42443</v>
      </c>
      <c r="D2768">
        <v>3134.2</v>
      </c>
    </row>
    <row r="2769" spans="1:5" x14ac:dyDescent="0.2">
      <c r="A2769" s="81">
        <v>42450</v>
      </c>
      <c r="D2769">
        <v>3174.5</v>
      </c>
    </row>
    <row r="2770" spans="1:5" x14ac:dyDescent="0.2">
      <c r="A2770" s="81">
        <v>42457</v>
      </c>
      <c r="D2770">
        <v>3181</v>
      </c>
    </row>
    <row r="2771" spans="1:5" x14ac:dyDescent="0.2">
      <c r="A2771" s="81">
        <v>42461</v>
      </c>
      <c r="B2771">
        <v>1338.6</v>
      </c>
      <c r="C2771">
        <v>5312.7</v>
      </c>
      <c r="E2771">
        <v>12697</v>
      </c>
    </row>
    <row r="2772" spans="1:5" x14ac:dyDescent="0.2">
      <c r="A2772" s="81">
        <v>42464</v>
      </c>
      <c r="D2772">
        <v>3180.7</v>
      </c>
    </row>
    <row r="2773" spans="1:5" x14ac:dyDescent="0.2">
      <c r="A2773" s="81">
        <v>42471</v>
      </c>
      <c r="D2773">
        <v>3198.4</v>
      </c>
    </row>
    <row r="2774" spans="1:5" x14ac:dyDescent="0.2">
      <c r="A2774" s="81">
        <v>42478</v>
      </c>
      <c r="D2774">
        <v>3182.4</v>
      </c>
    </row>
    <row r="2775" spans="1:5" x14ac:dyDescent="0.2">
      <c r="A2775" s="81">
        <v>42485</v>
      </c>
      <c r="D2775">
        <v>3203.5</v>
      </c>
    </row>
    <row r="2776" spans="1:5" x14ac:dyDescent="0.2">
      <c r="A2776" s="81">
        <v>42491</v>
      </c>
      <c r="B2776">
        <v>1351.4</v>
      </c>
      <c r="C2776">
        <v>5328</v>
      </c>
      <c r="E2776">
        <v>12763.7</v>
      </c>
    </row>
    <row r="2777" spans="1:5" x14ac:dyDescent="0.2">
      <c r="A2777" s="81">
        <v>42492</v>
      </c>
      <c r="D2777">
        <v>3242.5</v>
      </c>
    </row>
    <row r="2778" spans="1:5" x14ac:dyDescent="0.2">
      <c r="A2778" s="81">
        <v>42499</v>
      </c>
      <c r="D2778">
        <v>3255.3</v>
      </c>
    </row>
    <row r="2779" spans="1:5" x14ac:dyDescent="0.2">
      <c r="A2779" s="81">
        <v>42506</v>
      </c>
      <c r="D2779">
        <v>3236.6</v>
      </c>
    </row>
    <row r="2780" spans="1:5" x14ac:dyDescent="0.2">
      <c r="A2780" s="81">
        <v>42513</v>
      </c>
      <c r="D2780">
        <v>3248.8</v>
      </c>
    </row>
    <row r="2781" spans="1:5" x14ac:dyDescent="0.2">
      <c r="A2781" s="81">
        <v>42520</v>
      </c>
      <c r="D2781">
        <v>3218.7</v>
      </c>
    </row>
    <row r="2782" spans="1:5" x14ac:dyDescent="0.2">
      <c r="A2782" s="81">
        <v>42522</v>
      </c>
      <c r="B2782">
        <v>1350.5</v>
      </c>
      <c r="C2782">
        <v>5341.1</v>
      </c>
      <c r="E2782">
        <v>12830.6</v>
      </c>
    </row>
    <row r="2783" spans="1:5" x14ac:dyDescent="0.2">
      <c r="A2783" s="81">
        <v>42527</v>
      </c>
      <c r="D2783">
        <v>3207</v>
      </c>
    </row>
    <row r="2784" spans="1:5" x14ac:dyDescent="0.2">
      <c r="A2784" s="81">
        <v>42534</v>
      </c>
      <c r="D2784">
        <v>3256.1</v>
      </c>
    </row>
    <row r="2785" spans="1:5" x14ac:dyDescent="0.2">
      <c r="A2785" s="81">
        <v>42541</v>
      </c>
      <c r="D2785">
        <v>3270.2</v>
      </c>
    </row>
    <row r="2786" spans="1:5" x14ac:dyDescent="0.2">
      <c r="A2786" s="81">
        <v>42548</v>
      </c>
      <c r="D2786">
        <v>3247.8</v>
      </c>
    </row>
    <row r="2787" spans="1:5" x14ac:dyDescent="0.2">
      <c r="A2787" s="81">
        <v>42552</v>
      </c>
      <c r="B2787">
        <v>1350.5</v>
      </c>
      <c r="C2787">
        <v>5368.2</v>
      </c>
      <c r="E2787">
        <v>12889.1</v>
      </c>
    </row>
    <row r="2788" spans="1:5" x14ac:dyDescent="0.2">
      <c r="A2788" s="81">
        <v>42555</v>
      </c>
      <c r="D2788">
        <v>3251.2</v>
      </c>
    </row>
    <row r="2789" spans="1:5" x14ac:dyDescent="0.2">
      <c r="A2789" s="81">
        <v>42562</v>
      </c>
      <c r="D2789">
        <v>3260.8</v>
      </c>
    </row>
    <row r="2790" spans="1:5" x14ac:dyDescent="0.2">
      <c r="A2790" s="81">
        <v>42569</v>
      </c>
      <c r="D2790">
        <v>3243.4</v>
      </c>
    </row>
    <row r="2791" spans="1:5" x14ac:dyDescent="0.2">
      <c r="A2791" s="81">
        <v>42576</v>
      </c>
      <c r="D2791">
        <v>3253.9</v>
      </c>
    </row>
    <row r="2792" spans="1:5" x14ac:dyDescent="0.2">
      <c r="A2792" s="81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5" x14ac:dyDescent="0.2">
      <c r="A2793" s="81">
        <v>42590</v>
      </c>
      <c r="D2793">
        <v>3299.2</v>
      </c>
    </row>
    <row r="2794" spans="1:5" x14ac:dyDescent="0.2">
      <c r="A2794" s="81">
        <v>42597</v>
      </c>
      <c r="D2794">
        <v>3323.6</v>
      </c>
    </row>
    <row r="2795" spans="1:5" x14ac:dyDescent="0.2">
      <c r="A2795" s="81">
        <v>42604</v>
      </c>
      <c r="D2795">
        <v>3344.1</v>
      </c>
    </row>
    <row r="2796" spans="1:5" x14ac:dyDescent="0.2">
      <c r="A2796" s="81">
        <v>42611</v>
      </c>
      <c r="D2796">
        <v>3323.7</v>
      </c>
    </row>
    <row r="2797" spans="1:5" x14ac:dyDescent="0.2">
      <c r="A2797" s="81">
        <v>42614</v>
      </c>
      <c r="B2797">
        <v>1377.7</v>
      </c>
      <c r="C2797">
        <v>5401.6</v>
      </c>
      <c r="E2797">
        <v>13027.4</v>
      </c>
    </row>
    <row r="2798" spans="1:5" x14ac:dyDescent="0.2">
      <c r="A2798" s="81">
        <v>42618</v>
      </c>
      <c r="D2798">
        <v>3288.9</v>
      </c>
    </row>
    <row r="2799" spans="1:5" x14ac:dyDescent="0.2">
      <c r="A2799" s="81">
        <v>42625</v>
      </c>
      <c r="D2799">
        <v>3333.2</v>
      </c>
    </row>
    <row r="2800" spans="1:5" x14ac:dyDescent="0.2">
      <c r="A2800" s="81">
        <v>42632</v>
      </c>
      <c r="D2800">
        <v>3324.8</v>
      </c>
    </row>
    <row r="2801" spans="1:5" x14ac:dyDescent="0.2">
      <c r="A2801" s="81">
        <v>42639</v>
      </c>
      <c r="D2801">
        <v>3322.3</v>
      </c>
    </row>
    <row r="2802" spans="1:5" x14ac:dyDescent="0.2">
      <c r="A2802" s="81">
        <v>42644</v>
      </c>
      <c r="B2802">
        <v>1377.6</v>
      </c>
      <c r="C2802">
        <v>5418.9</v>
      </c>
      <c r="E2802">
        <v>13099.7</v>
      </c>
    </row>
    <row r="2803" spans="1:5" x14ac:dyDescent="0.2">
      <c r="A2803" s="81">
        <v>42646</v>
      </c>
      <c r="D2803">
        <v>3374.5</v>
      </c>
    </row>
    <row r="2804" spans="1:5" x14ac:dyDescent="0.2">
      <c r="A2804" s="81">
        <v>42653</v>
      </c>
      <c r="D2804">
        <v>3362.5</v>
      </c>
    </row>
    <row r="2805" spans="1:5" x14ac:dyDescent="0.2">
      <c r="A2805" s="81">
        <v>42660</v>
      </c>
      <c r="D2805">
        <v>3309.1</v>
      </c>
    </row>
    <row r="2806" spans="1:5" x14ac:dyDescent="0.2">
      <c r="A2806" s="81">
        <v>42667</v>
      </c>
      <c r="D2806">
        <v>3318.6</v>
      </c>
    </row>
    <row r="2807" spans="1:5" x14ac:dyDescent="0.2">
      <c r="A2807" s="81">
        <v>42674</v>
      </c>
      <c r="D2807">
        <v>3328.7</v>
      </c>
    </row>
    <row r="2808" spans="1:5" x14ac:dyDescent="0.2">
      <c r="A2808" s="81">
        <v>42675</v>
      </c>
      <c r="B2808">
        <v>1386.1</v>
      </c>
      <c r="C2808">
        <v>5443.3</v>
      </c>
      <c r="E2808">
        <v>13174.1</v>
      </c>
    </row>
    <row r="2809" spans="1:5" x14ac:dyDescent="0.2">
      <c r="A2809" s="81">
        <v>42681</v>
      </c>
      <c r="D2809">
        <v>3305.2</v>
      </c>
    </row>
    <row r="2810" spans="1:5" x14ac:dyDescent="0.2">
      <c r="A2810" s="81">
        <v>42688</v>
      </c>
      <c r="D2810">
        <v>3368</v>
      </c>
    </row>
    <row r="2811" spans="1:5" x14ac:dyDescent="0.2">
      <c r="A2811" s="81">
        <v>42695</v>
      </c>
      <c r="D2811">
        <v>3385.6</v>
      </c>
    </row>
    <row r="2812" spans="1:5" x14ac:dyDescent="0.2">
      <c r="A2812" s="81">
        <v>42702</v>
      </c>
      <c r="D2812">
        <v>3360.5</v>
      </c>
    </row>
    <row r="2813" spans="1:5" x14ac:dyDescent="0.2">
      <c r="A2813" s="81">
        <v>42705</v>
      </c>
      <c r="B2813">
        <v>1378.8</v>
      </c>
      <c r="C2813">
        <v>5446.1</v>
      </c>
      <c r="E2813">
        <v>13214.2</v>
      </c>
    </row>
    <row r="2814" spans="1:5" x14ac:dyDescent="0.2">
      <c r="A2814" s="81">
        <v>42709</v>
      </c>
      <c r="D2814">
        <v>3324.3</v>
      </c>
    </row>
    <row r="2815" spans="1:5" x14ac:dyDescent="0.2">
      <c r="A2815" s="81">
        <v>42716</v>
      </c>
      <c r="D2815">
        <v>3347.2</v>
      </c>
    </row>
    <row r="2816" spans="1:5" x14ac:dyDescent="0.2">
      <c r="A2816" s="81">
        <v>42723</v>
      </c>
      <c r="D2816">
        <v>3328.7</v>
      </c>
    </row>
    <row r="2817" spans="1:5" x14ac:dyDescent="0.2">
      <c r="A2817" s="81">
        <v>42730</v>
      </c>
      <c r="D2817">
        <v>3345.9</v>
      </c>
    </row>
    <row r="2818" spans="1:5" x14ac:dyDescent="0.2">
      <c r="A2818" s="81">
        <v>42736</v>
      </c>
      <c r="B2818">
        <v>1394.9</v>
      </c>
      <c r="C2818">
        <v>5454.7</v>
      </c>
      <c r="E2818">
        <v>13288.7</v>
      </c>
    </row>
    <row r="2819" spans="1:5" x14ac:dyDescent="0.2">
      <c r="A2819" s="81">
        <v>42737</v>
      </c>
      <c r="D2819">
        <v>3351.8</v>
      </c>
    </row>
    <row r="2820" spans="1:5" x14ac:dyDescent="0.2">
      <c r="A2820" s="81">
        <v>42744</v>
      </c>
      <c r="D2820">
        <v>3383.8</v>
      </c>
    </row>
    <row r="2821" spans="1:5" x14ac:dyDescent="0.2">
      <c r="A2821" s="81">
        <v>42751</v>
      </c>
      <c r="D2821">
        <v>3388.8</v>
      </c>
    </row>
    <row r="2822" spans="1:5" x14ac:dyDescent="0.2">
      <c r="A2822" s="81">
        <v>42758</v>
      </c>
      <c r="D2822">
        <v>3394.6</v>
      </c>
    </row>
    <row r="2823" spans="1:5" x14ac:dyDescent="0.2">
      <c r="A2823" s="81">
        <v>42765</v>
      </c>
      <c r="D2823">
        <v>3399.7</v>
      </c>
    </row>
    <row r="2824" spans="1:5" x14ac:dyDescent="0.2">
      <c r="A2824" s="81">
        <v>42767</v>
      </c>
      <c r="B2824">
        <v>1398.8</v>
      </c>
      <c r="C2824">
        <v>5478</v>
      </c>
      <c r="E2824">
        <v>13359.2</v>
      </c>
    </row>
    <row r="2825" spans="1:5" x14ac:dyDescent="0.2">
      <c r="A2825" s="81">
        <v>42772</v>
      </c>
      <c r="D2825">
        <v>3364.4</v>
      </c>
    </row>
    <row r="2826" spans="1:5" x14ac:dyDescent="0.2">
      <c r="A2826" s="81">
        <v>42779</v>
      </c>
      <c r="D2826">
        <v>3394.4</v>
      </c>
    </row>
    <row r="2827" spans="1:5" x14ac:dyDescent="0.2">
      <c r="A2827" s="81">
        <v>42786</v>
      </c>
      <c r="D2827">
        <v>3426.8</v>
      </c>
    </row>
    <row r="2828" spans="1:5" x14ac:dyDescent="0.2">
      <c r="A2828" s="81">
        <v>42793</v>
      </c>
      <c r="D2828">
        <v>3420.9</v>
      </c>
    </row>
    <row r="2829" spans="1:5" x14ac:dyDescent="0.2">
      <c r="A2829" s="81">
        <v>42795</v>
      </c>
      <c r="B2829">
        <v>1417.8</v>
      </c>
      <c r="C2829">
        <v>5508.8</v>
      </c>
      <c r="E2829">
        <v>13428.6</v>
      </c>
    </row>
    <row r="2830" spans="1:5" x14ac:dyDescent="0.2">
      <c r="A2830" s="81">
        <v>42800</v>
      </c>
      <c r="D2830">
        <v>3394.1</v>
      </c>
    </row>
    <row r="2831" spans="1:5" x14ac:dyDescent="0.2">
      <c r="A2831" s="81">
        <v>42807</v>
      </c>
      <c r="D2831">
        <v>3446.1</v>
      </c>
    </row>
    <row r="2832" spans="1:5" x14ac:dyDescent="0.2">
      <c r="A2832" s="81">
        <v>42814</v>
      </c>
      <c r="D2832">
        <v>3458.6</v>
      </c>
    </row>
    <row r="2833" spans="1:5" x14ac:dyDescent="0.2">
      <c r="A2833" s="81">
        <v>42821</v>
      </c>
      <c r="D2833">
        <v>3445.8</v>
      </c>
    </row>
    <row r="2834" spans="1:5" x14ac:dyDescent="0.2">
      <c r="A2834" s="81">
        <v>42826</v>
      </c>
      <c r="B2834">
        <v>1412.4</v>
      </c>
      <c r="C2834">
        <v>5521.1</v>
      </c>
      <c r="E2834">
        <v>13486.6</v>
      </c>
    </row>
    <row r="2835" spans="1:5" x14ac:dyDescent="0.2">
      <c r="A2835" s="81">
        <v>42828</v>
      </c>
      <c r="D2835">
        <v>3518.4</v>
      </c>
    </row>
    <row r="2836" spans="1:5" x14ac:dyDescent="0.2">
      <c r="A2836" s="81">
        <v>42835</v>
      </c>
      <c r="D2836">
        <v>3457</v>
      </c>
    </row>
    <row r="2837" spans="1:5" x14ac:dyDescent="0.2">
      <c r="A2837" s="81">
        <v>42842</v>
      </c>
      <c r="D2837">
        <v>3441.1</v>
      </c>
    </row>
    <row r="2838" spans="1:5" x14ac:dyDescent="0.2">
      <c r="A2838" s="81">
        <v>42849</v>
      </c>
      <c r="D2838">
        <v>3446.2</v>
      </c>
    </row>
    <row r="2839" spans="1:5" x14ac:dyDescent="0.2">
      <c r="A2839" s="81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5" x14ac:dyDescent="0.2">
      <c r="A2840" s="81">
        <v>42863</v>
      </c>
      <c r="D2840">
        <v>3502.8</v>
      </c>
    </row>
    <row r="2841" spans="1:5" x14ac:dyDescent="0.2">
      <c r="A2841" s="81">
        <v>42870</v>
      </c>
      <c r="D2841">
        <v>3526.1</v>
      </c>
    </row>
    <row r="2842" spans="1:5" x14ac:dyDescent="0.2">
      <c r="A2842" s="81">
        <v>42877</v>
      </c>
      <c r="D2842">
        <v>3538.9</v>
      </c>
    </row>
    <row r="2843" spans="1:5" x14ac:dyDescent="0.2">
      <c r="A2843" s="81">
        <v>42884</v>
      </c>
      <c r="D2843">
        <v>3525.2</v>
      </c>
    </row>
    <row r="2844" spans="1:5" x14ac:dyDescent="0.2">
      <c r="A2844" s="81">
        <v>42887</v>
      </c>
      <c r="B2844">
        <v>1441.7</v>
      </c>
      <c r="C2844">
        <v>5554.3</v>
      </c>
      <c r="E2844">
        <v>13564.7</v>
      </c>
    </row>
    <row r="2845" spans="1:5" x14ac:dyDescent="0.2">
      <c r="A2845" s="81">
        <v>42891</v>
      </c>
      <c r="D2845">
        <v>3489.2</v>
      </c>
    </row>
    <row r="2846" spans="1:5" x14ac:dyDescent="0.2">
      <c r="A2846" s="81">
        <v>42898</v>
      </c>
      <c r="D2846">
        <v>3514.5</v>
      </c>
    </row>
    <row r="2847" spans="1:5" x14ac:dyDescent="0.2">
      <c r="A2847" s="81">
        <v>42905</v>
      </c>
      <c r="D2847">
        <v>3512.4</v>
      </c>
    </row>
    <row r="2848" spans="1:5" x14ac:dyDescent="0.2">
      <c r="A2848" s="81">
        <v>42912</v>
      </c>
      <c r="D2848">
        <v>3553</v>
      </c>
    </row>
    <row r="2849" spans="1:5" x14ac:dyDescent="0.2">
      <c r="A2849" s="81">
        <v>42917</v>
      </c>
      <c r="B2849">
        <v>1449.9</v>
      </c>
      <c r="C2849">
        <v>5576.3</v>
      </c>
      <c r="E2849">
        <v>13621.8</v>
      </c>
    </row>
    <row r="2850" spans="1:5" x14ac:dyDescent="0.2">
      <c r="A2850" s="81">
        <v>42919</v>
      </c>
      <c r="D2850">
        <v>3580.7</v>
      </c>
    </row>
    <row r="2851" spans="1:5" x14ac:dyDescent="0.2">
      <c r="A2851" s="81">
        <v>42926</v>
      </c>
      <c r="D2851">
        <v>3552.4</v>
      </c>
    </row>
    <row r="2852" spans="1:5" x14ac:dyDescent="0.2">
      <c r="A2852" s="81">
        <v>42933</v>
      </c>
      <c r="D2852">
        <v>3519.5</v>
      </c>
    </row>
    <row r="2853" spans="1:5" x14ac:dyDescent="0.2">
      <c r="A2853" s="81">
        <v>42940</v>
      </c>
      <c r="D2853">
        <v>3553.4</v>
      </c>
    </row>
    <row r="2854" spans="1:5" x14ac:dyDescent="0.2">
      <c r="A2854" s="81">
        <v>42947</v>
      </c>
      <c r="D2854">
        <v>3567.4</v>
      </c>
    </row>
    <row r="2855" spans="1:5" x14ac:dyDescent="0.2">
      <c r="A2855" s="81">
        <v>42948</v>
      </c>
      <c r="B2855">
        <v>1460.1</v>
      </c>
      <c r="C2855">
        <v>5575.5</v>
      </c>
      <c r="E2855">
        <v>13671.4</v>
      </c>
    </row>
    <row r="2856" spans="1:5" x14ac:dyDescent="0.2">
      <c r="A2856" s="81">
        <v>42954</v>
      </c>
      <c r="D2856">
        <v>3540.5</v>
      </c>
    </row>
    <row r="2857" spans="1:5" x14ac:dyDescent="0.2">
      <c r="A2857" s="81">
        <v>42961</v>
      </c>
      <c r="D2857">
        <v>3582.6</v>
      </c>
    </row>
    <row r="2858" spans="1:5" x14ac:dyDescent="0.2">
      <c r="A2858" s="81">
        <v>42968</v>
      </c>
      <c r="D2858">
        <v>3635.1</v>
      </c>
    </row>
    <row r="2859" spans="1:5" x14ac:dyDescent="0.2">
      <c r="A2859" s="81">
        <v>42975</v>
      </c>
      <c r="D2859">
        <v>3597.7</v>
      </c>
    </row>
    <row r="2860" spans="1:5" x14ac:dyDescent="0.2">
      <c r="A2860" s="81">
        <v>42979</v>
      </c>
      <c r="B2860">
        <v>1445.3</v>
      </c>
      <c r="C2860">
        <v>5562.5</v>
      </c>
      <c r="E2860">
        <v>13714.4</v>
      </c>
    </row>
    <row r="2861" spans="1:5" x14ac:dyDescent="0.2">
      <c r="A2861" s="81">
        <v>42982</v>
      </c>
      <c r="D2861">
        <v>3550.7</v>
      </c>
    </row>
    <row r="2862" spans="1:5" x14ac:dyDescent="0.2">
      <c r="A2862" s="81">
        <v>42989</v>
      </c>
      <c r="D2862">
        <v>3588.1</v>
      </c>
    </row>
    <row r="2863" spans="1:5" x14ac:dyDescent="0.2">
      <c r="A2863" s="81">
        <v>42996</v>
      </c>
      <c r="D2863">
        <v>3574.8</v>
      </c>
    </row>
    <row r="2864" spans="1:5" x14ac:dyDescent="0.2">
      <c r="A2864" s="81">
        <v>43003</v>
      </c>
      <c r="D2864">
        <v>3568.4</v>
      </c>
    </row>
    <row r="2865" spans="1:5" x14ac:dyDescent="0.2">
      <c r="A2865" s="81">
        <v>43009</v>
      </c>
      <c r="B2865">
        <v>1460</v>
      </c>
      <c r="C2865">
        <v>5581.7</v>
      </c>
      <c r="E2865">
        <v>13767.6</v>
      </c>
    </row>
    <row r="2866" spans="1:5" x14ac:dyDescent="0.2">
      <c r="A2866" s="81">
        <v>43010</v>
      </c>
      <c r="D2866">
        <v>3581.7</v>
      </c>
    </row>
    <row r="2867" spans="1:5" x14ac:dyDescent="0.2">
      <c r="A2867" s="81">
        <v>43017</v>
      </c>
      <c r="D2867">
        <v>3618.2</v>
      </c>
    </row>
    <row r="2868" spans="1:5" x14ac:dyDescent="0.2">
      <c r="A2868" s="81">
        <v>43024</v>
      </c>
      <c r="D2868">
        <v>3593.9</v>
      </c>
    </row>
    <row r="2869" spans="1:5" x14ac:dyDescent="0.2">
      <c r="A2869" s="81">
        <v>43031</v>
      </c>
      <c r="D2869">
        <v>3612.7</v>
      </c>
    </row>
    <row r="2870" spans="1:5" x14ac:dyDescent="0.2">
      <c r="A2870" s="81">
        <v>43038</v>
      </c>
      <c r="D2870">
        <v>3598.9</v>
      </c>
    </row>
    <row r="2871" spans="1:5" x14ac:dyDescent="0.2">
      <c r="A2871" s="81">
        <v>43040</v>
      </c>
      <c r="B2871">
        <v>1468.2</v>
      </c>
      <c r="C2871">
        <v>5579.5</v>
      </c>
      <c r="E2871">
        <v>13802.4</v>
      </c>
    </row>
    <row r="2872" spans="1:5" x14ac:dyDescent="0.2">
      <c r="A2872" s="81">
        <v>43045</v>
      </c>
      <c r="D2872">
        <v>3591.9</v>
      </c>
    </row>
    <row r="2873" spans="1:5" x14ac:dyDescent="0.2">
      <c r="A2873" s="81">
        <v>43052</v>
      </c>
      <c r="D2873">
        <v>3631.3</v>
      </c>
    </row>
    <row r="2874" spans="1:5" x14ac:dyDescent="0.2">
      <c r="A2874" s="81">
        <v>43059</v>
      </c>
      <c r="D2874">
        <v>3644.9</v>
      </c>
    </row>
    <row r="2875" spans="1:5" x14ac:dyDescent="0.2">
      <c r="A2875" s="81">
        <v>43066</v>
      </c>
      <c r="D2875">
        <v>3641.9</v>
      </c>
    </row>
    <row r="2876" spans="1:5" x14ac:dyDescent="0.2">
      <c r="A2876" s="81">
        <v>43070</v>
      </c>
      <c r="B2876">
        <v>1460.8</v>
      </c>
      <c r="C2876">
        <v>5592.6</v>
      </c>
      <c r="E2876">
        <v>13854.8</v>
      </c>
    </row>
    <row r="2877" spans="1:5" x14ac:dyDescent="0.2">
      <c r="A2877" s="81">
        <v>43073</v>
      </c>
      <c r="D2877">
        <v>3619.2</v>
      </c>
    </row>
    <row r="2878" spans="1:5" x14ac:dyDescent="0.2">
      <c r="A2878" s="81">
        <v>43080</v>
      </c>
      <c r="D2878">
        <v>3632.1</v>
      </c>
    </row>
    <row r="2879" spans="1:5" x14ac:dyDescent="0.2">
      <c r="A2879" s="81">
        <v>43087</v>
      </c>
      <c r="D2879">
        <v>3608.5</v>
      </c>
    </row>
    <row r="2880" spans="1:5" x14ac:dyDescent="0.2">
      <c r="A2880" s="81">
        <v>43094</v>
      </c>
      <c r="D2880">
        <v>3595.6</v>
      </c>
    </row>
    <row r="2881" spans="1:5" x14ac:dyDescent="0.2">
      <c r="A2881" s="81">
        <v>43101</v>
      </c>
      <c r="B2881">
        <v>1474.9</v>
      </c>
      <c r="C2881">
        <v>5577.3</v>
      </c>
      <c r="D2881">
        <v>3581</v>
      </c>
      <c r="E2881">
        <v>13872</v>
      </c>
    </row>
    <row r="2882" spans="1:5" x14ac:dyDescent="0.2">
      <c r="A2882" s="81">
        <v>43108</v>
      </c>
      <c r="D2882">
        <v>3642.4</v>
      </c>
    </row>
    <row r="2883" spans="1:5" x14ac:dyDescent="0.2">
      <c r="A2883" s="81">
        <v>43115</v>
      </c>
      <c r="D2883">
        <v>3670.9</v>
      </c>
    </row>
    <row r="2884" spans="1:5" x14ac:dyDescent="0.2">
      <c r="A2884" s="81">
        <v>43122</v>
      </c>
      <c r="D2884">
        <v>3663.2</v>
      </c>
    </row>
    <row r="2885" spans="1:5" x14ac:dyDescent="0.2">
      <c r="A2885" s="81">
        <v>43129</v>
      </c>
      <c r="D2885">
        <v>3636.7</v>
      </c>
    </row>
    <row r="2886" spans="1:5" x14ac:dyDescent="0.2">
      <c r="A2886" s="81">
        <v>43132</v>
      </c>
      <c r="B2886">
        <v>1457.6</v>
      </c>
      <c r="C2886">
        <v>5581.5</v>
      </c>
      <c r="E2886">
        <v>13914.6</v>
      </c>
    </row>
    <row r="2887" spans="1:5" x14ac:dyDescent="0.2">
      <c r="A2887" s="81">
        <v>43136</v>
      </c>
      <c r="D2887">
        <v>3623</v>
      </c>
    </row>
    <row r="2888" spans="1:5" x14ac:dyDescent="0.2">
      <c r="A2888" s="81">
        <v>43143</v>
      </c>
      <c r="D2888">
        <v>3607.8</v>
      </c>
    </row>
    <row r="2889" spans="1:5" x14ac:dyDescent="0.2">
      <c r="A2889" s="81">
        <v>43150</v>
      </c>
      <c r="D2889">
        <v>3612.1</v>
      </c>
    </row>
    <row r="2890" spans="1:5" x14ac:dyDescent="0.2">
      <c r="A2890" s="81">
        <v>43157</v>
      </c>
      <c r="D2890">
        <v>3624.5</v>
      </c>
    </row>
    <row r="2891" spans="1:5" x14ac:dyDescent="0.2">
      <c r="A2891" s="81">
        <v>43160</v>
      </c>
      <c r="B2891">
        <v>1471.8</v>
      </c>
      <c r="C2891">
        <v>5599.3</v>
      </c>
      <c r="E2891">
        <v>13971.2</v>
      </c>
    </row>
    <row r="2892" spans="1:5" x14ac:dyDescent="0.2">
      <c r="A2892" s="81">
        <v>43164</v>
      </c>
      <c r="D2892">
        <v>3655.4</v>
      </c>
    </row>
    <row r="2893" spans="1:5" x14ac:dyDescent="0.2">
      <c r="A2893" s="81">
        <v>43171</v>
      </c>
      <c r="D2893">
        <v>3671</v>
      </c>
    </row>
    <row r="2894" spans="1:5" x14ac:dyDescent="0.2">
      <c r="A2894" s="81">
        <v>43178</v>
      </c>
      <c r="D2894">
        <v>3660.8</v>
      </c>
    </row>
    <row r="2895" spans="1:5" x14ac:dyDescent="0.2">
      <c r="A2895" s="81">
        <v>43185</v>
      </c>
      <c r="D2895">
        <v>3657.9</v>
      </c>
    </row>
    <row r="2896" spans="1:5" x14ac:dyDescent="0.2">
      <c r="A2896" s="81">
        <v>43191</v>
      </c>
      <c r="B2896">
        <v>1459.8</v>
      </c>
      <c r="C2896">
        <v>5594.4</v>
      </c>
      <c r="E2896">
        <v>14001.3</v>
      </c>
    </row>
    <row r="2897" spans="1:5" x14ac:dyDescent="0.2">
      <c r="A2897" s="81">
        <v>43192</v>
      </c>
      <c r="D2897">
        <v>3659.3</v>
      </c>
    </row>
    <row r="2898" spans="1:5" x14ac:dyDescent="0.2">
      <c r="A2898" s="81">
        <v>43199</v>
      </c>
      <c r="D2898">
        <v>3661.2</v>
      </c>
    </row>
    <row r="2899" spans="1:5" x14ac:dyDescent="0.2">
      <c r="A2899" s="81">
        <v>43206</v>
      </c>
      <c r="D2899">
        <v>3647.4</v>
      </c>
    </row>
    <row r="2900" spans="1:5" x14ac:dyDescent="0.2">
      <c r="A2900" s="81">
        <v>43213</v>
      </c>
      <c r="D2900">
        <v>3670.1</v>
      </c>
    </row>
    <row r="2901" spans="1:5" x14ac:dyDescent="0.2">
      <c r="A2901" s="81">
        <v>43220</v>
      </c>
      <c r="D2901">
        <v>3669.8</v>
      </c>
    </row>
    <row r="2902" spans="1:5" x14ac:dyDescent="0.2">
      <c r="A2902" s="81">
        <v>43221</v>
      </c>
      <c r="B2902">
        <v>1453.9</v>
      </c>
      <c r="C2902">
        <v>5608.8</v>
      </c>
      <c r="E2902">
        <v>14066</v>
      </c>
    </row>
    <row r="2903" spans="1:5" x14ac:dyDescent="0.2">
      <c r="A2903" s="81">
        <v>43227</v>
      </c>
      <c r="D2903">
        <v>3637.4</v>
      </c>
    </row>
    <row r="2904" spans="1:5" x14ac:dyDescent="0.2">
      <c r="A2904" s="81">
        <v>43234</v>
      </c>
      <c r="D2904">
        <v>3655.5</v>
      </c>
    </row>
    <row r="2905" spans="1:5" x14ac:dyDescent="0.2">
      <c r="A2905" s="81">
        <v>43241</v>
      </c>
      <c r="D2905">
        <v>3667</v>
      </c>
    </row>
    <row r="2906" spans="1:5" x14ac:dyDescent="0.2">
      <c r="A2906" s="81">
        <v>43248</v>
      </c>
      <c r="D2906">
        <v>3664.5</v>
      </c>
    </row>
    <row r="2907" spans="1:5" x14ac:dyDescent="0.2">
      <c r="A2907" s="81">
        <v>43252</v>
      </c>
      <c r="B2907">
        <v>1451.2</v>
      </c>
      <c r="C2907">
        <v>5624.4</v>
      </c>
      <c r="E2907">
        <v>14125.8</v>
      </c>
    </row>
    <row r="2908" spans="1:5" x14ac:dyDescent="0.2">
      <c r="A2908" s="81">
        <v>43255</v>
      </c>
      <c r="D2908">
        <v>3672.4</v>
      </c>
    </row>
    <row r="2909" spans="1:5" x14ac:dyDescent="0.2">
      <c r="A2909" s="81">
        <v>43262</v>
      </c>
      <c r="D2909">
        <v>3654.9</v>
      </c>
    </row>
    <row r="2910" spans="1:5" x14ac:dyDescent="0.2">
      <c r="A2910" s="81">
        <v>43269</v>
      </c>
      <c r="D2910">
        <v>3651.4</v>
      </c>
    </row>
    <row r="2911" spans="1:5" x14ac:dyDescent="0.2">
      <c r="A2911" s="81">
        <v>43276</v>
      </c>
      <c r="D2911">
        <v>3655.5</v>
      </c>
    </row>
    <row r="2912" spans="1:5" x14ac:dyDescent="0.2">
      <c r="A2912" s="81">
        <v>43282</v>
      </c>
      <c r="B2912">
        <v>1459.8</v>
      </c>
      <c r="C2912">
        <v>5631.8</v>
      </c>
      <c r="E2912">
        <v>14155.2</v>
      </c>
    </row>
    <row r="2913" spans="1:5" x14ac:dyDescent="0.2">
      <c r="A2913" s="81">
        <v>43283</v>
      </c>
      <c r="D2913">
        <v>3673.4</v>
      </c>
    </row>
    <row r="2914" spans="1:5" x14ac:dyDescent="0.2">
      <c r="A2914" s="81">
        <v>43290</v>
      </c>
      <c r="D2914">
        <v>3682.4</v>
      </c>
    </row>
    <row r="2915" spans="1:5" x14ac:dyDescent="0.2">
      <c r="A2915" s="81">
        <v>43297</v>
      </c>
      <c r="D2915">
        <v>3681.8</v>
      </c>
    </row>
    <row r="2916" spans="1:5" x14ac:dyDescent="0.2">
      <c r="A2916" s="81">
        <v>43304</v>
      </c>
      <c r="D2916">
        <v>3678</v>
      </c>
    </row>
    <row r="2917" spans="1:5" x14ac:dyDescent="0.2">
      <c r="A2917" s="81">
        <v>43311</v>
      </c>
      <c r="D2917">
        <v>3682.2</v>
      </c>
    </row>
    <row r="2918" spans="1:5" x14ac:dyDescent="0.2">
      <c r="A2918" s="81">
        <v>43313</v>
      </c>
      <c r="B2918">
        <v>1462.9</v>
      </c>
      <c r="C2918">
        <v>5639.9</v>
      </c>
      <c r="E2918">
        <v>14197.7</v>
      </c>
    </row>
    <row r="2919" spans="1:5" x14ac:dyDescent="0.2">
      <c r="A2919" s="81">
        <v>43318</v>
      </c>
      <c r="D2919">
        <v>3661.7</v>
      </c>
    </row>
    <row r="2920" spans="1:5" x14ac:dyDescent="0.2">
      <c r="A2920" s="81">
        <v>43325</v>
      </c>
      <c r="D2920">
        <v>3677.3</v>
      </c>
    </row>
    <row r="2921" spans="1:5" x14ac:dyDescent="0.2">
      <c r="A2921" s="81">
        <v>43332</v>
      </c>
      <c r="D2921">
        <v>3676.3</v>
      </c>
    </row>
    <row r="2922" spans="1:5" x14ac:dyDescent="0.2">
      <c r="A2922" s="81">
        <v>43339</v>
      </c>
      <c r="D2922">
        <v>3695.5</v>
      </c>
    </row>
    <row r="2923" spans="1:5" x14ac:dyDescent="0.2">
      <c r="A2923" s="81">
        <v>43344</v>
      </c>
      <c r="B2923">
        <v>1464.1</v>
      </c>
      <c r="C2923">
        <v>5642.1</v>
      </c>
      <c r="E2923">
        <v>14228.4</v>
      </c>
    </row>
    <row r="2924" spans="1:5" x14ac:dyDescent="0.2">
      <c r="A2924" s="81">
        <v>43346</v>
      </c>
      <c r="D2924">
        <v>3779.9</v>
      </c>
    </row>
    <row r="2925" spans="1:5" x14ac:dyDescent="0.2">
      <c r="A2925" s="81">
        <v>43353</v>
      </c>
      <c r="D2925">
        <v>3710.4</v>
      </c>
    </row>
    <row r="2926" spans="1:5" x14ac:dyDescent="0.2">
      <c r="A2926" s="81">
        <v>43360</v>
      </c>
      <c r="D2926">
        <v>3692</v>
      </c>
    </row>
    <row r="2927" spans="1:5" x14ac:dyDescent="0.2">
      <c r="A2927" s="81">
        <v>43367</v>
      </c>
      <c r="D2927">
        <v>3705</v>
      </c>
    </row>
    <row r="2928" spans="1:5" x14ac:dyDescent="0.2">
      <c r="A2928" s="81">
        <v>43374</v>
      </c>
      <c r="B2928">
        <v>1471.5</v>
      </c>
      <c r="C2928">
        <v>5629</v>
      </c>
      <c r="D2928">
        <v>3693.3</v>
      </c>
      <c r="E2928">
        <v>14235.8</v>
      </c>
    </row>
    <row r="2929" spans="1:5" x14ac:dyDescent="0.2">
      <c r="A2929" s="81">
        <v>43381</v>
      </c>
      <c r="D2929">
        <v>3708.8</v>
      </c>
    </row>
    <row r="2930" spans="1:5" x14ac:dyDescent="0.2">
      <c r="A2930" s="81">
        <v>43388</v>
      </c>
      <c r="D2930">
        <v>3723.8</v>
      </c>
    </row>
    <row r="2931" spans="1:5" x14ac:dyDescent="0.2">
      <c r="A2931" s="81">
        <v>43395</v>
      </c>
      <c r="D2931">
        <v>3744.8</v>
      </c>
    </row>
    <row r="2932" spans="1:5" x14ac:dyDescent="0.2">
      <c r="A2932" s="81">
        <v>43402</v>
      </c>
      <c r="D2932">
        <v>3729.5</v>
      </c>
    </row>
    <row r="2933" spans="1:5" x14ac:dyDescent="0.2">
      <c r="A2933" s="81">
        <v>43405</v>
      </c>
      <c r="B2933">
        <v>1466.8</v>
      </c>
      <c r="C2933">
        <v>5638.3</v>
      </c>
      <c r="E2933">
        <v>14254.9</v>
      </c>
    </row>
    <row r="2934" spans="1:5" x14ac:dyDescent="0.2">
      <c r="A2934" s="81">
        <v>43409</v>
      </c>
      <c r="D2934">
        <v>3689.9</v>
      </c>
    </row>
    <row r="2935" spans="1:5" x14ac:dyDescent="0.2">
      <c r="A2935" s="81">
        <v>43416</v>
      </c>
      <c r="D2935">
        <v>3687.6</v>
      </c>
    </row>
    <row r="2936" spans="1:5" x14ac:dyDescent="0.2">
      <c r="A2936" s="81">
        <v>43423</v>
      </c>
      <c r="D2936">
        <v>3688.5</v>
      </c>
    </row>
    <row r="2937" spans="1:5" x14ac:dyDescent="0.2">
      <c r="A2937" s="81">
        <v>43430</v>
      </c>
      <c r="D2937">
        <v>3692.9</v>
      </c>
    </row>
    <row r="2938" spans="1:5" x14ac:dyDescent="0.2">
      <c r="A2938" s="81">
        <v>43435</v>
      </c>
      <c r="B2938">
        <v>1493.6</v>
      </c>
      <c r="C2938">
        <v>5692.8</v>
      </c>
      <c r="E2938">
        <v>14373.9</v>
      </c>
    </row>
    <row r="2939" spans="1:5" x14ac:dyDescent="0.2">
      <c r="A2939" s="81">
        <v>43437</v>
      </c>
      <c r="D2939">
        <v>3780.7</v>
      </c>
    </row>
    <row r="2940" spans="1:5" x14ac:dyDescent="0.2">
      <c r="A2940" s="81">
        <v>43444</v>
      </c>
      <c r="D2940">
        <v>3770.2</v>
      </c>
    </row>
    <row r="2941" spans="1:5" x14ac:dyDescent="0.2">
      <c r="A2941" s="81">
        <v>43451</v>
      </c>
      <c r="D2941">
        <v>3713.2</v>
      </c>
    </row>
    <row r="2942" spans="1:5" x14ac:dyDescent="0.2">
      <c r="A2942" s="81">
        <v>43458</v>
      </c>
      <c r="D2942">
        <v>3761</v>
      </c>
    </row>
    <row r="2943" spans="1:5" x14ac:dyDescent="0.2">
      <c r="A2943" s="81">
        <v>43465</v>
      </c>
      <c r="D2943">
        <v>3744.8</v>
      </c>
    </row>
    <row r="2944" spans="1:5" x14ac:dyDescent="0.2">
      <c r="A2944" s="81">
        <v>43466</v>
      </c>
      <c r="B2944">
        <v>1494.6</v>
      </c>
      <c r="C2944">
        <v>5721.5</v>
      </c>
      <c r="E2944">
        <v>14443.3</v>
      </c>
    </row>
    <row r="2945" spans="1:5" x14ac:dyDescent="0.2">
      <c r="A2945" s="81">
        <v>43472</v>
      </c>
      <c r="D2945">
        <v>3722.2</v>
      </c>
    </row>
    <row r="2946" spans="1:5" x14ac:dyDescent="0.2">
      <c r="A2946" s="81">
        <v>43479</v>
      </c>
      <c r="D2946">
        <v>3720.3</v>
      </c>
    </row>
    <row r="2947" spans="1:5" x14ac:dyDescent="0.2">
      <c r="A2947" s="81">
        <v>43486</v>
      </c>
      <c r="D2947">
        <v>3757.1</v>
      </c>
    </row>
    <row r="2948" spans="1:5" x14ac:dyDescent="0.2">
      <c r="A2948" s="81">
        <v>43493</v>
      </c>
      <c r="D2948">
        <v>3753.4</v>
      </c>
    </row>
    <row r="2949" spans="1:5" x14ac:dyDescent="0.2">
      <c r="A2949" s="81">
        <v>43497</v>
      </c>
      <c r="B2949">
        <v>1495.6</v>
      </c>
      <c r="C2949">
        <v>5726.5</v>
      </c>
      <c r="E2949">
        <v>14486.2</v>
      </c>
    </row>
    <row r="2950" spans="1:5" x14ac:dyDescent="0.2">
      <c r="A2950" s="81">
        <v>43500</v>
      </c>
      <c r="D2950">
        <v>3792.3</v>
      </c>
    </row>
    <row r="2951" spans="1:5" x14ac:dyDescent="0.2">
      <c r="A2951" s="81">
        <v>43507</v>
      </c>
      <c r="D2951">
        <v>3768.8</v>
      </c>
    </row>
    <row r="2952" spans="1:5" x14ac:dyDescent="0.2">
      <c r="A2952" s="81">
        <v>43514</v>
      </c>
      <c r="D2952">
        <v>3757.9</v>
      </c>
    </row>
    <row r="2953" spans="1:5" x14ac:dyDescent="0.2">
      <c r="A2953" s="81">
        <v>43521</v>
      </c>
      <c r="D2953">
        <v>3743</v>
      </c>
    </row>
    <row r="2954" spans="1:5" x14ac:dyDescent="0.2">
      <c r="A2954" s="81">
        <v>43525</v>
      </c>
      <c r="B2954">
        <v>1474.1</v>
      </c>
      <c r="C2954">
        <v>5718.5</v>
      </c>
      <c r="E2954">
        <v>14533.5</v>
      </c>
    </row>
    <row r="2955" spans="1:5" x14ac:dyDescent="0.2">
      <c r="A2955" s="81">
        <v>43528</v>
      </c>
      <c r="D2955">
        <v>3766.8</v>
      </c>
    </row>
    <row r="2956" spans="1:5" x14ac:dyDescent="0.2">
      <c r="A2956" s="81">
        <v>43535</v>
      </c>
      <c r="D2956">
        <v>3736.9</v>
      </c>
    </row>
    <row r="2957" spans="1:5" x14ac:dyDescent="0.2">
      <c r="A2957" s="81">
        <v>43542</v>
      </c>
      <c r="D2957">
        <v>3716.7</v>
      </c>
    </row>
    <row r="2958" spans="1:5" x14ac:dyDescent="0.2">
      <c r="A2958" s="81">
        <v>43549</v>
      </c>
      <c r="D2958">
        <v>3728.3</v>
      </c>
    </row>
    <row r="2959" spans="1:5" x14ac:dyDescent="0.2">
      <c r="A2959" s="81">
        <v>43556</v>
      </c>
      <c r="B2959">
        <v>1476.8</v>
      </c>
      <c r="C2959">
        <v>5706</v>
      </c>
      <c r="D2959">
        <v>3731.6</v>
      </c>
      <c r="E2959">
        <v>14568.9</v>
      </c>
    </row>
    <row r="2960" spans="1:5" x14ac:dyDescent="0.2">
      <c r="A2960" s="81">
        <v>43563</v>
      </c>
      <c r="D2960">
        <v>3746.4</v>
      </c>
    </row>
    <row r="2961" spans="1:5" x14ac:dyDescent="0.2">
      <c r="A2961" s="81">
        <v>43570</v>
      </c>
      <c r="D2961">
        <v>3796.6</v>
      </c>
    </row>
    <row r="2962" spans="1:5" x14ac:dyDescent="0.2">
      <c r="A2962" s="81">
        <v>43577</v>
      </c>
      <c r="D2962">
        <v>3789.8</v>
      </c>
    </row>
    <row r="2963" spans="1:5" x14ac:dyDescent="0.2">
      <c r="A2963" s="81">
        <v>43584</v>
      </c>
      <c r="D2963">
        <v>3813.3</v>
      </c>
    </row>
    <row r="2964" spans="1:5" x14ac:dyDescent="0.2">
      <c r="A2964" s="81">
        <v>43586</v>
      </c>
      <c r="B2964">
        <v>1478.4</v>
      </c>
      <c r="C2964">
        <v>5744</v>
      </c>
      <c r="E2964">
        <v>14668.4</v>
      </c>
    </row>
    <row r="2965" spans="1:5" x14ac:dyDescent="0.2">
      <c r="A2965" s="81">
        <v>43591</v>
      </c>
      <c r="D2965">
        <v>3765.5</v>
      </c>
    </row>
    <row r="2966" spans="1:5" x14ac:dyDescent="0.2">
      <c r="A2966" s="81">
        <v>43598</v>
      </c>
      <c r="D2966">
        <v>3772.7</v>
      </c>
    </row>
    <row r="2967" spans="1:5" x14ac:dyDescent="0.2">
      <c r="A2967" s="81">
        <v>43605</v>
      </c>
      <c r="D2967">
        <v>3781.9</v>
      </c>
    </row>
    <row r="2968" spans="1:5" x14ac:dyDescent="0.2">
      <c r="A2968" s="81">
        <v>43612</v>
      </c>
      <c r="D2968">
        <v>3810</v>
      </c>
    </row>
    <row r="2969" spans="1:5" x14ac:dyDescent="0.2">
      <c r="A2969" s="81">
        <v>43617</v>
      </c>
      <c r="B2969">
        <v>1493</v>
      </c>
      <c r="C2969">
        <v>5789.2</v>
      </c>
      <c r="E2969">
        <v>14787</v>
      </c>
    </row>
    <row r="2970" spans="1:5" x14ac:dyDescent="0.2">
      <c r="A2970" s="81">
        <v>43619</v>
      </c>
      <c r="D2970">
        <v>3876.1</v>
      </c>
    </row>
    <row r="2971" spans="1:5" x14ac:dyDescent="0.2">
      <c r="A2971" s="81">
        <v>43626</v>
      </c>
      <c r="D2971">
        <v>3839.6</v>
      </c>
    </row>
    <row r="2972" spans="1:5" x14ac:dyDescent="0.2">
      <c r="A2972" s="81">
        <v>43633</v>
      </c>
      <c r="D2972">
        <v>3832.6</v>
      </c>
    </row>
    <row r="2973" spans="1:5" x14ac:dyDescent="0.2">
      <c r="A2973" s="81">
        <v>43640</v>
      </c>
      <c r="D2973">
        <v>3829.8</v>
      </c>
    </row>
    <row r="2974" spans="1:5" x14ac:dyDescent="0.2">
      <c r="A2974" s="81">
        <v>43647</v>
      </c>
      <c r="B2974">
        <v>1502.3</v>
      </c>
      <c r="C2974">
        <v>5805.6</v>
      </c>
      <c r="D2974">
        <v>3818.7</v>
      </c>
      <c r="E2974">
        <v>14857.9</v>
      </c>
    </row>
    <row r="2975" spans="1:5" x14ac:dyDescent="0.2">
      <c r="A2975" s="81">
        <v>43654</v>
      </c>
      <c r="D2975">
        <v>3837.4</v>
      </c>
    </row>
    <row r="2976" spans="1:5" x14ac:dyDescent="0.2">
      <c r="A2976" s="81">
        <v>43661</v>
      </c>
      <c r="D2976">
        <v>3856.5</v>
      </c>
    </row>
    <row r="2977" spans="1:5" x14ac:dyDescent="0.2">
      <c r="A2977" s="81">
        <v>43668</v>
      </c>
      <c r="D2977">
        <v>3875.4</v>
      </c>
    </row>
    <row r="2978" spans="1:5" x14ac:dyDescent="0.2">
      <c r="A2978" s="81">
        <v>43675</v>
      </c>
      <c r="D2978">
        <v>3872.8</v>
      </c>
    </row>
    <row r="2979" spans="1:5" x14ac:dyDescent="0.2">
      <c r="A2979" s="81">
        <v>43678</v>
      </c>
      <c r="B2979">
        <v>1500.9</v>
      </c>
      <c r="C2979">
        <v>5831.4</v>
      </c>
      <c r="E2979">
        <v>14935.2</v>
      </c>
    </row>
    <row r="2980" spans="1:5" x14ac:dyDescent="0.2">
      <c r="A2980" s="81">
        <v>43682</v>
      </c>
      <c r="D2980">
        <v>3875.1</v>
      </c>
    </row>
    <row r="2981" spans="1:5" x14ac:dyDescent="0.2">
      <c r="A2981" s="81">
        <v>43689</v>
      </c>
      <c r="D2981">
        <v>3861</v>
      </c>
    </row>
    <row r="2982" spans="1:5" x14ac:dyDescent="0.2">
      <c r="A2982" s="81">
        <v>43696</v>
      </c>
      <c r="D2982">
        <v>3832.4</v>
      </c>
    </row>
    <row r="2983" spans="1:5" x14ac:dyDescent="0.2">
      <c r="A2983" s="81">
        <v>43703</v>
      </c>
      <c r="D2983">
        <v>3845</v>
      </c>
    </row>
    <row r="2984" spans="1:5" x14ac:dyDescent="0.2">
      <c r="A2984" s="81">
        <v>43709</v>
      </c>
      <c r="B2984">
        <v>1515.5</v>
      </c>
      <c r="C2984">
        <v>5857.6</v>
      </c>
      <c r="E2984">
        <v>15026.6</v>
      </c>
    </row>
    <row r="2985" spans="1:5" x14ac:dyDescent="0.2">
      <c r="A2985" s="81">
        <v>43710</v>
      </c>
      <c r="D2985">
        <v>3878</v>
      </c>
    </row>
    <row r="2986" spans="1:5" x14ac:dyDescent="0.2">
      <c r="A2986" s="81">
        <v>43717</v>
      </c>
      <c r="D2986">
        <v>3895.9</v>
      </c>
    </row>
    <row r="2987" spans="1:5" x14ac:dyDescent="0.2">
      <c r="A2987" s="81">
        <v>43724</v>
      </c>
      <c r="D2987">
        <v>3895.8</v>
      </c>
    </row>
    <row r="2988" spans="1:5" x14ac:dyDescent="0.2">
      <c r="A2988" s="81">
        <v>43731</v>
      </c>
      <c r="D2988">
        <v>3911.1</v>
      </c>
    </row>
    <row r="2989" spans="1:5" x14ac:dyDescent="0.2">
      <c r="A2989" s="81">
        <v>43738</v>
      </c>
      <c r="D2989">
        <v>3928.2</v>
      </c>
    </row>
    <row r="2990" spans="1:5" x14ac:dyDescent="0.2">
      <c r="A2990" s="81">
        <v>43739</v>
      </c>
      <c r="B2990">
        <v>1525.4</v>
      </c>
      <c r="C2990">
        <v>5887.3</v>
      </c>
      <c r="E2990">
        <v>15153.1</v>
      </c>
    </row>
    <row r="2991" spans="1:5" x14ac:dyDescent="0.2">
      <c r="A2991" s="81">
        <v>43745</v>
      </c>
      <c r="D2991">
        <v>3893.7</v>
      </c>
    </row>
    <row r="2992" spans="1:5" x14ac:dyDescent="0.2">
      <c r="A2992" s="81">
        <v>43752</v>
      </c>
      <c r="D2992">
        <v>3930.6</v>
      </c>
    </row>
    <row r="2993" spans="1:5" x14ac:dyDescent="0.2">
      <c r="A2993" s="81">
        <v>43759</v>
      </c>
      <c r="D2993">
        <v>3929</v>
      </c>
    </row>
    <row r="2994" spans="1:5" x14ac:dyDescent="0.2">
      <c r="A2994" s="81">
        <v>43766</v>
      </c>
      <c r="D2994">
        <v>3934.5</v>
      </c>
    </row>
    <row r="2995" spans="1:5" x14ac:dyDescent="0.2">
      <c r="A2995" s="81">
        <v>43770</v>
      </c>
      <c r="B2995">
        <v>1533.2</v>
      </c>
      <c r="C2995">
        <v>5911.6</v>
      </c>
      <c r="E2995">
        <v>15251.3</v>
      </c>
    </row>
    <row r="2996" spans="1:5" x14ac:dyDescent="0.2">
      <c r="A2996" s="81">
        <v>43773</v>
      </c>
      <c r="D2996">
        <v>3955.3</v>
      </c>
    </row>
    <row r="2997" spans="1:5" x14ac:dyDescent="0.2">
      <c r="A2997" s="81">
        <v>43780</v>
      </c>
      <c r="D2997">
        <v>3955.4</v>
      </c>
    </row>
    <row r="2998" spans="1:5" x14ac:dyDescent="0.2">
      <c r="A2998" s="81">
        <v>43787</v>
      </c>
      <c r="D2998">
        <v>3928</v>
      </c>
    </row>
    <row r="2999" spans="1:5" x14ac:dyDescent="0.2">
      <c r="A2999" s="81">
        <v>43794</v>
      </c>
      <c r="D2999">
        <v>3962.5</v>
      </c>
    </row>
    <row r="3000" spans="1:5" x14ac:dyDescent="0.2">
      <c r="A3000" s="81">
        <v>43800</v>
      </c>
      <c r="B3000">
        <v>1553.5</v>
      </c>
      <c r="C3000">
        <v>5935.6</v>
      </c>
      <c r="E3000">
        <v>15325.8</v>
      </c>
    </row>
    <row r="3001" spans="1:5" x14ac:dyDescent="0.2">
      <c r="A3001" s="81">
        <v>43801</v>
      </c>
      <c r="D3001">
        <v>3953.8</v>
      </c>
    </row>
    <row r="3002" spans="1:5" x14ac:dyDescent="0.2">
      <c r="A3002" s="81">
        <v>43808</v>
      </c>
      <c r="D3002">
        <v>3978.4</v>
      </c>
    </row>
    <row r="3003" spans="1:5" x14ac:dyDescent="0.2">
      <c r="A3003" s="81">
        <v>43815</v>
      </c>
      <c r="D3003">
        <v>3992</v>
      </c>
    </row>
    <row r="3004" spans="1:5" x14ac:dyDescent="0.2">
      <c r="A3004" s="81">
        <v>43822</v>
      </c>
      <c r="D3004">
        <v>3999</v>
      </c>
    </row>
    <row r="3005" spans="1:5" x14ac:dyDescent="0.2">
      <c r="A3005" s="81">
        <v>43829</v>
      </c>
      <c r="D3005">
        <v>3963.7</v>
      </c>
    </row>
    <row r="3006" spans="1:5" x14ac:dyDescent="0.2">
      <c r="A3006" s="81">
        <v>43831</v>
      </c>
      <c r="B3006">
        <v>1553.7</v>
      </c>
      <c r="C3006">
        <v>5955.8</v>
      </c>
      <c r="E3006">
        <v>15406.8</v>
      </c>
    </row>
    <row r="3007" spans="1:5" x14ac:dyDescent="0.2">
      <c r="A3007" s="81">
        <v>43836</v>
      </c>
      <c r="D3007">
        <v>3948</v>
      </c>
    </row>
    <row r="3008" spans="1:5" x14ac:dyDescent="0.2">
      <c r="A3008" s="81">
        <v>43843</v>
      </c>
      <c r="D3008">
        <v>3949.7</v>
      </c>
    </row>
    <row r="3009" spans="1:5" x14ac:dyDescent="0.2">
      <c r="A3009" s="81">
        <v>43850</v>
      </c>
      <c r="D3009">
        <v>3978</v>
      </c>
    </row>
    <row r="3010" spans="1:5" x14ac:dyDescent="0.2">
      <c r="A3010" s="81">
        <v>43857</v>
      </c>
      <c r="D3010">
        <v>3962.2</v>
      </c>
    </row>
    <row r="3011" spans="1:5" x14ac:dyDescent="0.2">
      <c r="A3011" s="81">
        <v>43862</v>
      </c>
      <c r="B3011">
        <v>1556.4</v>
      </c>
      <c r="C3011">
        <v>5977.2</v>
      </c>
      <c r="E3011">
        <v>15470.4</v>
      </c>
    </row>
    <row r="3012" spans="1:5" x14ac:dyDescent="0.2">
      <c r="A3012" s="81">
        <v>43864</v>
      </c>
      <c r="D3012">
        <v>4081.4</v>
      </c>
    </row>
    <row r="3013" spans="1:5" x14ac:dyDescent="0.2">
      <c r="A3013" s="81">
        <v>43871</v>
      </c>
      <c r="D3013">
        <v>4012.8</v>
      </c>
    </row>
    <row r="3014" spans="1:5" x14ac:dyDescent="0.2">
      <c r="A3014" s="81">
        <v>43878</v>
      </c>
      <c r="D3014">
        <v>3983.6</v>
      </c>
    </row>
    <row r="3015" spans="1:5" x14ac:dyDescent="0.2">
      <c r="A3015" s="81">
        <v>43885</v>
      </c>
      <c r="D3015">
        <v>3971.4</v>
      </c>
    </row>
    <row r="3016" spans="1:5" x14ac:dyDescent="0.2">
      <c r="A3016" s="81">
        <v>43891</v>
      </c>
      <c r="B3016">
        <v>1659.5</v>
      </c>
      <c r="C3016">
        <v>6206.2</v>
      </c>
      <c r="E3016">
        <v>16011.4</v>
      </c>
    </row>
    <row r="3017" spans="1:5" x14ac:dyDescent="0.2">
      <c r="A3017" s="81">
        <v>43892</v>
      </c>
      <c r="D3017">
        <v>4028.2</v>
      </c>
    </row>
    <row r="3018" spans="1:5" x14ac:dyDescent="0.2">
      <c r="A3018" s="81">
        <v>43899</v>
      </c>
      <c r="D3018">
        <v>4063.6</v>
      </c>
    </row>
    <row r="3019" spans="1:5" x14ac:dyDescent="0.2">
      <c r="A3019" s="81">
        <v>43906</v>
      </c>
      <c r="D3019">
        <v>4126.8</v>
      </c>
    </row>
    <row r="3020" spans="1:5" x14ac:dyDescent="0.2">
      <c r="A3020" s="81">
        <v>43913</v>
      </c>
      <c r="D3020">
        <v>4313.6000000000004</v>
      </c>
    </row>
    <row r="3021" spans="1:5" x14ac:dyDescent="0.2">
      <c r="A3021" s="81">
        <v>43920</v>
      </c>
      <c r="D3021">
        <v>4513.2</v>
      </c>
    </row>
    <row r="3022" spans="1:5" x14ac:dyDescent="0.2">
      <c r="A3022" s="81">
        <v>43922</v>
      </c>
      <c r="B3022">
        <v>1863.6</v>
      </c>
      <c r="C3022">
        <v>6650.9</v>
      </c>
      <c r="E3022">
        <v>17039.099999999999</v>
      </c>
    </row>
    <row r="3023" spans="1:5" x14ac:dyDescent="0.2">
      <c r="A3023" s="81">
        <v>43927</v>
      </c>
      <c r="D3023">
        <v>4591.2</v>
      </c>
    </row>
    <row r="3024" spans="1:5" x14ac:dyDescent="0.2">
      <c r="A3024" s="81">
        <v>43934</v>
      </c>
      <c r="D3024">
        <v>4716.8</v>
      </c>
    </row>
    <row r="3025" spans="1:5" x14ac:dyDescent="0.2">
      <c r="A3025" s="81">
        <v>43941</v>
      </c>
      <c r="D3025">
        <v>4850.1000000000004</v>
      </c>
    </row>
    <row r="3026" spans="1:5" x14ac:dyDescent="0.2">
      <c r="A3026" s="81">
        <v>43948</v>
      </c>
      <c r="D3026">
        <v>4898.5</v>
      </c>
    </row>
    <row r="3027" spans="1:5" x14ac:dyDescent="0.2">
      <c r="A3027" s="81">
        <v>43952</v>
      </c>
      <c r="B3027">
        <v>6353.8</v>
      </c>
      <c r="C3027">
        <v>6989.6</v>
      </c>
      <c r="E3027">
        <v>17889.2</v>
      </c>
    </row>
    <row r="3028" spans="1:5" x14ac:dyDescent="0.2">
      <c r="A3028" s="81">
        <v>43955</v>
      </c>
      <c r="D3028">
        <v>15982.1</v>
      </c>
    </row>
    <row r="3029" spans="1:5" x14ac:dyDescent="0.2">
      <c r="A3029" s="81">
        <v>43962</v>
      </c>
      <c r="D3029">
        <v>16201.3</v>
      </c>
    </row>
    <row r="3030" spans="1:5" x14ac:dyDescent="0.2">
      <c r="A3030" s="81">
        <v>43969</v>
      </c>
      <c r="D3030">
        <v>16292.4</v>
      </c>
    </row>
    <row r="3031" spans="1:5" x14ac:dyDescent="0.2">
      <c r="A3031" s="81">
        <v>43976</v>
      </c>
      <c r="D3031">
        <v>16319.7</v>
      </c>
    </row>
    <row r="3032" spans="1:5" x14ac:dyDescent="0.2">
      <c r="A3032" s="81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5" x14ac:dyDescent="0.2">
      <c r="A3033" s="81">
        <v>43990</v>
      </c>
      <c r="D3033">
        <v>16467</v>
      </c>
    </row>
    <row r="3034" spans="1:5" x14ac:dyDescent="0.2">
      <c r="A3034" s="81">
        <v>43997</v>
      </c>
      <c r="D3034">
        <v>16554.5</v>
      </c>
    </row>
    <row r="3035" spans="1:5" x14ac:dyDescent="0.2">
      <c r="A3035" s="81">
        <v>44004</v>
      </c>
      <c r="D3035">
        <v>16654.8</v>
      </c>
    </row>
    <row r="3036" spans="1:5" x14ac:dyDescent="0.2">
      <c r="A3036" s="81">
        <v>44011</v>
      </c>
      <c r="D3036">
        <v>16656.599999999999</v>
      </c>
    </row>
    <row r="3037" spans="1:5" x14ac:dyDescent="0.2">
      <c r="A3037" s="81">
        <v>44013</v>
      </c>
      <c r="B3037">
        <v>6486.3</v>
      </c>
      <c r="C3037">
        <v>7082.9</v>
      </c>
      <c r="E3037">
        <v>18316.599999999999</v>
      </c>
    </row>
    <row r="3038" spans="1:5" x14ac:dyDescent="0.2">
      <c r="A3038" s="81">
        <v>44018</v>
      </c>
      <c r="D3038">
        <v>16763.3</v>
      </c>
    </row>
    <row r="3039" spans="1:5" x14ac:dyDescent="0.2">
      <c r="A3039" s="81">
        <v>44025</v>
      </c>
      <c r="D3039">
        <v>16836.7</v>
      </c>
    </row>
    <row r="3040" spans="1:5" x14ac:dyDescent="0.2">
      <c r="A3040" s="81">
        <v>44032</v>
      </c>
      <c r="D3040">
        <v>16781.900000000001</v>
      </c>
    </row>
    <row r="3041" spans="1:5" x14ac:dyDescent="0.2">
      <c r="A3041" s="81">
        <v>44039</v>
      </c>
      <c r="D3041">
        <v>16753.3</v>
      </c>
    </row>
    <row r="3042" spans="1:5" x14ac:dyDescent="0.2">
      <c r="A3042" s="81">
        <v>44044</v>
      </c>
      <c r="B3042">
        <v>6507.2</v>
      </c>
      <c r="C3042">
        <v>7082</v>
      </c>
      <c r="E3042">
        <v>18378.5</v>
      </c>
    </row>
    <row r="3043" spans="1:5" x14ac:dyDescent="0.2">
      <c r="A3043" s="81">
        <v>44046</v>
      </c>
      <c r="D3043">
        <v>16734.7</v>
      </c>
    </row>
    <row r="3044" spans="1:5" x14ac:dyDescent="0.2">
      <c r="A3044" s="81">
        <v>44053</v>
      </c>
      <c r="D3044">
        <v>16888.900000000001</v>
      </c>
    </row>
    <row r="3045" spans="1:5" x14ac:dyDescent="0.2">
      <c r="A3045" s="81">
        <v>44060</v>
      </c>
      <c r="D3045">
        <v>16938.599999999999</v>
      </c>
    </row>
    <row r="3046" spans="1:5" x14ac:dyDescent="0.2">
      <c r="A3046" s="81">
        <v>44067</v>
      </c>
      <c r="D3046">
        <v>16880.599999999999</v>
      </c>
    </row>
    <row r="3047" spans="1:5" x14ac:dyDescent="0.2">
      <c r="A3047" s="81">
        <v>44074</v>
      </c>
      <c r="D3047">
        <v>16962.8</v>
      </c>
    </row>
    <row r="3048" spans="1:5" x14ac:dyDescent="0.2">
      <c r="A3048" s="81">
        <v>44075</v>
      </c>
      <c r="B3048">
        <v>6595</v>
      </c>
      <c r="C3048">
        <v>7150.4</v>
      </c>
      <c r="E3048">
        <v>18601.599999999999</v>
      </c>
    </row>
    <row r="3049" spans="1:5" x14ac:dyDescent="0.2">
      <c r="A3049" s="81">
        <v>44081</v>
      </c>
      <c r="D3049">
        <v>17087.5</v>
      </c>
    </row>
    <row r="3050" spans="1:5" x14ac:dyDescent="0.2">
      <c r="A3050" s="81">
        <v>44088</v>
      </c>
      <c r="D3050">
        <v>17214.5</v>
      </c>
    </row>
    <row r="3051" spans="1:5" x14ac:dyDescent="0.2">
      <c r="A3051" s="81">
        <v>44095</v>
      </c>
      <c r="D3051">
        <v>17237.7</v>
      </c>
    </row>
    <row r="3052" spans="1:5" x14ac:dyDescent="0.2">
      <c r="A3052" s="81">
        <v>44102</v>
      </c>
      <c r="D3052">
        <v>17175</v>
      </c>
    </row>
    <row r="3053" spans="1:5" x14ac:dyDescent="0.2">
      <c r="A3053" s="81">
        <v>44105</v>
      </c>
      <c r="B3053">
        <v>6660</v>
      </c>
      <c r="C3053">
        <v>7197.9</v>
      </c>
      <c r="E3053">
        <v>18747.900000000001</v>
      </c>
    </row>
    <row r="3054" spans="1:5" x14ac:dyDescent="0.2">
      <c r="A3054" s="81">
        <v>44109</v>
      </c>
      <c r="D3054">
        <v>17223.5</v>
      </c>
    </row>
    <row r="3055" spans="1:5" x14ac:dyDescent="0.2">
      <c r="A3055" s="81">
        <v>44116</v>
      </c>
      <c r="D3055">
        <v>17331.5</v>
      </c>
    </row>
    <row r="3056" spans="1:5" x14ac:dyDescent="0.2">
      <c r="A3056" s="81">
        <v>44123</v>
      </c>
      <c r="D3056">
        <v>17350.3</v>
      </c>
    </row>
    <row r="3057" spans="1:5" x14ac:dyDescent="0.2">
      <c r="A3057" s="81">
        <v>44130</v>
      </c>
      <c r="D3057">
        <v>17375.900000000001</v>
      </c>
    </row>
    <row r="3058" spans="1:5" x14ac:dyDescent="0.2">
      <c r="A3058" s="81">
        <v>44136</v>
      </c>
      <c r="B3058">
        <v>6741</v>
      </c>
      <c r="C3058">
        <v>7265.9</v>
      </c>
      <c r="E3058">
        <v>18958.7</v>
      </c>
    </row>
    <row r="3059" spans="1:5" x14ac:dyDescent="0.2">
      <c r="A3059" s="81">
        <v>44137</v>
      </c>
      <c r="D3059">
        <v>17431</v>
      </c>
    </row>
    <row r="3060" spans="1:5" x14ac:dyDescent="0.2">
      <c r="A3060" s="81">
        <v>44144</v>
      </c>
      <c r="D3060">
        <v>17593.099999999999</v>
      </c>
    </row>
    <row r="3061" spans="1:5" x14ac:dyDescent="0.2">
      <c r="A3061" s="81">
        <v>44151</v>
      </c>
      <c r="D3061">
        <v>17638.099999999999</v>
      </c>
    </row>
    <row r="3062" spans="1:5" x14ac:dyDescent="0.2">
      <c r="A3062" s="81">
        <v>44158</v>
      </c>
      <c r="D3062">
        <v>17657.599999999999</v>
      </c>
    </row>
    <row r="3063" spans="1:5" x14ac:dyDescent="0.2">
      <c r="A3063" s="81">
        <v>44165</v>
      </c>
      <c r="D3063">
        <v>17547.400000000001</v>
      </c>
    </row>
    <row r="3064" spans="1:5" x14ac:dyDescent="0.2">
      <c r="A3064" s="81">
        <v>44166</v>
      </c>
      <c r="B3064">
        <v>6810.1</v>
      </c>
      <c r="C3064">
        <v>7313.6</v>
      </c>
      <c r="E3064">
        <v>19129.5</v>
      </c>
    </row>
    <row r="3065" spans="1:5" x14ac:dyDescent="0.2">
      <c r="A3065" s="81">
        <v>44172</v>
      </c>
      <c r="D3065">
        <v>17777</v>
      </c>
    </row>
    <row r="3066" spans="1:5" x14ac:dyDescent="0.2">
      <c r="A3066" s="81">
        <v>44179</v>
      </c>
      <c r="D3066">
        <v>17853.099999999999</v>
      </c>
    </row>
    <row r="3067" spans="1:5" x14ac:dyDescent="0.2">
      <c r="A3067" s="81">
        <v>44186</v>
      </c>
      <c r="D3067">
        <v>17762.599999999999</v>
      </c>
    </row>
    <row r="3068" spans="1:5" x14ac:dyDescent="0.2">
      <c r="A3068" s="81">
        <v>44193</v>
      </c>
      <c r="D3068">
        <v>17661.3</v>
      </c>
    </row>
    <row r="3069" spans="1:5" x14ac:dyDescent="0.2">
      <c r="A3069" s="81">
        <v>44197</v>
      </c>
      <c r="B3069">
        <v>6902.6</v>
      </c>
      <c r="C3069">
        <v>7395.5</v>
      </c>
      <c r="E3069">
        <v>19393.2</v>
      </c>
    </row>
    <row r="3070" spans="1:5" x14ac:dyDescent="0.2">
      <c r="A3070" s="81">
        <v>44200</v>
      </c>
      <c r="D3070">
        <v>17773.3</v>
      </c>
    </row>
    <row r="3071" spans="1:5" x14ac:dyDescent="0.2">
      <c r="A3071" s="81">
        <v>44207</v>
      </c>
      <c r="D3071">
        <v>18147.8</v>
      </c>
    </row>
    <row r="3072" spans="1:5" x14ac:dyDescent="0.2">
      <c r="A3072" s="81">
        <v>44214</v>
      </c>
      <c r="D3072">
        <v>18158.599999999999</v>
      </c>
    </row>
    <row r="3073" spans="1:5" x14ac:dyDescent="0.2">
      <c r="A3073" s="81">
        <v>44221</v>
      </c>
      <c r="D3073">
        <v>18116.2</v>
      </c>
    </row>
    <row r="3074" spans="1:5" x14ac:dyDescent="0.2">
      <c r="A3074" s="81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5" x14ac:dyDescent="0.2">
      <c r="A3075" s="81">
        <v>44256</v>
      </c>
      <c r="B3075">
        <v>7050.5</v>
      </c>
      <c r="C3075">
        <v>7520.3</v>
      </c>
      <c r="E3075">
        <v>19913.2</v>
      </c>
    </row>
    <row r="3076" spans="1:5" x14ac:dyDescent="0.2">
      <c r="A3076" s="81">
        <v>44287</v>
      </c>
      <c r="B3076">
        <v>7093.4</v>
      </c>
      <c r="C3076">
        <v>7547.4</v>
      </c>
      <c r="E3076">
        <v>20138.8</v>
      </c>
    </row>
    <row r="3077" spans="1:5" x14ac:dyDescent="0.2">
      <c r="A3077" s="81">
        <v>44317</v>
      </c>
      <c r="B3077">
        <v>7152.8</v>
      </c>
      <c r="C3077">
        <v>7597.4</v>
      </c>
      <c r="E3077">
        <v>20402.8</v>
      </c>
    </row>
    <row r="3078" spans="1:5" x14ac:dyDescent="0.2">
      <c r="A3078" s="81">
        <v>44348</v>
      </c>
      <c r="B3078">
        <v>7106</v>
      </c>
      <c r="C3078">
        <v>7539.1</v>
      </c>
      <c r="E3078">
        <v>20429.5</v>
      </c>
    </row>
    <row r="3079" spans="1:5" x14ac:dyDescent="0.2">
      <c r="A3079" s="81">
        <v>44378</v>
      </c>
      <c r="B3079">
        <v>7132.8</v>
      </c>
      <c r="C3079">
        <v>7558.4</v>
      </c>
      <c r="E3079">
        <v>20578.900000000001</v>
      </c>
    </row>
    <row r="3080" spans="1:5" x14ac:dyDescent="0.2">
      <c r="A3080" s="81">
        <v>44409</v>
      </c>
      <c r="B3080">
        <v>7214</v>
      </c>
      <c r="C3080">
        <v>7630.6</v>
      </c>
      <c r="E3080">
        <v>20832.5</v>
      </c>
    </row>
    <row r="3081" spans="1:5" x14ac:dyDescent="0.2">
      <c r="A3081" s="81">
        <v>44440</v>
      </c>
      <c r="B3081">
        <v>7249.9</v>
      </c>
      <c r="C3081">
        <v>7658.5</v>
      </c>
      <c r="E3081">
        <v>20994.799999999999</v>
      </c>
    </row>
    <row r="3082" spans="1:5" x14ac:dyDescent="0.2">
      <c r="A3082" s="81">
        <v>44470</v>
      </c>
      <c r="B3082">
        <v>7257.6</v>
      </c>
      <c r="C3082">
        <v>7656.5</v>
      </c>
      <c r="E3082">
        <v>21187.5</v>
      </c>
    </row>
    <row r="3083" spans="1:5" x14ac:dyDescent="0.2">
      <c r="A3083" s="81">
        <v>44501</v>
      </c>
      <c r="B3083">
        <v>7295.3</v>
      </c>
      <c r="C3083">
        <v>7686.7</v>
      </c>
      <c r="E3083">
        <v>21436.7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6"/>
  </sheetPr>
  <dimension ref="A1:BD843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 activeCell="M40" sqref="M40"/>
    </sheetView>
  </sheetViews>
  <sheetFormatPr baseColWidth="10" defaultColWidth="9.1640625" defaultRowHeight="15" x14ac:dyDescent="0.2"/>
  <cols>
    <col min="1" max="1" width="9.1640625" style="78" customWidth="1"/>
    <col min="2" max="2" width="11.1640625" style="78" customWidth="1"/>
    <col min="3" max="4" width="4.6640625" style="78" customWidth="1"/>
    <col min="5" max="9" width="9.1640625" style="78" customWidth="1"/>
    <col min="10" max="10" width="10.6640625" style="78" bestFit="1" customWidth="1"/>
    <col min="11" max="14" width="9.1640625" style="78" customWidth="1"/>
    <col min="15" max="16384" width="9.1640625" style="78"/>
  </cols>
  <sheetData>
    <row r="1" spans="1:56" x14ac:dyDescent="0.2">
      <c r="B1" s="78" t="s">
        <v>78</v>
      </c>
      <c r="G1" s="78" t="s">
        <v>84</v>
      </c>
      <c r="H1" s="78" t="s">
        <v>85</v>
      </c>
      <c r="I1" s="78" t="s">
        <v>86</v>
      </c>
      <c r="J1" s="78" t="s">
        <v>87</v>
      </c>
      <c r="K1" s="78" t="s">
        <v>88</v>
      </c>
      <c r="L1" s="78" t="s">
        <v>89</v>
      </c>
      <c r="M1" s="78" t="s">
        <v>90</v>
      </c>
      <c r="N1" s="78" t="s">
        <v>91</v>
      </c>
      <c r="O1" s="78" t="s">
        <v>92</v>
      </c>
      <c r="P1" s="78" t="s">
        <v>93</v>
      </c>
      <c r="Q1" s="78" t="s">
        <v>94</v>
      </c>
      <c r="R1" s="78" t="s">
        <v>95</v>
      </c>
      <c r="S1" s="78" t="s">
        <v>96</v>
      </c>
      <c r="T1" s="78" t="s">
        <v>97</v>
      </c>
      <c r="U1" s="78" t="s">
        <v>98</v>
      </c>
      <c r="V1" s="78" t="s">
        <v>99</v>
      </c>
      <c r="W1" s="78" t="s">
        <v>100</v>
      </c>
      <c r="X1" s="78" t="s">
        <v>101</v>
      </c>
      <c r="Y1" s="78" t="s">
        <v>102</v>
      </c>
      <c r="Z1" s="78" t="s">
        <v>103</v>
      </c>
      <c r="AA1" s="78" t="s">
        <v>104</v>
      </c>
      <c r="AB1" s="78" t="s">
        <v>105</v>
      </c>
      <c r="AC1" s="78" t="s">
        <v>106</v>
      </c>
      <c r="AD1" s="78" t="s">
        <v>107</v>
      </c>
      <c r="AE1" s="78" t="s">
        <v>108</v>
      </c>
      <c r="AF1" s="78" t="s">
        <v>109</v>
      </c>
      <c r="AG1" s="78" t="s">
        <v>110</v>
      </c>
      <c r="AH1" s="78" t="s">
        <v>111</v>
      </c>
      <c r="AI1" s="78" t="s">
        <v>112</v>
      </c>
      <c r="AJ1" s="78" t="s">
        <v>113</v>
      </c>
      <c r="AK1" s="78" t="s">
        <v>114</v>
      </c>
      <c r="AL1" s="78" t="s">
        <v>115</v>
      </c>
      <c r="AM1" s="78" t="s">
        <v>116</v>
      </c>
      <c r="AN1" s="78" t="s">
        <v>117</v>
      </c>
      <c r="AO1" s="78" t="s">
        <v>118</v>
      </c>
      <c r="AP1" s="78" t="s">
        <v>119</v>
      </c>
      <c r="AQ1" s="78" t="s">
        <v>120</v>
      </c>
      <c r="AR1" s="78" t="s">
        <v>121</v>
      </c>
      <c r="AS1" s="78" t="s">
        <v>122</v>
      </c>
      <c r="AT1" s="78" t="s">
        <v>123</v>
      </c>
      <c r="AU1" s="78" t="s">
        <v>124</v>
      </c>
      <c r="AV1" s="78" t="s">
        <v>125</v>
      </c>
      <c r="AW1" s="78" t="s">
        <v>126</v>
      </c>
      <c r="AX1" s="78" t="s">
        <v>127</v>
      </c>
      <c r="AY1" s="78" t="s">
        <v>128</v>
      </c>
      <c r="AZ1" s="78" t="s">
        <v>129</v>
      </c>
      <c r="BA1" s="78" t="s">
        <v>130</v>
      </c>
      <c r="BB1" s="78" t="s">
        <v>131</v>
      </c>
      <c r="BC1" s="78" t="s">
        <v>132</v>
      </c>
      <c r="BD1" s="78" t="s">
        <v>133</v>
      </c>
    </row>
    <row r="2" spans="1:56" x14ac:dyDescent="0.2">
      <c r="A2" s="78" t="s">
        <v>134</v>
      </c>
      <c r="B2" s="22">
        <v>18749</v>
      </c>
      <c r="C2" s="22"/>
      <c r="D2" s="22"/>
      <c r="E2" s="22" t="e">
        <v>#N/A</v>
      </c>
      <c r="F2" s="20" t="s">
        <v>135</v>
      </c>
    </row>
    <row r="3" spans="1:56" x14ac:dyDescent="0.2">
      <c r="A3" s="78" t="s">
        <v>136</v>
      </c>
      <c r="B3" s="22">
        <v>18780</v>
      </c>
      <c r="C3" s="22"/>
      <c r="D3" s="22"/>
      <c r="E3" s="22" t="e">
        <v>#N/A</v>
      </c>
      <c r="F3" s="78" t="s">
        <v>137</v>
      </c>
    </row>
    <row r="4" spans="1:56" x14ac:dyDescent="0.2">
      <c r="A4" s="78" t="s">
        <v>138</v>
      </c>
      <c r="B4" s="22">
        <v>18810</v>
      </c>
      <c r="C4" s="22"/>
      <c r="D4" s="22"/>
      <c r="E4" s="22" t="e">
        <v>#N/A</v>
      </c>
      <c r="F4" s="78" t="s">
        <v>139</v>
      </c>
    </row>
    <row r="5" spans="1:56" x14ac:dyDescent="0.2">
      <c r="A5" s="78" t="s">
        <v>140</v>
      </c>
      <c r="B5" s="22">
        <v>18841</v>
      </c>
      <c r="C5" s="22"/>
      <c r="D5" s="22"/>
      <c r="E5" s="22" t="e">
        <v>#N/A</v>
      </c>
      <c r="F5" s="78" t="s">
        <v>141</v>
      </c>
    </row>
    <row r="6" spans="1:56" x14ac:dyDescent="0.2">
      <c r="A6" s="78" t="s">
        <v>142</v>
      </c>
      <c r="B6" s="22">
        <v>18872</v>
      </c>
      <c r="C6" s="22"/>
      <c r="D6" s="22"/>
      <c r="E6" s="22" t="e">
        <v>#N/A</v>
      </c>
      <c r="F6" s="78" t="s">
        <v>143</v>
      </c>
    </row>
    <row r="7" spans="1:56" x14ac:dyDescent="0.2">
      <c r="A7" s="78" t="s">
        <v>144</v>
      </c>
      <c r="B7" s="22">
        <v>18902</v>
      </c>
      <c r="C7" s="22"/>
      <c r="D7" s="22"/>
      <c r="E7" s="22" t="e">
        <v>#N/A</v>
      </c>
      <c r="F7" s="78" t="s">
        <v>145</v>
      </c>
    </row>
    <row r="8" spans="1:56" x14ac:dyDescent="0.2">
      <c r="A8" s="78" t="s">
        <v>146</v>
      </c>
      <c r="B8" s="22">
        <v>18933</v>
      </c>
      <c r="C8" s="22"/>
      <c r="D8" s="22"/>
      <c r="E8" s="22" t="e">
        <v>#N/A</v>
      </c>
      <c r="F8" s="78" t="s">
        <v>147</v>
      </c>
    </row>
    <row r="9" spans="1:56" x14ac:dyDescent="0.2">
      <c r="A9" s="78" t="s">
        <v>148</v>
      </c>
      <c r="B9" s="22">
        <v>18963</v>
      </c>
      <c r="C9" s="22"/>
      <c r="D9" s="22"/>
      <c r="E9" s="22" t="e">
        <v>#N/A</v>
      </c>
      <c r="F9" s="78" t="s">
        <v>149</v>
      </c>
    </row>
    <row r="10" spans="1:56" x14ac:dyDescent="0.2">
      <c r="A10" s="78" t="s">
        <v>150</v>
      </c>
      <c r="B10" s="22">
        <v>18994</v>
      </c>
      <c r="C10" s="22"/>
      <c r="D10" s="22"/>
      <c r="E10" s="22" t="e">
        <v>#N/A</v>
      </c>
      <c r="F10" s="78" t="s">
        <v>151</v>
      </c>
    </row>
    <row r="11" spans="1:56" x14ac:dyDescent="0.2">
      <c r="A11" s="78" t="s">
        <v>152</v>
      </c>
      <c r="B11" s="22">
        <v>19025</v>
      </c>
      <c r="C11" s="22"/>
      <c r="D11" s="22"/>
      <c r="E11" s="22" t="e">
        <v>#N/A</v>
      </c>
      <c r="F11" s="78" t="s">
        <v>153</v>
      </c>
    </row>
    <row r="12" spans="1:56" x14ac:dyDescent="0.2">
      <c r="A12" s="78" t="s">
        <v>154</v>
      </c>
      <c r="B12" s="22">
        <v>19054</v>
      </c>
      <c r="C12" s="22"/>
      <c r="D12" s="22"/>
      <c r="E12" s="22" t="e">
        <v>#N/A</v>
      </c>
      <c r="F12" s="78" t="s">
        <v>155</v>
      </c>
    </row>
    <row r="13" spans="1:56" x14ac:dyDescent="0.2">
      <c r="A13" s="78" t="s">
        <v>156</v>
      </c>
      <c r="B13" s="22">
        <v>19085</v>
      </c>
      <c r="C13" s="22"/>
      <c r="D13" s="22"/>
      <c r="E13" s="22" t="e">
        <v>#N/A</v>
      </c>
      <c r="F13" s="78" t="s">
        <v>157</v>
      </c>
    </row>
    <row r="14" spans="1:56" x14ac:dyDescent="0.2">
      <c r="A14" s="78" t="s">
        <v>158</v>
      </c>
      <c r="B14" s="22">
        <v>19115</v>
      </c>
      <c r="C14" s="22"/>
      <c r="D14" s="22"/>
      <c r="E14" s="22" t="e">
        <v>#N/A</v>
      </c>
      <c r="F14" s="78" t="s">
        <v>159</v>
      </c>
    </row>
    <row r="15" spans="1:56" x14ac:dyDescent="0.2">
      <c r="A15" s="78" t="s">
        <v>160</v>
      </c>
      <c r="B15" s="22">
        <v>19146</v>
      </c>
      <c r="C15" s="22"/>
      <c r="D15" s="22"/>
      <c r="E15" s="22" t="e">
        <v>#N/A</v>
      </c>
      <c r="F15" s="78" t="s">
        <v>161</v>
      </c>
    </row>
    <row r="16" spans="1:56" x14ac:dyDescent="0.2">
      <c r="A16" s="78" t="s">
        <v>162</v>
      </c>
      <c r="B16" s="22">
        <v>19176</v>
      </c>
      <c r="C16" s="22"/>
      <c r="D16" s="22"/>
      <c r="E16" s="22" t="e">
        <v>#N/A</v>
      </c>
      <c r="F16" s="78" t="s">
        <v>163</v>
      </c>
    </row>
    <row r="17" spans="1:31" x14ac:dyDescent="0.2">
      <c r="A17" s="78" t="s">
        <v>164</v>
      </c>
      <c r="B17" s="22">
        <v>19207</v>
      </c>
      <c r="C17" s="22"/>
      <c r="D17" s="22"/>
      <c r="E17" s="22" t="e">
        <v>#N/A</v>
      </c>
      <c r="F17" s="78" t="s">
        <v>165</v>
      </c>
    </row>
    <row r="18" spans="1:31" x14ac:dyDescent="0.2">
      <c r="A18" s="78" t="s">
        <v>166</v>
      </c>
      <c r="B18" s="22">
        <v>19238</v>
      </c>
      <c r="C18" s="22"/>
      <c r="D18" s="22"/>
      <c r="E18" s="22">
        <v>18749</v>
      </c>
      <c r="F18" s="78" t="s">
        <v>134</v>
      </c>
      <c r="AE18" s="78">
        <v>2.0982839999999999E-2</v>
      </c>
    </row>
    <row r="19" spans="1:31" x14ac:dyDescent="0.2">
      <c r="A19" s="78" t="s">
        <v>167</v>
      </c>
      <c r="B19" s="22">
        <v>19268</v>
      </c>
      <c r="C19" s="22"/>
      <c r="D19" s="22"/>
      <c r="E19" s="22">
        <v>18780</v>
      </c>
      <c r="F19" s="78" t="s">
        <v>136</v>
      </c>
      <c r="AE19" s="78">
        <v>2.0893510000000001E-2</v>
      </c>
    </row>
    <row r="20" spans="1:31" x14ac:dyDescent="0.2">
      <c r="A20" s="78" t="s">
        <v>168</v>
      </c>
      <c r="B20" s="22">
        <v>19299</v>
      </c>
      <c r="C20" s="22"/>
      <c r="D20" s="22"/>
      <c r="E20" s="22">
        <v>18810</v>
      </c>
      <c r="F20" s="78" t="s">
        <v>138</v>
      </c>
      <c r="AE20" s="78">
        <v>2.0733290000000001E-2</v>
      </c>
    </row>
    <row r="21" spans="1:31" x14ac:dyDescent="0.2">
      <c r="A21" s="78" t="s">
        <v>169</v>
      </c>
      <c r="B21" s="22">
        <v>19329</v>
      </c>
      <c r="C21" s="22"/>
      <c r="D21" s="22"/>
      <c r="E21" s="22">
        <v>18841</v>
      </c>
      <c r="F21" s="78" t="s">
        <v>140</v>
      </c>
      <c r="AE21" s="78">
        <v>2.0569270000000001E-2</v>
      </c>
    </row>
    <row r="22" spans="1:31" x14ac:dyDescent="0.2">
      <c r="A22" s="78" t="s">
        <v>170</v>
      </c>
      <c r="B22" s="22">
        <v>19360</v>
      </c>
      <c r="C22" s="22"/>
      <c r="D22" s="22"/>
      <c r="E22" s="22">
        <v>18872</v>
      </c>
      <c r="F22" s="78" t="s">
        <v>142</v>
      </c>
      <c r="AE22" s="78">
        <v>2.0330669999999999E-2</v>
      </c>
    </row>
    <row r="23" spans="1:31" x14ac:dyDescent="0.2">
      <c r="A23" s="78" t="s">
        <v>171</v>
      </c>
      <c r="B23" s="22">
        <v>19391</v>
      </c>
      <c r="C23" s="22"/>
      <c r="D23" s="22"/>
      <c r="E23" s="22">
        <v>18902</v>
      </c>
      <c r="F23" s="78" t="s">
        <v>144</v>
      </c>
      <c r="AE23" s="78">
        <v>2.0171830000000002E-2</v>
      </c>
    </row>
    <row r="24" spans="1:31" x14ac:dyDescent="0.2">
      <c r="A24" s="78" t="s">
        <v>172</v>
      </c>
      <c r="B24" s="22">
        <v>19419</v>
      </c>
      <c r="C24" s="22"/>
      <c r="D24" s="22"/>
      <c r="E24" s="22">
        <v>18933</v>
      </c>
      <c r="F24" s="78" t="s">
        <v>146</v>
      </c>
      <c r="AE24" s="78">
        <v>2.0037920000000001E-2</v>
      </c>
    </row>
    <row r="25" spans="1:31" x14ac:dyDescent="0.2">
      <c r="A25" s="78" t="s">
        <v>173</v>
      </c>
      <c r="B25" s="22">
        <v>19450</v>
      </c>
      <c r="C25" s="22"/>
      <c r="D25" s="22"/>
      <c r="E25" s="22">
        <v>18963</v>
      </c>
      <c r="F25" s="78" t="s">
        <v>148</v>
      </c>
      <c r="AE25" s="78">
        <v>1.9903649999999998E-2</v>
      </c>
    </row>
    <row r="26" spans="1:31" x14ac:dyDescent="0.2">
      <c r="A26" s="78" t="s">
        <v>174</v>
      </c>
      <c r="B26" s="22">
        <v>19480</v>
      </c>
      <c r="C26" s="22"/>
      <c r="D26" s="22"/>
      <c r="E26" s="22">
        <v>18994</v>
      </c>
      <c r="F26" s="78" t="s">
        <v>150</v>
      </c>
      <c r="AE26" s="78">
        <v>1.990894E-2</v>
      </c>
    </row>
    <row r="27" spans="1:31" x14ac:dyDescent="0.2">
      <c r="A27" s="78" t="s">
        <v>175</v>
      </c>
      <c r="B27" s="22">
        <v>19511</v>
      </c>
      <c r="C27" s="22"/>
      <c r="D27" s="22"/>
      <c r="E27" s="22">
        <v>19025</v>
      </c>
      <c r="F27" s="78" t="s">
        <v>152</v>
      </c>
      <c r="AE27" s="78">
        <v>1.981428E-2</v>
      </c>
    </row>
    <row r="28" spans="1:31" x14ac:dyDescent="0.2">
      <c r="A28" s="78" t="s">
        <v>176</v>
      </c>
      <c r="B28" s="22">
        <v>19541</v>
      </c>
      <c r="C28" s="22"/>
      <c r="D28" s="22"/>
      <c r="E28" s="22">
        <v>19054</v>
      </c>
      <c r="F28" s="78" t="s">
        <v>154</v>
      </c>
      <c r="AE28" s="78">
        <v>1.9584319999999999E-2</v>
      </c>
    </row>
    <row r="29" spans="1:31" x14ac:dyDescent="0.2">
      <c r="A29" s="78" t="s">
        <v>177</v>
      </c>
      <c r="B29" s="22">
        <v>19572</v>
      </c>
      <c r="C29" s="22"/>
      <c r="D29" s="22"/>
      <c r="E29" s="22">
        <v>19085</v>
      </c>
      <c r="F29" s="78" t="s">
        <v>156</v>
      </c>
      <c r="AE29" s="78">
        <v>1.9404749999999998E-2</v>
      </c>
    </row>
    <row r="30" spans="1:31" x14ac:dyDescent="0.2">
      <c r="A30" s="78" t="s">
        <v>178</v>
      </c>
      <c r="B30" s="22">
        <v>19603</v>
      </c>
      <c r="C30" s="22"/>
      <c r="D30" s="22"/>
      <c r="E30" s="22">
        <v>19115</v>
      </c>
      <c r="F30" s="78" t="s">
        <v>158</v>
      </c>
      <c r="AE30" s="78">
        <v>1.9293879999999999E-2</v>
      </c>
    </row>
    <row r="31" spans="1:31" x14ac:dyDescent="0.2">
      <c r="A31" s="78" t="s">
        <v>179</v>
      </c>
      <c r="B31" s="22">
        <v>19633</v>
      </c>
      <c r="C31" s="22"/>
      <c r="D31" s="22"/>
      <c r="E31" s="22">
        <v>19146</v>
      </c>
      <c r="F31" s="78" t="s">
        <v>160</v>
      </c>
      <c r="AE31" s="78">
        <v>1.9335979999999999E-2</v>
      </c>
    </row>
    <row r="32" spans="1:31" x14ac:dyDescent="0.2">
      <c r="A32" s="78" t="s">
        <v>180</v>
      </c>
      <c r="B32" s="22">
        <v>19664</v>
      </c>
      <c r="C32" s="22"/>
      <c r="D32" s="22"/>
      <c r="E32" s="22">
        <v>19176</v>
      </c>
      <c r="F32" s="78" t="s">
        <v>162</v>
      </c>
      <c r="AE32" s="78">
        <v>1.9453000000000002E-2</v>
      </c>
    </row>
    <row r="33" spans="1:31" x14ac:dyDescent="0.2">
      <c r="A33" s="78" t="s">
        <v>181</v>
      </c>
      <c r="B33" s="22">
        <v>19694</v>
      </c>
      <c r="C33" s="22"/>
      <c r="D33" s="22"/>
      <c r="E33" s="22">
        <v>19207</v>
      </c>
      <c r="F33" s="78" t="s">
        <v>164</v>
      </c>
      <c r="AE33" s="78">
        <v>1.9478889999999999E-2</v>
      </c>
    </row>
    <row r="34" spans="1:31" x14ac:dyDescent="0.2">
      <c r="A34" s="78" t="s">
        <v>182</v>
      </c>
      <c r="B34" s="22">
        <v>19725</v>
      </c>
      <c r="C34" s="22"/>
      <c r="D34" s="22"/>
      <c r="E34" s="22">
        <v>19238</v>
      </c>
      <c r="F34" s="78" t="s">
        <v>166</v>
      </c>
      <c r="AE34" s="78">
        <v>1.9492269999999999E-2</v>
      </c>
    </row>
    <row r="35" spans="1:31" x14ac:dyDescent="0.2">
      <c r="A35" s="78" t="s">
        <v>183</v>
      </c>
      <c r="B35" s="22">
        <v>19756</v>
      </c>
      <c r="C35" s="22"/>
      <c r="D35" s="22"/>
      <c r="E35" s="22">
        <v>19268</v>
      </c>
      <c r="F35" s="78" t="s">
        <v>167</v>
      </c>
      <c r="AE35" s="78">
        <v>1.9442230000000001E-2</v>
      </c>
    </row>
    <row r="36" spans="1:31" x14ac:dyDescent="0.2">
      <c r="A36" s="78" t="s">
        <v>184</v>
      </c>
      <c r="B36" s="22">
        <v>19784</v>
      </c>
      <c r="C36" s="22"/>
      <c r="D36" s="22"/>
      <c r="E36" s="22">
        <v>19299</v>
      </c>
      <c r="F36" s="78" t="s">
        <v>168</v>
      </c>
      <c r="AE36" s="78">
        <v>1.935626E-2</v>
      </c>
    </row>
    <row r="37" spans="1:31" x14ac:dyDescent="0.2">
      <c r="A37" s="78" t="s">
        <v>185</v>
      </c>
      <c r="B37" s="22">
        <v>19815</v>
      </c>
      <c r="C37" s="22"/>
      <c r="D37" s="22"/>
      <c r="E37" s="22">
        <v>19329</v>
      </c>
      <c r="F37" s="78" t="s">
        <v>169</v>
      </c>
      <c r="AE37" s="78">
        <v>1.935452E-2</v>
      </c>
    </row>
    <row r="38" spans="1:31" x14ac:dyDescent="0.2">
      <c r="A38" s="78" t="s">
        <v>186</v>
      </c>
      <c r="B38" s="22">
        <v>19845</v>
      </c>
      <c r="C38" s="22"/>
      <c r="D38" s="22"/>
      <c r="E38" s="22">
        <v>19360</v>
      </c>
      <c r="F38" s="78" t="s">
        <v>170</v>
      </c>
      <c r="AE38" s="78">
        <v>1.9307029999999999E-2</v>
      </c>
    </row>
    <row r="39" spans="1:31" x14ac:dyDescent="0.2">
      <c r="A39" s="78" t="s">
        <v>187</v>
      </c>
      <c r="B39" s="22">
        <v>19876</v>
      </c>
      <c r="C39" s="22"/>
      <c r="D39" s="22"/>
      <c r="E39" s="22">
        <v>19391</v>
      </c>
      <c r="F39" s="78" t="s">
        <v>171</v>
      </c>
      <c r="AE39" s="78">
        <v>1.9265649999999999E-2</v>
      </c>
    </row>
    <row r="40" spans="1:31" x14ac:dyDescent="0.2">
      <c r="A40" s="78" t="s">
        <v>188</v>
      </c>
      <c r="B40" s="22">
        <v>19906</v>
      </c>
      <c r="C40" s="22"/>
      <c r="D40" s="22"/>
      <c r="E40" s="22">
        <v>19419</v>
      </c>
      <c r="F40" s="78" t="s">
        <v>172</v>
      </c>
      <c r="AE40" s="78">
        <v>1.93019E-2</v>
      </c>
    </row>
    <row r="41" spans="1:31" x14ac:dyDescent="0.2">
      <c r="A41" s="78" t="s">
        <v>189</v>
      </c>
      <c r="B41" s="22">
        <v>19937</v>
      </c>
      <c r="C41" s="22"/>
      <c r="D41" s="22"/>
      <c r="E41" s="22">
        <v>19450</v>
      </c>
      <c r="F41" s="78" t="s">
        <v>173</v>
      </c>
      <c r="AE41" s="78">
        <v>1.9473890000000001E-2</v>
      </c>
    </row>
    <row r="42" spans="1:31" x14ac:dyDescent="0.2">
      <c r="A42" s="78" t="s">
        <v>190</v>
      </c>
      <c r="B42" s="22">
        <v>19968</v>
      </c>
      <c r="C42" s="22"/>
      <c r="D42" s="22"/>
      <c r="E42" s="22">
        <v>19480</v>
      </c>
      <c r="F42" s="78" t="s">
        <v>174</v>
      </c>
      <c r="AE42" s="78">
        <v>1.960435E-2</v>
      </c>
    </row>
    <row r="43" spans="1:31" x14ac:dyDescent="0.2">
      <c r="A43" s="78" t="s">
        <v>191</v>
      </c>
      <c r="B43" s="22">
        <v>19998</v>
      </c>
      <c r="C43" s="22"/>
      <c r="D43" s="22"/>
      <c r="E43" s="22">
        <v>19511</v>
      </c>
      <c r="F43" s="78" t="s">
        <v>175</v>
      </c>
      <c r="AE43" s="78">
        <v>1.9594529999999999E-2</v>
      </c>
    </row>
    <row r="44" spans="1:31" x14ac:dyDescent="0.2">
      <c r="A44" s="78" t="s">
        <v>192</v>
      </c>
      <c r="B44" s="22">
        <v>20029</v>
      </c>
      <c r="C44" s="22"/>
      <c r="D44" s="22"/>
      <c r="E44" s="22">
        <v>19541</v>
      </c>
      <c r="F44" s="78" t="s">
        <v>176</v>
      </c>
      <c r="AE44" s="78">
        <v>1.9545880000000002E-2</v>
      </c>
    </row>
    <row r="45" spans="1:31" x14ac:dyDescent="0.2">
      <c r="A45" s="78" t="s">
        <v>193</v>
      </c>
      <c r="B45" s="22">
        <v>20059</v>
      </c>
      <c r="C45" s="22"/>
      <c r="D45" s="22"/>
      <c r="E45" s="22">
        <v>19572</v>
      </c>
      <c r="F45" s="78" t="s">
        <v>177</v>
      </c>
      <c r="AE45" s="78">
        <v>1.9522020000000001E-2</v>
      </c>
    </row>
    <row r="46" spans="1:31" x14ac:dyDescent="0.2">
      <c r="A46" s="78" t="s">
        <v>194</v>
      </c>
      <c r="B46" s="22">
        <v>20090</v>
      </c>
      <c r="C46" s="22"/>
      <c r="D46" s="22"/>
      <c r="E46" s="22">
        <v>19603</v>
      </c>
      <c r="F46" s="78" t="s">
        <v>178</v>
      </c>
      <c r="AE46" s="78">
        <v>1.953336E-2</v>
      </c>
    </row>
    <row r="47" spans="1:31" x14ac:dyDescent="0.2">
      <c r="A47" s="78" t="s">
        <v>195</v>
      </c>
      <c r="B47" s="22">
        <v>20121</v>
      </c>
      <c r="C47" s="22"/>
      <c r="D47" s="22"/>
      <c r="E47" s="22">
        <v>19633</v>
      </c>
      <c r="F47" s="78" t="s">
        <v>179</v>
      </c>
      <c r="AE47" s="78">
        <v>1.9579570000000001E-2</v>
      </c>
    </row>
    <row r="48" spans="1:31" x14ac:dyDescent="0.2">
      <c r="A48" s="78" t="s">
        <v>196</v>
      </c>
      <c r="B48" s="22">
        <v>20149</v>
      </c>
      <c r="C48" s="22"/>
      <c r="D48" s="22"/>
      <c r="E48" s="22">
        <v>19664</v>
      </c>
      <c r="F48" s="78" t="s">
        <v>180</v>
      </c>
      <c r="AE48" s="78">
        <v>1.9745559999999999E-2</v>
      </c>
    </row>
    <row r="49" spans="1:31" x14ac:dyDescent="0.2">
      <c r="A49" s="78" t="s">
        <v>197</v>
      </c>
      <c r="B49" s="22">
        <v>20180</v>
      </c>
      <c r="C49" s="22"/>
      <c r="D49" s="22"/>
      <c r="E49" s="22">
        <v>19694</v>
      </c>
      <c r="F49" s="78" t="s">
        <v>181</v>
      </c>
      <c r="AE49" s="78">
        <v>1.982211E-2</v>
      </c>
    </row>
    <row r="50" spans="1:31" x14ac:dyDescent="0.2">
      <c r="A50" s="78" t="s">
        <v>198</v>
      </c>
      <c r="B50" s="22">
        <v>20210</v>
      </c>
      <c r="C50" s="22"/>
      <c r="D50" s="22"/>
      <c r="E50" s="22">
        <v>19725</v>
      </c>
      <c r="F50" s="78" t="s">
        <v>182</v>
      </c>
      <c r="AE50" s="78">
        <v>1.987448E-2</v>
      </c>
    </row>
    <row r="51" spans="1:31" x14ac:dyDescent="0.2">
      <c r="A51" s="78" t="s">
        <v>199</v>
      </c>
      <c r="B51" s="22">
        <v>20241</v>
      </c>
      <c r="C51" s="22"/>
      <c r="D51" s="22"/>
      <c r="E51" s="22">
        <v>19756</v>
      </c>
      <c r="F51" s="78" t="s">
        <v>183</v>
      </c>
      <c r="AE51" s="78">
        <v>2.0003509999999999E-2</v>
      </c>
    </row>
    <row r="52" spans="1:31" x14ac:dyDescent="0.2">
      <c r="A52" s="78" t="s">
        <v>200</v>
      </c>
      <c r="B52" s="22">
        <v>20271</v>
      </c>
      <c r="C52" s="22"/>
      <c r="D52" s="22"/>
      <c r="E52" s="22">
        <v>19784</v>
      </c>
      <c r="F52" s="78" t="s">
        <v>184</v>
      </c>
      <c r="AE52" s="78">
        <v>2.0045919999999998E-2</v>
      </c>
    </row>
    <row r="53" spans="1:31" x14ac:dyDescent="0.2">
      <c r="A53" s="78" t="s">
        <v>201</v>
      </c>
      <c r="B53" s="22">
        <v>20302</v>
      </c>
      <c r="C53" s="22"/>
      <c r="D53" s="22"/>
      <c r="E53" s="22">
        <v>19815</v>
      </c>
      <c r="F53" s="78" t="s">
        <v>185</v>
      </c>
      <c r="AE53" s="78">
        <v>2.0080250000000001E-2</v>
      </c>
    </row>
    <row r="54" spans="1:31" x14ac:dyDescent="0.2">
      <c r="A54" s="78" t="s">
        <v>202</v>
      </c>
      <c r="B54" s="22">
        <v>20333</v>
      </c>
      <c r="C54" s="22"/>
      <c r="D54" s="22"/>
      <c r="E54" s="22">
        <v>19845</v>
      </c>
      <c r="F54" s="78" t="s">
        <v>186</v>
      </c>
      <c r="AE54" s="78">
        <v>2.0117550000000001E-2</v>
      </c>
    </row>
    <row r="55" spans="1:31" x14ac:dyDescent="0.2">
      <c r="A55" s="78" t="s">
        <v>203</v>
      </c>
      <c r="B55" s="22">
        <v>20363</v>
      </c>
      <c r="C55" s="22"/>
      <c r="D55" s="22"/>
      <c r="E55" s="22">
        <v>19876</v>
      </c>
      <c r="F55" s="78" t="s">
        <v>187</v>
      </c>
      <c r="AE55" s="78">
        <v>2.011572E-2</v>
      </c>
    </row>
    <row r="56" spans="1:31" x14ac:dyDescent="0.2">
      <c r="A56" s="78" t="s">
        <v>204</v>
      </c>
      <c r="B56" s="22">
        <v>20394</v>
      </c>
      <c r="C56" s="22"/>
      <c r="D56" s="22"/>
      <c r="E56" s="22">
        <v>19906</v>
      </c>
      <c r="F56" s="78" t="s">
        <v>188</v>
      </c>
      <c r="AE56" s="78">
        <v>2.0154100000000001E-2</v>
      </c>
    </row>
    <row r="57" spans="1:31" x14ac:dyDescent="0.2">
      <c r="A57" s="78" t="s">
        <v>205</v>
      </c>
      <c r="B57" s="22">
        <v>20424</v>
      </c>
      <c r="C57" s="22"/>
      <c r="D57" s="22"/>
      <c r="E57" s="22">
        <v>19937</v>
      </c>
      <c r="F57" s="78" t="s">
        <v>189</v>
      </c>
      <c r="AE57" s="78">
        <v>2.0301690000000001E-2</v>
      </c>
    </row>
    <row r="58" spans="1:31" x14ac:dyDescent="0.2">
      <c r="A58" s="78" t="s">
        <v>206</v>
      </c>
      <c r="B58" s="22">
        <v>20455</v>
      </c>
      <c r="C58" s="22"/>
      <c r="D58" s="22"/>
      <c r="E58" s="22">
        <v>19968</v>
      </c>
      <c r="F58" s="78" t="s">
        <v>190</v>
      </c>
      <c r="AE58" s="78">
        <v>2.053089E-2</v>
      </c>
    </row>
    <row r="59" spans="1:31" x14ac:dyDescent="0.2">
      <c r="A59" s="78" t="s">
        <v>207</v>
      </c>
      <c r="B59" s="22">
        <v>20486</v>
      </c>
      <c r="C59" s="22"/>
      <c r="D59" s="22"/>
      <c r="E59" s="22">
        <v>19998</v>
      </c>
      <c r="F59" s="78" t="s">
        <v>191</v>
      </c>
      <c r="AE59" s="78">
        <v>2.07297E-2</v>
      </c>
    </row>
    <row r="60" spans="1:31" x14ac:dyDescent="0.2">
      <c r="A60" s="78" t="s">
        <v>208</v>
      </c>
      <c r="B60" s="22">
        <v>20515</v>
      </c>
      <c r="C60" s="22"/>
      <c r="D60" s="22"/>
      <c r="E60" s="22">
        <v>20029</v>
      </c>
      <c r="F60" s="78" t="s">
        <v>192</v>
      </c>
      <c r="AE60" s="78">
        <v>2.0894570000000001E-2</v>
      </c>
    </row>
    <row r="61" spans="1:31" x14ac:dyDescent="0.2">
      <c r="A61" s="78" t="s">
        <v>209</v>
      </c>
      <c r="B61" s="22">
        <v>20546</v>
      </c>
      <c r="C61" s="22"/>
      <c r="D61" s="22"/>
      <c r="E61" s="22">
        <v>20059</v>
      </c>
      <c r="F61" s="78" t="s">
        <v>193</v>
      </c>
      <c r="AE61" s="78">
        <v>2.113452E-2</v>
      </c>
    </row>
    <row r="62" spans="1:31" x14ac:dyDescent="0.2">
      <c r="A62" s="78" t="s">
        <v>210</v>
      </c>
      <c r="B62" s="22">
        <v>20576</v>
      </c>
      <c r="C62" s="22"/>
      <c r="D62" s="22"/>
      <c r="E62" s="22">
        <v>20090</v>
      </c>
      <c r="F62" s="78" t="s">
        <v>194</v>
      </c>
      <c r="AE62" s="78">
        <v>2.1293369999999999E-2</v>
      </c>
    </row>
    <row r="63" spans="1:31" x14ac:dyDescent="0.2">
      <c r="A63" s="78" t="s">
        <v>211</v>
      </c>
      <c r="B63" s="22">
        <v>20607</v>
      </c>
      <c r="C63" s="22"/>
      <c r="D63" s="22"/>
      <c r="E63" s="22">
        <v>20121</v>
      </c>
      <c r="F63" s="78" t="s">
        <v>195</v>
      </c>
      <c r="AE63" s="78">
        <v>2.1406140000000001E-2</v>
      </c>
    </row>
    <row r="64" spans="1:31" x14ac:dyDescent="0.2">
      <c r="A64" s="78" t="s">
        <v>212</v>
      </c>
      <c r="B64" s="22">
        <v>20637</v>
      </c>
      <c r="C64" s="22"/>
      <c r="D64" s="22"/>
      <c r="E64" s="22">
        <v>20149</v>
      </c>
      <c r="F64" s="78" t="s">
        <v>196</v>
      </c>
      <c r="AE64" s="78">
        <v>2.1582759999999999E-2</v>
      </c>
    </row>
    <row r="65" spans="1:31" x14ac:dyDescent="0.2">
      <c r="A65" s="78" t="s">
        <v>213</v>
      </c>
      <c r="B65" s="22">
        <v>20668</v>
      </c>
      <c r="C65" s="22"/>
      <c r="D65" s="22"/>
      <c r="E65" s="22">
        <v>20180</v>
      </c>
      <c r="F65" s="78" t="s">
        <v>197</v>
      </c>
      <c r="AE65" s="78">
        <v>2.172137E-2</v>
      </c>
    </row>
    <row r="66" spans="1:31" x14ac:dyDescent="0.2">
      <c r="A66" s="78" t="s">
        <v>214</v>
      </c>
      <c r="B66" s="22">
        <v>20699</v>
      </c>
      <c r="C66" s="22"/>
      <c r="D66" s="22"/>
      <c r="E66" s="22">
        <v>20210</v>
      </c>
      <c r="F66" s="78" t="s">
        <v>198</v>
      </c>
      <c r="AE66" s="78">
        <v>2.1890179999999999E-2</v>
      </c>
    </row>
    <row r="67" spans="1:31" x14ac:dyDescent="0.2">
      <c r="A67" s="78" t="s">
        <v>215</v>
      </c>
      <c r="B67" s="22">
        <v>20729</v>
      </c>
      <c r="C67" s="22"/>
      <c r="D67" s="22"/>
      <c r="E67" s="22">
        <v>20241</v>
      </c>
      <c r="F67" s="78" t="s">
        <v>199</v>
      </c>
      <c r="AE67" s="78">
        <v>2.216841E-2</v>
      </c>
    </row>
    <row r="68" spans="1:31" x14ac:dyDescent="0.2">
      <c r="A68" s="78" t="s">
        <v>216</v>
      </c>
      <c r="B68" s="22">
        <v>20760</v>
      </c>
      <c r="C68" s="22"/>
      <c r="D68" s="22"/>
      <c r="E68" s="22">
        <v>20271</v>
      </c>
      <c r="F68" s="78" t="s">
        <v>200</v>
      </c>
      <c r="AE68" s="78">
        <v>2.2449449999999999E-2</v>
      </c>
    </row>
    <row r="69" spans="1:31" x14ac:dyDescent="0.2">
      <c r="A69" s="78" t="s">
        <v>217</v>
      </c>
      <c r="B69" s="22">
        <v>20790</v>
      </c>
      <c r="C69" s="22"/>
      <c r="D69" s="22"/>
      <c r="E69" s="22">
        <v>20302</v>
      </c>
      <c r="F69" s="78" t="s">
        <v>201</v>
      </c>
      <c r="AE69" s="78">
        <v>2.2688079999999999E-2</v>
      </c>
    </row>
    <row r="70" spans="1:31" x14ac:dyDescent="0.2">
      <c r="A70" s="78" t="s">
        <v>218</v>
      </c>
      <c r="B70" s="22">
        <v>20821</v>
      </c>
      <c r="C70" s="22"/>
      <c r="D70" s="22"/>
      <c r="E70" s="22">
        <v>20333</v>
      </c>
      <c r="F70" s="78" t="s">
        <v>202</v>
      </c>
      <c r="AE70" s="78">
        <v>2.2937989999999998E-2</v>
      </c>
    </row>
    <row r="71" spans="1:31" x14ac:dyDescent="0.2">
      <c r="A71" s="78" t="s">
        <v>219</v>
      </c>
      <c r="B71" s="22">
        <v>20852</v>
      </c>
      <c r="C71" s="22"/>
      <c r="D71" s="22"/>
      <c r="E71" s="22">
        <v>20363</v>
      </c>
      <c r="F71" s="78" t="s">
        <v>203</v>
      </c>
      <c r="AE71" s="78">
        <v>2.3173610000000001E-2</v>
      </c>
    </row>
    <row r="72" spans="1:31" x14ac:dyDescent="0.2">
      <c r="A72" s="78" t="s">
        <v>220</v>
      </c>
      <c r="B72" s="22">
        <v>20880</v>
      </c>
      <c r="C72" s="22"/>
      <c r="D72" s="22"/>
      <c r="E72" s="22">
        <v>20394</v>
      </c>
      <c r="F72" s="78" t="s">
        <v>204</v>
      </c>
      <c r="AE72" s="78">
        <v>2.3401350000000001E-2</v>
      </c>
    </row>
    <row r="73" spans="1:31" x14ac:dyDescent="0.2">
      <c r="A73" s="78" t="s">
        <v>221</v>
      </c>
      <c r="B73" s="22">
        <v>20911</v>
      </c>
      <c r="C73" s="22"/>
      <c r="D73" s="22"/>
      <c r="E73" s="22">
        <v>20424</v>
      </c>
      <c r="F73" s="78" t="s">
        <v>205</v>
      </c>
      <c r="AE73" s="78">
        <v>2.3646830000000001E-2</v>
      </c>
    </row>
    <row r="74" spans="1:31" x14ac:dyDescent="0.2">
      <c r="A74" s="78" t="s">
        <v>222</v>
      </c>
      <c r="B74" s="22">
        <v>20941</v>
      </c>
      <c r="C74" s="22"/>
      <c r="D74" s="22"/>
      <c r="E74" s="22">
        <v>20455</v>
      </c>
      <c r="F74" s="78" t="s">
        <v>206</v>
      </c>
      <c r="AE74" s="78">
        <v>2.3861690000000001E-2</v>
      </c>
    </row>
    <row r="75" spans="1:31" x14ac:dyDescent="0.2">
      <c r="A75" s="78" t="s">
        <v>223</v>
      </c>
      <c r="B75" s="22">
        <v>20972</v>
      </c>
      <c r="C75" s="22"/>
      <c r="D75" s="22"/>
      <c r="E75" s="22">
        <v>20486</v>
      </c>
      <c r="F75" s="78" t="s">
        <v>207</v>
      </c>
      <c r="AE75" s="78">
        <v>2.3975550000000002E-2</v>
      </c>
    </row>
    <row r="76" spans="1:31" x14ac:dyDescent="0.2">
      <c r="A76" s="78" t="s">
        <v>224</v>
      </c>
      <c r="B76" s="22">
        <v>21002</v>
      </c>
      <c r="C76" s="22"/>
      <c r="D76" s="22"/>
      <c r="E76" s="22">
        <v>20515</v>
      </c>
      <c r="F76" s="78" t="s">
        <v>208</v>
      </c>
      <c r="AE76" s="78">
        <v>2.420798E-2</v>
      </c>
    </row>
    <row r="77" spans="1:31" x14ac:dyDescent="0.2">
      <c r="A77" s="78" t="s">
        <v>225</v>
      </c>
      <c r="B77" s="22">
        <v>21033</v>
      </c>
      <c r="C77" s="22"/>
      <c r="D77" s="22"/>
      <c r="E77" s="22">
        <v>20546</v>
      </c>
      <c r="F77" s="78" t="s">
        <v>209</v>
      </c>
      <c r="AE77" s="78">
        <v>2.448121E-2</v>
      </c>
    </row>
    <row r="78" spans="1:31" x14ac:dyDescent="0.2">
      <c r="A78" s="78" t="s">
        <v>226</v>
      </c>
      <c r="B78" s="22">
        <v>21064</v>
      </c>
      <c r="C78" s="22"/>
      <c r="D78" s="22"/>
      <c r="E78" s="22">
        <v>20576</v>
      </c>
      <c r="F78" s="78" t="s">
        <v>210</v>
      </c>
      <c r="AE78" s="78">
        <v>2.4637050000000001E-2</v>
      </c>
    </row>
    <row r="79" spans="1:31" x14ac:dyDescent="0.2">
      <c r="A79" s="78" t="s">
        <v>227</v>
      </c>
      <c r="B79" s="22">
        <v>21094</v>
      </c>
      <c r="C79" s="22"/>
      <c r="D79" s="22"/>
      <c r="E79" s="22">
        <v>20607</v>
      </c>
      <c r="F79" s="78" t="s">
        <v>211</v>
      </c>
      <c r="AE79" s="78">
        <v>2.4743149999999998E-2</v>
      </c>
    </row>
    <row r="80" spans="1:31" x14ac:dyDescent="0.2">
      <c r="A80" s="78" t="s">
        <v>228</v>
      </c>
      <c r="B80" s="22">
        <v>21125</v>
      </c>
      <c r="C80" s="22"/>
      <c r="D80" s="22"/>
      <c r="E80" s="22">
        <v>20637</v>
      </c>
      <c r="F80" s="78" t="s">
        <v>212</v>
      </c>
      <c r="AE80" s="78">
        <v>2.481187E-2</v>
      </c>
    </row>
    <row r="81" spans="1:31" x14ac:dyDescent="0.2">
      <c r="A81" s="78" t="s">
        <v>229</v>
      </c>
      <c r="B81" s="22">
        <v>21155</v>
      </c>
      <c r="C81" s="22"/>
      <c r="D81" s="22"/>
      <c r="E81" s="22">
        <v>20668</v>
      </c>
      <c r="F81" s="78" t="s">
        <v>213</v>
      </c>
      <c r="AE81" s="78">
        <v>2.4936699999999999E-2</v>
      </c>
    </row>
    <row r="82" spans="1:31" x14ac:dyDescent="0.2">
      <c r="A82" s="78" t="s">
        <v>230</v>
      </c>
      <c r="B82" s="22">
        <v>21186</v>
      </c>
      <c r="C82" s="22"/>
      <c r="D82" s="22"/>
      <c r="E82" s="22">
        <v>20699</v>
      </c>
      <c r="F82" s="78" t="s">
        <v>214</v>
      </c>
      <c r="AE82" s="78">
        <v>2.5016030000000002E-2</v>
      </c>
    </row>
    <row r="83" spans="1:31" x14ac:dyDescent="0.2">
      <c r="A83" s="78" t="s">
        <v>231</v>
      </c>
      <c r="B83" s="22">
        <v>21217</v>
      </c>
      <c r="C83" s="22"/>
      <c r="D83" s="22"/>
      <c r="E83" s="22">
        <v>20729</v>
      </c>
      <c r="F83" s="78" t="s">
        <v>215</v>
      </c>
      <c r="AE83" s="78">
        <v>2.5024049999999999E-2</v>
      </c>
    </row>
    <row r="84" spans="1:31" x14ac:dyDescent="0.2">
      <c r="A84" s="78" t="s">
        <v>232</v>
      </c>
      <c r="B84" s="22">
        <v>21245</v>
      </c>
      <c r="C84" s="22"/>
      <c r="D84" s="22"/>
      <c r="E84" s="22">
        <v>20760</v>
      </c>
      <c r="F84" s="78" t="s">
        <v>216</v>
      </c>
      <c r="AE84" s="78">
        <v>2.5190359999999998E-2</v>
      </c>
    </row>
    <row r="85" spans="1:31" x14ac:dyDescent="0.2">
      <c r="A85" s="78" t="s">
        <v>233</v>
      </c>
      <c r="B85" s="22">
        <v>21276</v>
      </c>
      <c r="C85" s="22"/>
      <c r="D85" s="22"/>
      <c r="E85" s="22">
        <v>20790</v>
      </c>
      <c r="F85" s="78" t="s">
        <v>217</v>
      </c>
      <c r="AE85" s="78">
        <v>2.5414329999999999E-2</v>
      </c>
    </row>
    <row r="86" spans="1:31" x14ac:dyDescent="0.2">
      <c r="A86" s="78" t="s">
        <v>234</v>
      </c>
      <c r="B86" s="22">
        <v>21306</v>
      </c>
      <c r="C86" s="22"/>
      <c r="D86" s="22"/>
      <c r="E86" s="22">
        <v>20821</v>
      </c>
      <c r="F86" s="78" t="s">
        <v>218</v>
      </c>
      <c r="AE86" s="78">
        <v>2.5571090000000001E-2</v>
      </c>
    </row>
    <row r="87" spans="1:31" x14ac:dyDescent="0.2">
      <c r="A87" s="78" t="s">
        <v>235</v>
      </c>
      <c r="B87" s="22">
        <v>21337</v>
      </c>
      <c r="C87" s="22"/>
      <c r="D87" s="22"/>
      <c r="E87" s="22">
        <v>20852</v>
      </c>
      <c r="F87" s="78" t="s">
        <v>219</v>
      </c>
      <c r="AE87" s="78">
        <v>2.5774970000000001E-2</v>
      </c>
    </row>
    <row r="88" spans="1:31" x14ac:dyDescent="0.2">
      <c r="A88" s="78" t="s">
        <v>236</v>
      </c>
      <c r="B88" s="22">
        <v>21367</v>
      </c>
      <c r="C88" s="22"/>
      <c r="D88" s="22"/>
      <c r="E88" s="22">
        <v>20880</v>
      </c>
      <c r="F88" s="78" t="s">
        <v>220</v>
      </c>
      <c r="AE88" s="78">
        <v>2.5988239999999999E-2</v>
      </c>
    </row>
    <row r="89" spans="1:31" x14ac:dyDescent="0.2">
      <c r="A89" s="78" t="s">
        <v>237</v>
      </c>
      <c r="B89" s="22">
        <v>21398</v>
      </c>
      <c r="C89" s="22"/>
      <c r="D89" s="22"/>
      <c r="E89" s="22">
        <v>20911</v>
      </c>
      <c r="F89" s="78" t="s">
        <v>221</v>
      </c>
      <c r="AE89" s="78">
        <v>2.6243880000000001E-2</v>
      </c>
    </row>
    <row r="90" spans="1:31" x14ac:dyDescent="0.2">
      <c r="A90" s="78" t="s">
        <v>238</v>
      </c>
      <c r="B90" s="22">
        <v>21429</v>
      </c>
      <c r="C90" s="22"/>
      <c r="D90" s="22"/>
      <c r="E90" s="22">
        <v>20941</v>
      </c>
      <c r="F90" s="78" t="s">
        <v>222</v>
      </c>
      <c r="AE90" s="78">
        <v>2.6628590000000001E-2</v>
      </c>
    </row>
    <row r="91" spans="1:31" x14ac:dyDescent="0.2">
      <c r="A91" s="78" t="s">
        <v>239</v>
      </c>
      <c r="B91" s="22">
        <v>21459</v>
      </c>
      <c r="C91" s="22"/>
      <c r="D91" s="22"/>
      <c r="E91" s="22">
        <v>20972</v>
      </c>
      <c r="F91" s="78" t="s">
        <v>223</v>
      </c>
      <c r="AE91" s="78">
        <v>2.6954200000000001E-2</v>
      </c>
    </row>
    <row r="92" spans="1:31" x14ac:dyDescent="0.2">
      <c r="A92" s="78" t="s">
        <v>240</v>
      </c>
      <c r="B92" s="22">
        <v>21490</v>
      </c>
      <c r="C92" s="22"/>
      <c r="D92" s="22"/>
      <c r="E92" s="22">
        <v>21002</v>
      </c>
      <c r="F92" s="78" t="s">
        <v>224</v>
      </c>
      <c r="AE92" s="78">
        <v>2.7116100000000001E-2</v>
      </c>
    </row>
    <row r="93" spans="1:31" x14ac:dyDescent="0.2">
      <c r="A93" s="78" t="s">
        <v>241</v>
      </c>
      <c r="B93" s="22">
        <v>21520</v>
      </c>
      <c r="C93" s="22"/>
      <c r="D93" s="22"/>
      <c r="E93" s="22">
        <v>21033</v>
      </c>
      <c r="F93" s="78" t="s">
        <v>225</v>
      </c>
      <c r="AE93" s="78">
        <v>2.712583E-2</v>
      </c>
    </row>
    <row r="94" spans="1:31" x14ac:dyDescent="0.2">
      <c r="A94" s="78" t="s">
        <v>242</v>
      </c>
      <c r="B94" s="22">
        <v>21551</v>
      </c>
      <c r="C94" s="22"/>
      <c r="D94" s="22"/>
      <c r="E94" s="22">
        <v>21064</v>
      </c>
      <c r="F94" s="78" t="s">
        <v>226</v>
      </c>
      <c r="AE94" s="78">
        <v>2.726255E-2</v>
      </c>
    </row>
    <row r="95" spans="1:31" x14ac:dyDescent="0.2">
      <c r="A95" s="78" t="s">
        <v>243</v>
      </c>
      <c r="B95" s="22">
        <v>21582</v>
      </c>
      <c r="C95" s="22"/>
      <c r="D95" s="22"/>
      <c r="E95" s="22">
        <v>21094</v>
      </c>
      <c r="F95" s="78" t="s">
        <v>227</v>
      </c>
      <c r="AE95" s="78">
        <v>2.7584210000000001E-2</v>
      </c>
    </row>
    <row r="96" spans="1:31" x14ac:dyDescent="0.2">
      <c r="A96" s="78" t="s">
        <v>244</v>
      </c>
      <c r="B96" s="22">
        <v>21610</v>
      </c>
      <c r="C96" s="22"/>
      <c r="D96" s="22"/>
      <c r="E96" s="22">
        <v>21125</v>
      </c>
      <c r="F96" s="78" t="s">
        <v>228</v>
      </c>
      <c r="AE96" s="78">
        <v>2.7775029999999999E-2</v>
      </c>
    </row>
    <row r="97" spans="1:54" x14ac:dyDescent="0.2">
      <c r="A97" s="78" t="s">
        <v>245</v>
      </c>
      <c r="B97" s="22">
        <v>21641</v>
      </c>
      <c r="C97" s="22"/>
      <c r="D97" s="22"/>
      <c r="E97" s="22">
        <v>21155</v>
      </c>
      <c r="F97" s="78" t="s">
        <v>229</v>
      </c>
      <c r="AE97" s="78">
        <v>2.7943079999999999E-2</v>
      </c>
    </row>
    <row r="98" spans="1:54" x14ac:dyDescent="0.2">
      <c r="A98" s="78" t="s">
        <v>246</v>
      </c>
      <c r="B98" s="22">
        <v>21671</v>
      </c>
      <c r="C98" s="22"/>
      <c r="D98" s="22"/>
      <c r="E98" s="22">
        <v>21186</v>
      </c>
      <c r="F98" s="78" t="s">
        <v>230</v>
      </c>
      <c r="AE98" s="78">
        <v>2.8207759999999998E-2</v>
      </c>
    </row>
    <row r="99" spans="1:54" x14ac:dyDescent="0.2">
      <c r="A99" s="78" t="s">
        <v>247</v>
      </c>
      <c r="B99" s="22">
        <v>21702</v>
      </c>
      <c r="C99" s="22"/>
      <c r="D99" s="22"/>
      <c r="E99" s="22">
        <v>21217</v>
      </c>
      <c r="F99" s="78" t="s">
        <v>231</v>
      </c>
      <c r="AE99" s="78">
        <v>2.843766E-2</v>
      </c>
    </row>
    <row r="100" spans="1:54" x14ac:dyDescent="0.2">
      <c r="A100" s="78" t="s">
        <v>248</v>
      </c>
      <c r="B100" s="22">
        <v>21732</v>
      </c>
      <c r="C100" s="22"/>
      <c r="D100" s="22"/>
      <c r="E100" s="22">
        <v>21245</v>
      </c>
      <c r="F100" s="78" t="s">
        <v>232</v>
      </c>
      <c r="AE100" s="78">
        <v>2.864417E-2</v>
      </c>
    </row>
    <row r="101" spans="1:54" x14ac:dyDescent="0.2">
      <c r="A101" s="78" t="s">
        <v>249</v>
      </c>
      <c r="B101" s="22">
        <v>21763</v>
      </c>
      <c r="C101" s="22"/>
      <c r="D101" s="22"/>
      <c r="E101" s="22">
        <v>21276</v>
      </c>
      <c r="F101" s="78" t="s">
        <v>233</v>
      </c>
      <c r="AE101" s="78">
        <v>2.8899080000000001E-2</v>
      </c>
    </row>
    <row r="102" spans="1:54" x14ac:dyDescent="0.2">
      <c r="A102" s="78" t="s">
        <v>250</v>
      </c>
      <c r="B102" s="22">
        <v>21794</v>
      </c>
      <c r="C102" s="22"/>
      <c r="D102" s="22"/>
      <c r="E102" s="22">
        <v>21306</v>
      </c>
      <c r="F102" s="78" t="s">
        <v>234</v>
      </c>
      <c r="AE102" s="78">
        <v>2.9001260000000001E-2</v>
      </c>
    </row>
    <row r="103" spans="1:54" x14ac:dyDescent="0.2">
      <c r="A103" s="78" t="s">
        <v>251</v>
      </c>
      <c r="B103" s="22">
        <v>21824</v>
      </c>
      <c r="C103" s="22"/>
      <c r="D103" s="22"/>
      <c r="E103" s="22">
        <v>21337</v>
      </c>
      <c r="F103" s="78" t="s">
        <v>235</v>
      </c>
      <c r="AE103" s="78">
        <v>2.9018619999999998E-2</v>
      </c>
    </row>
    <row r="104" spans="1:54" x14ac:dyDescent="0.2">
      <c r="A104" s="78" t="s">
        <v>252</v>
      </c>
      <c r="B104" s="22">
        <v>21855</v>
      </c>
      <c r="C104" s="22"/>
      <c r="D104" s="22"/>
      <c r="E104" s="22">
        <v>21367</v>
      </c>
      <c r="F104" s="78" t="s">
        <v>236</v>
      </c>
      <c r="AE104" s="78">
        <v>2.9256669999999999E-2</v>
      </c>
    </row>
    <row r="105" spans="1:54" x14ac:dyDescent="0.2">
      <c r="A105" s="78" t="s">
        <v>253</v>
      </c>
      <c r="B105" s="22">
        <v>21885</v>
      </c>
      <c r="C105" s="22"/>
      <c r="D105" s="22"/>
      <c r="E105" s="22">
        <v>21398</v>
      </c>
      <c r="F105" s="78" t="s">
        <v>237</v>
      </c>
      <c r="AE105" s="78">
        <v>2.9513540000000001E-2</v>
      </c>
    </row>
    <row r="106" spans="1:54" x14ac:dyDescent="0.2">
      <c r="A106" s="78" t="s">
        <v>254</v>
      </c>
      <c r="B106" s="22">
        <v>21916</v>
      </c>
      <c r="C106" s="22"/>
      <c r="D106" s="22"/>
      <c r="E106" s="22">
        <v>21429</v>
      </c>
      <c r="F106" s="78" t="s">
        <v>238</v>
      </c>
      <c r="AE106" s="78">
        <v>2.9744909999999999E-2</v>
      </c>
    </row>
    <row r="107" spans="1:54" x14ac:dyDescent="0.2">
      <c r="A107" s="78" t="s">
        <v>255</v>
      </c>
      <c r="B107" s="22">
        <v>21947</v>
      </c>
      <c r="C107" s="22"/>
      <c r="D107" s="22"/>
      <c r="E107" s="22">
        <v>21459</v>
      </c>
      <c r="F107" s="78" t="s">
        <v>239</v>
      </c>
      <c r="AE107" s="78">
        <v>3.0092020000000001E-2</v>
      </c>
    </row>
    <row r="108" spans="1:54" x14ac:dyDescent="0.2">
      <c r="A108" s="78" t="s">
        <v>256</v>
      </c>
      <c r="B108" s="22">
        <v>21976</v>
      </c>
      <c r="C108" s="22"/>
      <c r="D108" s="22"/>
      <c r="E108" s="22">
        <v>21490</v>
      </c>
      <c r="F108" s="78" t="s">
        <v>240</v>
      </c>
      <c r="AE108" s="78">
        <v>3.0416430000000001E-2</v>
      </c>
    </row>
    <row r="109" spans="1:54" x14ac:dyDescent="0.2">
      <c r="A109" s="78" t="s">
        <v>257</v>
      </c>
      <c r="B109" s="22">
        <v>22007</v>
      </c>
      <c r="C109" s="22"/>
      <c r="D109" s="22"/>
      <c r="E109" s="22">
        <v>21520</v>
      </c>
      <c r="F109" s="78" t="s">
        <v>241</v>
      </c>
      <c r="AE109" s="78">
        <v>3.0683410000000001E-2</v>
      </c>
    </row>
    <row r="110" spans="1:54" x14ac:dyDescent="0.2">
      <c r="A110" s="78" t="s">
        <v>258</v>
      </c>
      <c r="B110" s="22">
        <v>22037</v>
      </c>
      <c r="C110" s="22"/>
      <c r="D110" s="22"/>
      <c r="E110" s="22">
        <v>21551</v>
      </c>
      <c r="F110" s="78" t="s">
        <v>242</v>
      </c>
      <c r="AE110" s="78">
        <v>3.0866649999999999E-2</v>
      </c>
      <c r="BB110" s="78">
        <v>2.3816989999999998</v>
      </c>
    </row>
    <row r="111" spans="1:54" x14ac:dyDescent="0.2">
      <c r="A111" s="78" t="s">
        <v>259</v>
      </c>
      <c r="B111" s="22">
        <v>22068</v>
      </c>
      <c r="C111" s="22"/>
      <c r="D111" s="22"/>
      <c r="E111" s="22">
        <v>21582</v>
      </c>
      <c r="F111" s="78" t="s">
        <v>243</v>
      </c>
      <c r="AE111" s="78">
        <v>3.1118969999999999E-2</v>
      </c>
      <c r="BB111" s="78">
        <v>2.390841</v>
      </c>
    </row>
    <row r="112" spans="1:54" x14ac:dyDescent="0.2">
      <c r="A112" s="78" t="s">
        <v>260</v>
      </c>
      <c r="B112" s="22">
        <v>22098</v>
      </c>
      <c r="C112" s="22"/>
      <c r="D112" s="22"/>
      <c r="E112" s="22">
        <v>21610</v>
      </c>
      <c r="F112" s="78" t="s">
        <v>244</v>
      </c>
      <c r="AE112" s="78">
        <v>3.1465369999999999E-2</v>
      </c>
      <c r="BB112" s="78">
        <v>2.4033060000000002</v>
      </c>
    </row>
    <row r="113" spans="1:54" x14ac:dyDescent="0.2">
      <c r="A113" s="78" t="s">
        <v>261</v>
      </c>
      <c r="B113" s="22">
        <v>22129</v>
      </c>
      <c r="C113" s="22"/>
      <c r="D113" s="22"/>
      <c r="E113" s="22">
        <v>21641</v>
      </c>
      <c r="F113" s="78" t="s">
        <v>245</v>
      </c>
      <c r="AE113" s="78">
        <v>3.1850900000000001E-2</v>
      </c>
      <c r="BB113" s="78">
        <v>2.4107850000000002</v>
      </c>
    </row>
    <row r="114" spans="1:54" x14ac:dyDescent="0.2">
      <c r="A114" s="78" t="s">
        <v>262</v>
      </c>
      <c r="B114" s="22">
        <v>22160</v>
      </c>
      <c r="C114" s="22"/>
      <c r="D114" s="22"/>
      <c r="E114" s="22">
        <v>21671</v>
      </c>
      <c r="F114" s="78" t="s">
        <v>246</v>
      </c>
      <c r="AE114" s="78">
        <v>3.2192030000000003E-2</v>
      </c>
      <c r="BB114" s="78">
        <v>2.4282360000000001</v>
      </c>
    </row>
    <row r="115" spans="1:54" x14ac:dyDescent="0.2">
      <c r="A115" s="78" t="s">
        <v>263</v>
      </c>
      <c r="B115" s="22">
        <v>22190</v>
      </c>
      <c r="C115" s="22"/>
      <c r="D115" s="22"/>
      <c r="E115" s="22">
        <v>21702</v>
      </c>
      <c r="F115" s="78" t="s">
        <v>247</v>
      </c>
      <c r="AE115" s="78">
        <v>3.2481509999999998E-2</v>
      </c>
      <c r="BB115" s="78">
        <v>2.444026</v>
      </c>
    </row>
    <row r="116" spans="1:54" x14ac:dyDescent="0.2">
      <c r="A116" s="78" t="s">
        <v>264</v>
      </c>
      <c r="B116" s="22">
        <v>22221</v>
      </c>
      <c r="C116" s="22"/>
      <c r="D116" s="22"/>
      <c r="E116" s="22">
        <v>21732</v>
      </c>
      <c r="F116" s="78" t="s">
        <v>248</v>
      </c>
      <c r="AE116" s="78">
        <v>3.2757139999999997E-2</v>
      </c>
      <c r="BB116" s="78">
        <v>2.4531670000000001</v>
      </c>
    </row>
    <row r="117" spans="1:54" x14ac:dyDescent="0.2">
      <c r="A117" s="78" t="s">
        <v>265</v>
      </c>
      <c r="B117" s="22">
        <v>22251</v>
      </c>
      <c r="C117" s="22"/>
      <c r="D117" s="22"/>
      <c r="E117" s="22">
        <v>21763</v>
      </c>
      <c r="F117" s="78" t="s">
        <v>249</v>
      </c>
      <c r="AE117" s="78">
        <v>3.307686E-2</v>
      </c>
      <c r="BB117" s="78">
        <v>2.463139</v>
      </c>
    </row>
    <row r="118" spans="1:54" x14ac:dyDescent="0.2">
      <c r="A118" s="78" t="s">
        <v>266</v>
      </c>
      <c r="B118" s="22">
        <v>22282</v>
      </c>
      <c r="C118" s="22"/>
      <c r="D118" s="22"/>
      <c r="E118" s="22">
        <v>21794</v>
      </c>
      <c r="F118" s="78" t="s">
        <v>250</v>
      </c>
      <c r="AE118" s="78">
        <v>3.3448640000000002E-2</v>
      </c>
      <c r="BB118" s="78">
        <v>2.4656319999999998</v>
      </c>
    </row>
    <row r="119" spans="1:54" x14ac:dyDescent="0.2">
      <c r="A119" s="78" t="s">
        <v>267</v>
      </c>
      <c r="B119" s="22">
        <v>22313</v>
      </c>
      <c r="C119" s="22"/>
      <c r="D119" s="22"/>
      <c r="E119" s="22">
        <v>21824</v>
      </c>
      <c r="F119" s="78" t="s">
        <v>251</v>
      </c>
      <c r="AE119" s="78">
        <v>3.3774980000000003E-2</v>
      </c>
      <c r="BB119" s="78">
        <v>2.4639700000000002</v>
      </c>
    </row>
    <row r="120" spans="1:54" x14ac:dyDescent="0.2">
      <c r="A120" s="78" t="s">
        <v>268</v>
      </c>
      <c r="B120" s="22">
        <v>22341</v>
      </c>
      <c r="C120" s="22"/>
      <c r="D120" s="22"/>
      <c r="E120" s="22">
        <v>21855</v>
      </c>
      <c r="F120" s="78" t="s">
        <v>252</v>
      </c>
      <c r="AE120" s="78">
        <v>3.407843E-2</v>
      </c>
      <c r="BB120" s="78">
        <v>2.4689559999999999</v>
      </c>
    </row>
    <row r="121" spans="1:54" x14ac:dyDescent="0.2">
      <c r="A121" s="78" t="s">
        <v>269</v>
      </c>
      <c r="B121" s="22">
        <v>22372</v>
      </c>
      <c r="C121" s="22"/>
      <c r="D121" s="22"/>
      <c r="E121" s="22">
        <v>21885</v>
      </c>
      <c r="F121" s="78" t="s">
        <v>253</v>
      </c>
      <c r="AE121" s="78">
        <v>3.437842E-2</v>
      </c>
      <c r="BB121" s="78">
        <v>2.4747729999999999</v>
      </c>
    </row>
    <row r="122" spans="1:54" x14ac:dyDescent="0.2">
      <c r="A122" s="78" t="s">
        <v>270</v>
      </c>
      <c r="B122" s="22">
        <v>22402</v>
      </c>
      <c r="C122" s="22"/>
      <c r="D122" s="22"/>
      <c r="E122" s="22">
        <v>21916</v>
      </c>
      <c r="F122" s="78" t="s">
        <v>254</v>
      </c>
      <c r="AE122" s="78">
        <v>3.4714269999999998E-2</v>
      </c>
      <c r="BB122" s="78">
        <v>2.478097</v>
      </c>
    </row>
    <row r="123" spans="1:54" x14ac:dyDescent="0.2">
      <c r="A123" s="78" t="s">
        <v>271</v>
      </c>
      <c r="B123" s="22">
        <v>22433</v>
      </c>
      <c r="C123" s="22"/>
      <c r="D123" s="22"/>
      <c r="E123" s="22">
        <v>21947</v>
      </c>
      <c r="F123" s="78" t="s">
        <v>255</v>
      </c>
      <c r="G123" s="78">
        <v>0.3946056</v>
      </c>
      <c r="AE123" s="78">
        <v>3.502077E-2</v>
      </c>
      <c r="AG123" s="78">
        <v>1.843192E-3</v>
      </c>
      <c r="AQ123" s="78">
        <v>0.89050200000000002</v>
      </c>
      <c r="AZ123" s="78">
        <v>1.7178020000000001</v>
      </c>
      <c r="BB123" s="78">
        <v>2.480591</v>
      </c>
    </row>
    <row r="124" spans="1:54" x14ac:dyDescent="0.2">
      <c r="A124" s="78" t="s">
        <v>272</v>
      </c>
      <c r="B124" s="22">
        <v>22463</v>
      </c>
      <c r="C124" s="22"/>
      <c r="D124" s="22"/>
      <c r="E124" s="22">
        <v>21976</v>
      </c>
      <c r="F124" s="78" t="s">
        <v>256</v>
      </c>
      <c r="G124" s="78">
        <v>0.3977716</v>
      </c>
      <c r="AE124" s="78">
        <v>3.5261679999999997E-2</v>
      </c>
      <c r="AG124" s="78">
        <v>1.862959E-3</v>
      </c>
      <c r="AQ124" s="78">
        <v>0.89568479999999995</v>
      </c>
      <c r="AZ124" s="78">
        <v>1.7189160000000001</v>
      </c>
      <c r="BB124" s="78">
        <v>2.48807</v>
      </c>
    </row>
    <row r="125" spans="1:54" x14ac:dyDescent="0.2">
      <c r="A125" s="78" t="s">
        <v>273</v>
      </c>
      <c r="B125" s="22">
        <v>22494</v>
      </c>
      <c r="C125" s="22"/>
      <c r="D125" s="22"/>
      <c r="E125" s="22">
        <v>22007</v>
      </c>
      <c r="F125" s="78" t="s">
        <v>257</v>
      </c>
      <c r="G125" s="78">
        <v>0.40034930000000002</v>
      </c>
      <c r="AE125" s="78">
        <v>3.5471549999999998E-2</v>
      </c>
      <c r="AG125" s="78">
        <v>1.8979629999999999E-3</v>
      </c>
      <c r="AQ125" s="78">
        <v>0.89979790000000004</v>
      </c>
      <c r="AZ125" s="78">
        <v>1.714388</v>
      </c>
      <c r="BB125" s="78">
        <v>2.493887</v>
      </c>
    </row>
    <row r="126" spans="1:54" x14ac:dyDescent="0.2">
      <c r="A126" s="78" t="s">
        <v>274</v>
      </c>
      <c r="B126" s="22">
        <v>22525</v>
      </c>
      <c r="C126" s="22"/>
      <c r="D126" s="22"/>
      <c r="E126" s="22">
        <v>22037</v>
      </c>
      <c r="F126" s="78" t="s">
        <v>258</v>
      </c>
      <c r="G126" s="78">
        <v>0.4048041</v>
      </c>
      <c r="AE126" s="78">
        <v>3.5683489999999998E-2</v>
      </c>
      <c r="AG126" s="78">
        <v>1.93327E-3</v>
      </c>
      <c r="AQ126" s="78">
        <v>0.9022519</v>
      </c>
      <c r="AZ126" s="78">
        <v>1.7187250000000001</v>
      </c>
      <c r="BB126" s="78">
        <v>2.5005350000000002</v>
      </c>
    </row>
    <row r="127" spans="1:54" x14ac:dyDescent="0.2">
      <c r="A127" s="78" t="s">
        <v>275</v>
      </c>
      <c r="B127" s="22">
        <v>22555</v>
      </c>
      <c r="C127" s="22"/>
      <c r="D127" s="22"/>
      <c r="E127" s="22">
        <v>22068</v>
      </c>
      <c r="F127" s="78" t="s">
        <v>259</v>
      </c>
      <c r="G127" s="78">
        <v>0.40704560000000001</v>
      </c>
      <c r="AE127" s="78">
        <v>3.591917E-2</v>
      </c>
      <c r="AG127" s="78">
        <v>1.9705209999999998E-3</v>
      </c>
      <c r="AQ127" s="78">
        <v>0.90791370000000005</v>
      </c>
      <c r="AZ127" s="78">
        <v>1.7301029999999999</v>
      </c>
      <c r="BB127" s="78">
        <v>2.5121690000000001</v>
      </c>
    </row>
    <row r="128" spans="1:54" x14ac:dyDescent="0.2">
      <c r="A128" s="78" t="s">
        <v>276</v>
      </c>
      <c r="B128" s="22">
        <v>22586</v>
      </c>
      <c r="C128" s="22"/>
      <c r="D128" s="22"/>
      <c r="E128" s="22">
        <v>22098</v>
      </c>
      <c r="F128" s="78" t="s">
        <v>260</v>
      </c>
      <c r="G128" s="78">
        <v>0.40822229999999998</v>
      </c>
      <c r="AE128" s="78">
        <v>3.608637E-2</v>
      </c>
      <c r="AG128" s="78">
        <v>1.9970819999999999E-3</v>
      </c>
      <c r="AQ128" s="78">
        <v>0.91453090000000004</v>
      </c>
      <c r="AZ128" s="78">
        <v>1.7288619999999999</v>
      </c>
      <c r="BB128" s="78">
        <v>2.5271279999999998</v>
      </c>
    </row>
    <row r="129" spans="1:54" x14ac:dyDescent="0.2">
      <c r="A129" s="78" t="s">
        <v>277</v>
      </c>
      <c r="B129" s="22">
        <v>22616</v>
      </c>
      <c r="C129" s="22"/>
      <c r="D129" s="22"/>
      <c r="E129" s="22">
        <v>22129</v>
      </c>
      <c r="F129" s="78" t="s">
        <v>261</v>
      </c>
      <c r="G129" s="78">
        <v>0.4097073</v>
      </c>
      <c r="AE129" s="78">
        <v>3.6302340000000002E-2</v>
      </c>
      <c r="AG129" s="78">
        <v>2.012364E-3</v>
      </c>
      <c r="AQ129" s="78">
        <v>0.92057869999999997</v>
      </c>
      <c r="AZ129" s="78">
        <v>1.724072</v>
      </c>
      <c r="BB129" s="78">
        <v>2.5503960000000001</v>
      </c>
    </row>
    <row r="130" spans="1:54" x14ac:dyDescent="0.2">
      <c r="A130" s="78" t="s">
        <v>278</v>
      </c>
      <c r="B130" s="22">
        <v>22647</v>
      </c>
      <c r="C130" s="22"/>
      <c r="D130" s="22"/>
      <c r="E130" s="22">
        <v>22160</v>
      </c>
      <c r="F130" s="78" t="s">
        <v>262</v>
      </c>
      <c r="G130" s="78">
        <v>0.4099875</v>
      </c>
      <c r="AE130" s="78">
        <v>3.638044E-2</v>
      </c>
      <c r="AG130" s="78">
        <v>2.0211729999999998E-3</v>
      </c>
      <c r="AQ130" s="78">
        <v>0.92710349999999997</v>
      </c>
      <c r="AZ130" s="78">
        <v>1.7278560000000001</v>
      </c>
      <c r="BB130" s="78">
        <v>2.5628609999999998</v>
      </c>
    </row>
    <row r="131" spans="1:54" x14ac:dyDescent="0.2">
      <c r="A131" s="78" t="s">
        <v>279</v>
      </c>
      <c r="B131" s="22">
        <v>22678</v>
      </c>
      <c r="C131" s="22"/>
      <c r="D131" s="22"/>
      <c r="E131" s="22">
        <v>22190</v>
      </c>
      <c r="F131" s="78" t="s">
        <v>263</v>
      </c>
      <c r="G131" s="78">
        <v>0.41077200000000003</v>
      </c>
      <c r="AE131" s="78">
        <v>3.6219630000000003E-2</v>
      </c>
      <c r="AG131" s="78">
        <v>2.0241E-3</v>
      </c>
      <c r="AQ131" s="78">
        <v>0.9318128</v>
      </c>
      <c r="AZ131" s="78">
        <v>1.738775</v>
      </c>
      <c r="BB131" s="78">
        <v>2.572003</v>
      </c>
    </row>
    <row r="132" spans="1:54" x14ac:dyDescent="0.2">
      <c r="A132" s="78" t="s">
        <v>280</v>
      </c>
      <c r="B132" s="22">
        <v>22706</v>
      </c>
      <c r="C132" s="22"/>
      <c r="D132" s="22"/>
      <c r="E132" s="22">
        <v>22221</v>
      </c>
      <c r="F132" s="78" t="s">
        <v>264</v>
      </c>
      <c r="G132" s="78">
        <v>0.41035169999999999</v>
      </c>
      <c r="AE132" s="78">
        <v>3.5895940000000001E-2</v>
      </c>
      <c r="AG132" s="78">
        <v>2.033792E-3</v>
      </c>
      <c r="AQ132" s="78">
        <v>0.94299949999999999</v>
      </c>
      <c r="AZ132" s="78">
        <v>1.7441</v>
      </c>
      <c r="BB132" s="78">
        <v>2.583637</v>
      </c>
    </row>
    <row r="133" spans="1:54" x14ac:dyDescent="0.2">
      <c r="A133" s="78" t="s">
        <v>281</v>
      </c>
      <c r="B133" s="22">
        <v>22737</v>
      </c>
      <c r="C133" s="22"/>
      <c r="D133" s="22"/>
      <c r="E133" s="22">
        <v>22251</v>
      </c>
      <c r="F133" s="78" t="s">
        <v>265</v>
      </c>
      <c r="G133" s="78">
        <v>0.40920299999999998</v>
      </c>
      <c r="AE133" s="78">
        <v>3.5807180000000001E-2</v>
      </c>
      <c r="AG133" s="78">
        <v>2.081028E-3</v>
      </c>
      <c r="AQ133" s="78">
        <v>0.94854590000000005</v>
      </c>
      <c r="AZ133" s="78">
        <v>1.747584</v>
      </c>
      <c r="BB133" s="78">
        <v>2.5961020000000001</v>
      </c>
    </row>
    <row r="134" spans="1:54" x14ac:dyDescent="0.2">
      <c r="A134" s="78" t="s">
        <v>282</v>
      </c>
      <c r="B134" s="22">
        <v>22767</v>
      </c>
      <c r="C134" s="22"/>
      <c r="D134" s="22"/>
      <c r="E134" s="22">
        <v>22282</v>
      </c>
      <c r="F134" s="78" t="s">
        <v>266</v>
      </c>
      <c r="G134" s="78">
        <v>0.4079142</v>
      </c>
      <c r="AE134" s="78">
        <v>3.5971629999999997E-2</v>
      </c>
      <c r="AG134" s="78">
        <v>2.1064E-3</v>
      </c>
      <c r="AQ134" s="78">
        <v>0.94636589999999998</v>
      </c>
      <c r="AZ134" s="78">
        <v>1.7530030000000001</v>
      </c>
      <c r="BB134" s="78">
        <v>2.6102289999999999</v>
      </c>
    </row>
    <row r="135" spans="1:54" x14ac:dyDescent="0.2">
      <c r="A135" s="78" t="s">
        <v>283</v>
      </c>
      <c r="B135" s="22">
        <v>22798</v>
      </c>
      <c r="C135" s="22"/>
      <c r="D135" s="22"/>
      <c r="E135" s="22">
        <v>22313</v>
      </c>
      <c r="F135" s="78" t="s">
        <v>267</v>
      </c>
      <c r="G135" s="78">
        <v>0.40721370000000001</v>
      </c>
      <c r="AE135" s="78">
        <v>3.594464E-2</v>
      </c>
      <c r="AG135" s="78">
        <v>2.100724E-3</v>
      </c>
      <c r="AQ135" s="78">
        <v>0.95158600000000004</v>
      </c>
      <c r="AZ135" s="78">
        <v>1.7606329999999999</v>
      </c>
      <c r="BB135" s="78">
        <v>2.6301739999999998</v>
      </c>
    </row>
    <row r="136" spans="1:54" x14ac:dyDescent="0.2">
      <c r="A136" s="78" t="s">
        <v>284</v>
      </c>
      <c r="B136" s="22">
        <v>22828</v>
      </c>
      <c r="C136" s="22"/>
      <c r="D136" s="22"/>
      <c r="E136" s="22">
        <v>22341</v>
      </c>
      <c r="F136" s="78" t="s">
        <v>268</v>
      </c>
      <c r="G136" s="78">
        <v>0.40704560000000001</v>
      </c>
      <c r="AE136" s="78">
        <v>3.603514E-2</v>
      </c>
      <c r="AG136" s="78">
        <v>2.1424410000000001E-3</v>
      </c>
      <c r="AQ136" s="78">
        <v>0.95688090000000003</v>
      </c>
      <c r="AZ136" s="78">
        <v>1.769198</v>
      </c>
      <c r="BB136" s="78">
        <v>2.6451319999999998</v>
      </c>
    </row>
    <row r="137" spans="1:54" x14ac:dyDescent="0.2">
      <c r="A137" s="78" t="s">
        <v>285</v>
      </c>
      <c r="B137" s="22">
        <v>22859</v>
      </c>
      <c r="C137" s="22"/>
      <c r="D137" s="22"/>
      <c r="E137" s="22">
        <v>22372</v>
      </c>
      <c r="F137" s="78" t="s">
        <v>269</v>
      </c>
      <c r="G137" s="78">
        <v>0.40909089999999998</v>
      </c>
      <c r="AE137" s="78">
        <v>3.6004439999999999E-2</v>
      </c>
      <c r="AG137" s="78">
        <v>2.1869569999999998E-3</v>
      </c>
      <c r="AQ137" s="78">
        <v>0.96126370000000005</v>
      </c>
      <c r="AZ137" s="78">
        <v>1.774632</v>
      </c>
      <c r="BB137" s="78">
        <v>2.6584279999999998</v>
      </c>
    </row>
    <row r="138" spans="1:54" x14ac:dyDescent="0.2">
      <c r="A138" s="78" t="s">
        <v>286</v>
      </c>
      <c r="B138" s="22">
        <v>22890</v>
      </c>
      <c r="C138" s="22"/>
      <c r="D138" s="22"/>
      <c r="E138" s="22">
        <v>22402</v>
      </c>
      <c r="F138" s="78" t="s">
        <v>270</v>
      </c>
      <c r="G138" s="78">
        <v>0.41220089999999998</v>
      </c>
      <c r="AE138" s="78">
        <v>3.5886469999999997E-2</v>
      </c>
      <c r="AG138" s="78">
        <v>2.2311459999999998E-3</v>
      </c>
      <c r="AQ138" s="78">
        <v>0.96530130000000003</v>
      </c>
      <c r="AZ138" s="78">
        <v>1.777228</v>
      </c>
      <c r="BB138" s="78">
        <v>2.6775419999999999</v>
      </c>
    </row>
    <row r="139" spans="1:54" x14ac:dyDescent="0.2">
      <c r="A139" s="78" t="s">
        <v>287</v>
      </c>
      <c r="B139" s="22">
        <v>22920</v>
      </c>
      <c r="C139" s="22"/>
      <c r="D139" s="22"/>
      <c r="E139" s="22">
        <v>22433</v>
      </c>
      <c r="F139" s="78" t="s">
        <v>271</v>
      </c>
      <c r="G139" s="78">
        <v>0.41382600000000003</v>
      </c>
      <c r="AE139" s="78">
        <v>3.5963639999999998E-2</v>
      </c>
      <c r="AG139" s="78">
        <v>2.2771179999999999E-3</v>
      </c>
      <c r="AQ139" s="78">
        <v>0.96911029999999998</v>
      </c>
      <c r="AZ139" s="78">
        <v>1.780224</v>
      </c>
      <c r="BB139" s="78">
        <v>2.6949930000000002</v>
      </c>
    </row>
    <row r="140" spans="1:54" x14ac:dyDescent="0.2">
      <c r="A140" s="78" t="s">
        <v>288</v>
      </c>
      <c r="B140" s="22">
        <v>22951</v>
      </c>
      <c r="C140" s="22"/>
      <c r="D140" s="22"/>
      <c r="E140" s="22">
        <v>22463</v>
      </c>
      <c r="F140" s="78" t="s">
        <v>272</v>
      </c>
      <c r="G140" s="78">
        <v>0.41564709999999999</v>
      </c>
      <c r="AE140" s="78">
        <v>3.6087609999999999E-2</v>
      </c>
      <c r="AG140" s="78">
        <v>2.3328709999999998E-3</v>
      </c>
      <c r="AQ140" s="78">
        <v>0.97241560000000005</v>
      </c>
      <c r="AZ140" s="78">
        <v>1.7893140000000001</v>
      </c>
      <c r="BB140" s="78">
        <v>2.7057959999999999</v>
      </c>
    </row>
    <row r="141" spans="1:54" x14ac:dyDescent="0.2">
      <c r="A141" s="78" t="s">
        <v>289</v>
      </c>
      <c r="B141" s="22">
        <v>22981</v>
      </c>
      <c r="C141" s="22"/>
      <c r="D141" s="22"/>
      <c r="E141" s="22">
        <v>22494</v>
      </c>
      <c r="F141" s="78" t="s">
        <v>273</v>
      </c>
      <c r="G141" s="78">
        <v>0.41707610000000001</v>
      </c>
      <c r="AE141" s="78">
        <v>3.6358660000000001E-2</v>
      </c>
      <c r="AG141" s="78">
        <v>2.4299780000000002E-3</v>
      </c>
      <c r="AQ141" s="78">
        <v>0.97381119999999999</v>
      </c>
      <c r="AZ141" s="78">
        <v>1.7999909999999999</v>
      </c>
      <c r="BB141" s="78">
        <v>2.7224170000000001</v>
      </c>
    </row>
    <row r="142" spans="1:54" x14ac:dyDescent="0.2">
      <c r="A142" s="78" t="s">
        <v>290</v>
      </c>
      <c r="B142" s="22">
        <v>23012</v>
      </c>
      <c r="C142" s="22"/>
      <c r="D142" s="22"/>
      <c r="E142" s="22">
        <v>22525</v>
      </c>
      <c r="F142" s="78" t="s">
        <v>274</v>
      </c>
      <c r="G142" s="78">
        <v>0.41970970000000002</v>
      </c>
      <c r="AE142" s="78">
        <v>3.6528239999999997E-2</v>
      </c>
      <c r="AG142" s="78">
        <v>2.4860770000000002E-3</v>
      </c>
      <c r="AQ142" s="78">
        <v>0.97760659999999999</v>
      </c>
      <c r="AZ142" s="78">
        <v>1.807642</v>
      </c>
      <c r="BB142" s="78">
        <v>2.7382059999999999</v>
      </c>
    </row>
    <row r="143" spans="1:54" x14ac:dyDescent="0.2">
      <c r="A143" s="78" t="s">
        <v>291</v>
      </c>
      <c r="B143" s="22">
        <v>23043</v>
      </c>
      <c r="C143" s="22"/>
      <c r="D143" s="22"/>
      <c r="E143" s="22">
        <v>22555</v>
      </c>
      <c r="F143" s="78" t="s">
        <v>275</v>
      </c>
      <c r="G143" s="78">
        <v>0.42315589999999997</v>
      </c>
      <c r="AE143" s="78">
        <v>3.6599590000000001E-2</v>
      </c>
      <c r="AG143" s="78">
        <v>2.5174339999999998E-3</v>
      </c>
      <c r="AQ143" s="78">
        <v>0.98115189999999997</v>
      </c>
      <c r="AZ143" s="78">
        <v>1.813123</v>
      </c>
      <c r="BB143" s="78">
        <v>2.751503</v>
      </c>
    </row>
    <row r="144" spans="1:54" x14ac:dyDescent="0.2">
      <c r="A144" s="78" t="s">
        <v>292</v>
      </c>
      <c r="B144" s="22">
        <v>23071</v>
      </c>
      <c r="C144" s="22"/>
      <c r="D144" s="22"/>
      <c r="E144" s="22">
        <v>22586</v>
      </c>
      <c r="F144" s="78" t="s">
        <v>276</v>
      </c>
      <c r="G144" s="78">
        <v>0.42447279999999998</v>
      </c>
      <c r="AE144" s="78">
        <v>3.6863609999999998E-2</v>
      </c>
      <c r="AG144" s="78">
        <v>2.5673850000000002E-3</v>
      </c>
      <c r="AQ144" s="78">
        <v>0.98343400000000003</v>
      </c>
      <c r="AZ144" s="78">
        <v>1.8210789999999999</v>
      </c>
      <c r="BB144" s="78">
        <v>2.770616</v>
      </c>
    </row>
    <row r="145" spans="1:54" x14ac:dyDescent="0.2">
      <c r="A145" s="78" t="s">
        <v>293</v>
      </c>
      <c r="B145" s="22">
        <v>23102</v>
      </c>
      <c r="C145" s="22"/>
      <c r="D145" s="22"/>
      <c r="E145" s="22">
        <v>22616</v>
      </c>
      <c r="F145" s="78" t="s">
        <v>277</v>
      </c>
      <c r="G145" s="78">
        <v>0.42646210000000001</v>
      </c>
      <c r="AE145" s="78">
        <v>3.7186610000000002E-2</v>
      </c>
      <c r="AG145" s="78">
        <v>2.6257680000000001E-3</v>
      </c>
      <c r="AQ145" s="78">
        <v>0.99050919999999998</v>
      </c>
      <c r="AZ145" s="78">
        <v>1.842865</v>
      </c>
      <c r="BB145" s="78">
        <v>2.7880669999999999</v>
      </c>
    </row>
    <row r="146" spans="1:54" x14ac:dyDescent="0.2">
      <c r="A146" s="78" t="s">
        <v>294</v>
      </c>
      <c r="B146" s="22">
        <v>23132</v>
      </c>
      <c r="C146" s="22"/>
      <c r="D146" s="22"/>
      <c r="E146" s="22">
        <v>22647</v>
      </c>
      <c r="F146" s="78" t="s">
        <v>278</v>
      </c>
      <c r="G146" s="78">
        <v>0.42968410000000001</v>
      </c>
      <c r="AE146" s="78">
        <v>3.7545599999999998E-2</v>
      </c>
      <c r="AG146" s="78">
        <v>2.684465E-3</v>
      </c>
      <c r="AQ146" s="78">
        <v>1.0010680000000001</v>
      </c>
      <c r="AZ146" s="78">
        <v>1.8560319999999999</v>
      </c>
      <c r="BB146" s="78">
        <v>2.8046880000000001</v>
      </c>
    </row>
    <row r="147" spans="1:54" x14ac:dyDescent="0.2">
      <c r="A147" s="78" t="s">
        <v>295</v>
      </c>
      <c r="B147" s="22">
        <v>23163</v>
      </c>
      <c r="C147" s="22"/>
      <c r="D147" s="22"/>
      <c r="E147" s="22">
        <v>22678</v>
      </c>
      <c r="F147" s="78" t="s">
        <v>279</v>
      </c>
      <c r="G147" s="78">
        <v>0.43245790000000001</v>
      </c>
      <c r="AE147" s="78">
        <v>3.798721E-2</v>
      </c>
      <c r="AG147" s="78">
        <v>2.73865E-3</v>
      </c>
      <c r="AQ147" s="78">
        <v>1.0082930000000001</v>
      </c>
      <c r="AZ147" s="78">
        <v>1.8577859999999999</v>
      </c>
      <c r="BB147" s="78">
        <v>2.8262939999999999</v>
      </c>
    </row>
    <row r="148" spans="1:54" x14ac:dyDescent="0.2">
      <c r="A148" s="78" t="s">
        <v>296</v>
      </c>
      <c r="B148" s="22">
        <v>23193</v>
      </c>
      <c r="C148" s="22"/>
      <c r="D148" s="22"/>
      <c r="E148" s="22">
        <v>22706</v>
      </c>
      <c r="F148" s="78" t="s">
        <v>280</v>
      </c>
      <c r="G148" s="78">
        <v>0.43587609999999999</v>
      </c>
      <c r="AE148" s="78">
        <v>3.8487090000000002E-2</v>
      </c>
      <c r="AG148" s="78">
        <v>2.8148909999999999E-3</v>
      </c>
      <c r="AQ148" s="78">
        <v>1.011655</v>
      </c>
      <c r="AZ148" s="78">
        <v>1.8670059999999999</v>
      </c>
      <c r="BB148" s="78">
        <v>2.8512249999999999</v>
      </c>
    </row>
    <row r="149" spans="1:54" x14ac:dyDescent="0.2">
      <c r="A149" s="78" t="s">
        <v>297</v>
      </c>
      <c r="B149" s="22">
        <v>23224</v>
      </c>
      <c r="C149" s="22"/>
      <c r="D149" s="22"/>
      <c r="E149" s="22">
        <v>22737</v>
      </c>
      <c r="F149" s="78" t="s">
        <v>281</v>
      </c>
      <c r="G149" s="78">
        <v>0.43923830000000003</v>
      </c>
      <c r="AE149" s="78">
        <v>3.8918960000000002E-2</v>
      </c>
      <c r="AG149" s="78">
        <v>2.7581490000000001E-3</v>
      </c>
      <c r="AQ149" s="78">
        <v>1.019461</v>
      </c>
      <c r="AZ149" s="78">
        <v>1.893437</v>
      </c>
      <c r="BB149" s="78">
        <v>2.8711690000000001</v>
      </c>
    </row>
    <row r="150" spans="1:54" x14ac:dyDescent="0.2">
      <c r="A150" s="78" t="s">
        <v>298</v>
      </c>
      <c r="B150" s="22">
        <v>23255</v>
      </c>
      <c r="C150" s="22"/>
      <c r="D150" s="22"/>
      <c r="E150" s="22">
        <v>22767</v>
      </c>
      <c r="F150" s="78" t="s">
        <v>282</v>
      </c>
      <c r="G150" s="78">
        <v>0.44156380000000001</v>
      </c>
      <c r="AE150" s="78">
        <v>3.9303999999999999E-2</v>
      </c>
      <c r="AG150" s="78">
        <v>2.7972130000000002E-3</v>
      </c>
      <c r="AQ150" s="78">
        <v>1.0281370000000001</v>
      </c>
      <c r="AZ150" s="78">
        <v>1.9137230000000001</v>
      </c>
      <c r="BB150" s="78">
        <v>2.8877899999999999</v>
      </c>
    </row>
    <row r="151" spans="1:54" x14ac:dyDescent="0.2">
      <c r="A151" s="78" t="s">
        <v>299</v>
      </c>
      <c r="B151" s="22">
        <v>23285</v>
      </c>
      <c r="C151" s="22"/>
      <c r="D151" s="22"/>
      <c r="E151" s="22">
        <v>22798</v>
      </c>
      <c r="F151" s="78" t="s">
        <v>283</v>
      </c>
      <c r="G151" s="78">
        <v>0.44408540000000002</v>
      </c>
      <c r="AE151" s="78">
        <v>3.9605710000000002E-2</v>
      </c>
      <c r="AG151" s="78">
        <v>2.9540109999999999E-3</v>
      </c>
      <c r="AQ151" s="78">
        <v>1.0330820000000001</v>
      </c>
      <c r="AZ151" s="78">
        <v>1.924302</v>
      </c>
      <c r="BB151" s="78">
        <v>2.9027479999999999</v>
      </c>
    </row>
    <row r="152" spans="1:54" x14ac:dyDescent="0.2">
      <c r="A152" s="78" t="s">
        <v>300</v>
      </c>
      <c r="B152" s="22">
        <v>23316</v>
      </c>
      <c r="C152" s="22"/>
      <c r="D152" s="22"/>
      <c r="E152" s="22">
        <v>22828</v>
      </c>
      <c r="F152" s="78" t="s">
        <v>284</v>
      </c>
      <c r="G152" s="78">
        <v>0.44823210000000002</v>
      </c>
      <c r="AE152" s="78">
        <v>3.9860529999999998E-2</v>
      </c>
      <c r="AG152" s="78">
        <v>2.9876949999999998E-3</v>
      </c>
      <c r="AQ152" s="78">
        <v>1.0395220000000001</v>
      </c>
      <c r="AZ152" s="78">
        <v>1.9458439999999999</v>
      </c>
      <c r="BB152" s="78">
        <v>2.9152130000000001</v>
      </c>
    </row>
    <row r="153" spans="1:54" x14ac:dyDescent="0.2">
      <c r="A153" s="78" t="s">
        <v>301</v>
      </c>
      <c r="B153" s="22">
        <v>23346</v>
      </c>
      <c r="C153" s="22"/>
      <c r="D153" s="22"/>
      <c r="E153" s="22">
        <v>22859</v>
      </c>
      <c r="F153" s="78" t="s">
        <v>285</v>
      </c>
      <c r="G153" s="78">
        <v>0.45064159999999998</v>
      </c>
      <c r="AE153" s="78">
        <v>4.0093379999999998E-2</v>
      </c>
      <c r="AG153" s="78">
        <v>3.0291699999999999E-3</v>
      </c>
      <c r="AQ153" s="78">
        <v>1.0460529999999999</v>
      </c>
      <c r="AZ153" s="78">
        <v>1.965975</v>
      </c>
      <c r="BB153" s="78">
        <v>2.9318339999999998</v>
      </c>
    </row>
    <row r="154" spans="1:54" x14ac:dyDescent="0.2">
      <c r="A154" s="78" t="s">
        <v>302</v>
      </c>
      <c r="B154" s="22">
        <v>23377</v>
      </c>
      <c r="C154" s="22"/>
      <c r="D154" s="22"/>
      <c r="E154" s="22">
        <v>22890</v>
      </c>
      <c r="F154" s="78" t="s">
        <v>286</v>
      </c>
      <c r="G154" s="78">
        <v>0.45277099999999998</v>
      </c>
      <c r="AE154" s="78">
        <v>4.0297960000000001E-2</v>
      </c>
      <c r="AG154" s="78">
        <v>3.097112E-3</v>
      </c>
      <c r="AQ154" s="78">
        <v>1.051285</v>
      </c>
      <c r="AZ154" s="78">
        <v>1.9854369999999999</v>
      </c>
      <c r="BB154" s="78">
        <v>2.9492850000000002</v>
      </c>
    </row>
    <row r="155" spans="1:54" x14ac:dyDescent="0.2">
      <c r="A155" s="78" t="s">
        <v>303</v>
      </c>
      <c r="B155" s="22">
        <v>23408</v>
      </c>
      <c r="C155" s="22"/>
      <c r="D155" s="22"/>
      <c r="E155" s="22">
        <v>22920</v>
      </c>
      <c r="F155" s="78" t="s">
        <v>287</v>
      </c>
      <c r="G155" s="78">
        <v>0.45602110000000001</v>
      </c>
      <c r="AE155" s="78">
        <v>4.0613629999999998E-2</v>
      </c>
      <c r="AG155" s="78">
        <v>3.1665460000000001E-3</v>
      </c>
      <c r="AQ155" s="78">
        <v>1.059606</v>
      </c>
      <c r="AZ155" s="78">
        <v>2.003298</v>
      </c>
      <c r="BB155" s="78">
        <v>2.9683980000000001</v>
      </c>
    </row>
    <row r="156" spans="1:54" x14ac:dyDescent="0.2">
      <c r="A156" s="78" t="s">
        <v>304</v>
      </c>
      <c r="B156" s="22">
        <v>23437</v>
      </c>
      <c r="C156" s="22"/>
      <c r="D156" s="22"/>
      <c r="E156" s="22">
        <v>22951</v>
      </c>
      <c r="F156" s="78" t="s">
        <v>288</v>
      </c>
      <c r="G156" s="78">
        <v>0.45837460000000002</v>
      </c>
      <c r="AE156" s="78">
        <v>4.0864070000000002E-2</v>
      </c>
      <c r="AG156" s="78">
        <v>3.2380640000000001E-3</v>
      </c>
      <c r="AQ156" s="78">
        <v>1.0656080000000001</v>
      </c>
      <c r="AZ156" s="78">
        <v>2.0202939999999998</v>
      </c>
      <c r="BB156" s="78">
        <v>2.990005</v>
      </c>
    </row>
    <row r="157" spans="1:54" x14ac:dyDescent="0.2">
      <c r="A157" s="78" t="s">
        <v>305</v>
      </c>
      <c r="B157" s="22">
        <v>23468</v>
      </c>
      <c r="C157" s="22"/>
      <c r="D157" s="22"/>
      <c r="E157" s="22">
        <v>22981</v>
      </c>
      <c r="F157" s="78" t="s">
        <v>289</v>
      </c>
      <c r="G157" s="78">
        <v>0.46114840000000001</v>
      </c>
      <c r="AE157" s="78">
        <v>4.1019630000000001E-2</v>
      </c>
      <c r="AG157" s="78">
        <v>3.29387E-3</v>
      </c>
      <c r="AQ157" s="78">
        <v>1.0669660000000001</v>
      </c>
      <c r="AZ157" s="78">
        <v>2.0345300000000002</v>
      </c>
      <c r="BB157" s="78">
        <v>3.0141040000000001</v>
      </c>
    </row>
    <row r="158" spans="1:54" x14ac:dyDescent="0.2">
      <c r="A158" s="78" t="s">
        <v>306</v>
      </c>
      <c r="B158" s="22">
        <v>23498</v>
      </c>
      <c r="C158" s="22"/>
      <c r="D158" s="22"/>
      <c r="E158" s="22">
        <v>23012</v>
      </c>
      <c r="F158" s="78" t="s">
        <v>290</v>
      </c>
      <c r="G158" s="78">
        <v>0.46400619999999998</v>
      </c>
      <c r="AE158" s="78">
        <v>4.1217700000000003E-2</v>
      </c>
      <c r="AG158" s="78">
        <v>3.3466110000000002E-3</v>
      </c>
      <c r="AQ158" s="78">
        <v>1.0686850000000001</v>
      </c>
      <c r="AZ158" s="78">
        <v>2.0454050000000001</v>
      </c>
      <c r="BB158" s="78">
        <v>3.0348799999999998</v>
      </c>
    </row>
    <row r="159" spans="1:54" x14ac:dyDescent="0.2">
      <c r="A159" s="78" t="s">
        <v>307</v>
      </c>
      <c r="B159" s="22">
        <v>23529</v>
      </c>
      <c r="C159" s="22"/>
      <c r="D159" s="22"/>
      <c r="E159" s="22">
        <v>23043</v>
      </c>
      <c r="F159" s="78" t="s">
        <v>291</v>
      </c>
      <c r="G159" s="78">
        <v>0.46697610000000001</v>
      </c>
      <c r="AE159" s="78">
        <v>4.1388349999999997E-2</v>
      </c>
      <c r="AG159" s="78">
        <v>3.403531E-3</v>
      </c>
      <c r="AQ159" s="78">
        <v>1.07098</v>
      </c>
      <c r="AZ159" s="78">
        <v>2.058144</v>
      </c>
      <c r="BB159" s="78">
        <v>3.0573169999999998</v>
      </c>
    </row>
    <row r="160" spans="1:54" x14ac:dyDescent="0.2">
      <c r="A160" s="78" t="s">
        <v>308</v>
      </c>
      <c r="B160" s="22">
        <v>23559</v>
      </c>
      <c r="C160" s="22"/>
      <c r="D160" s="22"/>
      <c r="E160" s="22">
        <v>23071</v>
      </c>
      <c r="F160" s="78" t="s">
        <v>292</v>
      </c>
      <c r="G160" s="78">
        <v>0.47075850000000002</v>
      </c>
      <c r="AE160" s="78">
        <v>4.153602E-2</v>
      </c>
      <c r="AG160" s="78">
        <v>3.4454580000000002E-3</v>
      </c>
      <c r="AQ160" s="78">
        <v>1.076282</v>
      </c>
      <c r="AZ160" s="78">
        <v>2.0721790000000002</v>
      </c>
      <c r="BB160" s="78">
        <v>3.0805859999999998</v>
      </c>
    </row>
    <row r="161" spans="1:54" x14ac:dyDescent="0.2">
      <c r="A161" s="78" t="s">
        <v>309</v>
      </c>
      <c r="B161" s="22">
        <v>23590</v>
      </c>
      <c r="C161" s="22"/>
      <c r="D161" s="22"/>
      <c r="E161" s="22">
        <v>23102</v>
      </c>
      <c r="F161" s="78" t="s">
        <v>293</v>
      </c>
      <c r="G161" s="78">
        <v>0.47479310000000002</v>
      </c>
      <c r="AE161" s="78">
        <v>4.1831859999999998E-2</v>
      </c>
      <c r="AG161" s="78">
        <v>3.4995809999999999E-3</v>
      </c>
      <c r="AQ161" s="78">
        <v>1.0821240000000001</v>
      </c>
      <c r="AZ161" s="78">
        <v>2.0854509999999999</v>
      </c>
      <c r="BB161" s="78">
        <v>3.1021920000000001</v>
      </c>
    </row>
    <row r="162" spans="1:54" x14ac:dyDescent="0.2">
      <c r="A162" s="78" t="s">
        <v>310</v>
      </c>
      <c r="B162" s="22">
        <v>23621</v>
      </c>
      <c r="C162" s="22"/>
      <c r="D162" s="22"/>
      <c r="E162" s="22">
        <v>23132</v>
      </c>
      <c r="F162" s="78" t="s">
        <v>294</v>
      </c>
      <c r="G162" s="78">
        <v>0.47790310000000003</v>
      </c>
      <c r="AE162" s="78">
        <v>4.2100039999999998E-2</v>
      </c>
      <c r="AG162" s="78">
        <v>3.558037E-3</v>
      </c>
      <c r="AQ162" s="78">
        <v>1.0884370000000001</v>
      </c>
      <c r="AZ162" s="78">
        <v>2.1040619999999999</v>
      </c>
      <c r="BB162" s="78">
        <v>3.125461</v>
      </c>
    </row>
    <row r="163" spans="1:54" x14ac:dyDescent="0.2">
      <c r="A163" s="78" t="s">
        <v>311</v>
      </c>
      <c r="B163" s="22">
        <v>23651</v>
      </c>
      <c r="C163" s="22"/>
      <c r="D163" s="22"/>
      <c r="E163" s="22">
        <v>23163</v>
      </c>
      <c r="F163" s="78" t="s">
        <v>295</v>
      </c>
      <c r="G163" s="78">
        <v>0.48174159999999999</v>
      </c>
      <c r="AE163" s="78">
        <v>4.2429050000000003E-2</v>
      </c>
      <c r="AG163" s="78">
        <v>3.5832160000000002E-3</v>
      </c>
      <c r="AQ163" s="78">
        <v>1.0945590000000001</v>
      </c>
      <c r="AZ163" s="78">
        <v>2.122223</v>
      </c>
      <c r="BB163" s="78">
        <v>3.144574</v>
      </c>
    </row>
    <row r="164" spans="1:54" x14ac:dyDescent="0.2">
      <c r="A164" s="78" t="s">
        <v>312</v>
      </c>
      <c r="B164" s="22">
        <v>23682</v>
      </c>
      <c r="C164" s="22"/>
      <c r="D164" s="22"/>
      <c r="E164" s="22">
        <v>23193</v>
      </c>
      <c r="F164" s="78" t="s">
        <v>296</v>
      </c>
      <c r="G164" s="78">
        <v>0.4861684</v>
      </c>
      <c r="AE164" s="78">
        <v>4.2897409999999997E-2</v>
      </c>
      <c r="AG164" s="78">
        <v>3.5928240000000001E-3</v>
      </c>
      <c r="AQ164" s="78">
        <v>1.100182</v>
      </c>
      <c r="AZ164" s="78">
        <v>2.1375419999999998</v>
      </c>
      <c r="BB164" s="78">
        <v>3.1670120000000002</v>
      </c>
    </row>
    <row r="165" spans="1:54" x14ac:dyDescent="0.2">
      <c r="A165" s="78" t="s">
        <v>313</v>
      </c>
      <c r="B165" s="22">
        <v>23712</v>
      </c>
      <c r="C165" s="22"/>
      <c r="D165" s="22"/>
      <c r="E165" s="22">
        <v>23224</v>
      </c>
      <c r="F165" s="78" t="s">
        <v>297</v>
      </c>
      <c r="G165" s="78">
        <v>0.49011900000000003</v>
      </c>
      <c r="AE165" s="78">
        <v>4.3284940000000001E-2</v>
      </c>
      <c r="AG165" s="78">
        <v>3.6211239999999999E-3</v>
      </c>
      <c r="AQ165" s="78">
        <v>1.107273</v>
      </c>
      <c r="AZ165" s="78">
        <v>2.153035</v>
      </c>
      <c r="BB165" s="78">
        <v>3.1877870000000001</v>
      </c>
    </row>
    <row r="166" spans="1:54" x14ac:dyDescent="0.2">
      <c r="A166" s="78" t="s">
        <v>314</v>
      </c>
      <c r="B166" s="22">
        <v>23743</v>
      </c>
      <c r="C166" s="22"/>
      <c r="D166" s="22"/>
      <c r="E166" s="22">
        <v>23255</v>
      </c>
      <c r="F166" s="78" t="s">
        <v>298</v>
      </c>
      <c r="G166" s="78">
        <v>0.4941255</v>
      </c>
      <c r="AE166" s="78">
        <v>4.3711949999999999E-2</v>
      </c>
      <c r="AG166" s="78">
        <v>3.6642810000000001E-3</v>
      </c>
      <c r="AQ166" s="78">
        <v>1.1122730000000001</v>
      </c>
      <c r="AZ166" s="78">
        <v>2.1667890000000001</v>
      </c>
      <c r="BB166" s="78">
        <v>3.207732</v>
      </c>
    </row>
    <row r="167" spans="1:54" x14ac:dyDescent="0.2">
      <c r="A167" s="78" t="s">
        <v>315</v>
      </c>
      <c r="B167" s="22">
        <v>23774</v>
      </c>
      <c r="C167" s="22"/>
      <c r="D167" s="22"/>
      <c r="E167" s="22">
        <v>23285</v>
      </c>
      <c r="F167" s="78" t="s">
        <v>299</v>
      </c>
      <c r="G167" s="78">
        <v>0.4972916</v>
      </c>
      <c r="AE167" s="78">
        <v>4.4311440000000001E-2</v>
      </c>
      <c r="AG167" s="78">
        <v>3.6863849999999999E-3</v>
      </c>
      <c r="AQ167" s="78">
        <v>1.1185149999999999</v>
      </c>
      <c r="AZ167" s="78">
        <v>2.1817449999999998</v>
      </c>
      <c r="BB167" s="78">
        <v>3.226845</v>
      </c>
    </row>
    <row r="168" spans="1:54" x14ac:dyDescent="0.2">
      <c r="A168" s="78" t="s">
        <v>316</v>
      </c>
      <c r="B168" s="22">
        <v>23802</v>
      </c>
      <c r="C168" s="22"/>
      <c r="D168" s="22"/>
      <c r="E168" s="22">
        <v>23316</v>
      </c>
      <c r="F168" s="78" t="s">
        <v>300</v>
      </c>
      <c r="G168" s="78">
        <v>0.50216669999999997</v>
      </c>
      <c r="AE168" s="78">
        <v>4.4778510000000001E-2</v>
      </c>
      <c r="AG168" s="78">
        <v>3.715271E-3</v>
      </c>
      <c r="AQ168" s="78">
        <v>1.1286879999999999</v>
      </c>
      <c r="AZ168" s="78">
        <v>2.196186</v>
      </c>
      <c r="BB168" s="78">
        <v>3.2534380000000001</v>
      </c>
    </row>
    <row r="169" spans="1:54" x14ac:dyDescent="0.2">
      <c r="A169" s="78" t="s">
        <v>317</v>
      </c>
      <c r="B169" s="22">
        <v>23833</v>
      </c>
      <c r="C169" s="22"/>
      <c r="D169" s="22"/>
      <c r="E169" s="22">
        <v>23346</v>
      </c>
      <c r="F169" s="78" t="s">
        <v>301</v>
      </c>
      <c r="G169" s="78">
        <v>0.50861080000000003</v>
      </c>
      <c r="AE169" s="78">
        <v>4.5096400000000002E-2</v>
      </c>
      <c r="AG169" s="78">
        <v>3.7507679999999998E-3</v>
      </c>
      <c r="AQ169" s="78">
        <v>1.1368130000000001</v>
      </c>
      <c r="AZ169" s="78">
        <v>2.2089859999999999</v>
      </c>
      <c r="BB169" s="78">
        <v>3.2675649999999998</v>
      </c>
    </row>
    <row r="170" spans="1:54" x14ac:dyDescent="0.2">
      <c r="A170" s="78" t="s">
        <v>318</v>
      </c>
      <c r="B170" s="22">
        <v>23863</v>
      </c>
      <c r="C170" s="22"/>
      <c r="D170" s="22"/>
      <c r="E170" s="22">
        <v>23377</v>
      </c>
      <c r="F170" s="78" t="s">
        <v>302</v>
      </c>
      <c r="G170" s="78">
        <v>0.51328989999999997</v>
      </c>
      <c r="AE170" s="78">
        <v>4.5611029999999997E-2</v>
      </c>
      <c r="AG170" s="78">
        <v>3.7837410000000002E-3</v>
      </c>
      <c r="AQ170" s="78">
        <v>1.1436059999999999</v>
      </c>
      <c r="AZ170" s="78">
        <v>2.2258439999999999</v>
      </c>
      <c r="BB170" s="78">
        <v>3.2841849999999999</v>
      </c>
    </row>
    <row r="171" spans="1:54" x14ac:dyDescent="0.2">
      <c r="A171" s="78" t="s">
        <v>319</v>
      </c>
      <c r="B171" s="22">
        <v>23894</v>
      </c>
      <c r="C171" s="22"/>
      <c r="D171" s="22"/>
      <c r="E171" s="22">
        <v>23408</v>
      </c>
      <c r="F171" s="78" t="s">
        <v>303</v>
      </c>
      <c r="G171" s="78">
        <v>0.51724040000000004</v>
      </c>
      <c r="AE171" s="78">
        <v>4.5993270000000003E-2</v>
      </c>
      <c r="AG171" s="78">
        <v>3.8524850000000001E-3</v>
      </c>
      <c r="AQ171" s="78">
        <v>1.1480189999999999</v>
      </c>
      <c r="AZ171" s="78">
        <v>2.241879</v>
      </c>
      <c r="BB171" s="78">
        <v>3.3041299999999998</v>
      </c>
    </row>
    <row r="172" spans="1:54" x14ac:dyDescent="0.2">
      <c r="A172" s="78" t="s">
        <v>320</v>
      </c>
      <c r="B172" s="22">
        <v>23924</v>
      </c>
      <c r="C172" s="22"/>
      <c r="D172" s="22"/>
      <c r="E172" s="22">
        <v>23437</v>
      </c>
      <c r="F172" s="78" t="s">
        <v>304</v>
      </c>
      <c r="G172" s="78">
        <v>0.52371259999999997</v>
      </c>
      <c r="AE172" s="78">
        <v>4.60852E-2</v>
      </c>
      <c r="AG172" s="78">
        <v>3.916386E-3</v>
      </c>
      <c r="AQ172" s="78">
        <v>1.156474</v>
      </c>
      <c r="AZ172" s="78">
        <v>2.2531569999999999</v>
      </c>
      <c r="BB172" s="78">
        <v>3.3224119999999999</v>
      </c>
    </row>
    <row r="173" spans="1:54" x14ac:dyDescent="0.2">
      <c r="A173" s="78" t="s">
        <v>321</v>
      </c>
      <c r="B173" s="22">
        <v>23955</v>
      </c>
      <c r="C173" s="22"/>
      <c r="D173" s="22"/>
      <c r="E173" s="22">
        <v>23468</v>
      </c>
      <c r="F173" s="78" t="s">
        <v>305</v>
      </c>
      <c r="G173" s="78">
        <v>0.53015670000000004</v>
      </c>
      <c r="AE173" s="78">
        <v>4.6301790000000002E-2</v>
      </c>
      <c r="AG173" s="78">
        <v>3.9719610000000004E-3</v>
      </c>
      <c r="AQ173" s="78">
        <v>1.1704140000000001</v>
      </c>
      <c r="AZ173" s="78">
        <v>2.2643849999999999</v>
      </c>
      <c r="BB173" s="78">
        <v>3.3382019999999999</v>
      </c>
    </row>
    <row r="174" spans="1:54" x14ac:dyDescent="0.2">
      <c r="A174" s="78" t="s">
        <v>322</v>
      </c>
      <c r="B174" s="22">
        <v>23986</v>
      </c>
      <c r="C174" s="22"/>
      <c r="D174" s="22"/>
      <c r="E174" s="22">
        <v>23498</v>
      </c>
      <c r="F174" s="78" t="s">
        <v>306</v>
      </c>
      <c r="G174" s="78">
        <v>0.53534009999999999</v>
      </c>
      <c r="AE174" s="78">
        <v>4.6660680000000003E-2</v>
      </c>
      <c r="AG174" s="78">
        <v>4.0355449999999998E-3</v>
      </c>
      <c r="AQ174" s="78">
        <v>1.1790719999999999</v>
      </c>
      <c r="AZ174" s="78">
        <v>2.2726630000000001</v>
      </c>
      <c r="BB174" s="78">
        <v>3.3589769999999999</v>
      </c>
    </row>
    <row r="175" spans="1:54" x14ac:dyDescent="0.2">
      <c r="A175" s="78" t="s">
        <v>323</v>
      </c>
      <c r="B175" s="22">
        <v>24016</v>
      </c>
      <c r="C175" s="22"/>
      <c r="D175" s="22"/>
      <c r="E175" s="22">
        <v>23529</v>
      </c>
      <c r="F175" s="78" t="s">
        <v>307</v>
      </c>
      <c r="G175" s="78">
        <v>0.54105570000000003</v>
      </c>
      <c r="AE175" s="78">
        <v>4.7052990000000003E-2</v>
      </c>
      <c r="AG175" s="78">
        <v>4.0900590000000001E-3</v>
      </c>
      <c r="AQ175" s="78">
        <v>1.1825810000000001</v>
      </c>
      <c r="AZ175" s="78">
        <v>2.2818879999999999</v>
      </c>
      <c r="BB175" s="78">
        <v>3.3830770000000001</v>
      </c>
    </row>
    <row r="176" spans="1:54" x14ac:dyDescent="0.2">
      <c r="A176" s="78" t="s">
        <v>324</v>
      </c>
      <c r="B176" s="22">
        <v>24047</v>
      </c>
      <c r="C176" s="22"/>
      <c r="D176" s="22"/>
      <c r="E176" s="22">
        <v>23559</v>
      </c>
      <c r="F176" s="78" t="s">
        <v>308</v>
      </c>
      <c r="G176" s="78">
        <v>0.54573470000000002</v>
      </c>
      <c r="AE176" s="78">
        <v>4.7495389999999998E-2</v>
      </c>
      <c r="AG176" s="78">
        <v>4.1677989999999998E-3</v>
      </c>
      <c r="AQ176" s="78">
        <v>1.190034</v>
      </c>
      <c r="AZ176" s="78">
        <v>2.2942040000000001</v>
      </c>
      <c r="BB176" s="78">
        <v>3.408007</v>
      </c>
    </row>
    <row r="177" spans="1:55" x14ac:dyDescent="0.2">
      <c r="A177" s="78" t="s">
        <v>325</v>
      </c>
      <c r="B177" s="22">
        <v>24077</v>
      </c>
      <c r="C177" s="22"/>
      <c r="D177" s="22"/>
      <c r="E177" s="22">
        <v>23590</v>
      </c>
      <c r="F177" s="78" t="s">
        <v>309</v>
      </c>
      <c r="G177" s="78">
        <v>0.55072189999999999</v>
      </c>
      <c r="AE177" s="78">
        <v>4.8096180000000002E-2</v>
      </c>
      <c r="AG177" s="78">
        <v>4.2464139999999996E-3</v>
      </c>
      <c r="AQ177" s="78">
        <v>1.195516</v>
      </c>
      <c r="AZ177" s="78">
        <v>2.3089019999999998</v>
      </c>
      <c r="BB177" s="78">
        <v>3.4354309999999999</v>
      </c>
    </row>
    <row r="178" spans="1:55" x14ac:dyDescent="0.2">
      <c r="A178" s="78" t="s">
        <v>326</v>
      </c>
      <c r="B178" s="22">
        <v>24108</v>
      </c>
      <c r="C178" s="22"/>
      <c r="D178" s="22"/>
      <c r="E178" s="22">
        <v>23621</v>
      </c>
      <c r="F178" s="78" t="s">
        <v>310</v>
      </c>
      <c r="G178" s="78">
        <v>0.55523279999999997</v>
      </c>
      <c r="AE178" s="78">
        <v>4.8568109999999998E-2</v>
      </c>
      <c r="AG178" s="78">
        <v>4.3041420000000004E-3</v>
      </c>
      <c r="AQ178" s="78">
        <v>1.20427</v>
      </c>
      <c r="AZ178" s="78">
        <v>2.3277169999999998</v>
      </c>
      <c r="BB178" s="78">
        <v>3.4645169999999998</v>
      </c>
    </row>
    <row r="179" spans="1:55" x14ac:dyDescent="0.2">
      <c r="A179" s="78" t="s">
        <v>327</v>
      </c>
      <c r="B179" s="22">
        <v>24139</v>
      </c>
      <c r="C179" s="22"/>
      <c r="D179" s="22"/>
      <c r="E179" s="22">
        <v>23651</v>
      </c>
      <c r="F179" s="78" t="s">
        <v>311</v>
      </c>
      <c r="G179" s="78">
        <v>0.55907130000000005</v>
      </c>
      <c r="AE179" s="78">
        <v>4.8755680000000003E-2</v>
      </c>
      <c r="AG179" s="78">
        <v>4.3865680000000004E-3</v>
      </c>
      <c r="AQ179" s="78">
        <v>1.2184470000000001</v>
      </c>
      <c r="AZ179" s="78">
        <v>2.3471630000000001</v>
      </c>
      <c r="BB179" s="78">
        <v>3.482799</v>
      </c>
    </row>
    <row r="180" spans="1:55" x14ac:dyDescent="0.2">
      <c r="A180" s="78" t="s">
        <v>328</v>
      </c>
      <c r="B180" s="22">
        <v>24167</v>
      </c>
      <c r="C180" s="22"/>
      <c r="D180" s="22"/>
      <c r="E180" s="22">
        <v>23682</v>
      </c>
      <c r="F180" s="78" t="s">
        <v>312</v>
      </c>
      <c r="G180" s="78">
        <v>0.56369420000000003</v>
      </c>
      <c r="AE180" s="78">
        <v>4.9087770000000003E-2</v>
      </c>
      <c r="AG180" s="78">
        <v>4.4442839999999997E-3</v>
      </c>
      <c r="AQ180" s="78">
        <v>1.2249209999999999</v>
      </c>
      <c r="AZ180" s="78">
        <v>2.3669349999999998</v>
      </c>
      <c r="BB180" s="78">
        <v>3.5068980000000001</v>
      </c>
    </row>
    <row r="181" spans="1:55" x14ac:dyDescent="0.2">
      <c r="A181" s="78" t="s">
        <v>329</v>
      </c>
      <c r="B181" s="22">
        <v>24198</v>
      </c>
      <c r="C181" s="22"/>
      <c r="D181" s="22"/>
      <c r="E181" s="22">
        <v>23712</v>
      </c>
      <c r="F181" s="78" t="s">
        <v>313</v>
      </c>
      <c r="G181" s="78">
        <v>0.56697240000000004</v>
      </c>
      <c r="AE181" s="78">
        <v>4.9414699999999999E-2</v>
      </c>
      <c r="AG181" s="78">
        <v>4.4718020000000004E-3</v>
      </c>
      <c r="AQ181" s="78">
        <v>1.227028</v>
      </c>
      <c r="AZ181" s="78">
        <v>2.3893930000000001</v>
      </c>
      <c r="BB181" s="78">
        <v>3.5293359999999998</v>
      </c>
    </row>
    <row r="182" spans="1:55" x14ac:dyDescent="0.2">
      <c r="A182" s="78" t="s">
        <v>330</v>
      </c>
      <c r="B182" s="22">
        <v>24228</v>
      </c>
      <c r="C182" s="22"/>
      <c r="D182" s="22"/>
      <c r="E182" s="22">
        <v>23743</v>
      </c>
      <c r="F182" s="78" t="s">
        <v>314</v>
      </c>
      <c r="G182" s="78">
        <v>0.569438</v>
      </c>
      <c r="AE182" s="78">
        <v>4.9685970000000003E-2</v>
      </c>
      <c r="AG182" s="78">
        <v>4.5219149999999996E-3</v>
      </c>
      <c r="AQ182" s="78">
        <v>1.236521</v>
      </c>
      <c r="AZ182" s="78">
        <v>2.4080349999999999</v>
      </c>
      <c r="BB182" s="78">
        <v>3.5526040000000001</v>
      </c>
    </row>
    <row r="183" spans="1:55" x14ac:dyDescent="0.2">
      <c r="A183" s="78" t="s">
        <v>331</v>
      </c>
      <c r="B183" s="22">
        <v>24259</v>
      </c>
      <c r="C183" s="22"/>
      <c r="D183" s="22"/>
      <c r="E183" s="22">
        <v>23774</v>
      </c>
      <c r="F183" s="78" t="s">
        <v>315</v>
      </c>
      <c r="G183" s="78">
        <v>0.57327640000000002</v>
      </c>
      <c r="AE183" s="78">
        <v>5.0054109999999999E-2</v>
      </c>
      <c r="AG183" s="78">
        <v>4.5718800000000004E-3</v>
      </c>
      <c r="AQ183" s="78">
        <v>1.250461</v>
      </c>
      <c r="AZ183" s="78">
        <v>2.4214099999999998</v>
      </c>
      <c r="BB183" s="78">
        <v>3.5767039999999999</v>
      </c>
    </row>
    <row r="184" spans="1:55" x14ac:dyDescent="0.2">
      <c r="A184" s="78" t="s">
        <v>332</v>
      </c>
      <c r="B184" s="22">
        <v>24289</v>
      </c>
      <c r="C184" s="22"/>
      <c r="D184" s="22"/>
      <c r="E184" s="22">
        <v>23802</v>
      </c>
      <c r="F184" s="78" t="s">
        <v>316</v>
      </c>
      <c r="G184" s="78">
        <v>0.57921619999999996</v>
      </c>
      <c r="AE184" s="78">
        <v>5.0300230000000001E-2</v>
      </c>
      <c r="AG184" s="78">
        <v>4.6373439999999998E-3</v>
      </c>
      <c r="AQ184" s="78">
        <v>1.2619339999999999</v>
      </c>
      <c r="AZ184" s="78">
        <v>2.4345370000000002</v>
      </c>
      <c r="BB184" s="78">
        <v>3.5999720000000002</v>
      </c>
    </row>
    <row r="185" spans="1:55" x14ac:dyDescent="0.2">
      <c r="A185" s="78" t="s">
        <v>333</v>
      </c>
      <c r="B185" s="22">
        <v>24320</v>
      </c>
      <c r="C185" s="22"/>
      <c r="D185" s="22"/>
      <c r="E185" s="22">
        <v>23833</v>
      </c>
      <c r="F185" s="78" t="s">
        <v>317</v>
      </c>
      <c r="G185" s="78">
        <v>0.58277449999999997</v>
      </c>
      <c r="AE185" s="78">
        <v>5.0745869999999998E-2</v>
      </c>
      <c r="AG185" s="78">
        <v>4.7176960000000004E-3</v>
      </c>
      <c r="AQ185" s="78">
        <v>1.270249</v>
      </c>
      <c r="AZ185" s="78">
        <v>2.4489709999999998</v>
      </c>
      <c r="BB185" s="78">
        <v>3.618255</v>
      </c>
      <c r="BC185" s="78">
        <v>0.16887959999999999</v>
      </c>
    </row>
    <row r="186" spans="1:55" x14ac:dyDescent="0.2">
      <c r="A186" s="78" t="s">
        <v>334</v>
      </c>
      <c r="B186" s="22">
        <v>24351</v>
      </c>
      <c r="C186" s="22"/>
      <c r="D186" s="22"/>
      <c r="E186" s="22">
        <v>23863</v>
      </c>
      <c r="F186" s="78" t="s">
        <v>318</v>
      </c>
      <c r="G186" s="78">
        <v>0.58277449999999997</v>
      </c>
      <c r="AE186" s="78">
        <v>5.1369970000000001E-2</v>
      </c>
      <c r="AG186" s="78">
        <v>4.7750839999999998E-3</v>
      </c>
      <c r="AQ186" s="78">
        <v>1.273798</v>
      </c>
      <c r="AZ186" s="78">
        <v>2.4525540000000001</v>
      </c>
      <c r="BB186" s="78">
        <v>3.6323820000000002</v>
      </c>
      <c r="BC186" s="78">
        <v>0.17005120000000001</v>
      </c>
    </row>
    <row r="187" spans="1:55" x14ac:dyDescent="0.2">
      <c r="A187" s="78" t="s">
        <v>335</v>
      </c>
      <c r="B187" s="22">
        <v>24381</v>
      </c>
      <c r="C187" s="22"/>
      <c r="D187" s="22"/>
      <c r="E187" s="22">
        <v>23894</v>
      </c>
      <c r="F187" s="78" t="s">
        <v>319</v>
      </c>
      <c r="G187" s="78">
        <v>0.5855764</v>
      </c>
      <c r="AE187" s="78">
        <v>5.1753729999999998E-2</v>
      </c>
      <c r="AG187" s="78">
        <v>4.8414729999999998E-3</v>
      </c>
      <c r="AQ187" s="78">
        <v>1.2870170000000001</v>
      </c>
      <c r="AZ187" s="78">
        <v>2.4736600000000002</v>
      </c>
      <c r="BB187" s="78">
        <v>3.6573129999999998</v>
      </c>
      <c r="BC187" s="78">
        <v>0.1692293</v>
      </c>
    </row>
    <row r="188" spans="1:55" x14ac:dyDescent="0.2">
      <c r="A188" s="78" t="s">
        <v>336</v>
      </c>
      <c r="B188" s="22">
        <v>24412</v>
      </c>
      <c r="C188" s="22"/>
      <c r="D188" s="22"/>
      <c r="E188" s="22">
        <v>23924</v>
      </c>
      <c r="F188" s="78" t="s">
        <v>320</v>
      </c>
      <c r="G188" s="78">
        <v>0.58837810000000001</v>
      </c>
      <c r="AE188" s="78">
        <v>5.2133279999999997E-2</v>
      </c>
      <c r="AG188" s="78">
        <v>4.9236890000000002E-3</v>
      </c>
      <c r="AQ188" s="78">
        <v>1.3028820000000001</v>
      </c>
      <c r="AZ188" s="78">
        <v>2.4887069999999998</v>
      </c>
      <c r="BB188" s="78">
        <v>3.6805810000000001</v>
      </c>
      <c r="BC188" s="78">
        <v>0.16898450000000001</v>
      </c>
    </row>
    <row r="189" spans="1:55" x14ac:dyDescent="0.2">
      <c r="A189" s="78" t="s">
        <v>337</v>
      </c>
      <c r="B189" s="22">
        <v>24442</v>
      </c>
      <c r="C189" s="22"/>
      <c r="D189" s="22"/>
      <c r="E189" s="22">
        <v>23955</v>
      </c>
      <c r="F189" s="78" t="s">
        <v>321</v>
      </c>
      <c r="G189" s="78">
        <v>0.58837810000000001</v>
      </c>
      <c r="AE189" s="78">
        <v>5.2631339999999999E-2</v>
      </c>
      <c r="AG189" s="78">
        <v>5.0001259999999997E-3</v>
      </c>
      <c r="AQ189" s="78">
        <v>1.312065</v>
      </c>
      <c r="AZ189" s="78">
        <v>2.4849489999999999</v>
      </c>
      <c r="BB189" s="78">
        <v>3.7046809999999999</v>
      </c>
      <c r="BC189" s="78">
        <v>0.16943920000000001</v>
      </c>
    </row>
    <row r="190" spans="1:55" x14ac:dyDescent="0.2">
      <c r="A190" s="78" t="s">
        <v>338</v>
      </c>
      <c r="B190" s="22">
        <v>24473</v>
      </c>
      <c r="C190" s="22"/>
      <c r="D190" s="22"/>
      <c r="E190" s="22">
        <v>23986</v>
      </c>
      <c r="F190" s="78" t="s">
        <v>322</v>
      </c>
      <c r="G190" s="78">
        <v>0.58837810000000001</v>
      </c>
      <c r="AE190" s="78">
        <v>5.3035060000000002E-2</v>
      </c>
      <c r="AG190" s="78">
        <v>5.0678880000000004E-3</v>
      </c>
      <c r="AQ190" s="78">
        <v>1.318929</v>
      </c>
      <c r="AZ190" s="78">
        <v>2.495981</v>
      </c>
      <c r="BB190" s="78">
        <v>3.7354289999999999</v>
      </c>
      <c r="BC190" s="78">
        <v>0.16914190000000001</v>
      </c>
    </row>
    <row r="191" spans="1:55" x14ac:dyDescent="0.2">
      <c r="A191" s="78" t="s">
        <v>339</v>
      </c>
      <c r="B191" s="22">
        <v>24504</v>
      </c>
      <c r="C191" s="22"/>
      <c r="D191" s="22"/>
      <c r="E191" s="22">
        <v>24016</v>
      </c>
      <c r="F191" s="78" t="s">
        <v>323</v>
      </c>
      <c r="G191" s="78">
        <v>0.59117989999999998</v>
      </c>
      <c r="AE191" s="78">
        <v>5.3445449999999999E-2</v>
      </c>
      <c r="AG191" s="78">
        <v>5.170348E-3</v>
      </c>
      <c r="AQ191" s="78">
        <v>1.3241639999999999</v>
      </c>
      <c r="AZ191" s="78">
        <v>2.5067940000000002</v>
      </c>
      <c r="BB191" s="78">
        <v>3.76119</v>
      </c>
      <c r="BC191" s="78">
        <v>0.16977139999999999</v>
      </c>
    </row>
    <row r="192" spans="1:55" x14ac:dyDescent="0.2">
      <c r="A192" s="78" t="s">
        <v>340</v>
      </c>
      <c r="B192" s="22">
        <v>24532</v>
      </c>
      <c r="C192" s="22"/>
      <c r="D192" s="22"/>
      <c r="E192" s="22">
        <v>24047</v>
      </c>
      <c r="F192" s="78" t="s">
        <v>324</v>
      </c>
      <c r="G192" s="78">
        <v>0.59398169999999995</v>
      </c>
      <c r="AE192" s="78">
        <v>5.3944850000000003E-2</v>
      </c>
      <c r="AG192" s="78">
        <v>5.2991469999999997E-3</v>
      </c>
      <c r="AQ192" s="78">
        <v>1.3338270000000001</v>
      </c>
      <c r="AZ192" s="78">
        <v>2.5227719999999998</v>
      </c>
      <c r="BB192" s="78">
        <v>3.7869519999999999</v>
      </c>
      <c r="BC192" s="78">
        <v>0.1707158</v>
      </c>
    </row>
    <row r="193" spans="1:55" x14ac:dyDescent="0.2">
      <c r="A193" s="78" t="s">
        <v>341</v>
      </c>
      <c r="B193" s="22">
        <v>24563</v>
      </c>
      <c r="C193" s="22"/>
      <c r="D193" s="22"/>
      <c r="E193" s="22">
        <v>24077</v>
      </c>
      <c r="F193" s="78" t="s">
        <v>325</v>
      </c>
      <c r="G193" s="78">
        <v>0.59678350000000002</v>
      </c>
      <c r="AE193" s="78">
        <v>5.4491680000000001E-2</v>
      </c>
      <c r="AG193" s="78">
        <v>5.4545399999999999E-3</v>
      </c>
      <c r="AQ193" s="78">
        <v>1.347904</v>
      </c>
      <c r="AZ193" s="78">
        <v>2.5398710000000002</v>
      </c>
      <c r="BB193" s="78">
        <v>3.8160370000000001</v>
      </c>
      <c r="BC193" s="78">
        <v>0.1719049</v>
      </c>
    </row>
    <row r="194" spans="1:55" x14ac:dyDescent="0.2">
      <c r="A194" s="78" t="s">
        <v>342</v>
      </c>
      <c r="B194" s="22">
        <v>24593</v>
      </c>
      <c r="C194" s="22"/>
      <c r="D194" s="22"/>
      <c r="E194" s="22">
        <v>24108</v>
      </c>
      <c r="F194" s="78" t="s">
        <v>326</v>
      </c>
      <c r="G194" s="78">
        <v>0.59958540000000005</v>
      </c>
      <c r="AE194" s="78">
        <v>5.507538E-2</v>
      </c>
      <c r="AG194" s="78">
        <v>5.6195220000000001E-3</v>
      </c>
      <c r="AQ194" s="78">
        <v>1.360171</v>
      </c>
      <c r="AZ194" s="78">
        <v>2.5537459999999998</v>
      </c>
      <c r="BB194" s="78">
        <v>3.8393060000000001</v>
      </c>
      <c r="BC194" s="78">
        <v>0.17284930000000001</v>
      </c>
    </row>
    <row r="195" spans="1:55" x14ac:dyDescent="0.2">
      <c r="A195" s="78" t="s">
        <v>343</v>
      </c>
      <c r="B195" s="22">
        <v>24624</v>
      </c>
      <c r="C195" s="22"/>
      <c r="D195" s="22"/>
      <c r="E195" s="22">
        <v>24139</v>
      </c>
      <c r="F195" s="78" t="s">
        <v>327</v>
      </c>
      <c r="G195" s="78">
        <v>0.60518890000000003</v>
      </c>
      <c r="AE195" s="78">
        <v>5.5554539999999999E-2</v>
      </c>
      <c r="AG195" s="78">
        <v>5.6939449999999997E-3</v>
      </c>
      <c r="AQ195" s="78">
        <v>1.3697459999999999</v>
      </c>
      <c r="AZ195" s="78">
        <v>2.5709230000000001</v>
      </c>
      <c r="BB195" s="78">
        <v>3.8609119999999999</v>
      </c>
      <c r="BC195" s="78">
        <v>0.17342640000000001</v>
      </c>
    </row>
    <row r="196" spans="1:55" x14ac:dyDescent="0.2">
      <c r="A196" s="78" t="s">
        <v>344</v>
      </c>
      <c r="B196" s="22">
        <v>24654</v>
      </c>
      <c r="C196" s="22"/>
      <c r="D196" s="22"/>
      <c r="E196" s="22">
        <v>24167</v>
      </c>
      <c r="F196" s="78" t="s">
        <v>328</v>
      </c>
      <c r="G196" s="78">
        <v>0.61079249999999996</v>
      </c>
      <c r="AE196" s="78">
        <v>5.5975049999999998E-2</v>
      </c>
      <c r="AG196" s="78">
        <v>5.7079110000000004E-3</v>
      </c>
      <c r="AQ196" s="78">
        <v>1.3751089999999999</v>
      </c>
      <c r="AZ196" s="78">
        <v>2.5913889999999999</v>
      </c>
      <c r="BB196" s="78">
        <v>3.8825189999999998</v>
      </c>
      <c r="BC196" s="78">
        <v>0.1738461</v>
      </c>
    </row>
    <row r="197" spans="1:55" x14ac:dyDescent="0.2">
      <c r="A197" s="78" t="s">
        <v>345</v>
      </c>
      <c r="B197" s="22">
        <v>24685</v>
      </c>
      <c r="C197" s="22"/>
      <c r="D197" s="22"/>
      <c r="E197" s="22">
        <v>24198</v>
      </c>
      <c r="F197" s="78" t="s">
        <v>329</v>
      </c>
      <c r="G197" s="78">
        <v>0.61079249999999996</v>
      </c>
      <c r="AE197" s="78">
        <v>5.6607030000000003E-2</v>
      </c>
      <c r="AG197" s="78">
        <v>5.7344329999999997E-3</v>
      </c>
      <c r="AQ197" s="78">
        <v>1.378681</v>
      </c>
      <c r="AZ197" s="78">
        <v>2.6111789999999999</v>
      </c>
      <c r="BB197" s="78">
        <v>3.8999700000000002</v>
      </c>
      <c r="BC197" s="78">
        <v>0.17505270000000001</v>
      </c>
    </row>
    <row r="198" spans="1:55" x14ac:dyDescent="0.2">
      <c r="A198" s="78" t="s">
        <v>346</v>
      </c>
      <c r="B198" s="22">
        <v>24716</v>
      </c>
      <c r="C198" s="22"/>
      <c r="D198" s="22"/>
      <c r="E198" s="22">
        <v>24228</v>
      </c>
      <c r="F198" s="78" t="s">
        <v>330</v>
      </c>
      <c r="G198" s="78">
        <v>0.61359439999999998</v>
      </c>
      <c r="AE198" s="78">
        <v>5.7265459999999997E-2</v>
      </c>
      <c r="AG198" s="78">
        <v>5.7692999999999998E-3</v>
      </c>
      <c r="AQ198" s="78">
        <v>1.389405</v>
      </c>
      <c r="AZ198" s="78">
        <v>2.6321379999999999</v>
      </c>
      <c r="BB198" s="78">
        <v>3.9066179999999999</v>
      </c>
      <c r="BC198" s="78">
        <v>0.1777109</v>
      </c>
    </row>
    <row r="199" spans="1:55" x14ac:dyDescent="0.2">
      <c r="A199" s="78" t="s">
        <v>347</v>
      </c>
      <c r="B199" s="22">
        <v>24746</v>
      </c>
      <c r="C199" s="22"/>
      <c r="D199" s="22"/>
      <c r="E199" s="22">
        <v>24259</v>
      </c>
      <c r="F199" s="78" t="s">
        <v>331</v>
      </c>
      <c r="G199" s="78">
        <v>0.61919800000000003</v>
      </c>
      <c r="AE199" s="78">
        <v>5.7709469999999999E-2</v>
      </c>
      <c r="AG199" s="78">
        <v>5.8288749999999999E-3</v>
      </c>
      <c r="AQ199" s="78">
        <v>1.399194</v>
      </c>
      <c r="AZ199" s="78">
        <v>2.6635270000000002</v>
      </c>
      <c r="BB199" s="78">
        <v>3.9157600000000001</v>
      </c>
      <c r="BC199" s="78">
        <v>0.18026410000000001</v>
      </c>
    </row>
    <row r="200" spans="1:55" x14ac:dyDescent="0.2">
      <c r="A200" s="78" t="s">
        <v>348</v>
      </c>
      <c r="B200" s="22">
        <v>24777</v>
      </c>
      <c r="C200" s="22"/>
      <c r="D200" s="22"/>
      <c r="E200" s="22">
        <v>24289</v>
      </c>
      <c r="F200" s="78" t="s">
        <v>332</v>
      </c>
      <c r="G200" s="78">
        <v>0.62199970000000004</v>
      </c>
      <c r="AE200" s="78">
        <v>5.8272549999999999E-2</v>
      </c>
      <c r="AG200" s="78">
        <v>5.8857040000000003E-3</v>
      </c>
      <c r="AQ200" s="78">
        <v>1.406604</v>
      </c>
      <c r="AZ200" s="78">
        <v>2.6875849999999999</v>
      </c>
      <c r="BB200" s="78">
        <v>3.9132669999999998</v>
      </c>
      <c r="BC200" s="78">
        <v>0.18307960000000001</v>
      </c>
    </row>
    <row r="201" spans="1:55" x14ac:dyDescent="0.2">
      <c r="A201" s="78" t="s">
        <v>349</v>
      </c>
      <c r="B201" s="22">
        <v>24807</v>
      </c>
      <c r="C201" s="22"/>
      <c r="D201" s="22"/>
      <c r="E201" s="22">
        <v>24320</v>
      </c>
      <c r="F201" s="78" t="s">
        <v>333</v>
      </c>
      <c r="G201" s="78">
        <v>0.62480150000000001</v>
      </c>
      <c r="AE201" s="78">
        <v>5.8820419999999998E-2</v>
      </c>
      <c r="AG201" s="78">
        <v>5.9087990000000002E-3</v>
      </c>
      <c r="AQ201" s="78">
        <v>1.4220219999999999</v>
      </c>
      <c r="AZ201" s="78">
        <v>2.6994669999999998</v>
      </c>
      <c r="BB201" s="78">
        <v>3.9273940000000001</v>
      </c>
      <c r="BC201" s="78">
        <v>0.18444369999999999</v>
      </c>
    </row>
    <row r="202" spans="1:55" x14ac:dyDescent="0.2">
      <c r="A202" s="78" t="s">
        <v>350</v>
      </c>
      <c r="B202" s="22">
        <v>24838</v>
      </c>
      <c r="C202" s="22"/>
      <c r="D202" s="22"/>
      <c r="E202" s="22">
        <v>24351</v>
      </c>
      <c r="F202" s="78" t="s">
        <v>334</v>
      </c>
      <c r="G202" s="78">
        <v>0.63040510000000005</v>
      </c>
      <c r="AE202" s="78">
        <v>5.9045769999999997E-2</v>
      </c>
      <c r="AG202" s="78">
        <v>5.9730130000000001E-3</v>
      </c>
      <c r="AQ202" s="78">
        <v>1.4357120000000001</v>
      </c>
      <c r="AZ202" s="78">
        <v>2.7168700000000001</v>
      </c>
      <c r="BB202" s="78">
        <v>3.9506619999999999</v>
      </c>
      <c r="BC202" s="78">
        <v>0.1855279</v>
      </c>
    </row>
    <row r="203" spans="1:55" x14ac:dyDescent="0.2">
      <c r="A203" s="78" t="s">
        <v>351</v>
      </c>
      <c r="B203" s="22">
        <v>24869</v>
      </c>
      <c r="C203" s="22"/>
      <c r="D203" s="22"/>
      <c r="E203" s="22">
        <v>24381</v>
      </c>
      <c r="F203" s="78" t="s">
        <v>335</v>
      </c>
      <c r="G203" s="78">
        <v>0.63600869999999998</v>
      </c>
      <c r="AE203" s="78">
        <v>5.9409820000000002E-2</v>
      </c>
      <c r="AG203" s="78">
        <v>6.0679990000000001E-3</v>
      </c>
      <c r="AQ203" s="78">
        <v>1.441357</v>
      </c>
      <c r="AZ203" s="78">
        <v>2.7377899999999999</v>
      </c>
      <c r="BB203" s="78">
        <v>3.9531559999999999</v>
      </c>
      <c r="BC203" s="78">
        <v>0.1870144</v>
      </c>
    </row>
    <row r="204" spans="1:55" x14ac:dyDescent="0.2">
      <c r="A204" s="78" t="s">
        <v>352</v>
      </c>
      <c r="B204" s="22">
        <v>24898</v>
      </c>
      <c r="C204" s="22"/>
      <c r="D204" s="22"/>
      <c r="E204" s="22">
        <v>24412</v>
      </c>
      <c r="F204" s="78" t="s">
        <v>336</v>
      </c>
      <c r="G204" s="78">
        <v>0.64161239999999997</v>
      </c>
      <c r="AE204" s="78">
        <v>6.0074820000000001E-2</v>
      </c>
      <c r="AG204" s="78">
        <v>6.1337309999999999E-3</v>
      </c>
      <c r="AQ204" s="78">
        <v>1.4496610000000001</v>
      </c>
      <c r="AZ204" s="78">
        <v>2.7580209999999998</v>
      </c>
      <c r="BB204" s="78">
        <v>3.9664519999999999</v>
      </c>
      <c r="BC204" s="78">
        <v>0.18724170000000001</v>
      </c>
    </row>
    <row r="205" spans="1:55" x14ac:dyDescent="0.2">
      <c r="A205" s="78" t="s">
        <v>353</v>
      </c>
      <c r="B205" s="22">
        <v>24929</v>
      </c>
      <c r="C205" s="22"/>
      <c r="D205" s="22"/>
      <c r="E205" s="22">
        <v>24442</v>
      </c>
      <c r="F205" s="78" t="s">
        <v>337</v>
      </c>
      <c r="G205" s="78">
        <v>0.64441409999999999</v>
      </c>
      <c r="AE205" s="78">
        <v>6.0671370000000002E-2</v>
      </c>
      <c r="AG205" s="78">
        <v>6.1991599999999996E-3</v>
      </c>
      <c r="AQ205" s="78">
        <v>1.461916</v>
      </c>
      <c r="AZ205" s="78">
        <v>2.7735080000000001</v>
      </c>
      <c r="BB205" s="78">
        <v>3.990551</v>
      </c>
      <c r="BC205" s="78">
        <v>0.18801119999999999</v>
      </c>
    </row>
    <row r="206" spans="1:55" x14ac:dyDescent="0.2">
      <c r="A206" s="78" t="s">
        <v>354</v>
      </c>
      <c r="B206" s="22">
        <v>24959</v>
      </c>
      <c r="C206" s="22"/>
      <c r="D206" s="22"/>
      <c r="E206" s="22">
        <v>24473</v>
      </c>
      <c r="F206" s="78" t="s">
        <v>338</v>
      </c>
      <c r="G206" s="78">
        <v>0.64721600000000001</v>
      </c>
      <c r="AE206" s="78">
        <v>6.1100000000000002E-2</v>
      </c>
      <c r="AG206" s="78">
        <v>6.2533409999999999E-3</v>
      </c>
      <c r="AQ206" s="78">
        <v>1.46905</v>
      </c>
      <c r="AZ206" s="78">
        <v>2.7978890000000001</v>
      </c>
      <c r="BB206" s="78">
        <v>4.0021849999999999</v>
      </c>
      <c r="BC206" s="78">
        <v>0.18951509999999999</v>
      </c>
    </row>
    <row r="207" spans="1:55" x14ac:dyDescent="0.2">
      <c r="A207" s="78" t="s">
        <v>355</v>
      </c>
      <c r="B207" s="22">
        <v>24990</v>
      </c>
      <c r="C207" s="22"/>
      <c r="D207" s="22"/>
      <c r="E207" s="22">
        <v>24504</v>
      </c>
      <c r="F207" s="78" t="s">
        <v>339</v>
      </c>
      <c r="G207" s="78">
        <v>0.65281960000000006</v>
      </c>
      <c r="AE207" s="78">
        <v>6.1537599999999998E-2</v>
      </c>
      <c r="AG207" s="78">
        <v>6.2595280000000003E-3</v>
      </c>
      <c r="AQ207" s="78">
        <v>1.4823660000000001</v>
      </c>
      <c r="AZ207" s="78">
        <v>2.8290519999999999</v>
      </c>
      <c r="BB207" s="78">
        <v>4.0312710000000003</v>
      </c>
      <c r="BC207" s="78">
        <v>0.1901447</v>
      </c>
    </row>
    <row r="208" spans="1:55" x14ac:dyDescent="0.2">
      <c r="A208" s="78" t="s">
        <v>356</v>
      </c>
      <c r="B208" s="22">
        <v>25020</v>
      </c>
      <c r="C208" s="22"/>
      <c r="D208" s="22"/>
      <c r="E208" s="22">
        <v>24532</v>
      </c>
      <c r="F208" s="78" t="s">
        <v>340</v>
      </c>
      <c r="G208" s="78">
        <v>0.65842310000000004</v>
      </c>
      <c r="AE208" s="78">
        <v>6.211763E-2</v>
      </c>
      <c r="AG208" s="78">
        <v>6.2966580000000001E-3</v>
      </c>
      <c r="AQ208" s="78">
        <v>1.4960880000000001</v>
      </c>
      <c r="AZ208" s="78">
        <v>2.8521899999999998</v>
      </c>
      <c r="BB208" s="78">
        <v>4.0694980000000003</v>
      </c>
      <c r="BC208" s="78">
        <v>0.1908792</v>
      </c>
    </row>
    <row r="209" spans="1:55" x14ac:dyDescent="0.2">
      <c r="A209" s="78" t="s">
        <v>357</v>
      </c>
      <c r="B209" s="22">
        <v>25051</v>
      </c>
      <c r="C209" s="22"/>
      <c r="D209" s="22"/>
      <c r="E209" s="22">
        <v>24563</v>
      </c>
      <c r="F209" s="78" t="s">
        <v>341</v>
      </c>
      <c r="G209" s="78">
        <v>0.65842310000000004</v>
      </c>
      <c r="AE209" s="78">
        <v>6.2308639999999998E-2</v>
      </c>
      <c r="AG209" s="78">
        <v>6.342505E-3</v>
      </c>
      <c r="AQ209" s="78">
        <v>1.50095</v>
      </c>
      <c r="AZ209" s="78">
        <v>2.8714719999999998</v>
      </c>
      <c r="BB209" s="78">
        <v>4.0894430000000002</v>
      </c>
      <c r="BC209" s="78">
        <v>0.1920684</v>
      </c>
    </row>
    <row r="210" spans="1:55" x14ac:dyDescent="0.2">
      <c r="A210" s="78" t="s">
        <v>358</v>
      </c>
      <c r="B210" s="22">
        <v>25082</v>
      </c>
      <c r="C210" s="22"/>
      <c r="D210" s="22"/>
      <c r="E210" s="22">
        <v>24593</v>
      </c>
      <c r="F210" s="78" t="s">
        <v>342</v>
      </c>
      <c r="G210" s="78">
        <v>0.66122499999999995</v>
      </c>
      <c r="AE210" s="78">
        <v>6.248513E-2</v>
      </c>
      <c r="AG210" s="78">
        <v>6.3249700000000001E-3</v>
      </c>
      <c r="AQ210" s="78">
        <v>1.5105660000000001</v>
      </c>
      <c r="AZ210" s="78">
        <v>2.8992460000000002</v>
      </c>
      <c r="BB210" s="78">
        <v>4.1318239999999999</v>
      </c>
      <c r="BC210" s="78">
        <v>0.19271540000000001</v>
      </c>
    </row>
    <row r="211" spans="1:55" x14ac:dyDescent="0.2">
      <c r="A211" s="78" t="s">
        <v>359</v>
      </c>
      <c r="B211" s="22">
        <v>25112</v>
      </c>
      <c r="C211" s="22"/>
      <c r="D211" s="22"/>
      <c r="E211" s="22">
        <v>24624</v>
      </c>
      <c r="F211" s="78" t="s">
        <v>343</v>
      </c>
      <c r="G211" s="78">
        <v>0.66963030000000001</v>
      </c>
      <c r="AE211" s="78">
        <v>6.2844349999999993E-2</v>
      </c>
      <c r="AG211" s="78">
        <v>6.3359669999999996E-3</v>
      </c>
      <c r="AQ211" s="78">
        <v>1.526351</v>
      </c>
      <c r="AZ211" s="78">
        <v>2.9327200000000002</v>
      </c>
      <c r="BB211" s="78">
        <v>4.1717129999999996</v>
      </c>
      <c r="BC211" s="78">
        <v>0.19420190000000001</v>
      </c>
    </row>
    <row r="212" spans="1:55" x14ac:dyDescent="0.2">
      <c r="A212" s="78" t="s">
        <v>360</v>
      </c>
      <c r="B212" s="22">
        <v>25143</v>
      </c>
      <c r="C212" s="22"/>
      <c r="D212" s="22"/>
      <c r="E212" s="22">
        <v>24654</v>
      </c>
      <c r="F212" s="78" t="s">
        <v>344</v>
      </c>
      <c r="G212" s="78">
        <v>0.675234</v>
      </c>
      <c r="AE212" s="78">
        <v>6.3089909999999999E-2</v>
      </c>
      <c r="AG212" s="78">
        <v>6.3627420000000002E-3</v>
      </c>
      <c r="AQ212" s="78">
        <v>1.5364150000000001</v>
      </c>
      <c r="AZ212" s="78">
        <v>2.9619119999999999</v>
      </c>
      <c r="BB212" s="78">
        <v>4.2074470000000002</v>
      </c>
      <c r="BC212" s="78">
        <v>0.1954785</v>
      </c>
    </row>
    <row r="213" spans="1:55" x14ac:dyDescent="0.2">
      <c r="A213" s="78" t="s">
        <v>361</v>
      </c>
      <c r="B213" s="22">
        <v>25173</v>
      </c>
      <c r="C213" s="22"/>
      <c r="D213" s="22"/>
      <c r="E213" s="22">
        <v>24685</v>
      </c>
      <c r="F213" s="78" t="s">
        <v>345</v>
      </c>
      <c r="G213" s="78">
        <v>0.68083760000000004</v>
      </c>
      <c r="AE213" s="78">
        <v>6.3548179999999996E-2</v>
      </c>
      <c r="AG213" s="78">
        <v>6.3840779999999996E-3</v>
      </c>
      <c r="AQ213" s="78">
        <v>1.5466489999999999</v>
      </c>
      <c r="AZ213" s="78">
        <v>2.9933040000000002</v>
      </c>
      <c r="BB213" s="78">
        <v>4.2448430000000004</v>
      </c>
      <c r="BC213" s="78">
        <v>0.19617799999999999</v>
      </c>
    </row>
    <row r="214" spans="1:55" x14ac:dyDescent="0.2">
      <c r="A214" s="78" t="s">
        <v>362</v>
      </c>
      <c r="B214" s="22">
        <v>25204</v>
      </c>
      <c r="C214" s="22"/>
      <c r="D214" s="22"/>
      <c r="E214" s="22">
        <v>24716</v>
      </c>
      <c r="F214" s="78" t="s">
        <v>346</v>
      </c>
      <c r="G214" s="78">
        <v>0.68644110000000003</v>
      </c>
      <c r="AE214" s="78">
        <v>6.4231800000000006E-2</v>
      </c>
      <c r="AG214" s="78">
        <v>6.4270680000000002E-3</v>
      </c>
      <c r="AQ214" s="78">
        <v>1.56409</v>
      </c>
      <c r="AZ214" s="78">
        <v>3.0268250000000001</v>
      </c>
      <c r="BB214" s="78">
        <v>4.277253</v>
      </c>
      <c r="BC214" s="78">
        <v>0.19647529999999999</v>
      </c>
    </row>
    <row r="215" spans="1:55" x14ac:dyDescent="0.2">
      <c r="A215" s="78" t="s">
        <v>363</v>
      </c>
      <c r="B215" s="22">
        <v>25235</v>
      </c>
      <c r="C215" s="22"/>
      <c r="D215" s="22"/>
      <c r="E215" s="22">
        <v>24746</v>
      </c>
      <c r="F215" s="78" t="s">
        <v>347</v>
      </c>
      <c r="G215" s="78">
        <v>0.68924300000000005</v>
      </c>
      <c r="AE215" s="78">
        <v>6.4898079999999997E-2</v>
      </c>
      <c r="AG215" s="78">
        <v>6.4493110000000001E-3</v>
      </c>
      <c r="AQ215" s="78">
        <v>1.578578</v>
      </c>
      <c r="AZ215" s="78">
        <v>3.063987</v>
      </c>
      <c r="BB215" s="78">
        <v>4.3063380000000002</v>
      </c>
      <c r="BC215" s="78">
        <v>0.19672010000000001</v>
      </c>
    </row>
    <row r="216" spans="1:55" x14ac:dyDescent="0.2">
      <c r="A216" s="78" t="s">
        <v>364</v>
      </c>
      <c r="B216" s="22">
        <v>25263</v>
      </c>
      <c r="C216" s="22"/>
      <c r="D216" s="22"/>
      <c r="E216" s="22">
        <v>24777</v>
      </c>
      <c r="F216" s="78" t="s">
        <v>348</v>
      </c>
      <c r="G216" s="78">
        <v>0.69204469999999996</v>
      </c>
      <c r="AE216" s="78">
        <v>6.5454789999999999E-2</v>
      </c>
      <c r="AG216" s="78">
        <v>6.46943E-3</v>
      </c>
      <c r="AQ216" s="78">
        <v>1.5956760000000001</v>
      </c>
      <c r="AZ216" s="78">
        <v>3.0950660000000001</v>
      </c>
      <c r="BB216" s="78">
        <v>4.3312689999999998</v>
      </c>
      <c r="BC216" s="78">
        <v>0.19867870000000001</v>
      </c>
    </row>
    <row r="217" spans="1:55" x14ac:dyDescent="0.2">
      <c r="A217" s="78" t="s">
        <v>365</v>
      </c>
      <c r="B217" s="22">
        <v>25294</v>
      </c>
      <c r="C217" s="22"/>
      <c r="D217" s="22"/>
      <c r="E217" s="22">
        <v>24807</v>
      </c>
      <c r="F217" s="78" t="s">
        <v>349</v>
      </c>
      <c r="G217" s="78">
        <v>0.6976483</v>
      </c>
      <c r="AE217" s="78">
        <v>6.6188300000000005E-2</v>
      </c>
      <c r="AG217" s="78">
        <v>6.509473E-3</v>
      </c>
      <c r="AQ217" s="78">
        <v>1.6013470000000001</v>
      </c>
      <c r="AZ217" s="78">
        <v>3.1202179999999999</v>
      </c>
      <c r="BB217" s="78">
        <v>4.361186</v>
      </c>
      <c r="BC217" s="78">
        <v>0.20135439999999999</v>
      </c>
    </row>
    <row r="218" spans="1:55" x14ac:dyDescent="0.2">
      <c r="A218" s="78" t="s">
        <v>366</v>
      </c>
      <c r="B218" s="22">
        <v>25324</v>
      </c>
      <c r="C218" s="22"/>
      <c r="D218" s="22"/>
      <c r="E218" s="22">
        <v>24838</v>
      </c>
      <c r="F218" s="78" t="s">
        <v>350</v>
      </c>
      <c r="G218" s="78">
        <v>0.70325199999999999</v>
      </c>
      <c r="AE218" s="78">
        <v>6.681231E-2</v>
      </c>
      <c r="AG218" s="78">
        <v>6.5416830000000004E-3</v>
      </c>
      <c r="AQ218" s="78">
        <v>1.6014839999999999</v>
      </c>
      <c r="AZ218" s="78">
        <v>3.1422029999999999</v>
      </c>
      <c r="BB218" s="78">
        <v>4.3827920000000002</v>
      </c>
      <c r="BC218" s="78">
        <v>0.2036278</v>
      </c>
    </row>
    <row r="219" spans="1:55" x14ac:dyDescent="0.2">
      <c r="A219" s="78" t="s">
        <v>367</v>
      </c>
      <c r="B219" s="22">
        <v>25355</v>
      </c>
      <c r="C219" s="22"/>
      <c r="D219" s="22"/>
      <c r="E219" s="22">
        <v>24869</v>
      </c>
      <c r="F219" s="78" t="s">
        <v>351</v>
      </c>
      <c r="G219" s="78">
        <v>0.70605370000000001</v>
      </c>
      <c r="AE219" s="78">
        <v>6.7213560000000006E-2</v>
      </c>
      <c r="AG219" s="78">
        <v>6.5809620000000001E-3</v>
      </c>
      <c r="AQ219" s="78">
        <v>1.607993</v>
      </c>
      <c r="AZ219" s="78">
        <v>3.1644320000000001</v>
      </c>
      <c r="BB219" s="78">
        <v>4.4077219999999997</v>
      </c>
      <c r="BC219" s="78">
        <v>0.2049743</v>
      </c>
    </row>
    <row r="220" spans="1:55" x14ac:dyDescent="0.2">
      <c r="A220" s="78" t="s">
        <v>368</v>
      </c>
      <c r="B220" s="22">
        <v>25385</v>
      </c>
      <c r="C220" s="22"/>
      <c r="D220" s="22"/>
      <c r="E220" s="22">
        <v>24898</v>
      </c>
      <c r="F220" s="78" t="s">
        <v>352</v>
      </c>
      <c r="G220" s="78">
        <v>0.70885560000000003</v>
      </c>
      <c r="AE220" s="78">
        <v>6.7867029999999995E-2</v>
      </c>
      <c r="AG220" s="78">
        <v>6.6112740000000003E-3</v>
      </c>
      <c r="AQ220" s="78">
        <v>1.61734</v>
      </c>
      <c r="AZ220" s="78">
        <v>3.19469</v>
      </c>
      <c r="BB220" s="78">
        <v>4.4309909999999997</v>
      </c>
      <c r="BC220" s="78">
        <v>0.2060061</v>
      </c>
    </row>
    <row r="221" spans="1:55" x14ac:dyDescent="0.2">
      <c r="A221" s="78" t="s">
        <v>369</v>
      </c>
      <c r="B221" s="22">
        <v>25416</v>
      </c>
      <c r="C221" s="22"/>
      <c r="D221" s="22"/>
      <c r="E221" s="22">
        <v>24929</v>
      </c>
      <c r="F221" s="78" t="s">
        <v>353</v>
      </c>
      <c r="G221" s="78">
        <v>0.71165730000000005</v>
      </c>
      <c r="AE221" s="78">
        <v>6.8555260000000007E-2</v>
      </c>
      <c r="AG221" s="78">
        <v>6.6408200000000004E-3</v>
      </c>
      <c r="AQ221" s="78">
        <v>1.6364019999999999</v>
      </c>
      <c r="AZ221" s="78">
        <v>3.231398</v>
      </c>
      <c r="BB221" s="78">
        <v>4.4517660000000001</v>
      </c>
      <c r="BC221" s="78">
        <v>0.2080697</v>
      </c>
    </row>
    <row r="222" spans="1:55" x14ac:dyDescent="0.2">
      <c r="A222" s="78" t="s">
        <v>370</v>
      </c>
      <c r="B222" s="22">
        <v>25447</v>
      </c>
      <c r="C222" s="22"/>
      <c r="D222" s="22"/>
      <c r="E222" s="22">
        <v>24959</v>
      </c>
      <c r="F222" s="78" t="s">
        <v>354</v>
      </c>
      <c r="G222" s="78">
        <v>0.71445919999999996</v>
      </c>
      <c r="AE222" s="78">
        <v>6.8949319999999995E-2</v>
      </c>
      <c r="AG222" s="78">
        <v>6.7502830000000002E-3</v>
      </c>
      <c r="AQ222" s="78">
        <v>1.653073</v>
      </c>
      <c r="AZ222" s="78">
        <v>3.2656200000000002</v>
      </c>
      <c r="BB222" s="78">
        <v>4.4783590000000002</v>
      </c>
      <c r="BC222" s="78">
        <v>0.2107803</v>
      </c>
    </row>
    <row r="223" spans="1:55" x14ac:dyDescent="0.2">
      <c r="A223" s="78" t="s">
        <v>371</v>
      </c>
      <c r="B223" s="22">
        <v>25477</v>
      </c>
      <c r="C223" s="22"/>
      <c r="D223" s="22"/>
      <c r="E223" s="22">
        <v>24990</v>
      </c>
      <c r="F223" s="78" t="s">
        <v>355</v>
      </c>
      <c r="G223" s="78">
        <v>0.72286459999999997</v>
      </c>
      <c r="AE223" s="78">
        <v>6.9449739999999996E-2</v>
      </c>
      <c r="AG223" s="78">
        <v>6.808873E-3</v>
      </c>
      <c r="AQ223" s="78">
        <v>1.6591309999999999</v>
      </c>
      <c r="AZ223" s="78">
        <v>3.2960970000000001</v>
      </c>
      <c r="BB223" s="78">
        <v>4.5091070000000002</v>
      </c>
      <c r="BC223" s="78">
        <v>0.2132985</v>
      </c>
    </row>
    <row r="224" spans="1:55" x14ac:dyDescent="0.2">
      <c r="A224" s="78" t="s">
        <v>372</v>
      </c>
      <c r="B224" s="22">
        <v>25508</v>
      </c>
      <c r="C224" s="22"/>
      <c r="D224" s="22"/>
      <c r="E224" s="22">
        <v>25020</v>
      </c>
      <c r="F224" s="78" t="s">
        <v>356</v>
      </c>
      <c r="G224" s="78">
        <v>0.73126999999999998</v>
      </c>
      <c r="AE224" s="78">
        <v>7.0112229999999998E-2</v>
      </c>
      <c r="AG224" s="78">
        <v>6.814596E-3</v>
      </c>
      <c r="AQ224" s="78">
        <v>1.6742509999999999</v>
      </c>
      <c r="AZ224" s="78">
        <v>3.3292549999999999</v>
      </c>
      <c r="BB224" s="78">
        <v>4.5340379999999998</v>
      </c>
      <c r="BC224" s="78">
        <v>0.2157818</v>
      </c>
    </row>
    <row r="225" spans="1:55" x14ac:dyDescent="0.2">
      <c r="A225" s="78" t="s">
        <v>373</v>
      </c>
      <c r="B225" s="22">
        <v>25538</v>
      </c>
      <c r="C225" s="22"/>
      <c r="D225" s="22"/>
      <c r="E225" s="22">
        <v>25051</v>
      </c>
      <c r="F225" s="78" t="s">
        <v>357</v>
      </c>
      <c r="G225" s="78">
        <v>0.73407180000000005</v>
      </c>
      <c r="AE225" s="78">
        <v>7.064463E-2</v>
      </c>
      <c r="AG225" s="78">
        <v>6.8631969999999997E-3</v>
      </c>
      <c r="AQ225" s="78">
        <v>1.6950890000000001</v>
      </c>
      <c r="AZ225" s="78">
        <v>3.3619729999999999</v>
      </c>
      <c r="BB225" s="78">
        <v>4.5656160000000003</v>
      </c>
      <c r="BC225" s="78">
        <v>0.21838750000000001</v>
      </c>
    </row>
    <row r="226" spans="1:55" x14ac:dyDescent="0.2">
      <c r="A226" s="78" t="s">
        <v>374</v>
      </c>
      <c r="B226" s="22">
        <v>25569</v>
      </c>
      <c r="C226" s="22"/>
      <c r="D226" s="22"/>
      <c r="E226" s="22">
        <v>25082</v>
      </c>
      <c r="F226" s="78" t="s">
        <v>358</v>
      </c>
      <c r="G226" s="78">
        <v>0.73687360000000002</v>
      </c>
      <c r="AE226" s="78">
        <v>7.1233050000000006E-2</v>
      </c>
      <c r="AG226" s="78">
        <v>6.8667700000000003E-3</v>
      </c>
      <c r="AQ226" s="78">
        <v>1.7068939999999999</v>
      </c>
      <c r="AZ226" s="78">
        <v>3.3983940000000001</v>
      </c>
      <c r="BB226" s="78">
        <v>4.6005190000000002</v>
      </c>
      <c r="BC226" s="78">
        <v>0.2206959</v>
      </c>
    </row>
    <row r="227" spans="1:55" x14ac:dyDescent="0.2">
      <c r="A227" s="78" t="s">
        <v>375</v>
      </c>
      <c r="B227" s="22">
        <v>25600</v>
      </c>
      <c r="C227" s="22"/>
      <c r="D227" s="22"/>
      <c r="E227" s="22">
        <v>25112</v>
      </c>
      <c r="F227" s="78" t="s">
        <v>359</v>
      </c>
      <c r="G227" s="78">
        <v>0.74247719999999995</v>
      </c>
      <c r="AE227" s="78">
        <v>7.1884069999999994E-2</v>
      </c>
      <c r="AG227" s="78">
        <v>6.8247860000000002E-3</v>
      </c>
      <c r="AQ227" s="78">
        <v>1.7269399999999999</v>
      </c>
      <c r="AZ227" s="78">
        <v>3.4311850000000002</v>
      </c>
      <c r="BB227" s="78">
        <v>4.6337590000000004</v>
      </c>
      <c r="BC227" s="78">
        <v>0.22295180000000001</v>
      </c>
    </row>
    <row r="228" spans="1:55" x14ac:dyDescent="0.2">
      <c r="A228" s="78" t="s">
        <v>376</v>
      </c>
      <c r="B228" s="22">
        <v>25628</v>
      </c>
      <c r="C228" s="22"/>
      <c r="D228" s="22"/>
      <c r="E228" s="22">
        <v>25143</v>
      </c>
      <c r="F228" s="78" t="s">
        <v>360</v>
      </c>
      <c r="G228" s="78">
        <v>0.74527900000000002</v>
      </c>
      <c r="AE228" s="78">
        <v>7.2277900000000006E-2</v>
      </c>
      <c r="AG228" s="78">
        <v>6.7985909999999997E-3</v>
      </c>
      <c r="AQ228" s="78">
        <v>1.747403</v>
      </c>
      <c r="AZ228" s="78">
        <v>3.4567860000000001</v>
      </c>
      <c r="BB228" s="78">
        <v>4.6736490000000002</v>
      </c>
      <c r="BC228" s="78">
        <v>0.2277959</v>
      </c>
    </row>
    <row r="229" spans="1:55" x14ac:dyDescent="0.2">
      <c r="A229" s="78" t="s">
        <v>377</v>
      </c>
      <c r="B229" s="22">
        <v>25659</v>
      </c>
      <c r="C229" s="22"/>
      <c r="D229" s="22"/>
      <c r="E229" s="22">
        <v>25173</v>
      </c>
      <c r="F229" s="78" t="s">
        <v>361</v>
      </c>
      <c r="G229" s="78">
        <v>0.74808079999999999</v>
      </c>
      <c r="AE229" s="78">
        <v>7.2690089999999999E-2</v>
      </c>
      <c r="AG229" s="78">
        <v>6.943772E-3</v>
      </c>
      <c r="AQ229" s="78">
        <v>1.7663219999999999</v>
      </c>
      <c r="AZ229" s="78">
        <v>3.488146</v>
      </c>
      <c r="BB229" s="78">
        <v>4.7102139999999997</v>
      </c>
      <c r="BC229" s="78">
        <v>0.22999939999999999</v>
      </c>
    </row>
    <row r="230" spans="1:55" x14ac:dyDescent="0.2">
      <c r="A230" s="78" t="s">
        <v>378</v>
      </c>
      <c r="B230" s="22">
        <v>25689</v>
      </c>
      <c r="C230" s="22"/>
      <c r="D230" s="22"/>
      <c r="E230" s="22">
        <v>25204</v>
      </c>
      <c r="F230" s="78" t="s">
        <v>362</v>
      </c>
      <c r="G230" s="78">
        <v>0.7564862</v>
      </c>
      <c r="AE230" s="78">
        <v>7.3497110000000004E-2</v>
      </c>
      <c r="AG230" s="78">
        <v>7.1236549999999996E-3</v>
      </c>
      <c r="AQ230" s="78">
        <v>1.7895460000000001</v>
      </c>
      <c r="AZ230" s="78">
        <v>3.5107979999999999</v>
      </c>
      <c r="BB230" s="78">
        <v>4.7309890000000001</v>
      </c>
      <c r="BC230" s="78">
        <v>0.2295972</v>
      </c>
    </row>
    <row r="231" spans="1:55" x14ac:dyDescent="0.2">
      <c r="A231" s="78" t="s">
        <v>379</v>
      </c>
      <c r="B231" s="22">
        <v>25720</v>
      </c>
      <c r="C231" s="22"/>
      <c r="D231" s="22"/>
      <c r="E231" s="22">
        <v>25235</v>
      </c>
      <c r="F231" s="78" t="s">
        <v>363</v>
      </c>
      <c r="G231" s="78">
        <v>0.7648916</v>
      </c>
      <c r="AE231" s="78">
        <v>7.44919E-2</v>
      </c>
      <c r="AG231" s="78">
        <v>7.2168909999999996E-3</v>
      </c>
      <c r="AQ231" s="78">
        <v>1.8094060000000001</v>
      </c>
      <c r="AZ231" s="78">
        <v>3.5283340000000001</v>
      </c>
      <c r="BB231" s="78">
        <v>4.7525950000000003</v>
      </c>
      <c r="BC231" s="78">
        <v>0.23250009999999999</v>
      </c>
    </row>
    <row r="232" spans="1:55" x14ac:dyDescent="0.2">
      <c r="A232" s="78" t="s">
        <v>380</v>
      </c>
      <c r="B232" s="22">
        <v>25750</v>
      </c>
      <c r="C232" s="22"/>
      <c r="D232" s="22"/>
      <c r="E232" s="22">
        <v>25263</v>
      </c>
      <c r="F232" s="78" t="s">
        <v>364</v>
      </c>
      <c r="G232" s="78">
        <v>0.77049520000000005</v>
      </c>
      <c r="AE232" s="78">
        <v>7.5527869999999997E-2</v>
      </c>
      <c r="AG232" s="78">
        <v>7.3518500000000001E-3</v>
      </c>
      <c r="AQ232" s="78">
        <v>1.82064</v>
      </c>
      <c r="AZ232" s="78">
        <v>3.557477</v>
      </c>
      <c r="BB232" s="78">
        <v>4.773371</v>
      </c>
      <c r="BC232" s="78">
        <v>0.23563039999999999</v>
      </c>
    </row>
    <row r="233" spans="1:55" x14ac:dyDescent="0.2">
      <c r="A233" s="78" t="s">
        <v>381</v>
      </c>
      <c r="B233" s="22">
        <v>25781</v>
      </c>
      <c r="C233" s="22"/>
      <c r="D233" s="22"/>
      <c r="E233" s="22">
        <v>25294</v>
      </c>
      <c r="F233" s="78" t="s">
        <v>365</v>
      </c>
      <c r="G233" s="78">
        <v>0.77609879999999998</v>
      </c>
      <c r="AE233" s="78">
        <v>7.6549900000000004E-2</v>
      </c>
      <c r="AG233" s="78">
        <v>7.501977E-3</v>
      </c>
      <c r="AQ233" s="78">
        <v>1.831628</v>
      </c>
      <c r="AZ233" s="78">
        <v>3.5805129999999998</v>
      </c>
      <c r="BB233" s="78">
        <v>4.7841740000000001</v>
      </c>
      <c r="BC233" s="78">
        <v>0.2371519</v>
      </c>
    </row>
    <row r="234" spans="1:55" x14ac:dyDescent="0.2">
      <c r="A234" s="78" t="s">
        <v>382</v>
      </c>
      <c r="B234" s="22">
        <v>25812</v>
      </c>
      <c r="C234" s="22"/>
      <c r="D234" s="22"/>
      <c r="E234" s="22">
        <v>25324</v>
      </c>
      <c r="F234" s="78" t="s">
        <v>366</v>
      </c>
      <c r="G234" s="78">
        <v>0.78170240000000002</v>
      </c>
      <c r="AE234" s="78">
        <v>7.749085E-2</v>
      </c>
      <c r="AG234" s="78">
        <v>7.6524160000000004E-3</v>
      </c>
      <c r="AQ234" s="78">
        <v>1.843027</v>
      </c>
      <c r="AZ234" s="78">
        <v>3.6020660000000002</v>
      </c>
      <c r="BB234" s="78">
        <v>4.7908220000000004</v>
      </c>
      <c r="BC234" s="78">
        <v>0.23860339999999999</v>
      </c>
    </row>
    <row r="235" spans="1:55" x14ac:dyDescent="0.2">
      <c r="A235" s="78" t="s">
        <v>383</v>
      </c>
      <c r="B235" s="22">
        <v>25842</v>
      </c>
      <c r="C235" s="22"/>
      <c r="D235" s="22"/>
      <c r="E235" s="22">
        <v>25355</v>
      </c>
      <c r="F235" s="78" t="s">
        <v>367</v>
      </c>
      <c r="G235" s="78">
        <v>0.79010780000000003</v>
      </c>
      <c r="AE235" s="78">
        <v>7.8546889999999994E-2</v>
      </c>
      <c r="AG235" s="78">
        <v>7.7600610000000004E-3</v>
      </c>
      <c r="AQ235" s="78">
        <v>1.8523149999999999</v>
      </c>
      <c r="AZ235" s="78">
        <v>3.6107990000000001</v>
      </c>
      <c r="BB235" s="78">
        <v>4.8074430000000001</v>
      </c>
      <c r="BC235" s="78">
        <v>0.23860339999999999</v>
      </c>
    </row>
    <row r="236" spans="1:55" x14ac:dyDescent="0.2">
      <c r="A236" s="78" t="s">
        <v>384</v>
      </c>
      <c r="B236" s="22">
        <v>25873</v>
      </c>
      <c r="C236" s="22"/>
      <c r="D236" s="22"/>
      <c r="E236" s="22">
        <v>25385</v>
      </c>
      <c r="F236" s="78" t="s">
        <v>368</v>
      </c>
      <c r="G236" s="78">
        <v>0.79851320000000003</v>
      </c>
      <c r="AE236" s="78">
        <v>7.951722E-2</v>
      </c>
      <c r="AG236" s="78">
        <v>7.8545569999999999E-3</v>
      </c>
      <c r="AQ236" s="78">
        <v>1.8651960000000001</v>
      </c>
      <c r="AZ236" s="78">
        <v>3.6254339999999998</v>
      </c>
      <c r="BB236" s="78">
        <v>4.815753</v>
      </c>
      <c r="BC236" s="78">
        <v>0.2374492</v>
      </c>
    </row>
    <row r="237" spans="1:55" x14ac:dyDescent="0.2">
      <c r="A237" s="78" t="s">
        <v>385</v>
      </c>
      <c r="B237" s="22">
        <v>25903</v>
      </c>
      <c r="C237" s="22"/>
      <c r="D237" s="22"/>
      <c r="E237" s="22">
        <v>25416</v>
      </c>
      <c r="F237" s="78" t="s">
        <v>369</v>
      </c>
      <c r="G237" s="78">
        <v>0.80411679999999996</v>
      </c>
      <c r="AE237" s="78">
        <v>8.0138239999999999E-2</v>
      </c>
      <c r="AG237" s="78">
        <v>7.9995190000000001E-3</v>
      </c>
      <c r="AQ237" s="78">
        <v>1.879116</v>
      </c>
      <c r="AZ237" s="78">
        <v>3.646855</v>
      </c>
      <c r="BB237" s="78">
        <v>4.8207389999999997</v>
      </c>
      <c r="BC237" s="78">
        <v>0.23876069999999999</v>
      </c>
    </row>
    <row r="238" spans="1:55" x14ac:dyDescent="0.2">
      <c r="A238" s="78" t="s">
        <v>386</v>
      </c>
      <c r="B238" s="22">
        <v>25934</v>
      </c>
      <c r="C238" s="22"/>
      <c r="D238" s="22"/>
      <c r="E238" s="22">
        <v>25447</v>
      </c>
      <c r="F238" s="78" t="s">
        <v>370</v>
      </c>
      <c r="G238" s="78">
        <v>0.80691860000000004</v>
      </c>
      <c r="AE238" s="78">
        <v>8.0421599999999996E-2</v>
      </c>
      <c r="AG238" s="78">
        <v>8.1456159999999996E-3</v>
      </c>
      <c r="AQ238" s="78">
        <v>1.909589</v>
      </c>
      <c r="AZ238" s="78">
        <v>3.658989</v>
      </c>
      <c r="BB238" s="78">
        <v>4.8373590000000002</v>
      </c>
      <c r="BC238" s="78">
        <v>0.24285290000000001</v>
      </c>
    </row>
    <row r="239" spans="1:55" x14ac:dyDescent="0.2">
      <c r="A239" s="78" t="s">
        <v>387</v>
      </c>
      <c r="B239" s="22">
        <v>25965</v>
      </c>
      <c r="C239" s="22"/>
      <c r="D239" s="22"/>
      <c r="E239" s="22">
        <v>25477</v>
      </c>
      <c r="F239" s="78" t="s">
        <v>371</v>
      </c>
      <c r="G239" s="78">
        <v>0.80972040000000001</v>
      </c>
      <c r="AE239" s="78">
        <v>8.0894309999999997E-2</v>
      </c>
      <c r="AG239" s="78">
        <v>8.2988179999999995E-3</v>
      </c>
      <c r="AQ239" s="78">
        <v>1.929632</v>
      </c>
      <c r="AZ239" s="78">
        <v>3.666191</v>
      </c>
      <c r="BB239" s="78">
        <v>4.8481629999999996</v>
      </c>
      <c r="BC239" s="78">
        <v>0.2474172</v>
      </c>
    </row>
    <row r="240" spans="1:55" x14ac:dyDescent="0.2">
      <c r="A240" s="78" t="s">
        <v>388</v>
      </c>
      <c r="B240" s="22">
        <v>25993</v>
      </c>
      <c r="C240" s="22"/>
      <c r="D240" s="22"/>
      <c r="E240" s="22">
        <v>25508</v>
      </c>
      <c r="F240" s="78" t="s">
        <v>372</v>
      </c>
      <c r="G240" s="78">
        <v>0.81532400000000005</v>
      </c>
      <c r="AE240" s="78">
        <v>8.1952040000000004E-2</v>
      </c>
      <c r="AG240" s="78">
        <v>8.4584480000000004E-3</v>
      </c>
      <c r="AQ240" s="78">
        <v>1.9315</v>
      </c>
      <c r="AZ240" s="78">
        <v>3.6675710000000001</v>
      </c>
      <c r="BB240" s="78">
        <v>4.8647830000000001</v>
      </c>
      <c r="BC240" s="78">
        <v>0.25059999999999999</v>
      </c>
    </row>
    <row r="241" spans="1:55" x14ac:dyDescent="0.2">
      <c r="A241" s="78" t="s">
        <v>389</v>
      </c>
      <c r="B241" s="22">
        <v>26024</v>
      </c>
      <c r="C241" s="22"/>
      <c r="D241" s="22"/>
      <c r="E241" s="22">
        <v>25538</v>
      </c>
      <c r="F241" s="78" t="s">
        <v>373</v>
      </c>
      <c r="G241" s="78">
        <v>0.82092759999999998</v>
      </c>
      <c r="AE241" s="78">
        <v>8.2703890000000002E-2</v>
      </c>
      <c r="AG241" s="78">
        <v>8.6217289999999999E-3</v>
      </c>
      <c r="AQ241" s="78">
        <v>1.9395659999999999</v>
      </c>
      <c r="AZ241" s="78">
        <v>3.6674799999999999</v>
      </c>
      <c r="BB241" s="78">
        <v>4.8855579999999996</v>
      </c>
      <c r="BC241" s="78">
        <v>0.2536254</v>
      </c>
    </row>
    <row r="242" spans="1:55" x14ac:dyDescent="0.2">
      <c r="A242" s="78" t="s">
        <v>390</v>
      </c>
      <c r="B242" s="22">
        <v>26054</v>
      </c>
      <c r="C242" s="22"/>
      <c r="D242" s="22"/>
      <c r="E242" s="22">
        <v>25569</v>
      </c>
      <c r="F242" s="78" t="s">
        <v>374</v>
      </c>
      <c r="G242" s="78">
        <v>0.82372939999999994</v>
      </c>
      <c r="J242" s="78">
        <v>1.9764569999999999</v>
      </c>
      <c r="S242" s="78">
        <v>2.9753229999999999</v>
      </c>
      <c r="AE242" s="78">
        <v>8.3488670000000001E-2</v>
      </c>
      <c r="AG242" s="78">
        <v>8.8052089999999996E-3</v>
      </c>
      <c r="AQ242" s="78">
        <v>1.9490989999999999</v>
      </c>
      <c r="AS242" s="78">
        <v>0.2638856</v>
      </c>
      <c r="AZ242" s="78">
        <v>3.6822330000000001</v>
      </c>
      <c r="BB242" s="78">
        <v>4.899686</v>
      </c>
      <c r="BC242" s="78">
        <v>0.2542025</v>
      </c>
    </row>
    <row r="243" spans="1:55" x14ac:dyDescent="0.2">
      <c r="A243" s="78" t="s">
        <v>391</v>
      </c>
      <c r="B243" s="22">
        <v>26085</v>
      </c>
      <c r="C243" s="22"/>
      <c r="D243" s="22"/>
      <c r="E243" s="22">
        <v>25600</v>
      </c>
      <c r="F243" s="78" t="s">
        <v>375</v>
      </c>
      <c r="G243" s="78">
        <v>0.82653120000000002</v>
      </c>
      <c r="J243" s="78">
        <v>1.9947569999999999</v>
      </c>
      <c r="S243" s="78">
        <v>3.0146359999999999</v>
      </c>
      <c r="AE243" s="78">
        <v>8.4471290000000004E-2</v>
      </c>
      <c r="AG243" s="78">
        <v>9.0056370000000004E-3</v>
      </c>
      <c r="AQ243" s="78">
        <v>1.9623699999999999</v>
      </c>
      <c r="AS243" s="78">
        <v>0.26982990000000001</v>
      </c>
      <c r="AZ243" s="78">
        <v>3.703036</v>
      </c>
      <c r="BB243" s="78">
        <v>4.8722620000000001</v>
      </c>
      <c r="BC243" s="78">
        <v>0.25306580000000001</v>
      </c>
    </row>
    <row r="244" spans="1:55" x14ac:dyDescent="0.2">
      <c r="A244" s="78" t="s">
        <v>392</v>
      </c>
      <c r="B244" s="22">
        <v>26115</v>
      </c>
      <c r="C244" s="22"/>
      <c r="D244" s="22"/>
      <c r="E244" s="22">
        <v>25628</v>
      </c>
      <c r="F244" s="78" t="s">
        <v>376</v>
      </c>
      <c r="G244" s="78">
        <v>0.83213479999999995</v>
      </c>
      <c r="J244" s="78">
        <v>2.0025629999999999</v>
      </c>
      <c r="R244" s="78">
        <v>3.3270219999999999</v>
      </c>
      <c r="S244" s="78">
        <v>3.0306690000000001</v>
      </c>
      <c r="AE244" s="78">
        <v>8.5177649999999994E-2</v>
      </c>
      <c r="AG244" s="78">
        <v>9.1760490000000004E-3</v>
      </c>
      <c r="AQ244" s="78">
        <v>1.988613</v>
      </c>
      <c r="AS244" s="78">
        <v>0.2721944</v>
      </c>
      <c r="AZ244" s="78">
        <v>3.7093060000000002</v>
      </c>
      <c r="BB244" s="78">
        <v>4.8805719999999999</v>
      </c>
      <c r="BC244" s="78">
        <v>0.25544410000000001</v>
      </c>
    </row>
    <row r="245" spans="1:55" x14ac:dyDescent="0.2">
      <c r="A245" s="78" t="s">
        <v>393</v>
      </c>
      <c r="B245" s="22">
        <v>26146</v>
      </c>
      <c r="C245" s="22"/>
      <c r="D245" s="22"/>
      <c r="E245" s="22">
        <v>25659</v>
      </c>
      <c r="F245" s="78" t="s">
        <v>377</v>
      </c>
      <c r="G245" s="78">
        <v>0.83493660000000003</v>
      </c>
      <c r="J245" s="78">
        <v>1.9944470000000001</v>
      </c>
      <c r="R245" s="78">
        <v>3.3493249999999999</v>
      </c>
      <c r="S245" s="78">
        <v>3.0481159999999998</v>
      </c>
      <c r="AE245" s="78">
        <v>8.7597460000000002E-2</v>
      </c>
      <c r="AG245" s="78">
        <v>9.3597349999999992E-3</v>
      </c>
      <c r="AQ245" s="78">
        <v>2.017001</v>
      </c>
      <c r="AS245" s="78">
        <v>0.27574199999999999</v>
      </c>
      <c r="AZ245" s="78">
        <v>3.7116289999999998</v>
      </c>
      <c r="BB245" s="78">
        <v>4.8897130000000004</v>
      </c>
      <c r="BC245" s="78">
        <v>0.25878430000000002</v>
      </c>
    </row>
    <row r="246" spans="1:55" x14ac:dyDescent="0.2">
      <c r="A246" s="78" t="s">
        <v>394</v>
      </c>
      <c r="B246" s="22">
        <v>26177</v>
      </c>
      <c r="C246" s="22"/>
      <c r="D246" s="22"/>
      <c r="E246" s="22">
        <v>25689</v>
      </c>
      <c r="F246" s="78" t="s">
        <v>378</v>
      </c>
      <c r="G246" s="78">
        <v>0.83773839999999999</v>
      </c>
      <c r="J246" s="78">
        <v>2.0205519999999999</v>
      </c>
      <c r="R246" s="78">
        <v>3.3411279999999999</v>
      </c>
      <c r="S246" s="78">
        <v>3.0726369999999998</v>
      </c>
      <c r="AE246" s="78">
        <v>9.0111650000000001E-2</v>
      </c>
      <c r="AG246" s="78">
        <v>9.6829359999999996E-3</v>
      </c>
      <c r="AQ246" s="78">
        <v>2.0436770000000002</v>
      </c>
      <c r="AS246" s="78">
        <v>0.27963690000000002</v>
      </c>
      <c r="AZ246" s="78">
        <v>3.7047430000000001</v>
      </c>
      <c r="BB246" s="78">
        <v>4.9154749999999998</v>
      </c>
      <c r="BC246" s="78">
        <v>0.26055050000000002</v>
      </c>
    </row>
    <row r="247" spans="1:55" x14ac:dyDescent="0.2">
      <c r="A247" s="78" t="s">
        <v>395</v>
      </c>
      <c r="B247" s="22">
        <v>26207</v>
      </c>
      <c r="C247" s="22"/>
      <c r="D247" s="22"/>
      <c r="E247" s="22">
        <v>25720</v>
      </c>
      <c r="F247" s="78" t="s">
        <v>379</v>
      </c>
      <c r="G247" s="78">
        <v>0.84054019999999996</v>
      </c>
      <c r="J247" s="78">
        <v>2.0346139999999999</v>
      </c>
      <c r="R247" s="78">
        <v>3.2915199999999998</v>
      </c>
      <c r="S247" s="78">
        <v>3.1080040000000002</v>
      </c>
      <c r="AE247" s="78">
        <v>9.0929549999999998E-2</v>
      </c>
      <c r="AG247" s="78">
        <v>9.8762940000000007E-3</v>
      </c>
      <c r="AQ247" s="78">
        <v>2.0727950000000002</v>
      </c>
      <c r="AS247" s="78">
        <v>0.28327069999999999</v>
      </c>
      <c r="AZ247" s="78">
        <v>3.7151709999999998</v>
      </c>
      <c r="BB247" s="78">
        <v>4.9462229999999998</v>
      </c>
      <c r="BC247" s="78">
        <v>0.26296380000000003</v>
      </c>
    </row>
    <row r="248" spans="1:55" x14ac:dyDescent="0.2">
      <c r="A248" s="78" t="s">
        <v>396</v>
      </c>
      <c r="B248" s="22">
        <v>26238</v>
      </c>
      <c r="C248" s="22"/>
      <c r="D248" s="22"/>
      <c r="E248" s="22">
        <v>25750</v>
      </c>
      <c r="F248" s="78" t="s">
        <v>380</v>
      </c>
      <c r="G248" s="78">
        <v>0.84334200000000004</v>
      </c>
      <c r="J248" s="78">
        <v>2.0380250000000002</v>
      </c>
      <c r="R248" s="78">
        <v>3.298657</v>
      </c>
      <c r="S248" s="78">
        <v>3.153273</v>
      </c>
      <c r="AE248" s="78">
        <v>9.1908809999999994E-2</v>
      </c>
      <c r="AG248" s="78">
        <v>9.9663549999999997E-3</v>
      </c>
      <c r="AQ248" s="78">
        <v>2.098274</v>
      </c>
      <c r="AS248" s="78">
        <v>0.29474600000000001</v>
      </c>
      <c r="AZ248" s="78">
        <v>3.7229700000000001</v>
      </c>
      <c r="BB248" s="78">
        <v>4.9786320000000002</v>
      </c>
      <c r="BC248" s="78">
        <v>0.26523720000000001</v>
      </c>
    </row>
    <row r="249" spans="1:55" x14ac:dyDescent="0.2">
      <c r="A249" s="78" t="s">
        <v>397</v>
      </c>
      <c r="B249" s="22">
        <v>26268</v>
      </c>
      <c r="C249" s="22"/>
      <c r="D249" s="22"/>
      <c r="E249" s="22">
        <v>25781</v>
      </c>
      <c r="F249" s="78" t="s">
        <v>381</v>
      </c>
      <c r="G249" s="78">
        <v>0.8461438</v>
      </c>
      <c r="J249" s="78">
        <v>2.0672329999999999</v>
      </c>
      <c r="R249" s="78">
        <v>3.3111630000000001</v>
      </c>
      <c r="S249" s="78">
        <v>3.1862810000000001</v>
      </c>
      <c r="AE249" s="78">
        <v>9.2982860000000001E-2</v>
      </c>
      <c r="AG249" s="78">
        <v>1.009725E-2</v>
      </c>
      <c r="AQ249" s="78">
        <v>2.1138819999999998</v>
      </c>
      <c r="AS249" s="78">
        <v>0.30698370000000003</v>
      </c>
      <c r="AZ249" s="78">
        <v>3.7343030000000002</v>
      </c>
      <c r="BB249" s="78">
        <v>5.0268319999999997</v>
      </c>
      <c r="BC249" s="78">
        <v>0.26626899999999998</v>
      </c>
    </row>
    <row r="250" spans="1:55" x14ac:dyDescent="0.2">
      <c r="A250" s="78" t="s">
        <v>398</v>
      </c>
      <c r="B250" s="22">
        <v>26299</v>
      </c>
      <c r="C250" s="22"/>
      <c r="D250" s="22"/>
      <c r="E250" s="22">
        <v>25812</v>
      </c>
      <c r="F250" s="78" t="s">
        <v>382</v>
      </c>
      <c r="G250" s="78">
        <v>0.84894559999999997</v>
      </c>
      <c r="J250" s="78">
        <v>2.0952000000000002</v>
      </c>
      <c r="R250" s="78">
        <v>3.2981180000000001</v>
      </c>
      <c r="S250" s="78">
        <v>3.2065579999999998</v>
      </c>
      <c r="AE250" s="78">
        <v>9.4132359999999998E-2</v>
      </c>
      <c r="AG250" s="78">
        <v>1.0227490000000001E-2</v>
      </c>
      <c r="AQ250" s="78">
        <v>2.1379359999999998</v>
      </c>
      <c r="AS250" s="78">
        <v>0.31452950000000002</v>
      </c>
      <c r="AZ250" s="78">
        <v>3.7575020000000001</v>
      </c>
      <c r="BB250" s="78">
        <v>5.0791849999999998</v>
      </c>
      <c r="BC250" s="78">
        <v>0.26798280000000002</v>
      </c>
    </row>
    <row r="251" spans="1:55" x14ac:dyDescent="0.2">
      <c r="A251" s="78" t="s">
        <v>399</v>
      </c>
      <c r="B251" s="22">
        <v>26330</v>
      </c>
      <c r="C251" s="22"/>
      <c r="D251" s="22"/>
      <c r="E251" s="22">
        <v>25842</v>
      </c>
      <c r="F251" s="78" t="s">
        <v>383</v>
      </c>
      <c r="G251" s="78">
        <v>0.85174740000000004</v>
      </c>
      <c r="J251" s="78">
        <v>2.1006279999999999</v>
      </c>
      <c r="R251" s="78">
        <v>3.3218890000000001</v>
      </c>
      <c r="S251" s="78">
        <v>3.2310789999999998</v>
      </c>
      <c r="AE251" s="78">
        <v>9.5626589999999997E-2</v>
      </c>
      <c r="AG251" s="78">
        <v>1.043359E-2</v>
      </c>
      <c r="AQ251" s="78">
        <v>2.1670259999999999</v>
      </c>
      <c r="AS251" s="78">
        <v>0.32414759999999998</v>
      </c>
      <c r="AZ251" s="78">
        <v>3.7786460000000002</v>
      </c>
      <c r="BB251" s="78">
        <v>5.1223989999999997</v>
      </c>
      <c r="BC251" s="78">
        <v>0.2705361</v>
      </c>
    </row>
    <row r="252" spans="1:55" x14ac:dyDescent="0.2">
      <c r="A252" s="78" t="s">
        <v>400</v>
      </c>
      <c r="B252" s="22">
        <v>26359</v>
      </c>
      <c r="C252" s="22"/>
      <c r="D252" s="22"/>
      <c r="E252" s="22">
        <v>25873</v>
      </c>
      <c r="F252" s="78" t="s">
        <v>384</v>
      </c>
      <c r="G252" s="78">
        <v>0.85454920000000001</v>
      </c>
      <c r="J252" s="78">
        <v>2.1467399999999999</v>
      </c>
      <c r="R252" s="78">
        <v>3.3200829999999999</v>
      </c>
      <c r="S252" s="78">
        <v>3.2603149999999999</v>
      </c>
      <c r="AE252" s="78">
        <v>9.6736409999999995E-2</v>
      </c>
      <c r="AG252" s="78">
        <v>1.0660849999999999E-2</v>
      </c>
      <c r="AQ252" s="78">
        <v>2.1915110000000002</v>
      </c>
      <c r="AS252" s="78">
        <v>0.33173599999999998</v>
      </c>
      <c r="AZ252" s="78">
        <v>3.8128760000000002</v>
      </c>
      <c r="BB252" s="78">
        <v>5.1614570000000004</v>
      </c>
      <c r="BC252" s="78">
        <v>0.27205750000000001</v>
      </c>
    </row>
    <row r="253" spans="1:55" x14ac:dyDescent="0.2">
      <c r="A253" s="78" t="s">
        <v>401</v>
      </c>
      <c r="B253" s="22">
        <v>26390</v>
      </c>
      <c r="C253" s="22"/>
      <c r="D253" s="22"/>
      <c r="E253" s="22">
        <v>25903</v>
      </c>
      <c r="F253" s="78" t="s">
        <v>385</v>
      </c>
      <c r="G253" s="78">
        <v>0.86015280000000005</v>
      </c>
      <c r="J253" s="78">
        <v>2.1626620000000001</v>
      </c>
      <c r="R253" s="78">
        <v>3.2982179999999999</v>
      </c>
      <c r="S253" s="78">
        <v>3.2716319999999999</v>
      </c>
      <c r="AE253" s="78">
        <v>9.7257579999999996E-2</v>
      </c>
      <c r="AG253" s="78">
        <v>1.0782389999999999E-2</v>
      </c>
      <c r="AQ253" s="78">
        <v>2.2156479999999998</v>
      </c>
      <c r="AS253" s="78">
        <v>0.3376556</v>
      </c>
      <c r="AZ253" s="78">
        <v>3.8502930000000002</v>
      </c>
      <c r="BB253" s="78">
        <v>5.2063319999999997</v>
      </c>
      <c r="BC253" s="78">
        <v>0.27354400000000001</v>
      </c>
    </row>
    <row r="254" spans="1:55" x14ac:dyDescent="0.2">
      <c r="A254" s="78" t="s">
        <v>402</v>
      </c>
      <c r="B254" s="22">
        <v>26420</v>
      </c>
      <c r="C254" s="22"/>
      <c r="D254" s="22"/>
      <c r="E254" s="22">
        <v>25934</v>
      </c>
      <c r="F254" s="78" t="s">
        <v>386</v>
      </c>
      <c r="G254" s="78">
        <v>0.86295460000000002</v>
      </c>
      <c r="J254" s="78">
        <v>2.193886</v>
      </c>
      <c r="R254" s="78">
        <v>3.328163</v>
      </c>
      <c r="S254" s="78">
        <v>3.2933240000000001</v>
      </c>
      <c r="AE254" s="78">
        <v>9.8305160000000003E-2</v>
      </c>
      <c r="AG254" s="78">
        <v>1.09652E-2</v>
      </c>
      <c r="AQ254" s="78">
        <v>2.267503</v>
      </c>
      <c r="AS254" s="78">
        <v>0.3432385</v>
      </c>
      <c r="AZ254" s="78">
        <v>3.8956879999999998</v>
      </c>
      <c r="BB254" s="78">
        <v>5.2595169999999998</v>
      </c>
      <c r="BC254" s="78">
        <v>0.2764819</v>
      </c>
    </row>
    <row r="255" spans="1:55" x14ac:dyDescent="0.2">
      <c r="A255" s="78" t="s">
        <v>403</v>
      </c>
      <c r="B255" s="22">
        <v>26451</v>
      </c>
      <c r="C255" s="22"/>
      <c r="D255" s="22"/>
      <c r="E255" s="22">
        <v>25965</v>
      </c>
      <c r="F255" s="78" t="s">
        <v>387</v>
      </c>
      <c r="G255" s="78">
        <v>0.86855819999999995</v>
      </c>
      <c r="J255" s="78">
        <v>2.1937829999999998</v>
      </c>
      <c r="R255" s="78">
        <v>3.434218</v>
      </c>
      <c r="S255" s="78">
        <v>3.3357640000000002</v>
      </c>
      <c r="AE255" s="78">
        <v>9.977453E-2</v>
      </c>
      <c r="AG255" s="78">
        <v>1.1218590000000001E-2</v>
      </c>
      <c r="AQ255" s="78">
        <v>2.2972929999999998</v>
      </c>
      <c r="AS255" s="78">
        <v>0.3482307</v>
      </c>
      <c r="AZ255" s="78">
        <v>3.9225859999999999</v>
      </c>
      <c r="BB255" s="78">
        <v>5.326829</v>
      </c>
      <c r="BC255" s="78">
        <v>0.27879029999999999</v>
      </c>
    </row>
    <row r="256" spans="1:55" x14ac:dyDescent="0.2">
      <c r="A256" s="78" t="s">
        <v>404</v>
      </c>
      <c r="B256" s="22">
        <v>26481</v>
      </c>
      <c r="C256" s="22"/>
      <c r="D256" s="22"/>
      <c r="E256" s="22">
        <v>25993</v>
      </c>
      <c r="F256" s="78" t="s">
        <v>388</v>
      </c>
      <c r="G256" s="78">
        <v>0.87696359999999995</v>
      </c>
      <c r="J256" s="78">
        <v>2.2147190000000001</v>
      </c>
      <c r="R256" s="78">
        <v>3.4451510000000001</v>
      </c>
      <c r="S256" s="78">
        <v>3.3730159999999998</v>
      </c>
      <c r="AE256" s="78">
        <v>0.10076</v>
      </c>
      <c r="AG256" s="78">
        <v>1.137643E-2</v>
      </c>
      <c r="AQ256" s="78">
        <v>2.297364</v>
      </c>
      <c r="AS256" s="78">
        <v>0.35339900000000002</v>
      </c>
      <c r="AZ256" s="78">
        <v>3.936455</v>
      </c>
      <c r="BB256" s="78">
        <v>5.4007899999999998</v>
      </c>
      <c r="BC256" s="78">
        <v>0.2806265</v>
      </c>
    </row>
    <row r="257" spans="1:55" x14ac:dyDescent="0.2">
      <c r="A257" s="78" t="s">
        <v>405</v>
      </c>
      <c r="B257" s="22">
        <v>26512</v>
      </c>
      <c r="C257" s="22"/>
      <c r="D257" s="22"/>
      <c r="E257" s="22">
        <v>26024</v>
      </c>
      <c r="F257" s="78" t="s">
        <v>389</v>
      </c>
      <c r="G257" s="78">
        <v>0.8825672</v>
      </c>
      <c r="J257" s="78">
        <v>2.217924</v>
      </c>
      <c r="R257" s="78">
        <v>3.3878919999999999</v>
      </c>
      <c r="S257" s="78">
        <v>3.4197000000000002</v>
      </c>
      <c r="AE257" s="78">
        <v>0.10147870000000001</v>
      </c>
      <c r="AG257" s="78">
        <v>1.1513880000000001E-2</v>
      </c>
      <c r="AQ257" s="78">
        <v>2.3208470000000001</v>
      </c>
      <c r="AS257" s="78">
        <v>0.36514859999999999</v>
      </c>
      <c r="AZ257" s="78">
        <v>3.9594290000000001</v>
      </c>
      <c r="BB257" s="78">
        <v>5.4714260000000001</v>
      </c>
      <c r="BC257" s="78">
        <v>0.28317969999999998</v>
      </c>
    </row>
    <row r="258" spans="1:55" x14ac:dyDescent="0.2">
      <c r="A258" s="78" t="s">
        <v>406</v>
      </c>
      <c r="B258" s="22">
        <v>26543</v>
      </c>
      <c r="C258" s="22"/>
      <c r="D258" s="22"/>
      <c r="E258" s="22">
        <v>26054</v>
      </c>
      <c r="F258" s="78" t="s">
        <v>390</v>
      </c>
      <c r="G258" s="78">
        <v>0.8909726</v>
      </c>
      <c r="J258" s="78">
        <v>2.2336390000000002</v>
      </c>
      <c r="R258" s="78">
        <v>3.4121130000000002</v>
      </c>
      <c r="S258" s="78">
        <v>3.4701559999999998</v>
      </c>
      <c r="AE258" s="78">
        <v>0.1024442</v>
      </c>
      <c r="AG258" s="78">
        <v>1.170597E-2</v>
      </c>
      <c r="AQ258" s="78">
        <v>2.3354810000000001</v>
      </c>
      <c r="AS258" s="78">
        <v>0.37876700000000002</v>
      </c>
      <c r="AZ258" s="78">
        <v>3.9928089999999998</v>
      </c>
      <c r="BB258" s="78">
        <v>5.5404010000000001</v>
      </c>
      <c r="BC258" s="78">
        <v>0.28583789999999998</v>
      </c>
    </row>
    <row r="259" spans="1:55" x14ac:dyDescent="0.2">
      <c r="A259" s="78" t="s">
        <v>407</v>
      </c>
      <c r="B259" s="22">
        <v>26573</v>
      </c>
      <c r="C259" s="22"/>
      <c r="D259" s="22"/>
      <c r="E259" s="22">
        <v>26085</v>
      </c>
      <c r="F259" s="78" t="s">
        <v>391</v>
      </c>
      <c r="G259" s="78">
        <v>0.89937800000000001</v>
      </c>
      <c r="J259" s="78">
        <v>2.239843</v>
      </c>
      <c r="R259" s="78">
        <v>3.4646599999999999</v>
      </c>
      <c r="S259" s="78">
        <v>3.5092949999999998</v>
      </c>
      <c r="AE259" s="78">
        <v>0.10358199999999999</v>
      </c>
      <c r="AG259" s="78">
        <v>1.1965719999999999E-2</v>
      </c>
      <c r="AQ259" s="78">
        <v>2.3579509999999999</v>
      </c>
      <c r="AS259" s="78">
        <v>0.38647320000000002</v>
      </c>
      <c r="AZ259" s="78">
        <v>4.0262440000000002</v>
      </c>
      <c r="BB259" s="78">
        <v>5.5927550000000004</v>
      </c>
      <c r="BC259" s="78">
        <v>0.28709699999999999</v>
      </c>
    </row>
    <row r="260" spans="1:55" x14ac:dyDescent="0.2">
      <c r="A260" s="78" t="s">
        <v>408</v>
      </c>
      <c r="B260" s="22">
        <v>26604</v>
      </c>
      <c r="C260" s="22"/>
      <c r="D260" s="22"/>
      <c r="E260" s="22">
        <v>26115</v>
      </c>
      <c r="F260" s="78" t="s">
        <v>392</v>
      </c>
      <c r="G260" s="78">
        <v>0.90217979999999998</v>
      </c>
      <c r="J260" s="78">
        <v>2.263881</v>
      </c>
      <c r="R260" s="78">
        <v>3.5343740000000001</v>
      </c>
      <c r="S260" s="78">
        <v>3.546548</v>
      </c>
      <c r="AE260" s="78">
        <v>0.10458190000000001</v>
      </c>
      <c r="AG260" s="78">
        <v>1.21814E-2</v>
      </c>
      <c r="AQ260" s="78">
        <v>2.3805779999999999</v>
      </c>
      <c r="AS260" s="78">
        <v>0.39969060000000001</v>
      </c>
      <c r="AZ260" s="78">
        <v>4.0576080000000001</v>
      </c>
      <c r="BB260" s="78">
        <v>5.6476030000000002</v>
      </c>
      <c r="BC260" s="78">
        <v>0.28711449999999999</v>
      </c>
    </row>
    <row r="261" spans="1:55" x14ac:dyDescent="0.2">
      <c r="A261" s="78" t="s">
        <v>409</v>
      </c>
      <c r="B261" s="22">
        <v>26634</v>
      </c>
      <c r="C261" s="22"/>
      <c r="D261" s="22"/>
      <c r="E261" s="22">
        <v>26146</v>
      </c>
      <c r="F261" s="78" t="s">
        <v>393</v>
      </c>
      <c r="G261" s="78">
        <v>0.90778340000000002</v>
      </c>
      <c r="J261" s="78">
        <v>2.3091659999999998</v>
      </c>
      <c r="R261" s="78">
        <v>3.563329</v>
      </c>
      <c r="S261" s="78">
        <v>3.5838000000000001</v>
      </c>
      <c r="AE261" s="78">
        <v>0.10576679999999999</v>
      </c>
      <c r="AG261" s="78">
        <v>1.2470119999999999E-2</v>
      </c>
      <c r="AQ261" s="78">
        <v>2.4032089999999999</v>
      </c>
      <c r="AS261" s="78">
        <v>0.41171410000000003</v>
      </c>
      <c r="AZ261" s="78">
        <v>4.0975529999999996</v>
      </c>
      <c r="BB261" s="78">
        <v>5.6966320000000001</v>
      </c>
      <c r="BC261" s="78">
        <v>0.28947529999999999</v>
      </c>
    </row>
    <row r="262" spans="1:55" x14ac:dyDescent="0.2">
      <c r="A262" s="78" t="s">
        <v>410</v>
      </c>
      <c r="B262" s="22">
        <v>26665</v>
      </c>
      <c r="C262" s="22"/>
      <c r="D262" s="22"/>
      <c r="E262" s="22">
        <v>26177</v>
      </c>
      <c r="F262" s="78" t="s">
        <v>394</v>
      </c>
      <c r="G262" s="78">
        <v>0.91899059999999999</v>
      </c>
      <c r="J262" s="78">
        <v>2.310562</v>
      </c>
      <c r="R262" s="78">
        <v>3.6054309999999998</v>
      </c>
      <c r="S262" s="78">
        <v>3.6215250000000001</v>
      </c>
      <c r="AE262" s="78">
        <v>0.1072255</v>
      </c>
      <c r="AG262" s="78">
        <v>1.269386E-2</v>
      </c>
      <c r="AQ262" s="78">
        <v>2.4133469999999999</v>
      </c>
      <c r="AS262" s="78">
        <v>0.41633799999999999</v>
      </c>
      <c r="AZ262" s="78">
        <v>4.1407939999999996</v>
      </c>
      <c r="BB262" s="78">
        <v>5.754804</v>
      </c>
      <c r="BC262" s="78">
        <v>0.29180119999999998</v>
      </c>
    </row>
    <row r="263" spans="1:55" x14ac:dyDescent="0.2">
      <c r="A263" s="78" t="s">
        <v>411</v>
      </c>
      <c r="B263" s="22">
        <v>26696</v>
      </c>
      <c r="C263" s="22"/>
      <c r="D263" s="22"/>
      <c r="E263" s="22">
        <v>26207</v>
      </c>
      <c r="F263" s="78" t="s">
        <v>395</v>
      </c>
      <c r="G263" s="78">
        <v>0.927396</v>
      </c>
      <c r="J263" s="78">
        <v>2.353469</v>
      </c>
      <c r="R263" s="78">
        <v>3.5891220000000001</v>
      </c>
      <c r="S263" s="78">
        <v>3.6630210000000001</v>
      </c>
      <c r="AE263" s="78">
        <v>0.1086651</v>
      </c>
      <c r="AG263" s="78">
        <v>1.2795900000000001E-2</v>
      </c>
      <c r="AQ263" s="78">
        <v>2.4354990000000001</v>
      </c>
      <c r="AS263" s="78">
        <v>0.430344</v>
      </c>
      <c r="AZ263" s="78">
        <v>4.1795349999999996</v>
      </c>
      <c r="BB263" s="78">
        <v>5.8038340000000002</v>
      </c>
      <c r="BC263" s="78">
        <v>0.29304279999999999</v>
      </c>
    </row>
    <row r="264" spans="1:55" x14ac:dyDescent="0.2">
      <c r="A264" s="78" t="s">
        <v>412</v>
      </c>
      <c r="B264" s="22">
        <v>26724</v>
      </c>
      <c r="C264" s="22"/>
      <c r="D264" s="22"/>
      <c r="E264" s="22">
        <v>26238</v>
      </c>
      <c r="F264" s="78" t="s">
        <v>396</v>
      </c>
      <c r="G264" s="78">
        <v>0.93019779999999996</v>
      </c>
      <c r="J264" s="78">
        <v>2.364325</v>
      </c>
      <c r="R264" s="78">
        <v>3.5629680000000001</v>
      </c>
      <c r="S264" s="78">
        <v>3.6993309999999999</v>
      </c>
      <c r="AE264" s="78">
        <v>0.1101289</v>
      </c>
      <c r="AG264" s="78">
        <v>1.294403E-2</v>
      </c>
      <c r="AQ264" s="78">
        <v>2.4880040000000001</v>
      </c>
      <c r="AS264" s="78">
        <v>0.44610270000000002</v>
      </c>
      <c r="AZ264" s="78">
        <v>4.2304529999999998</v>
      </c>
      <c r="BB264" s="78">
        <v>5.8553569999999997</v>
      </c>
      <c r="BC264" s="78">
        <v>0.2951414</v>
      </c>
    </row>
    <row r="265" spans="1:55" x14ac:dyDescent="0.2">
      <c r="A265" s="78" t="s">
        <v>413</v>
      </c>
      <c r="B265" s="22">
        <v>26755</v>
      </c>
      <c r="C265" s="22"/>
      <c r="D265" s="22"/>
      <c r="E265" s="22">
        <v>26268</v>
      </c>
      <c r="F265" s="78" t="s">
        <v>397</v>
      </c>
      <c r="G265" s="78">
        <v>0.93580140000000001</v>
      </c>
      <c r="J265" s="78">
        <v>2.3730609999999999</v>
      </c>
      <c r="R265" s="78">
        <v>3.5920380000000001</v>
      </c>
      <c r="S265" s="78">
        <v>3.7361119999999999</v>
      </c>
      <c r="AE265" s="78">
        <v>0.1121825</v>
      </c>
      <c r="AG265" s="78">
        <v>1.299992E-2</v>
      </c>
      <c r="AQ265" s="78">
        <v>2.4989919999999999</v>
      </c>
      <c r="AS265" s="78">
        <v>0.46105109999999999</v>
      </c>
      <c r="AZ265" s="78">
        <v>4.267671</v>
      </c>
      <c r="BB265" s="78">
        <v>5.9027250000000002</v>
      </c>
      <c r="BC265" s="78">
        <v>0.29746719999999999</v>
      </c>
    </row>
    <row r="266" spans="1:55" x14ac:dyDescent="0.2">
      <c r="A266" s="78" t="s">
        <v>414</v>
      </c>
      <c r="B266" s="22">
        <v>26785</v>
      </c>
      <c r="C266" s="22"/>
      <c r="D266" s="22"/>
      <c r="E266" s="22">
        <v>26299</v>
      </c>
      <c r="F266" s="78" t="s">
        <v>398</v>
      </c>
      <c r="G266" s="78">
        <v>0.94420680000000001</v>
      </c>
      <c r="J266" s="78">
        <v>2.4559799999999998</v>
      </c>
      <c r="K266" s="78">
        <v>11.06668</v>
      </c>
      <c r="R266" s="78">
        <v>3.6166999999999998</v>
      </c>
      <c r="S266" s="78">
        <v>3.7780800000000001</v>
      </c>
      <c r="AE266" s="78">
        <v>0.1139502</v>
      </c>
      <c r="AG266" s="78">
        <v>1.314334E-2</v>
      </c>
      <c r="AQ266" s="78">
        <v>2.507104</v>
      </c>
      <c r="AS266" s="78">
        <v>0.47400999999999999</v>
      </c>
      <c r="AZ266" s="78">
        <v>4.2995599999999996</v>
      </c>
      <c r="BB266" s="78">
        <v>5.9642210000000002</v>
      </c>
      <c r="BC266" s="78">
        <v>0.29975810000000003</v>
      </c>
    </row>
    <row r="267" spans="1:55" x14ac:dyDescent="0.2">
      <c r="A267" s="78" t="s">
        <v>415</v>
      </c>
      <c r="B267" s="22">
        <v>26816</v>
      </c>
      <c r="C267" s="22"/>
      <c r="D267" s="22"/>
      <c r="E267" s="22">
        <v>26330</v>
      </c>
      <c r="F267" s="78" t="s">
        <v>399</v>
      </c>
      <c r="G267" s="78">
        <v>0.95261220000000002</v>
      </c>
      <c r="J267" s="78">
        <v>2.454739</v>
      </c>
      <c r="K267" s="78">
        <v>11.266500000000001</v>
      </c>
      <c r="R267" s="78">
        <v>3.6593119999999999</v>
      </c>
      <c r="S267" s="78">
        <v>3.8228770000000001</v>
      </c>
      <c r="AE267" s="78">
        <v>0.11490209999999999</v>
      </c>
      <c r="AG267" s="78">
        <v>1.336057E-2</v>
      </c>
      <c r="AQ267" s="78">
        <v>2.543396</v>
      </c>
      <c r="AS267" s="78">
        <v>0.47937170000000001</v>
      </c>
      <c r="AZ267" s="78">
        <v>4.3456130000000002</v>
      </c>
      <c r="BB267" s="78">
        <v>6.0307019999999998</v>
      </c>
      <c r="BC267" s="78">
        <v>0.30283599999999999</v>
      </c>
    </row>
    <row r="268" spans="1:55" x14ac:dyDescent="0.2">
      <c r="A268" s="78" t="s">
        <v>416</v>
      </c>
      <c r="B268" s="22">
        <v>26846</v>
      </c>
      <c r="C268" s="22"/>
      <c r="D268" s="22"/>
      <c r="E268" s="22">
        <v>26359</v>
      </c>
      <c r="F268" s="78" t="s">
        <v>400</v>
      </c>
      <c r="G268" s="78">
        <v>0.96101760000000003</v>
      </c>
      <c r="J268" s="78">
        <v>2.4846710000000001</v>
      </c>
      <c r="K268" s="78">
        <v>11.432729999999999</v>
      </c>
      <c r="R268" s="78">
        <v>3.7090130000000001</v>
      </c>
      <c r="S268" s="78">
        <v>3.8672029999999999</v>
      </c>
      <c r="AE268" s="78">
        <v>0.116019</v>
      </c>
      <c r="AG268" s="78">
        <v>1.3612519999999999E-2</v>
      </c>
      <c r="AQ268" s="78">
        <v>2.5695079999999999</v>
      </c>
      <c r="AS268" s="78">
        <v>0.4850295</v>
      </c>
      <c r="AZ268" s="78">
        <v>4.3901599999999998</v>
      </c>
      <c r="BB268" s="78">
        <v>6.0955209999999997</v>
      </c>
      <c r="BC268" s="78">
        <v>0.30566900000000002</v>
      </c>
    </row>
    <row r="269" spans="1:55" x14ac:dyDescent="0.2">
      <c r="A269" s="78" t="s">
        <v>417</v>
      </c>
      <c r="B269" s="22">
        <v>26877</v>
      </c>
      <c r="C269" s="22"/>
      <c r="D269" s="22"/>
      <c r="E269" s="22">
        <v>26390</v>
      </c>
      <c r="F269" s="78" t="s">
        <v>401</v>
      </c>
      <c r="G269" s="78">
        <v>0.96942300000000003</v>
      </c>
      <c r="J269" s="78">
        <v>2.5348670000000002</v>
      </c>
      <c r="K269" s="78">
        <v>11.52548</v>
      </c>
      <c r="R269" s="78">
        <v>3.766994</v>
      </c>
      <c r="S269" s="78">
        <v>3.9091719999999999</v>
      </c>
      <c r="AE269" s="78">
        <v>0.1168959</v>
      </c>
      <c r="AG269" s="78">
        <v>1.389426E-2</v>
      </c>
      <c r="AQ269" s="78">
        <v>2.5948699999999998</v>
      </c>
      <c r="AS269" s="78">
        <v>0.49417640000000002</v>
      </c>
      <c r="AZ269" s="78">
        <v>4.4403309999999996</v>
      </c>
      <c r="BB269" s="78">
        <v>6.1362410000000001</v>
      </c>
      <c r="BC269" s="78">
        <v>0.30738280000000001</v>
      </c>
    </row>
    <row r="270" spans="1:55" x14ac:dyDescent="0.2">
      <c r="A270" s="78" t="s">
        <v>418</v>
      </c>
      <c r="B270" s="22">
        <v>26908</v>
      </c>
      <c r="C270" s="22"/>
      <c r="D270" s="22"/>
      <c r="E270" s="22">
        <v>26420</v>
      </c>
      <c r="F270" s="78" t="s">
        <v>402</v>
      </c>
      <c r="G270" s="78">
        <v>0.98063020000000001</v>
      </c>
      <c r="J270" s="78">
        <v>2.5659350000000001</v>
      </c>
      <c r="K270" s="78">
        <v>11.62796</v>
      </c>
      <c r="R270" s="78">
        <v>3.8020930000000002</v>
      </c>
      <c r="S270" s="78">
        <v>3.9497249999999999</v>
      </c>
      <c r="AE270" s="78">
        <v>0.1181687</v>
      </c>
      <c r="AG270" s="78">
        <v>1.4031450000000001E-2</v>
      </c>
      <c r="AQ270" s="78">
        <v>2.617378</v>
      </c>
      <c r="AS270" s="78">
        <v>0.50259869999999995</v>
      </c>
      <c r="AZ270" s="78">
        <v>4.4757280000000002</v>
      </c>
      <c r="BB270" s="78">
        <v>6.1769610000000004</v>
      </c>
      <c r="BC270" s="78">
        <v>0.3094114</v>
      </c>
    </row>
    <row r="271" spans="1:55" x14ac:dyDescent="0.2">
      <c r="A271" s="78" t="s">
        <v>419</v>
      </c>
      <c r="B271" s="22">
        <v>26938</v>
      </c>
      <c r="C271" s="22"/>
      <c r="D271" s="22"/>
      <c r="E271" s="22">
        <v>26451</v>
      </c>
      <c r="F271" s="78" t="s">
        <v>403</v>
      </c>
      <c r="G271" s="78">
        <v>0.99183739999999998</v>
      </c>
      <c r="J271" s="78">
        <v>2.6095139999999999</v>
      </c>
      <c r="K271" s="78">
        <v>11.750260000000001</v>
      </c>
      <c r="R271" s="78">
        <v>3.8238500000000002</v>
      </c>
      <c r="S271" s="78">
        <v>4.021401</v>
      </c>
      <c r="AE271" s="78">
        <v>0.120393</v>
      </c>
      <c r="AG271" s="78">
        <v>1.416705E-2</v>
      </c>
      <c r="AQ271" s="78">
        <v>2.6282160000000001</v>
      </c>
      <c r="AS271" s="78">
        <v>0.5084168</v>
      </c>
      <c r="AZ271" s="78">
        <v>4.5098710000000004</v>
      </c>
      <c r="BB271" s="78">
        <v>6.2301460000000004</v>
      </c>
      <c r="BC271" s="78">
        <v>0.31359100000000001</v>
      </c>
    </row>
    <row r="272" spans="1:55" x14ac:dyDescent="0.2">
      <c r="A272" s="78" t="s">
        <v>420</v>
      </c>
      <c r="B272" s="22">
        <v>26969</v>
      </c>
      <c r="C272" s="22"/>
      <c r="D272" s="22"/>
      <c r="E272" s="22">
        <v>26481</v>
      </c>
      <c r="F272" s="78" t="s">
        <v>404</v>
      </c>
      <c r="G272" s="78">
        <v>1.008648</v>
      </c>
      <c r="J272" s="78">
        <v>2.6197499999999998</v>
      </c>
      <c r="K272" s="78">
        <v>11.879519999999999</v>
      </c>
      <c r="R272" s="78">
        <v>3.8442020000000001</v>
      </c>
      <c r="S272" s="78">
        <v>4.0977930000000002</v>
      </c>
      <c r="AE272" s="78">
        <v>0.1220083</v>
      </c>
      <c r="AG272" s="78">
        <v>1.437343E-2</v>
      </c>
      <c r="AQ272" s="78">
        <v>2.6468500000000001</v>
      </c>
      <c r="AS272" s="78">
        <v>0.51777689999999998</v>
      </c>
      <c r="AZ272" s="78">
        <v>4.5518660000000004</v>
      </c>
      <c r="BB272" s="78">
        <v>6.3115860000000001</v>
      </c>
      <c r="BC272" s="78">
        <v>0.31955430000000001</v>
      </c>
    </row>
    <row r="273" spans="1:55" x14ac:dyDescent="0.2">
      <c r="A273" s="78" t="s">
        <v>421</v>
      </c>
      <c r="B273" s="22">
        <v>26999</v>
      </c>
      <c r="C273" s="22"/>
      <c r="D273" s="22"/>
      <c r="E273" s="22">
        <v>26512</v>
      </c>
      <c r="F273" s="78" t="s">
        <v>405</v>
      </c>
      <c r="G273" s="78">
        <v>1.0310630000000001</v>
      </c>
      <c r="J273" s="78">
        <v>2.6003639999999999</v>
      </c>
      <c r="K273" s="78">
        <v>12.044779999999999</v>
      </c>
      <c r="R273" s="78">
        <v>3.885637</v>
      </c>
      <c r="S273" s="78">
        <v>4.1491920000000002</v>
      </c>
      <c r="AE273" s="78">
        <v>0.1234753</v>
      </c>
      <c r="AG273" s="78">
        <v>1.45375E-2</v>
      </c>
      <c r="AQ273" s="78">
        <v>2.6755650000000002</v>
      </c>
      <c r="AS273" s="78">
        <v>0.52786370000000005</v>
      </c>
      <c r="AZ273" s="78">
        <v>4.5903549999999997</v>
      </c>
      <c r="BB273" s="78">
        <v>6.3880400000000002</v>
      </c>
      <c r="BC273" s="78">
        <v>0.32576250000000001</v>
      </c>
    </row>
    <row r="274" spans="1:55" x14ac:dyDescent="0.2">
      <c r="A274" s="78" t="s">
        <v>422</v>
      </c>
      <c r="B274" s="22">
        <v>27030</v>
      </c>
      <c r="C274" s="22"/>
      <c r="D274" s="22"/>
      <c r="E274" s="22">
        <v>26543</v>
      </c>
      <c r="F274" s="78" t="s">
        <v>406</v>
      </c>
      <c r="G274" s="78">
        <v>1.050675</v>
      </c>
      <c r="J274" s="78">
        <v>2.6493190000000002</v>
      </c>
      <c r="K274" s="78">
        <v>12.129630000000001</v>
      </c>
      <c r="R274" s="78">
        <v>3.9341740000000001</v>
      </c>
      <c r="S274" s="78">
        <v>4.202477</v>
      </c>
      <c r="AE274" s="78">
        <v>0.1246953</v>
      </c>
      <c r="AG274" s="78">
        <v>1.4776350000000001E-2</v>
      </c>
      <c r="AQ274" s="78">
        <v>2.6935280000000001</v>
      </c>
      <c r="AS274" s="78">
        <v>0.53764100000000004</v>
      </c>
      <c r="AZ274" s="78">
        <v>4.6272880000000001</v>
      </c>
      <c r="BB274" s="78">
        <v>6.4678180000000003</v>
      </c>
      <c r="BC274" s="78">
        <v>0.3313411</v>
      </c>
    </row>
    <row r="275" spans="1:55" x14ac:dyDescent="0.2">
      <c r="A275" s="78" t="s">
        <v>423</v>
      </c>
      <c r="B275" s="22">
        <v>27061</v>
      </c>
      <c r="C275" s="22"/>
      <c r="D275" s="22"/>
      <c r="E275" s="22">
        <v>26573</v>
      </c>
      <c r="F275" s="78" t="s">
        <v>407</v>
      </c>
      <c r="G275" s="78">
        <v>1.0702879999999999</v>
      </c>
      <c r="J275" s="78">
        <v>2.7089750000000001</v>
      </c>
      <c r="K275" s="78">
        <v>12.1813</v>
      </c>
      <c r="R275" s="78">
        <v>3.9641359999999999</v>
      </c>
      <c r="S275" s="78">
        <v>4.249161</v>
      </c>
      <c r="AE275" s="78">
        <v>0.1257896</v>
      </c>
      <c r="AG275" s="78">
        <v>1.5006759999999999E-2</v>
      </c>
      <c r="AQ275" s="78">
        <v>2.7078630000000001</v>
      </c>
      <c r="AS275" s="78">
        <v>0.54630789999999996</v>
      </c>
      <c r="AZ275" s="78">
        <v>4.6819870000000003</v>
      </c>
      <c r="BB275" s="78">
        <v>6.5392849999999996</v>
      </c>
      <c r="BC275" s="78">
        <v>0.33480369999999998</v>
      </c>
    </row>
    <row r="276" spans="1:55" x14ac:dyDescent="0.2">
      <c r="A276" s="78" t="s">
        <v>424</v>
      </c>
      <c r="B276" s="22">
        <v>27089</v>
      </c>
      <c r="C276" s="22"/>
      <c r="D276" s="22"/>
      <c r="E276" s="22">
        <v>26604</v>
      </c>
      <c r="F276" s="78" t="s">
        <v>408</v>
      </c>
      <c r="G276" s="78">
        <v>1.0899000000000001</v>
      </c>
      <c r="J276" s="78">
        <v>2.6840069999999998</v>
      </c>
      <c r="K276" s="78">
        <v>12.24675</v>
      </c>
      <c r="R276" s="78">
        <v>4.0209479999999997</v>
      </c>
      <c r="S276" s="78">
        <v>4.2958449999999999</v>
      </c>
      <c r="AE276" s="78">
        <v>0.127804</v>
      </c>
      <c r="AG276" s="78">
        <v>1.510945E-2</v>
      </c>
      <c r="AQ276" s="78">
        <v>2.7327780000000002</v>
      </c>
      <c r="AS276" s="78">
        <v>0.55399310000000002</v>
      </c>
      <c r="AZ276" s="78">
        <v>4.7333540000000003</v>
      </c>
      <c r="BB276" s="78">
        <v>6.5974560000000002</v>
      </c>
      <c r="BC276" s="78">
        <v>0.33929799999999999</v>
      </c>
    </row>
    <row r="277" spans="1:55" x14ac:dyDescent="0.2">
      <c r="A277" s="78" t="s">
        <v>425</v>
      </c>
      <c r="B277" s="22">
        <v>27120</v>
      </c>
      <c r="C277" s="22"/>
      <c r="D277" s="22"/>
      <c r="E277" s="22">
        <v>26634</v>
      </c>
      <c r="F277" s="78" t="s">
        <v>409</v>
      </c>
      <c r="G277" s="78">
        <v>1.1123149999999999</v>
      </c>
      <c r="J277" s="78">
        <v>2.7467640000000002</v>
      </c>
      <c r="K277" s="78">
        <v>12.3171</v>
      </c>
      <c r="R277" s="78">
        <v>4.0933270000000004</v>
      </c>
      <c r="S277" s="78">
        <v>4.3401709999999998</v>
      </c>
      <c r="AE277" s="78">
        <v>0.13011539999999999</v>
      </c>
      <c r="AG277" s="78">
        <v>1.5272579999999999E-2</v>
      </c>
      <c r="AQ277" s="78">
        <v>2.7620779999999998</v>
      </c>
      <c r="AS277" s="78">
        <v>0.5655365</v>
      </c>
      <c r="AZ277" s="78">
        <v>4.7698700000000001</v>
      </c>
      <c r="BB277" s="78">
        <v>6.667262</v>
      </c>
      <c r="BC277" s="78">
        <v>0.34622320000000001</v>
      </c>
    </row>
    <row r="278" spans="1:55" x14ac:dyDescent="0.2">
      <c r="A278" s="78" t="s">
        <v>426</v>
      </c>
      <c r="B278" s="22">
        <v>27150</v>
      </c>
      <c r="C278" s="22"/>
      <c r="D278" s="22"/>
      <c r="E278" s="22">
        <v>26665</v>
      </c>
      <c r="F278" s="78" t="s">
        <v>410</v>
      </c>
      <c r="G278" s="78">
        <v>1.1347290000000001</v>
      </c>
      <c r="J278" s="78">
        <v>2.7830539999999999</v>
      </c>
      <c r="K278" s="78">
        <v>12.400119999999999</v>
      </c>
      <c r="R278" s="78">
        <v>4.1488240000000003</v>
      </c>
      <c r="S278" s="78">
        <v>4.3727080000000003</v>
      </c>
      <c r="AE278" s="78">
        <v>0.1319919</v>
      </c>
      <c r="AG278" s="78">
        <v>1.5471240000000001E-2</v>
      </c>
      <c r="AQ278" s="78">
        <v>2.7884449999999998</v>
      </c>
      <c r="AS278" s="78">
        <v>0.57346649999999999</v>
      </c>
      <c r="AZ278" s="78">
        <v>4.8114429999999997</v>
      </c>
      <c r="BB278" s="78">
        <v>6.7337439999999997</v>
      </c>
      <c r="BC278" s="78">
        <v>0.35019289999999997</v>
      </c>
    </row>
    <row r="279" spans="1:55" x14ac:dyDescent="0.2">
      <c r="A279" s="78" t="s">
        <v>427</v>
      </c>
      <c r="B279" s="22">
        <v>27181</v>
      </c>
      <c r="C279" s="22"/>
      <c r="D279" s="22"/>
      <c r="E279" s="22">
        <v>26696</v>
      </c>
      <c r="F279" s="78" t="s">
        <v>411</v>
      </c>
      <c r="G279" s="78">
        <v>1.154342</v>
      </c>
      <c r="J279" s="78">
        <v>2.8281320000000001</v>
      </c>
      <c r="K279" s="78">
        <v>12.48208</v>
      </c>
      <c r="R279" s="78">
        <v>4.1911440000000004</v>
      </c>
      <c r="S279" s="78">
        <v>4.4118469999999999</v>
      </c>
      <c r="AE279" s="78">
        <v>0.13395080000000001</v>
      </c>
      <c r="AG279" s="78">
        <v>1.5790789999999999E-2</v>
      </c>
      <c r="AQ279" s="78">
        <v>2.8240850000000002</v>
      </c>
      <c r="AS279" s="78">
        <v>0.57730230000000005</v>
      </c>
      <c r="AZ279" s="78">
        <v>4.8582179999999999</v>
      </c>
      <c r="BB279" s="78">
        <v>6.7653220000000003</v>
      </c>
      <c r="BC279" s="78">
        <v>0.35304340000000001</v>
      </c>
    </row>
    <row r="280" spans="1:55" x14ac:dyDescent="0.2">
      <c r="A280" s="78" t="s">
        <v>428</v>
      </c>
      <c r="B280" s="22">
        <v>27211</v>
      </c>
      <c r="C280" s="22"/>
      <c r="D280" s="22"/>
      <c r="E280" s="22">
        <v>26724</v>
      </c>
      <c r="F280" s="78" t="s">
        <v>412</v>
      </c>
      <c r="G280" s="78">
        <v>1.1711530000000001</v>
      </c>
      <c r="J280" s="78">
        <v>2.8468979999999999</v>
      </c>
      <c r="K280" s="78">
        <v>12.55029</v>
      </c>
      <c r="R280" s="78">
        <v>4.2252879999999999</v>
      </c>
      <c r="S280" s="78">
        <v>4.4693759999999996</v>
      </c>
      <c r="AE280" s="78">
        <v>0.1367265</v>
      </c>
      <c r="AG280" s="78">
        <v>1.6291139999999999E-2</v>
      </c>
      <c r="AQ280" s="78">
        <v>2.8558460000000001</v>
      </c>
      <c r="AS280" s="78">
        <v>0.58598150000000004</v>
      </c>
      <c r="AZ280" s="78">
        <v>4.8952939999999998</v>
      </c>
      <c r="BB280" s="78">
        <v>6.7752949999999998</v>
      </c>
      <c r="BC280" s="78">
        <v>0.35986370000000001</v>
      </c>
    </row>
    <row r="281" spans="1:55" x14ac:dyDescent="0.2">
      <c r="A281" s="78" t="s">
        <v>429</v>
      </c>
      <c r="B281" s="22">
        <v>27242</v>
      </c>
      <c r="C281" s="22"/>
      <c r="D281" s="22"/>
      <c r="E281" s="22">
        <v>26755</v>
      </c>
      <c r="F281" s="78" t="s">
        <v>413</v>
      </c>
      <c r="G281" s="78">
        <v>1.1907650000000001</v>
      </c>
      <c r="J281" s="78">
        <v>2.8880469999999998</v>
      </c>
      <c r="K281" s="78">
        <v>12.59013</v>
      </c>
      <c r="R281" s="78">
        <v>4.2638819999999997</v>
      </c>
      <c r="S281" s="78">
        <v>4.5250199999999996</v>
      </c>
      <c r="AE281" s="78">
        <v>0.13949349999999999</v>
      </c>
      <c r="AG281" s="78">
        <v>1.688806E-2</v>
      </c>
      <c r="AQ281" s="78">
        <v>2.8854470000000001</v>
      </c>
      <c r="AS281" s="78">
        <v>0.59421650000000004</v>
      </c>
      <c r="AZ281" s="78">
        <v>4.93933</v>
      </c>
      <c r="BB281" s="78">
        <v>6.8118600000000002</v>
      </c>
      <c r="BC281" s="78">
        <v>0.36864249999999998</v>
      </c>
    </row>
    <row r="282" spans="1:55" x14ac:dyDescent="0.2">
      <c r="A282" s="78" t="s">
        <v>430</v>
      </c>
      <c r="B282" s="22">
        <v>27273</v>
      </c>
      <c r="C282" s="22"/>
      <c r="D282" s="22"/>
      <c r="E282" s="22">
        <v>26785</v>
      </c>
      <c r="F282" s="78" t="s">
        <v>414</v>
      </c>
      <c r="G282" s="78">
        <v>1.2187829999999999</v>
      </c>
      <c r="J282" s="78">
        <v>2.8976109999999999</v>
      </c>
      <c r="K282" s="78">
        <v>12.67197</v>
      </c>
      <c r="R282" s="78">
        <v>4.3128270000000004</v>
      </c>
      <c r="S282" s="78">
        <v>4.57972</v>
      </c>
      <c r="AE282" s="78">
        <v>0.14180609999999999</v>
      </c>
      <c r="AG282" s="78">
        <v>1.739779E-2</v>
      </c>
      <c r="AQ282" s="78">
        <v>2.9216679999999999</v>
      </c>
      <c r="AS282" s="78">
        <v>0.60229140000000003</v>
      </c>
      <c r="AZ282" s="78">
        <v>5.0058400000000001</v>
      </c>
      <c r="BB282" s="78">
        <v>6.8708619999999998</v>
      </c>
      <c r="BC282" s="78">
        <v>0.37799850000000002</v>
      </c>
    </row>
    <row r="283" spans="1:55" x14ac:dyDescent="0.2">
      <c r="A283" s="78" t="s">
        <v>431</v>
      </c>
      <c r="B283" s="22">
        <v>27303</v>
      </c>
      <c r="C283" s="22"/>
      <c r="D283" s="22"/>
      <c r="E283" s="22">
        <v>26816</v>
      </c>
      <c r="F283" s="78" t="s">
        <v>415</v>
      </c>
      <c r="G283" s="78">
        <v>1.2439990000000001</v>
      </c>
      <c r="J283" s="78">
        <v>2.9528210000000001</v>
      </c>
      <c r="K283" s="78">
        <v>12.78842</v>
      </c>
      <c r="R283" s="78">
        <v>4.3672110000000002</v>
      </c>
      <c r="S283" s="78">
        <v>4.6363060000000003</v>
      </c>
      <c r="AE283" s="78">
        <v>0.143895</v>
      </c>
      <c r="AG283" s="78">
        <v>1.781696E-2</v>
      </c>
      <c r="AQ283" s="78">
        <v>2.9542760000000001</v>
      </c>
      <c r="AS283" s="78">
        <v>0.61229840000000002</v>
      </c>
      <c r="AZ283" s="78">
        <v>5.0696979999999998</v>
      </c>
      <c r="BB283" s="78">
        <v>6.9248779999999996</v>
      </c>
      <c r="BC283" s="78">
        <v>0.38613029999999998</v>
      </c>
    </row>
    <row r="284" spans="1:55" x14ac:dyDescent="0.2">
      <c r="A284" s="78" t="s">
        <v>432</v>
      </c>
      <c r="B284" s="22">
        <v>27334</v>
      </c>
      <c r="C284" s="22"/>
      <c r="D284" s="22"/>
      <c r="E284" s="22">
        <v>26846</v>
      </c>
      <c r="F284" s="78" t="s">
        <v>416</v>
      </c>
      <c r="G284" s="78">
        <v>1.2692159999999999</v>
      </c>
      <c r="J284" s="78">
        <v>3.023746</v>
      </c>
      <c r="K284" s="78">
        <v>12.864850000000001</v>
      </c>
      <c r="R284" s="78">
        <v>4.4061170000000001</v>
      </c>
      <c r="S284" s="78">
        <v>4.675916</v>
      </c>
      <c r="AE284" s="78">
        <v>0.1461768</v>
      </c>
      <c r="AG284" s="78">
        <v>1.821472E-2</v>
      </c>
      <c r="AQ284" s="78">
        <v>2.9835910000000001</v>
      </c>
      <c r="AS284" s="78">
        <v>0.62154140000000002</v>
      </c>
      <c r="AZ284" s="78">
        <v>5.1334359999999997</v>
      </c>
      <c r="BB284" s="78">
        <v>6.9514699999999996</v>
      </c>
      <c r="BC284" s="78">
        <v>0.39314290000000002</v>
      </c>
    </row>
    <row r="285" spans="1:55" x14ac:dyDescent="0.2">
      <c r="A285" s="78" t="s">
        <v>433</v>
      </c>
      <c r="B285" s="22">
        <v>27364</v>
      </c>
      <c r="C285" s="22"/>
      <c r="D285" s="22"/>
      <c r="E285" s="22">
        <v>26877</v>
      </c>
      <c r="F285" s="78" t="s">
        <v>417</v>
      </c>
      <c r="G285" s="78">
        <v>1.294432</v>
      </c>
      <c r="J285" s="78">
        <v>3.0295359999999998</v>
      </c>
      <c r="K285" s="78">
        <v>12.937569999999999</v>
      </c>
      <c r="R285" s="78">
        <v>4.4545190000000003</v>
      </c>
      <c r="S285" s="78">
        <v>4.7197709999999997</v>
      </c>
      <c r="AE285" s="78">
        <v>0.14830589999999999</v>
      </c>
      <c r="AG285" s="78">
        <v>1.8671989999999999E-2</v>
      </c>
      <c r="AQ285" s="78">
        <v>3.002129</v>
      </c>
      <c r="AS285" s="78">
        <v>0.62716340000000004</v>
      </c>
      <c r="AZ285" s="78">
        <v>5.186229</v>
      </c>
      <c r="BB285" s="78">
        <v>6.9705839999999997</v>
      </c>
      <c r="BC285" s="78">
        <v>0.3998757</v>
      </c>
    </row>
    <row r="286" spans="1:55" x14ac:dyDescent="0.2">
      <c r="A286" s="78" t="s">
        <v>434</v>
      </c>
      <c r="B286" s="22">
        <v>27395</v>
      </c>
      <c r="C286" s="22"/>
      <c r="D286" s="22"/>
      <c r="E286" s="22">
        <v>26908</v>
      </c>
      <c r="F286" s="78" t="s">
        <v>418</v>
      </c>
      <c r="G286" s="78">
        <v>1.316846</v>
      </c>
      <c r="J286" s="78">
        <v>3.0869179999999998</v>
      </c>
      <c r="K286" s="78">
        <v>13.022040000000001</v>
      </c>
      <c r="R286" s="78">
        <v>4.5145569999999999</v>
      </c>
      <c r="S286" s="78">
        <v>4.7678690000000001</v>
      </c>
      <c r="AE286" s="78">
        <v>0.15060599999999999</v>
      </c>
      <c r="AG286" s="78">
        <v>1.9133359999999999E-2</v>
      </c>
      <c r="AQ286" s="78">
        <v>3.0177770000000002</v>
      </c>
      <c r="AS286" s="78">
        <v>0.63208969999999998</v>
      </c>
      <c r="AZ286" s="78">
        <v>5.2393320000000001</v>
      </c>
      <c r="BB286" s="78">
        <v>6.9747389999999996</v>
      </c>
      <c r="BC286" s="78">
        <v>0.40688829999999998</v>
      </c>
    </row>
    <row r="287" spans="1:55" x14ac:dyDescent="0.2">
      <c r="A287" s="78" t="s">
        <v>435</v>
      </c>
      <c r="B287" s="22">
        <v>27426</v>
      </c>
      <c r="C287" s="22"/>
      <c r="D287" s="22"/>
      <c r="E287" s="22">
        <v>26938</v>
      </c>
      <c r="F287" s="78" t="s">
        <v>419</v>
      </c>
      <c r="G287" s="78">
        <v>1.3336570000000001</v>
      </c>
      <c r="J287" s="78">
        <v>3.1535530000000001</v>
      </c>
      <c r="K287" s="78">
        <v>13.10909</v>
      </c>
      <c r="R287" s="78">
        <v>4.5656020000000002</v>
      </c>
      <c r="S287" s="78">
        <v>4.8159679999999998</v>
      </c>
      <c r="AE287" s="78">
        <v>0.15282850000000001</v>
      </c>
      <c r="AG287" s="78">
        <v>1.9464169999999999E-2</v>
      </c>
      <c r="AQ287" s="78">
        <v>3.0276589999999999</v>
      </c>
      <c r="AS287" s="78">
        <v>0.64080999999999999</v>
      </c>
      <c r="AZ287" s="78">
        <v>5.294028</v>
      </c>
      <c r="BB287" s="78">
        <v>7.0021630000000004</v>
      </c>
      <c r="BC287" s="78">
        <v>0.4123445</v>
      </c>
    </row>
    <row r="288" spans="1:55" x14ac:dyDescent="0.2">
      <c r="A288" s="78" t="s">
        <v>436</v>
      </c>
      <c r="B288" s="22">
        <v>27454</v>
      </c>
      <c r="C288" s="22"/>
      <c r="D288" s="22"/>
      <c r="E288" s="22">
        <v>26969</v>
      </c>
      <c r="F288" s="78" t="s">
        <v>420</v>
      </c>
      <c r="G288" s="78">
        <v>1.339261</v>
      </c>
      <c r="J288" s="78">
        <v>3.245053</v>
      </c>
      <c r="K288" s="78">
        <v>13.193709999999999</v>
      </c>
      <c r="R288" s="78">
        <v>4.5984059999999998</v>
      </c>
      <c r="S288" s="78">
        <v>4.8673669999999998</v>
      </c>
      <c r="AE288" s="78">
        <v>0.15459580000000001</v>
      </c>
      <c r="AG288" s="78">
        <v>1.9872500000000001E-2</v>
      </c>
      <c r="AQ288" s="78">
        <v>3.0488650000000002</v>
      </c>
      <c r="AS288" s="78">
        <v>0.6509935</v>
      </c>
      <c r="AZ288" s="78">
        <v>5.3509419999999999</v>
      </c>
      <c r="BB288" s="78">
        <v>7.0545169999999997</v>
      </c>
      <c r="BC288" s="78">
        <v>0.41540490000000002</v>
      </c>
    </row>
    <row r="289" spans="1:55" x14ac:dyDescent="0.2">
      <c r="A289" s="78" t="s">
        <v>437</v>
      </c>
      <c r="B289" s="22">
        <v>27485</v>
      </c>
      <c r="C289" s="22"/>
      <c r="D289" s="22"/>
      <c r="E289" s="22">
        <v>26999</v>
      </c>
      <c r="F289" s="78" t="s">
        <v>421</v>
      </c>
      <c r="G289" s="78">
        <v>1.350468</v>
      </c>
      <c r="J289" s="78">
        <v>3.334641</v>
      </c>
      <c r="K289" s="78">
        <v>13.265829999999999</v>
      </c>
      <c r="R289" s="78">
        <v>4.6223549999999998</v>
      </c>
      <c r="S289" s="78">
        <v>4.9182940000000004</v>
      </c>
      <c r="AE289" s="78">
        <v>0.15607969999999999</v>
      </c>
      <c r="AG289" s="78">
        <v>2.028365E-2</v>
      </c>
      <c r="AQ289" s="78">
        <v>3.0871849999999998</v>
      </c>
      <c r="AS289" s="78">
        <v>0.66149780000000002</v>
      </c>
      <c r="AZ289" s="78">
        <v>5.4203400000000004</v>
      </c>
      <c r="BB289" s="78">
        <v>7.1093640000000002</v>
      </c>
      <c r="BC289" s="78">
        <v>0.41909479999999999</v>
      </c>
    </row>
    <row r="290" spans="1:55" x14ac:dyDescent="0.2">
      <c r="A290" s="78" t="s">
        <v>438</v>
      </c>
      <c r="B290" s="22">
        <v>27515</v>
      </c>
      <c r="C290" s="22"/>
      <c r="D290" s="22"/>
      <c r="E290" s="22">
        <v>27030</v>
      </c>
      <c r="F290" s="78" t="s">
        <v>422</v>
      </c>
      <c r="G290" s="78">
        <v>1.3672789999999999</v>
      </c>
      <c r="J290" s="78">
        <v>3.3881960000000002</v>
      </c>
      <c r="K290" s="78">
        <v>13.31334</v>
      </c>
      <c r="R290" s="78">
        <v>4.6480370000000004</v>
      </c>
      <c r="S290" s="78">
        <v>4.9748809999999999</v>
      </c>
      <c r="AE290" s="78">
        <v>0.15787399999999999</v>
      </c>
      <c r="AG290" s="78">
        <v>2.06877E-2</v>
      </c>
      <c r="AQ290" s="78">
        <v>3.122773</v>
      </c>
      <c r="AS290" s="78">
        <v>0.66989299999999996</v>
      </c>
      <c r="AZ290" s="78">
        <v>5.4598940000000002</v>
      </c>
      <c r="BB290" s="78">
        <v>7.1442670000000001</v>
      </c>
      <c r="BC290" s="78">
        <v>0.4235717</v>
      </c>
    </row>
    <row r="291" spans="1:55" x14ac:dyDescent="0.2">
      <c r="A291" s="78" t="s">
        <v>439</v>
      </c>
      <c r="B291" s="22">
        <v>27546</v>
      </c>
      <c r="C291" s="22"/>
      <c r="D291" s="22"/>
      <c r="E291" s="22">
        <v>27061</v>
      </c>
      <c r="F291" s="78" t="s">
        <v>423</v>
      </c>
      <c r="G291" s="78">
        <v>1.3840889999999999</v>
      </c>
      <c r="J291" s="78">
        <v>3.467238</v>
      </c>
      <c r="K291" s="78">
        <v>13.347899999999999</v>
      </c>
      <c r="R291" s="78">
        <v>4.6740709999999996</v>
      </c>
      <c r="S291" s="78">
        <v>5.0319390000000004</v>
      </c>
      <c r="AE291" s="78">
        <v>0.15983559999999999</v>
      </c>
      <c r="AG291" s="78">
        <v>2.116817E-2</v>
      </c>
      <c r="AQ291" s="78">
        <v>3.1654939999999998</v>
      </c>
      <c r="AS291" s="78">
        <v>0.67901219999999995</v>
      </c>
      <c r="AZ291" s="78">
        <v>5.5111759999999999</v>
      </c>
      <c r="BB291" s="78">
        <v>7.1816630000000004</v>
      </c>
      <c r="BC291" s="78">
        <v>0.42988480000000001</v>
      </c>
    </row>
    <row r="292" spans="1:55" x14ac:dyDescent="0.2">
      <c r="A292" s="78" t="s">
        <v>440</v>
      </c>
      <c r="B292" s="22">
        <v>27576</v>
      </c>
      <c r="C292" s="22"/>
      <c r="D292" s="22"/>
      <c r="E292" s="22">
        <v>27089</v>
      </c>
      <c r="F292" s="78" t="s">
        <v>424</v>
      </c>
      <c r="G292" s="78">
        <v>1.4009</v>
      </c>
      <c r="J292" s="78">
        <v>3.545194</v>
      </c>
      <c r="K292" s="78">
        <v>13.373860000000001</v>
      </c>
      <c r="R292" s="78">
        <v>4.6771399999999996</v>
      </c>
      <c r="S292" s="78">
        <v>5.0800369999999999</v>
      </c>
      <c r="AE292" s="78">
        <v>0.16147</v>
      </c>
      <c r="AG292" s="78">
        <v>2.1585549999999998E-2</v>
      </c>
      <c r="AQ292" s="78">
        <v>3.1872220000000002</v>
      </c>
      <c r="AS292" s="78">
        <v>0.69299069999999996</v>
      </c>
      <c r="AZ292" s="78">
        <v>5.5820290000000004</v>
      </c>
      <c r="BB292" s="78">
        <v>7.2306929999999996</v>
      </c>
      <c r="BC292" s="78">
        <v>0.4375444</v>
      </c>
    </row>
    <row r="293" spans="1:55" x14ac:dyDescent="0.2">
      <c r="A293" s="78" t="s">
        <v>441</v>
      </c>
      <c r="B293" s="22">
        <v>27607</v>
      </c>
      <c r="C293" s="22"/>
      <c r="D293" s="22"/>
      <c r="E293" s="22">
        <v>27120</v>
      </c>
      <c r="F293" s="78" t="s">
        <v>425</v>
      </c>
      <c r="G293" s="78">
        <v>1.412107</v>
      </c>
      <c r="J293" s="78">
        <v>3.598233</v>
      </c>
      <c r="K293" s="78">
        <v>13.427849999999999</v>
      </c>
      <c r="R293" s="78">
        <v>4.6857499999999996</v>
      </c>
      <c r="S293" s="78">
        <v>5.1319080000000001</v>
      </c>
      <c r="AE293" s="78">
        <v>0.1636292</v>
      </c>
      <c r="AG293" s="78">
        <v>2.1844229999999999E-2</v>
      </c>
      <c r="AQ293" s="78">
        <v>3.1993399999999999</v>
      </c>
      <c r="AS293" s="78">
        <v>0.70539130000000005</v>
      </c>
      <c r="AZ293" s="78">
        <v>5.6316220000000001</v>
      </c>
      <c r="BB293" s="78">
        <v>7.2539619999999996</v>
      </c>
      <c r="BC293" s="78">
        <v>0.44403239999999999</v>
      </c>
    </row>
    <row r="294" spans="1:55" x14ac:dyDescent="0.2">
      <c r="A294" s="78" t="s">
        <v>442</v>
      </c>
      <c r="B294" s="22">
        <v>27638</v>
      </c>
      <c r="C294" s="22"/>
      <c r="D294" s="22"/>
      <c r="E294" s="22">
        <v>27150</v>
      </c>
      <c r="F294" s="78" t="s">
        <v>426</v>
      </c>
      <c r="G294" s="78">
        <v>1.4289179999999999</v>
      </c>
      <c r="J294" s="78">
        <v>3.702296</v>
      </c>
      <c r="K294" s="78">
        <v>13.490489999999999</v>
      </c>
      <c r="R294" s="78">
        <v>4.7163680000000001</v>
      </c>
      <c r="S294" s="78">
        <v>5.1851929999999999</v>
      </c>
      <c r="AE294" s="78">
        <v>0.1658867</v>
      </c>
      <c r="AG294" s="78">
        <v>2.211349E-2</v>
      </c>
      <c r="AQ294" s="78">
        <v>3.2273770000000002</v>
      </c>
      <c r="AS294" s="78">
        <v>0.71572360000000002</v>
      </c>
      <c r="AZ294" s="78">
        <v>5.6878679999999999</v>
      </c>
      <c r="BB294" s="78">
        <v>7.2680889999999998</v>
      </c>
      <c r="BC294" s="78">
        <v>0.45050289999999998</v>
      </c>
    </row>
    <row r="295" spans="1:55" x14ac:dyDescent="0.2">
      <c r="A295" s="78" t="s">
        <v>443</v>
      </c>
      <c r="B295" s="22">
        <v>27668</v>
      </c>
      <c r="C295" s="22"/>
      <c r="D295" s="22"/>
      <c r="E295" s="22">
        <v>27181</v>
      </c>
      <c r="F295" s="78" t="s">
        <v>427</v>
      </c>
      <c r="G295" s="78">
        <v>1.4289179999999999</v>
      </c>
      <c r="J295" s="78">
        <v>3.730108</v>
      </c>
      <c r="K295" s="78">
        <v>13.532819999999999</v>
      </c>
      <c r="R295" s="78">
        <v>4.7255140000000004</v>
      </c>
      <c r="S295" s="78">
        <v>5.2262180000000003</v>
      </c>
      <c r="AE295" s="78">
        <v>0.16752139999999999</v>
      </c>
      <c r="AG295" s="78">
        <v>2.246625E-2</v>
      </c>
      <c r="AQ295" s="78">
        <v>3.2470029999999999</v>
      </c>
      <c r="AS295" s="78">
        <v>0.73005909999999996</v>
      </c>
      <c r="AZ295" s="78">
        <v>5.7574319999999997</v>
      </c>
      <c r="BB295" s="78">
        <v>7.2946809999999997</v>
      </c>
      <c r="BC295" s="78">
        <v>0.45751550000000002</v>
      </c>
    </row>
    <row r="296" spans="1:55" x14ac:dyDescent="0.2">
      <c r="A296" s="78" t="s">
        <v>444</v>
      </c>
      <c r="B296" s="22">
        <v>27699</v>
      </c>
      <c r="C296" s="22"/>
      <c r="D296" s="22"/>
      <c r="E296" s="22">
        <v>27211</v>
      </c>
      <c r="F296" s="78" t="s">
        <v>428</v>
      </c>
      <c r="G296" s="78">
        <v>1.4093059999999999</v>
      </c>
      <c r="J296" s="78">
        <v>3.8263639999999999</v>
      </c>
      <c r="K296" s="78">
        <v>13.596880000000001</v>
      </c>
      <c r="R296" s="78">
        <v>4.7335560000000001</v>
      </c>
      <c r="S296" s="78">
        <v>5.2733739999999996</v>
      </c>
      <c r="AE296" s="78">
        <v>0.16935910000000001</v>
      </c>
      <c r="AG296" s="78">
        <v>2.2767909999999999E-2</v>
      </c>
      <c r="AQ296" s="78">
        <v>3.2682370000000001</v>
      </c>
      <c r="AS296" s="78">
        <v>0.7414404</v>
      </c>
      <c r="AZ296" s="78">
        <v>5.7906709999999997</v>
      </c>
      <c r="BB296" s="78">
        <v>7.3245979999999999</v>
      </c>
      <c r="BC296" s="78">
        <v>0.46200980000000003</v>
      </c>
    </row>
    <row r="297" spans="1:55" x14ac:dyDescent="0.2">
      <c r="A297" s="78" t="s">
        <v>445</v>
      </c>
      <c r="B297" s="22">
        <v>27729</v>
      </c>
      <c r="C297" s="22"/>
      <c r="D297" s="22"/>
      <c r="E297" s="22">
        <v>27242</v>
      </c>
      <c r="F297" s="78" t="s">
        <v>429</v>
      </c>
      <c r="G297" s="78">
        <v>1.392495</v>
      </c>
      <c r="J297" s="78">
        <v>3.8883459999999999</v>
      </c>
      <c r="K297" s="78">
        <v>13.706799999999999</v>
      </c>
      <c r="R297" s="78">
        <v>4.775919</v>
      </c>
      <c r="S297" s="78">
        <v>5.3200570000000003</v>
      </c>
      <c r="AE297" s="78">
        <v>0.17072190000000001</v>
      </c>
      <c r="AG297" s="78">
        <v>2.3220319999999999E-2</v>
      </c>
      <c r="AQ297" s="78">
        <v>3.3016519999999998</v>
      </c>
      <c r="AS297" s="78">
        <v>0.75311799999999995</v>
      </c>
      <c r="AZ297" s="78">
        <v>5.8159340000000004</v>
      </c>
      <c r="BB297" s="78">
        <v>7.347035</v>
      </c>
      <c r="BC297" s="78">
        <v>0.4645455</v>
      </c>
    </row>
    <row r="298" spans="1:55" x14ac:dyDescent="0.2">
      <c r="A298" s="78" t="s">
        <v>446</v>
      </c>
      <c r="B298" s="22">
        <v>27760</v>
      </c>
      <c r="C298" s="22"/>
      <c r="D298" s="22"/>
      <c r="E298" s="22">
        <v>27273</v>
      </c>
      <c r="F298" s="78" t="s">
        <v>430</v>
      </c>
      <c r="G298" s="78">
        <v>1.3868910000000001</v>
      </c>
      <c r="J298" s="78">
        <v>3.95343</v>
      </c>
      <c r="K298" s="78">
        <v>13.81986</v>
      </c>
      <c r="R298" s="78">
        <v>4.8335020000000002</v>
      </c>
      <c r="S298" s="78">
        <v>5.3601390000000002</v>
      </c>
      <c r="AE298" s="78">
        <v>0.1714667</v>
      </c>
      <c r="AG298" s="78">
        <v>2.3780820000000001E-2</v>
      </c>
      <c r="AQ298" s="78">
        <v>3.3401800000000001</v>
      </c>
      <c r="AS298" s="78">
        <v>0.7688372</v>
      </c>
      <c r="AZ298" s="78">
        <v>5.8772679999999999</v>
      </c>
      <c r="BB298" s="78">
        <v>7.3786139999999998</v>
      </c>
      <c r="BC298" s="78">
        <v>0.46694140000000001</v>
      </c>
    </row>
    <row r="299" spans="1:55" x14ac:dyDescent="0.2">
      <c r="A299" s="78" t="s">
        <v>447</v>
      </c>
      <c r="B299" s="22">
        <v>27791</v>
      </c>
      <c r="C299" s="22"/>
      <c r="D299" s="22"/>
      <c r="E299" s="22">
        <v>27303</v>
      </c>
      <c r="F299" s="78" t="s">
        <v>431</v>
      </c>
      <c r="G299" s="78">
        <v>1.403702</v>
      </c>
      <c r="J299" s="78">
        <v>3.9651130000000001</v>
      </c>
      <c r="K299" s="78">
        <v>13.900880000000001</v>
      </c>
      <c r="R299" s="78">
        <v>4.8822000000000001</v>
      </c>
      <c r="S299" s="78">
        <v>5.4058799999999998</v>
      </c>
      <c r="AE299" s="78">
        <v>0.172511</v>
      </c>
      <c r="AG299" s="78">
        <v>2.4421729999999999E-2</v>
      </c>
      <c r="AQ299" s="78">
        <v>3.3896470000000001</v>
      </c>
      <c r="AS299" s="78">
        <v>0.78155200000000002</v>
      </c>
      <c r="AZ299" s="78">
        <v>5.8980040000000002</v>
      </c>
      <c r="BB299" s="78">
        <v>7.423489</v>
      </c>
      <c r="BC299" s="78">
        <v>0.47379660000000001</v>
      </c>
    </row>
    <row r="300" spans="1:55" x14ac:dyDescent="0.2">
      <c r="A300" s="78" t="s">
        <v>448</v>
      </c>
      <c r="B300" s="22">
        <v>27820</v>
      </c>
      <c r="C300" s="22"/>
      <c r="D300" s="22"/>
      <c r="E300" s="22">
        <v>27334</v>
      </c>
      <c r="F300" s="78" t="s">
        <v>432</v>
      </c>
      <c r="G300" s="78">
        <v>1.4289179999999999</v>
      </c>
      <c r="J300" s="78">
        <v>4.0016100000000003</v>
      </c>
      <c r="K300" s="78">
        <v>13.99403</v>
      </c>
      <c r="R300" s="78">
        <v>4.9741</v>
      </c>
      <c r="S300" s="78">
        <v>5.4634090000000004</v>
      </c>
      <c r="AE300" s="78">
        <v>0.1737107</v>
      </c>
      <c r="AG300" s="78">
        <v>2.5197839999999999E-2</v>
      </c>
      <c r="AQ300" s="78">
        <v>3.4307729999999999</v>
      </c>
      <c r="AS300" s="78">
        <v>0.79977759999999998</v>
      </c>
      <c r="AZ300" s="78">
        <v>5.9121430000000004</v>
      </c>
      <c r="BB300" s="78">
        <v>7.4675330000000004</v>
      </c>
      <c r="BC300" s="78">
        <v>0.4840969</v>
      </c>
    </row>
    <row r="301" spans="1:55" x14ac:dyDescent="0.2">
      <c r="A301" s="78" t="s">
        <v>449</v>
      </c>
      <c r="B301" s="22">
        <v>27851</v>
      </c>
      <c r="C301" s="22"/>
      <c r="D301" s="22"/>
      <c r="E301" s="22">
        <v>27364</v>
      </c>
      <c r="F301" s="78" t="s">
        <v>433</v>
      </c>
      <c r="G301" s="78">
        <v>1.448531</v>
      </c>
      <c r="J301" s="78">
        <v>4.0395029999999998</v>
      </c>
      <c r="K301" s="78">
        <v>14.07821</v>
      </c>
      <c r="R301" s="78">
        <v>5.0357839999999996</v>
      </c>
      <c r="S301" s="78">
        <v>5.5261259999999996</v>
      </c>
      <c r="AE301" s="78">
        <v>0.17473639999999999</v>
      </c>
      <c r="AG301" s="78">
        <v>2.5813099999999999E-2</v>
      </c>
      <c r="AQ301" s="78">
        <v>3.450285</v>
      </c>
      <c r="AS301" s="78">
        <v>0.82214330000000002</v>
      </c>
      <c r="AZ301" s="78">
        <v>5.9504159999999997</v>
      </c>
      <c r="BB301" s="78">
        <v>7.4966189999999999</v>
      </c>
      <c r="BC301" s="78">
        <v>0.49194890000000002</v>
      </c>
    </row>
    <row r="302" spans="1:55" x14ac:dyDescent="0.2">
      <c r="A302" s="78" t="s">
        <v>450</v>
      </c>
      <c r="B302" s="22">
        <v>27881</v>
      </c>
      <c r="C302" s="22"/>
      <c r="D302" s="22"/>
      <c r="E302" s="22">
        <v>27395</v>
      </c>
      <c r="F302" s="78" t="s">
        <v>434</v>
      </c>
      <c r="G302" s="78">
        <v>1.4737469999999999</v>
      </c>
      <c r="J302" s="78">
        <v>4.0933169999999999</v>
      </c>
      <c r="K302" s="78">
        <v>14.14584</v>
      </c>
      <c r="R302" s="78">
        <v>5.0455269999999999</v>
      </c>
      <c r="S302" s="78">
        <v>5.5878990000000002</v>
      </c>
      <c r="AE302" s="78">
        <v>0.17632329999999999</v>
      </c>
      <c r="AG302" s="78">
        <v>2.637157E-2</v>
      </c>
      <c r="AQ302" s="78">
        <v>3.4680900000000001</v>
      </c>
      <c r="AS302" s="78">
        <v>0.83502810000000005</v>
      </c>
      <c r="AZ302" s="78">
        <v>5.9803569999999997</v>
      </c>
      <c r="BB302" s="78">
        <v>7.5315219999999998</v>
      </c>
      <c r="BC302" s="78">
        <v>0.50224919999999995</v>
      </c>
    </row>
    <row r="303" spans="1:55" x14ac:dyDescent="0.2">
      <c r="A303" s="78" t="s">
        <v>451</v>
      </c>
      <c r="B303" s="22">
        <v>27912</v>
      </c>
      <c r="C303" s="22"/>
      <c r="D303" s="22"/>
      <c r="E303" s="22">
        <v>27426</v>
      </c>
      <c r="F303" s="78" t="s">
        <v>435</v>
      </c>
      <c r="G303" s="78">
        <v>1.507369</v>
      </c>
      <c r="J303" s="78">
        <v>4.1386539999999998</v>
      </c>
      <c r="K303" s="78">
        <v>14.22715</v>
      </c>
      <c r="R303" s="78">
        <v>5.1018559999999997</v>
      </c>
      <c r="S303" s="78">
        <v>5.647786</v>
      </c>
      <c r="AE303" s="78">
        <v>0.17856279999999999</v>
      </c>
      <c r="AG303" s="78">
        <v>2.6842979999999999E-2</v>
      </c>
      <c r="AQ303" s="78">
        <v>3.5131790000000001</v>
      </c>
      <c r="AS303" s="78">
        <v>0.84726389999999996</v>
      </c>
      <c r="AZ303" s="78">
        <v>6.0215500000000004</v>
      </c>
      <c r="BB303" s="78">
        <v>7.5963409999999998</v>
      </c>
      <c r="BC303" s="78">
        <v>0.51125540000000003</v>
      </c>
    </row>
    <row r="304" spans="1:55" x14ac:dyDescent="0.2">
      <c r="A304" s="78" t="s">
        <v>452</v>
      </c>
      <c r="B304" s="22">
        <v>27942</v>
      </c>
      <c r="C304" s="22"/>
      <c r="D304" s="22"/>
      <c r="E304" s="22">
        <v>27454</v>
      </c>
      <c r="F304" s="78" t="s">
        <v>436</v>
      </c>
      <c r="G304" s="78">
        <v>1.5409900000000001</v>
      </c>
      <c r="J304" s="78">
        <v>4.1735990000000003</v>
      </c>
      <c r="K304" s="78">
        <v>14.31251</v>
      </c>
      <c r="R304" s="78">
        <v>5.1867929999999998</v>
      </c>
      <c r="S304" s="78">
        <v>5.6939979999999997</v>
      </c>
      <c r="AE304" s="78">
        <v>0.17982629999999999</v>
      </c>
      <c r="AG304" s="78">
        <v>2.7102270000000001E-2</v>
      </c>
      <c r="AQ304" s="78">
        <v>3.5497719999999999</v>
      </c>
      <c r="AS304" s="78">
        <v>0.86474220000000002</v>
      </c>
      <c r="AZ304" s="78">
        <v>6.0820749999999997</v>
      </c>
      <c r="BB304" s="78">
        <v>7.686922</v>
      </c>
      <c r="BC304" s="78">
        <v>0.5191249</v>
      </c>
    </row>
    <row r="305" spans="1:55" x14ac:dyDescent="0.2">
      <c r="A305" s="78" t="s">
        <v>453</v>
      </c>
      <c r="B305" s="22">
        <v>27973</v>
      </c>
      <c r="C305" s="22"/>
      <c r="D305" s="22"/>
      <c r="E305" s="22">
        <v>27485</v>
      </c>
      <c r="F305" s="78" t="s">
        <v>437</v>
      </c>
      <c r="G305" s="78">
        <v>1.5746119999999999</v>
      </c>
      <c r="J305" s="78">
        <v>4.1860059999999999</v>
      </c>
      <c r="K305" s="78">
        <v>14.38142</v>
      </c>
      <c r="R305" s="78">
        <v>5.2620940000000003</v>
      </c>
      <c r="S305" s="78">
        <v>5.7321939999999998</v>
      </c>
      <c r="AE305" s="78">
        <v>0.1811789</v>
      </c>
      <c r="AG305" s="78">
        <v>2.748186E-2</v>
      </c>
      <c r="AQ305" s="78">
        <v>3.5656889999999999</v>
      </c>
      <c r="AS305" s="78">
        <v>0.88075979999999998</v>
      </c>
      <c r="AZ305" s="78">
        <v>6.1407819999999997</v>
      </c>
      <c r="BB305" s="78">
        <v>7.7708550000000001</v>
      </c>
      <c r="BC305" s="78">
        <v>0.52667960000000003</v>
      </c>
    </row>
    <row r="306" spans="1:55" x14ac:dyDescent="0.2">
      <c r="A306" s="78" t="s">
        <v>454</v>
      </c>
      <c r="B306" s="22">
        <v>28004</v>
      </c>
      <c r="C306" s="22"/>
      <c r="D306" s="22"/>
      <c r="E306" s="22">
        <v>27515</v>
      </c>
      <c r="F306" s="78" t="s">
        <v>438</v>
      </c>
      <c r="G306" s="78">
        <v>1.60263</v>
      </c>
      <c r="J306" s="78">
        <v>4.2004809999999999</v>
      </c>
      <c r="K306" s="78">
        <v>14.47339</v>
      </c>
      <c r="R306" s="78">
        <v>5.3407109999999998</v>
      </c>
      <c r="S306" s="78">
        <v>5.7788779999999997</v>
      </c>
      <c r="AE306" s="78">
        <v>0.1832955</v>
      </c>
      <c r="AG306" s="78">
        <v>2.7938549999999999E-2</v>
      </c>
      <c r="AQ306" s="78">
        <v>3.6047210000000001</v>
      </c>
      <c r="AS306" s="78">
        <v>0.89719890000000002</v>
      </c>
      <c r="AZ306" s="78">
        <v>6.184965</v>
      </c>
      <c r="BB306" s="78">
        <v>7.8772250000000001</v>
      </c>
      <c r="BC306" s="78">
        <v>0.5303696</v>
      </c>
    </row>
    <row r="307" spans="1:55" x14ac:dyDescent="0.2">
      <c r="A307" s="78" t="s">
        <v>455</v>
      </c>
      <c r="B307" s="22">
        <v>28034</v>
      </c>
      <c r="C307" s="22"/>
      <c r="D307" s="22"/>
      <c r="E307" s="22">
        <v>27546</v>
      </c>
      <c r="F307" s="78" t="s">
        <v>439</v>
      </c>
      <c r="G307" s="78">
        <v>1.6250439999999999</v>
      </c>
      <c r="J307" s="78">
        <v>4.2838649999999996</v>
      </c>
      <c r="K307" s="78">
        <v>14.218159999999999</v>
      </c>
      <c r="R307" s="78">
        <v>5.4696030000000002</v>
      </c>
      <c r="S307" s="78">
        <v>5.8430090000000003</v>
      </c>
      <c r="AE307" s="78">
        <v>0.1855656</v>
      </c>
      <c r="AG307" s="78">
        <v>2.8540719999999999E-2</v>
      </c>
      <c r="AQ307" s="78">
        <v>3.664819</v>
      </c>
      <c r="AS307" s="78">
        <v>0.91366840000000005</v>
      </c>
      <c r="AZ307" s="78">
        <v>6.2599</v>
      </c>
      <c r="BB307" s="78">
        <v>8.0027089999999994</v>
      </c>
      <c r="BC307" s="78">
        <v>0.53720730000000005</v>
      </c>
    </row>
    <row r="308" spans="1:55" x14ac:dyDescent="0.2">
      <c r="A308" s="78" t="s">
        <v>456</v>
      </c>
      <c r="B308" s="22">
        <v>28065</v>
      </c>
      <c r="C308" s="22"/>
      <c r="D308" s="22"/>
      <c r="E308" s="22">
        <v>27576</v>
      </c>
      <c r="F308" s="78" t="s">
        <v>440</v>
      </c>
      <c r="G308" s="78">
        <v>1.655864</v>
      </c>
      <c r="J308" s="78">
        <v>4.3124000000000002</v>
      </c>
      <c r="K308" s="78">
        <v>13.918979999999999</v>
      </c>
      <c r="R308" s="78">
        <v>5.6076499999999996</v>
      </c>
      <c r="S308" s="78">
        <v>5.9241159999999997</v>
      </c>
      <c r="AE308" s="78">
        <v>0.18821979999999999</v>
      </c>
      <c r="AG308" s="78">
        <v>2.9306909999999999E-2</v>
      </c>
      <c r="AQ308" s="78">
        <v>3.7245119999999998</v>
      </c>
      <c r="AS308" s="78">
        <v>0.93195249999999996</v>
      </c>
      <c r="AZ308" s="78">
        <v>6.3339759999999998</v>
      </c>
      <c r="BB308" s="78">
        <v>8.1032620000000009</v>
      </c>
      <c r="BC308" s="78">
        <v>0.54775240000000003</v>
      </c>
    </row>
    <row r="309" spans="1:55" x14ac:dyDescent="0.2">
      <c r="A309" s="78" t="s">
        <v>457</v>
      </c>
      <c r="B309" s="22">
        <v>28095</v>
      </c>
      <c r="C309" s="22"/>
      <c r="D309" s="22"/>
      <c r="E309" s="22">
        <v>27607</v>
      </c>
      <c r="F309" s="78" t="s">
        <v>441</v>
      </c>
      <c r="G309" s="78">
        <v>1.6866840000000001</v>
      </c>
      <c r="J309" s="78">
        <v>4.3724699999999999</v>
      </c>
      <c r="K309" s="78">
        <v>13.96477</v>
      </c>
      <c r="R309" s="78">
        <v>5.7173400000000001</v>
      </c>
      <c r="S309" s="78">
        <v>6.0028649999999999</v>
      </c>
      <c r="AE309" s="78">
        <v>0.19055430000000001</v>
      </c>
      <c r="AG309" s="78">
        <v>3.0355719999999999E-2</v>
      </c>
      <c r="AQ309" s="78">
        <v>3.7792140000000001</v>
      </c>
      <c r="AS309" s="78">
        <v>0.95539700000000005</v>
      </c>
      <c r="AZ309" s="78">
        <v>6.3983949999999998</v>
      </c>
      <c r="BB309" s="78">
        <v>8.1697439999999997</v>
      </c>
      <c r="BC309" s="78">
        <v>0.55808769999999996</v>
      </c>
    </row>
    <row r="310" spans="1:55" x14ac:dyDescent="0.2">
      <c r="A310" s="78" t="s">
        <v>458</v>
      </c>
      <c r="B310" s="22">
        <v>28126</v>
      </c>
      <c r="C310" s="22"/>
      <c r="D310" s="22"/>
      <c r="E310" s="22">
        <v>27638</v>
      </c>
      <c r="F310" s="78" t="s">
        <v>442</v>
      </c>
      <c r="G310" s="78">
        <v>1.706297</v>
      </c>
      <c r="J310" s="78">
        <v>4.4469110000000001</v>
      </c>
      <c r="K310" s="78">
        <v>14.03895</v>
      </c>
      <c r="R310" s="78">
        <v>5.7992900000000001</v>
      </c>
      <c r="S310" s="78">
        <v>6.0787849999999999</v>
      </c>
      <c r="AE310" s="78">
        <v>0.19215769999999999</v>
      </c>
      <c r="AG310" s="78">
        <v>3.1223629999999999E-2</v>
      </c>
      <c r="AQ310" s="78">
        <v>3.847359</v>
      </c>
      <c r="AS310" s="78">
        <v>0.97612259999999995</v>
      </c>
      <c r="AZ310" s="78">
        <v>6.4671459999999996</v>
      </c>
      <c r="BB310" s="78">
        <v>8.2395499999999995</v>
      </c>
      <c r="BC310" s="78">
        <v>0.56543259999999995</v>
      </c>
    </row>
    <row r="311" spans="1:55" x14ac:dyDescent="0.2">
      <c r="A311" s="78" t="s">
        <v>459</v>
      </c>
      <c r="B311" s="22">
        <v>28157</v>
      </c>
      <c r="C311" s="22"/>
      <c r="D311" s="22"/>
      <c r="E311" s="22">
        <v>27668</v>
      </c>
      <c r="F311" s="78" t="s">
        <v>443</v>
      </c>
      <c r="G311" s="78">
        <v>1.7259089999999999</v>
      </c>
      <c r="J311" s="78">
        <v>4.4985540000000004</v>
      </c>
      <c r="K311" s="78">
        <v>14.15363</v>
      </c>
      <c r="R311" s="78">
        <v>5.9654480000000003</v>
      </c>
      <c r="S311" s="78">
        <v>6.1627219999999996</v>
      </c>
      <c r="AE311" s="78">
        <v>0.19432840000000001</v>
      </c>
      <c r="AG311" s="78">
        <v>3.1717450000000001E-2</v>
      </c>
      <c r="AQ311" s="78">
        <v>3.8971019999999998</v>
      </c>
      <c r="AS311" s="78">
        <v>0.98814270000000004</v>
      </c>
      <c r="AZ311" s="78">
        <v>6.530608</v>
      </c>
      <c r="BB311" s="78">
        <v>8.2919029999999996</v>
      </c>
      <c r="BC311" s="78">
        <v>0.57202549999999996</v>
      </c>
    </row>
    <row r="312" spans="1:55" x14ac:dyDescent="0.2">
      <c r="A312" s="78" t="s">
        <v>460</v>
      </c>
      <c r="B312" s="22">
        <v>28185</v>
      </c>
      <c r="C312" s="22"/>
      <c r="D312" s="22"/>
      <c r="E312" s="22">
        <v>27699</v>
      </c>
      <c r="F312" s="78" t="s">
        <v>444</v>
      </c>
      <c r="G312" s="78">
        <v>1.745522</v>
      </c>
      <c r="J312" s="78">
        <v>4.5058949999999998</v>
      </c>
      <c r="K312" s="78">
        <v>14.27769</v>
      </c>
      <c r="R312" s="78">
        <v>6.1682480000000002</v>
      </c>
      <c r="S312" s="78">
        <v>6.2339260000000003</v>
      </c>
      <c r="AE312" s="78">
        <v>0.1967083</v>
      </c>
      <c r="AG312" s="78">
        <v>3.2291729999999998E-2</v>
      </c>
      <c r="AQ312" s="78">
        <v>3.9296470000000001</v>
      </c>
      <c r="AS312" s="78">
        <v>0.99984870000000003</v>
      </c>
      <c r="AZ312" s="78">
        <v>6.595116</v>
      </c>
      <c r="BB312" s="78">
        <v>8.3675259999999998</v>
      </c>
      <c r="BC312" s="78">
        <v>0.58204599999999995</v>
      </c>
    </row>
    <row r="313" spans="1:55" x14ac:dyDescent="0.2">
      <c r="A313" s="78" t="s">
        <v>461</v>
      </c>
      <c r="B313" s="22">
        <v>28216</v>
      </c>
      <c r="C313" s="22"/>
      <c r="D313" s="22"/>
      <c r="E313" s="22">
        <v>27729</v>
      </c>
      <c r="F313" s="78" t="s">
        <v>445</v>
      </c>
      <c r="G313" s="78">
        <v>1.765134</v>
      </c>
      <c r="J313" s="78">
        <v>4.6156439999999996</v>
      </c>
      <c r="K313" s="78">
        <v>14.431950000000001</v>
      </c>
      <c r="R313" s="78">
        <v>6.2608730000000001</v>
      </c>
      <c r="S313" s="78">
        <v>6.311261</v>
      </c>
      <c r="AE313" s="78">
        <v>0.19775290000000001</v>
      </c>
      <c r="AG313" s="78">
        <v>3.3047939999999998E-2</v>
      </c>
      <c r="AQ313" s="78">
        <v>3.9570460000000001</v>
      </c>
      <c r="AS313" s="78">
        <v>1.021998</v>
      </c>
      <c r="AZ313" s="78">
        <v>6.6464299999999996</v>
      </c>
      <c r="BB313" s="78">
        <v>8.4448109999999996</v>
      </c>
      <c r="BC313" s="78">
        <v>0.59154189999999995</v>
      </c>
    </row>
    <row r="314" spans="1:55" x14ac:dyDescent="0.2">
      <c r="A314" s="78" t="s">
        <v>462</v>
      </c>
      <c r="B314" s="22">
        <v>28246</v>
      </c>
      <c r="C314" s="22"/>
      <c r="D314" s="22"/>
      <c r="E314" s="22">
        <v>27760</v>
      </c>
      <c r="F314" s="78" t="s">
        <v>446</v>
      </c>
      <c r="G314" s="78">
        <v>1.7847470000000001</v>
      </c>
      <c r="J314" s="78">
        <v>4.6639790000000003</v>
      </c>
      <c r="K314" s="78">
        <v>14.576510000000001</v>
      </c>
      <c r="R314" s="78">
        <v>6.3550969999999998</v>
      </c>
      <c r="S314" s="78">
        <v>6.3951969999999996</v>
      </c>
      <c r="AE314" s="78">
        <v>0.1996406</v>
      </c>
      <c r="AG314" s="78">
        <v>3.3936880000000003E-2</v>
      </c>
      <c r="AQ314" s="78">
        <v>4.0073990000000004</v>
      </c>
      <c r="AS314" s="78">
        <v>1.0468649999999999</v>
      </c>
      <c r="AZ314" s="78">
        <v>6.703125</v>
      </c>
      <c r="BB314" s="78">
        <v>8.5312370000000008</v>
      </c>
      <c r="BC314" s="78">
        <v>0.59687559999999995</v>
      </c>
    </row>
    <row r="315" spans="1:55" x14ac:dyDescent="0.2">
      <c r="A315" s="78" t="s">
        <v>463</v>
      </c>
      <c r="B315" s="22">
        <v>28277</v>
      </c>
      <c r="C315" s="22"/>
      <c r="D315" s="22"/>
      <c r="E315" s="22">
        <v>27791</v>
      </c>
      <c r="F315" s="78" t="s">
        <v>447</v>
      </c>
      <c r="G315" s="78">
        <v>1.7931520000000001</v>
      </c>
      <c r="J315" s="78">
        <v>4.7479310000000003</v>
      </c>
      <c r="K315" s="78">
        <v>14.66614</v>
      </c>
      <c r="R315" s="78">
        <v>6.5402170000000002</v>
      </c>
      <c r="S315" s="78">
        <v>6.4635730000000002</v>
      </c>
      <c r="AE315" s="78">
        <v>0.20302500000000001</v>
      </c>
      <c r="AG315" s="78">
        <v>3.481824E-2</v>
      </c>
      <c r="AQ315" s="78">
        <v>4.0739799999999997</v>
      </c>
      <c r="AS315" s="78">
        <v>1.063436</v>
      </c>
      <c r="AZ315" s="78">
        <v>6.7613000000000003</v>
      </c>
      <c r="BB315" s="78">
        <v>8.6450859999999992</v>
      </c>
      <c r="BC315" s="78">
        <v>0.60103770000000001</v>
      </c>
    </row>
    <row r="316" spans="1:55" x14ac:dyDescent="0.2">
      <c r="A316" s="78" t="s">
        <v>464</v>
      </c>
      <c r="B316" s="22">
        <v>28307</v>
      </c>
      <c r="C316" s="22"/>
      <c r="D316" s="22"/>
      <c r="E316" s="22">
        <v>27820</v>
      </c>
      <c r="F316" s="78" t="s">
        <v>448</v>
      </c>
      <c r="G316" s="78">
        <v>1.80436</v>
      </c>
      <c r="J316" s="78">
        <v>4.8605229999999997</v>
      </c>
      <c r="K316" s="78">
        <v>14.76122</v>
      </c>
      <c r="R316" s="78">
        <v>6.6354150000000001</v>
      </c>
      <c r="S316" s="78">
        <v>6.539021</v>
      </c>
      <c r="AE316" s="78">
        <v>0.2057937</v>
      </c>
      <c r="AG316" s="78">
        <v>3.5274159999999999E-2</v>
      </c>
      <c r="AQ316" s="78">
        <v>4.1191269999999998</v>
      </c>
      <c r="AS316" s="78">
        <v>1.0894489999999999</v>
      </c>
      <c r="AZ316" s="78">
        <v>6.803356</v>
      </c>
      <c r="BB316" s="78">
        <v>8.7256959999999992</v>
      </c>
      <c r="BC316" s="78">
        <v>0.60474510000000004</v>
      </c>
    </row>
    <row r="317" spans="1:55" x14ac:dyDescent="0.2">
      <c r="A317" s="78" t="s">
        <v>465</v>
      </c>
      <c r="B317" s="22">
        <v>28338</v>
      </c>
      <c r="C317" s="22"/>
      <c r="D317" s="22"/>
      <c r="E317" s="22">
        <v>27851</v>
      </c>
      <c r="F317" s="78" t="s">
        <v>449</v>
      </c>
      <c r="G317" s="78">
        <v>1.8295760000000001</v>
      </c>
      <c r="J317" s="78">
        <v>4.9714609999999997</v>
      </c>
      <c r="K317" s="78">
        <v>14.87307</v>
      </c>
      <c r="R317" s="78">
        <v>6.6444359999999998</v>
      </c>
      <c r="S317" s="78">
        <v>6.6229570000000004</v>
      </c>
      <c r="AE317" s="78">
        <v>0.20868419999999999</v>
      </c>
      <c r="AG317" s="78">
        <v>3.558265E-2</v>
      </c>
      <c r="AQ317" s="78">
        <v>4.1783060000000001</v>
      </c>
      <c r="AS317" s="78">
        <v>1.114598</v>
      </c>
      <c r="AZ317" s="78">
        <v>6.8503280000000002</v>
      </c>
      <c r="BB317" s="78">
        <v>8.8154450000000004</v>
      </c>
      <c r="BC317" s="78">
        <v>0.60950179999999998</v>
      </c>
    </row>
    <row r="318" spans="1:55" x14ac:dyDescent="0.2">
      <c r="A318" s="78" t="s">
        <v>466</v>
      </c>
      <c r="B318" s="22">
        <v>28369</v>
      </c>
      <c r="C318" s="22"/>
      <c r="D318" s="22"/>
      <c r="E318" s="22">
        <v>27881</v>
      </c>
      <c r="F318" s="78" t="s">
        <v>450</v>
      </c>
      <c r="G318" s="78">
        <v>1.85199</v>
      </c>
      <c r="J318" s="78">
        <v>5.0613060000000001</v>
      </c>
      <c r="K318" s="78">
        <v>14.97462</v>
      </c>
      <c r="R318" s="78">
        <v>6.719182</v>
      </c>
      <c r="S318" s="78">
        <v>6.6936900000000001</v>
      </c>
      <c r="AE318" s="78">
        <v>0.21262739999999999</v>
      </c>
      <c r="AG318" s="78">
        <v>3.6609990000000002E-2</v>
      </c>
      <c r="AQ318" s="78">
        <v>4.2402660000000001</v>
      </c>
      <c r="AS318" s="78">
        <v>1.1391370000000001</v>
      </c>
      <c r="AZ318" s="78">
        <v>6.9070809999999998</v>
      </c>
      <c r="BB318" s="78">
        <v>8.9093499999999999</v>
      </c>
      <c r="BC318" s="78">
        <v>0.61390869999999997</v>
      </c>
    </row>
    <row r="319" spans="1:55" x14ac:dyDescent="0.2">
      <c r="A319" s="78" t="s">
        <v>467</v>
      </c>
      <c r="B319" s="22">
        <v>28399</v>
      </c>
      <c r="C319" s="22"/>
      <c r="D319" s="22"/>
      <c r="E319" s="22">
        <v>27912</v>
      </c>
      <c r="F319" s="78" t="s">
        <v>451</v>
      </c>
      <c r="G319" s="78">
        <v>1.8688009999999999</v>
      </c>
      <c r="J319" s="78">
        <v>5.1204460000000003</v>
      </c>
      <c r="K319" s="78">
        <v>15.056100000000001</v>
      </c>
      <c r="R319" s="78">
        <v>6.7673490000000003</v>
      </c>
      <c r="S319" s="78">
        <v>6.7752689999999998</v>
      </c>
      <c r="AE319" s="78">
        <v>0.21648439999999999</v>
      </c>
      <c r="AG319" s="78">
        <v>3.7985440000000002E-2</v>
      </c>
      <c r="AQ319" s="78">
        <v>4.2974759999999996</v>
      </c>
      <c r="AS319" s="78">
        <v>1.1654819999999999</v>
      </c>
      <c r="AZ319" s="78">
        <v>6.9532470000000002</v>
      </c>
      <c r="BB319" s="78">
        <v>8.9550560000000008</v>
      </c>
      <c r="BC319" s="78">
        <v>0.61983710000000003</v>
      </c>
    </row>
    <row r="320" spans="1:55" x14ac:dyDescent="0.2">
      <c r="A320" s="78" t="s">
        <v>468</v>
      </c>
      <c r="B320" s="22">
        <v>28430</v>
      </c>
      <c r="C320" s="22"/>
      <c r="D320" s="22"/>
      <c r="E320" s="22">
        <v>27942</v>
      </c>
      <c r="F320" s="78" t="s">
        <v>452</v>
      </c>
      <c r="G320" s="78">
        <v>1.888414</v>
      </c>
      <c r="J320" s="78">
        <v>5.1859440000000001</v>
      </c>
      <c r="K320" s="78">
        <v>15.146280000000001</v>
      </c>
      <c r="R320" s="78">
        <v>6.8133179999999998</v>
      </c>
      <c r="S320" s="78">
        <v>6.8568470000000001</v>
      </c>
      <c r="AE320" s="78">
        <v>0.22013869999999999</v>
      </c>
      <c r="AG320" s="78">
        <v>3.954473E-2</v>
      </c>
      <c r="AQ320" s="78">
        <v>4.3599069999999998</v>
      </c>
      <c r="AS320" s="78">
        <v>1.1857359999999999</v>
      </c>
      <c r="AZ320" s="78">
        <v>6.9878270000000002</v>
      </c>
      <c r="BB320" s="78">
        <v>9.027355</v>
      </c>
      <c r="BC320" s="78">
        <v>0.62545070000000003</v>
      </c>
    </row>
    <row r="321" spans="1:56" x14ac:dyDescent="0.2">
      <c r="A321" s="78" t="s">
        <v>469</v>
      </c>
      <c r="B321" s="22">
        <v>28460</v>
      </c>
      <c r="C321" s="22"/>
      <c r="D321" s="22"/>
      <c r="E321" s="22">
        <v>27973</v>
      </c>
      <c r="F321" s="78" t="s">
        <v>453</v>
      </c>
      <c r="G321" s="78">
        <v>2.0369090000000001</v>
      </c>
      <c r="J321" s="78">
        <v>5.287007</v>
      </c>
      <c r="K321" s="78">
        <v>15.24286</v>
      </c>
      <c r="R321" s="78">
        <v>6.856611</v>
      </c>
      <c r="S321" s="78">
        <v>6.9252219999999998</v>
      </c>
      <c r="AE321" s="78">
        <v>0.22438820000000001</v>
      </c>
      <c r="AG321" s="78">
        <v>4.0790170000000001E-2</v>
      </c>
      <c r="AQ321" s="78">
        <v>4.4048389999999999</v>
      </c>
      <c r="AS321" s="78">
        <v>1.2023189999999999</v>
      </c>
      <c r="AZ321" s="78">
        <v>7.0282359999999997</v>
      </c>
      <c r="BB321" s="78">
        <v>9.1304020000000001</v>
      </c>
      <c r="BC321" s="78">
        <v>0.62896569999999996</v>
      </c>
    </row>
    <row r="322" spans="1:56" x14ac:dyDescent="0.2">
      <c r="A322" s="78" t="s">
        <v>470</v>
      </c>
      <c r="B322" s="22">
        <v>28491</v>
      </c>
      <c r="C322" s="22"/>
      <c r="D322" s="22"/>
      <c r="E322" s="22">
        <v>28004</v>
      </c>
      <c r="F322" s="78" t="s">
        <v>454</v>
      </c>
      <c r="G322" s="78">
        <v>2.1882060000000001</v>
      </c>
      <c r="J322" s="78">
        <v>5.2880409999999998</v>
      </c>
      <c r="K322" s="78">
        <v>15.310779999999999</v>
      </c>
      <c r="R322" s="78">
        <v>6.8547070000000003</v>
      </c>
      <c r="S322" s="78">
        <v>7.0011429999999999</v>
      </c>
      <c r="AE322" s="78">
        <v>0.22908390000000001</v>
      </c>
      <c r="AG322" s="78">
        <v>4.1577530000000001E-2</v>
      </c>
      <c r="AQ322" s="78">
        <v>4.4327059999999996</v>
      </c>
      <c r="AS322" s="78">
        <v>1.217214</v>
      </c>
      <c r="AZ322" s="78">
        <v>7.0756790000000001</v>
      </c>
      <c r="BB322" s="78">
        <v>9.2309540000000005</v>
      </c>
      <c r="BC322" s="78">
        <v>0.63498149999999998</v>
      </c>
    </row>
    <row r="323" spans="1:56" x14ac:dyDescent="0.2">
      <c r="A323" s="78" t="s">
        <v>471</v>
      </c>
      <c r="B323" s="22">
        <v>28522</v>
      </c>
      <c r="C323" s="22"/>
      <c r="D323" s="22"/>
      <c r="E323" s="22">
        <v>28034</v>
      </c>
      <c r="F323" s="78" t="s">
        <v>455</v>
      </c>
      <c r="G323" s="78">
        <v>2.2078190000000002</v>
      </c>
      <c r="J323" s="78">
        <v>5.3960840000000001</v>
      </c>
      <c r="K323" s="78">
        <v>15.368180000000001</v>
      </c>
      <c r="R323" s="78">
        <v>6.864598</v>
      </c>
      <c r="S323" s="78">
        <v>7.0756480000000002</v>
      </c>
      <c r="AE323" s="78">
        <v>0.23371919999999999</v>
      </c>
      <c r="AG323" s="78">
        <v>4.2398180000000001E-2</v>
      </c>
      <c r="AQ323" s="78">
        <v>4.4865180000000002</v>
      </c>
      <c r="AS323" s="78">
        <v>1.235544</v>
      </c>
      <c r="AZ323" s="78">
        <v>7.1076709999999999</v>
      </c>
      <c r="BB323" s="78">
        <v>9.3489590000000007</v>
      </c>
      <c r="BC323" s="78">
        <v>0.64169679999999996</v>
      </c>
    </row>
    <row r="324" spans="1:56" x14ac:dyDescent="0.2">
      <c r="A324" s="78" t="s">
        <v>472</v>
      </c>
      <c r="B324" s="22">
        <v>28550</v>
      </c>
      <c r="C324" s="22"/>
      <c r="D324" s="22"/>
      <c r="E324" s="22">
        <v>28065</v>
      </c>
      <c r="F324" s="78" t="s">
        <v>456</v>
      </c>
      <c r="G324" s="78">
        <v>2.2274319999999999</v>
      </c>
      <c r="J324" s="78">
        <v>5.4630289999999997</v>
      </c>
      <c r="K324" s="78">
        <v>15.435320000000001</v>
      </c>
      <c r="R324" s="78">
        <v>6.9048299999999996</v>
      </c>
      <c r="S324" s="78">
        <v>7.1459089999999996</v>
      </c>
      <c r="AE324" s="78">
        <v>0.23749780000000001</v>
      </c>
      <c r="AG324" s="78">
        <v>4.3096339999999997E-2</v>
      </c>
      <c r="AQ324" s="78">
        <v>4.555447</v>
      </c>
      <c r="AS324" s="78">
        <v>1.256788</v>
      </c>
      <c r="AZ324" s="78">
        <v>7.11022</v>
      </c>
      <c r="BB324" s="78">
        <v>9.458653</v>
      </c>
      <c r="BC324" s="78">
        <v>0.64629610000000004</v>
      </c>
    </row>
    <row r="325" spans="1:56" x14ac:dyDescent="0.2">
      <c r="A325" s="78" t="s">
        <v>473</v>
      </c>
      <c r="B325" s="22">
        <v>28581</v>
      </c>
      <c r="C325" s="22"/>
      <c r="D325" s="22"/>
      <c r="E325" s="22">
        <v>28095</v>
      </c>
      <c r="F325" s="78" t="s">
        <v>457</v>
      </c>
      <c r="G325" s="78">
        <v>2.258251</v>
      </c>
      <c r="J325" s="78">
        <v>5.5404679999999997</v>
      </c>
      <c r="K325" s="78">
        <v>15.56761</v>
      </c>
      <c r="R325" s="78">
        <v>6.965141</v>
      </c>
      <c r="S325" s="78">
        <v>7.200609</v>
      </c>
      <c r="AE325" s="78">
        <v>0.24226259999999999</v>
      </c>
      <c r="AG325" s="78">
        <v>4.3885830000000001E-2</v>
      </c>
      <c r="AQ325" s="78">
        <v>4.6200190000000001</v>
      </c>
      <c r="AS325" s="78">
        <v>1.280648</v>
      </c>
      <c r="AZ325" s="78">
        <v>7.042789</v>
      </c>
      <c r="BB325" s="78">
        <v>9.5733350000000002</v>
      </c>
      <c r="BC325" s="78">
        <v>0.64886679999999997</v>
      </c>
    </row>
    <row r="326" spans="1:56" x14ac:dyDescent="0.2">
      <c r="A326" s="78" t="s">
        <v>474</v>
      </c>
      <c r="B326" s="22">
        <v>28611</v>
      </c>
      <c r="C326" s="22"/>
      <c r="D326" s="22"/>
      <c r="E326" s="22">
        <v>28126</v>
      </c>
      <c r="F326" s="78" t="s">
        <v>458</v>
      </c>
      <c r="G326" s="78">
        <v>2.2890709999999999</v>
      </c>
      <c r="J326" s="78">
        <v>5.6125829999999999</v>
      </c>
      <c r="K326" s="78">
        <v>15.730270000000001</v>
      </c>
      <c r="R326" s="78">
        <v>7.0428519999999999</v>
      </c>
      <c r="S326" s="78">
        <v>7.2623829999999998</v>
      </c>
      <c r="AE326" s="78">
        <v>0.24589720000000001</v>
      </c>
      <c r="AG326" s="78">
        <v>4.5048650000000003E-2</v>
      </c>
      <c r="AQ326" s="78">
        <v>4.6925439999999998</v>
      </c>
      <c r="AS326" s="78">
        <v>1.303677</v>
      </c>
      <c r="AZ326" s="78">
        <v>7.0539649999999998</v>
      </c>
      <c r="BB326" s="78">
        <v>9.6830289999999994</v>
      </c>
      <c r="BC326" s="78">
        <v>0.6514025</v>
      </c>
    </row>
    <row r="327" spans="1:56" x14ac:dyDescent="0.2">
      <c r="A327" s="78" t="s">
        <v>475</v>
      </c>
      <c r="B327" s="22">
        <v>28642</v>
      </c>
      <c r="C327" s="22"/>
      <c r="D327" s="22"/>
      <c r="E327" s="22">
        <v>28157</v>
      </c>
      <c r="F327" s="78" t="s">
        <v>459</v>
      </c>
      <c r="G327" s="78">
        <v>2.3198910000000001</v>
      </c>
      <c r="J327" s="78">
        <v>5.6766329999999998</v>
      </c>
      <c r="K327" s="78">
        <v>15.83175</v>
      </c>
      <c r="R327" s="78">
        <v>7.112787</v>
      </c>
      <c r="S327" s="78">
        <v>7.3383029999999998</v>
      </c>
      <c r="AE327" s="78">
        <v>0.2478398</v>
      </c>
      <c r="AG327" s="78">
        <v>4.6580789999999997E-2</v>
      </c>
      <c r="AQ327" s="78">
        <v>4.7523439999999999</v>
      </c>
      <c r="AS327" s="78">
        <v>1.448464</v>
      </c>
      <c r="AZ327" s="78">
        <v>7.1436760000000001</v>
      </c>
      <c r="BB327" s="78">
        <v>9.7860750000000003</v>
      </c>
      <c r="BC327" s="78">
        <v>0.65357100000000001</v>
      </c>
    </row>
    <row r="328" spans="1:56" x14ac:dyDescent="0.2">
      <c r="A328" s="78" t="s">
        <v>476</v>
      </c>
      <c r="B328" s="22">
        <v>28672</v>
      </c>
      <c r="C328" s="22"/>
      <c r="D328" s="22"/>
      <c r="E328" s="22">
        <v>28185</v>
      </c>
      <c r="F328" s="78" t="s">
        <v>460</v>
      </c>
      <c r="G328" s="78">
        <v>2.3451070000000001</v>
      </c>
      <c r="J328" s="78">
        <v>5.7559329999999997</v>
      </c>
      <c r="K328" s="78">
        <v>15.91362</v>
      </c>
      <c r="R328" s="78">
        <v>7.1607599999999998</v>
      </c>
      <c r="S328" s="78">
        <v>7.4189379999999998</v>
      </c>
      <c r="AE328" s="78">
        <v>0.25235940000000001</v>
      </c>
      <c r="AG328" s="78">
        <v>4.8392240000000003E-2</v>
      </c>
      <c r="AQ328" s="78">
        <v>4.8624859999999996</v>
      </c>
      <c r="AS328" s="78">
        <v>1.467177</v>
      </c>
      <c r="AZ328" s="78">
        <v>7.1808560000000003</v>
      </c>
      <c r="BB328" s="78">
        <v>9.8766569999999998</v>
      </c>
      <c r="BC328" s="78">
        <v>0.65769820000000001</v>
      </c>
      <c r="BD328" s="78">
        <v>1.5</v>
      </c>
    </row>
    <row r="329" spans="1:56" x14ac:dyDescent="0.2">
      <c r="A329" s="78" t="s">
        <v>477</v>
      </c>
      <c r="B329" s="22">
        <v>28703</v>
      </c>
      <c r="C329" s="22"/>
      <c r="D329" s="22"/>
      <c r="E329" s="22">
        <v>28216</v>
      </c>
      <c r="F329" s="78" t="s">
        <v>461</v>
      </c>
      <c r="G329" s="78">
        <v>2.3591160000000002</v>
      </c>
      <c r="J329" s="78">
        <v>5.8288229999999999</v>
      </c>
      <c r="K329" s="78">
        <v>16.025790000000001</v>
      </c>
      <c r="R329" s="78">
        <v>7.2276439999999997</v>
      </c>
      <c r="S329" s="78">
        <v>7.5024030000000002</v>
      </c>
      <c r="AE329" s="78">
        <v>0.2569612</v>
      </c>
      <c r="AG329" s="78">
        <v>4.9974619999999997E-2</v>
      </c>
      <c r="AQ329" s="78">
        <v>4.9468050000000003</v>
      </c>
      <c r="AS329" s="78">
        <v>1.4910019999999999</v>
      </c>
      <c r="AZ329" s="78">
        <v>7.2165210000000002</v>
      </c>
      <c r="BB329" s="78">
        <v>9.9688990000000004</v>
      </c>
      <c r="BC329" s="78">
        <v>0.66434349999999998</v>
      </c>
      <c r="BD329" s="78">
        <v>1.027579</v>
      </c>
    </row>
    <row r="330" spans="1:56" x14ac:dyDescent="0.2">
      <c r="A330" s="78" t="s">
        <v>478</v>
      </c>
      <c r="B330" s="22">
        <v>28734</v>
      </c>
      <c r="C330" s="22"/>
      <c r="D330" s="22"/>
      <c r="E330" s="22">
        <v>28246</v>
      </c>
      <c r="F330" s="78" t="s">
        <v>462</v>
      </c>
      <c r="G330" s="78">
        <v>2.3759269999999999</v>
      </c>
      <c r="J330" s="78">
        <v>5.9657629999999999</v>
      </c>
      <c r="K330" s="78">
        <v>16.177479999999999</v>
      </c>
      <c r="R330" s="78">
        <v>7.3217639999999999</v>
      </c>
      <c r="S330" s="78">
        <v>7.5844529999999999</v>
      </c>
      <c r="AE330" s="78">
        <v>0.26006940000000001</v>
      </c>
      <c r="AG330" s="78">
        <v>5.1702480000000002E-2</v>
      </c>
      <c r="AQ330" s="78">
        <v>4.9616059999999997</v>
      </c>
      <c r="AS330" s="78">
        <v>1.514839</v>
      </c>
      <c r="AZ330" s="78">
        <v>7.2416340000000003</v>
      </c>
      <c r="BB330" s="78">
        <v>10.04702</v>
      </c>
      <c r="BC330" s="78">
        <v>0.67338469999999995</v>
      </c>
      <c r="BD330" s="78">
        <v>1.0607040000000001</v>
      </c>
    </row>
    <row r="331" spans="1:56" x14ac:dyDescent="0.2">
      <c r="A331" s="78" t="s">
        <v>479</v>
      </c>
      <c r="B331" s="22">
        <v>28764</v>
      </c>
      <c r="C331" s="22"/>
      <c r="D331" s="22"/>
      <c r="E331" s="22">
        <v>28277</v>
      </c>
      <c r="F331" s="78" t="s">
        <v>463</v>
      </c>
      <c r="G331" s="78">
        <v>2.392738</v>
      </c>
      <c r="J331" s="78">
        <v>5.961576</v>
      </c>
      <c r="K331" s="78">
        <v>16.36149</v>
      </c>
      <c r="R331" s="78">
        <v>7.3694430000000004</v>
      </c>
      <c r="S331" s="78">
        <v>7.6570720000000003</v>
      </c>
      <c r="AE331" s="78">
        <v>0.26304719999999998</v>
      </c>
      <c r="AG331" s="78">
        <v>5.2944310000000001E-2</v>
      </c>
      <c r="AQ331" s="78">
        <v>5.030513</v>
      </c>
      <c r="AS331" s="78">
        <v>1.5352760000000001</v>
      </c>
      <c r="AZ331" s="78">
        <v>7.2487060000000003</v>
      </c>
      <c r="BB331" s="78">
        <v>10.120139999999999</v>
      </c>
      <c r="BC331" s="78">
        <v>0.68377239999999995</v>
      </c>
      <c r="BD331" s="78">
        <v>1.06745</v>
      </c>
    </row>
    <row r="332" spans="1:56" x14ac:dyDescent="0.2">
      <c r="A332" s="78" t="s">
        <v>480</v>
      </c>
      <c r="B332" s="22">
        <v>28795</v>
      </c>
      <c r="C332" s="22"/>
      <c r="D332" s="22"/>
      <c r="E332" s="22">
        <v>28307</v>
      </c>
      <c r="F332" s="78" t="s">
        <v>464</v>
      </c>
      <c r="G332" s="78">
        <v>2.4039450000000002</v>
      </c>
      <c r="J332" s="78">
        <v>6.0297099999999997</v>
      </c>
      <c r="K332" s="78">
        <v>16.520219999999998</v>
      </c>
      <c r="R332" s="78">
        <v>7.3798459999999997</v>
      </c>
      <c r="S332" s="78">
        <v>7.7443090000000003</v>
      </c>
      <c r="AE332" s="78">
        <v>0.26628469999999999</v>
      </c>
      <c r="AG332" s="78">
        <v>5.3668199999999999E-2</v>
      </c>
      <c r="AQ332" s="78">
        <v>5.1114480000000002</v>
      </c>
      <c r="AS332" s="78">
        <v>1.5632870000000001</v>
      </c>
      <c r="AZ332" s="78">
        <v>7.2945250000000001</v>
      </c>
      <c r="BB332" s="78">
        <v>10.19411</v>
      </c>
      <c r="BC332" s="78">
        <v>0.68730500000000005</v>
      </c>
      <c r="BD332" s="78">
        <v>1.076854</v>
      </c>
    </row>
    <row r="333" spans="1:56" x14ac:dyDescent="0.2">
      <c r="A333" s="78" t="s">
        <v>481</v>
      </c>
      <c r="B333" s="22">
        <v>28825</v>
      </c>
      <c r="C333" s="22"/>
      <c r="D333" s="22"/>
      <c r="E333" s="22">
        <v>28338</v>
      </c>
      <c r="F333" s="78" t="s">
        <v>465</v>
      </c>
      <c r="G333" s="78">
        <v>2.41235</v>
      </c>
      <c r="J333" s="78">
        <v>6.1133009999999999</v>
      </c>
      <c r="K333" s="78">
        <v>16.639250000000001</v>
      </c>
      <c r="R333" s="78">
        <v>7.4269869999999996</v>
      </c>
      <c r="S333" s="78">
        <v>7.8386199999999997</v>
      </c>
      <c r="AE333" s="78">
        <v>0.27032089999999998</v>
      </c>
      <c r="AG333" s="78">
        <v>5.4565599999999999E-2</v>
      </c>
      <c r="AQ333" s="78">
        <v>5.1875030000000004</v>
      </c>
      <c r="AS333" s="78">
        <v>1.591933</v>
      </c>
      <c r="AZ333" s="78">
        <v>7.3485560000000003</v>
      </c>
      <c r="BB333" s="78">
        <v>10.2797</v>
      </c>
      <c r="BC333" s="78">
        <v>0.68872149999999999</v>
      </c>
      <c r="BD333" s="78">
        <v>1.1036159999999999</v>
      </c>
    </row>
    <row r="334" spans="1:56" x14ac:dyDescent="0.2">
      <c r="A334" s="78" t="s">
        <v>482</v>
      </c>
      <c r="B334" s="22">
        <v>28856</v>
      </c>
      <c r="C334" s="22"/>
      <c r="D334" s="22"/>
      <c r="E334" s="22">
        <v>28369</v>
      </c>
      <c r="F334" s="78" t="s">
        <v>466</v>
      </c>
      <c r="G334" s="78">
        <v>2.4179539999999999</v>
      </c>
      <c r="J334" s="78">
        <v>6.2092470000000004</v>
      </c>
      <c r="K334" s="78">
        <v>16.761230000000001</v>
      </c>
      <c r="R334" s="78">
        <v>7.5033310000000002</v>
      </c>
      <c r="S334" s="78">
        <v>7.9183130000000004</v>
      </c>
      <c r="AE334" s="78">
        <v>0.27471630000000002</v>
      </c>
      <c r="AG334" s="78">
        <v>5.5962419999999999E-2</v>
      </c>
      <c r="AQ334" s="78">
        <v>5.2623480000000002</v>
      </c>
      <c r="AS334" s="78">
        <v>1.6118490000000001</v>
      </c>
      <c r="AZ334" s="78">
        <v>7.4243949999999996</v>
      </c>
      <c r="BB334" s="78">
        <v>10.35615</v>
      </c>
      <c r="BC334" s="78">
        <v>0.69405530000000004</v>
      </c>
      <c r="BD334" s="78">
        <v>1.1200159999999999</v>
      </c>
    </row>
    <row r="335" spans="1:56" x14ac:dyDescent="0.2">
      <c r="A335" s="78" t="s">
        <v>483</v>
      </c>
      <c r="B335" s="22">
        <v>28887</v>
      </c>
      <c r="C335" s="22"/>
      <c r="D335" s="22"/>
      <c r="E335" s="22">
        <v>28399</v>
      </c>
      <c r="F335" s="78" t="s">
        <v>467</v>
      </c>
      <c r="G335" s="78">
        <v>2.4263590000000002</v>
      </c>
      <c r="J335" s="78">
        <v>6.2793460000000003</v>
      </c>
      <c r="K335" s="78">
        <v>16.88542</v>
      </c>
      <c r="R335" s="78">
        <v>7.5892549999999996</v>
      </c>
      <c r="S335" s="78">
        <v>7.9885739999999998</v>
      </c>
      <c r="AE335" s="78">
        <v>0.27850780000000003</v>
      </c>
      <c r="AG335" s="78">
        <v>5.7980669999999998E-2</v>
      </c>
      <c r="AQ335" s="78">
        <v>5.3294220000000001</v>
      </c>
      <c r="AS335" s="78">
        <v>1.637645</v>
      </c>
      <c r="AZ335" s="78">
        <v>7.552206</v>
      </c>
      <c r="BB335" s="78">
        <v>10.420970000000001</v>
      </c>
      <c r="BC335" s="78">
        <v>0.6979725</v>
      </c>
      <c r="BD335" s="78">
        <v>1.135453</v>
      </c>
    </row>
    <row r="336" spans="1:56" x14ac:dyDescent="0.2">
      <c r="A336" s="78" t="s">
        <v>484</v>
      </c>
      <c r="B336" s="22">
        <v>28915</v>
      </c>
      <c r="C336" s="22"/>
      <c r="D336" s="22"/>
      <c r="E336" s="22">
        <v>28430</v>
      </c>
      <c r="F336" s="78" t="s">
        <v>468</v>
      </c>
      <c r="G336" s="78">
        <v>2.4431699999999998</v>
      </c>
      <c r="J336" s="78">
        <v>6.2986789999999999</v>
      </c>
      <c r="K336" s="78">
        <v>16.969049999999999</v>
      </c>
      <c r="R336" s="78">
        <v>7.6455950000000001</v>
      </c>
      <c r="S336" s="78">
        <v>8.0531769999999998</v>
      </c>
      <c r="AE336" s="78">
        <v>0.28279850000000001</v>
      </c>
      <c r="AG336" s="78">
        <v>6.0023100000000003E-2</v>
      </c>
      <c r="AQ336" s="78">
        <v>5.3798849999999998</v>
      </c>
      <c r="AS336" s="78">
        <v>1.664218</v>
      </c>
      <c r="AZ336" s="78">
        <v>7.6610880000000003</v>
      </c>
      <c r="BB336" s="78">
        <v>10.490780000000001</v>
      </c>
      <c r="BC336" s="78">
        <v>0.70267670000000004</v>
      </c>
      <c r="BD336" s="78">
        <v>1.16004</v>
      </c>
    </row>
    <row r="337" spans="1:56" x14ac:dyDescent="0.2">
      <c r="A337" s="78" t="s">
        <v>485</v>
      </c>
      <c r="B337" s="22">
        <v>28946</v>
      </c>
      <c r="C337" s="22"/>
      <c r="D337" s="22"/>
      <c r="E337" s="22">
        <v>28460</v>
      </c>
      <c r="F337" s="78" t="s">
        <v>469</v>
      </c>
      <c r="G337" s="78">
        <v>2.4655849999999999</v>
      </c>
      <c r="J337" s="78">
        <v>6.3728100000000003</v>
      </c>
      <c r="K337" s="78">
        <v>17.03576</v>
      </c>
      <c r="R337" s="78">
        <v>7.661994</v>
      </c>
      <c r="S337" s="78">
        <v>8.1418289999999995</v>
      </c>
      <c r="AE337" s="78">
        <v>0.28834290000000001</v>
      </c>
      <c r="AG337" s="78">
        <v>6.2485609999999997E-2</v>
      </c>
      <c r="AQ337" s="78">
        <v>5.4233469999999997</v>
      </c>
      <c r="AS337" s="78">
        <v>1.693443</v>
      </c>
      <c r="AZ337" s="78">
        <v>7.6580839999999997</v>
      </c>
      <c r="BB337" s="78">
        <v>10.556430000000001</v>
      </c>
      <c r="BC337" s="78">
        <v>0.71049379999999995</v>
      </c>
      <c r="BD337" s="78">
        <v>1.1946369999999999</v>
      </c>
    </row>
    <row r="338" spans="1:56" x14ac:dyDescent="0.2">
      <c r="A338" s="78" t="s">
        <v>486</v>
      </c>
      <c r="B338" s="22">
        <v>28976</v>
      </c>
      <c r="C338" s="22"/>
      <c r="D338" s="22"/>
      <c r="E338" s="22">
        <v>28491</v>
      </c>
      <c r="F338" s="78" t="s">
        <v>470</v>
      </c>
      <c r="G338" s="78">
        <v>2.4851969999999999</v>
      </c>
      <c r="J338" s="78">
        <v>6.4345860000000004</v>
      </c>
      <c r="K338" s="78">
        <v>17.13391</v>
      </c>
      <c r="R338" s="78">
        <v>7.6734419999999997</v>
      </c>
      <c r="S338" s="78">
        <v>8.2394400000000001</v>
      </c>
      <c r="AE338" s="78">
        <v>0.2922073</v>
      </c>
      <c r="AG338" s="78">
        <v>6.4587459999999999E-2</v>
      </c>
      <c r="AO338" s="78">
        <v>7.082072E-3</v>
      </c>
      <c r="AQ338" s="78">
        <v>5.476979</v>
      </c>
      <c r="AS338" s="78">
        <v>1.7249639999999999</v>
      </c>
      <c r="AZ338" s="78">
        <v>7.7324549999999999</v>
      </c>
      <c r="BB338" s="78">
        <v>10.634550000000001</v>
      </c>
      <c r="BC338" s="78">
        <v>0.72598799999999997</v>
      </c>
      <c r="BD338" s="78">
        <v>1.2325980000000001</v>
      </c>
    </row>
    <row r="339" spans="1:56" x14ac:dyDescent="0.2">
      <c r="A339" s="78" t="s">
        <v>487</v>
      </c>
      <c r="B339" s="22">
        <v>29007</v>
      </c>
      <c r="C339" s="22"/>
      <c r="D339" s="22"/>
      <c r="E339" s="22">
        <v>28522</v>
      </c>
      <c r="F339" s="78" t="s">
        <v>471</v>
      </c>
      <c r="G339" s="78">
        <v>2.507612</v>
      </c>
      <c r="J339" s="78">
        <v>6.4850919999999999</v>
      </c>
      <c r="K339" s="78">
        <v>17.29186</v>
      </c>
      <c r="R339" s="78">
        <v>7.6751240000000003</v>
      </c>
      <c r="S339" s="78">
        <v>8.3238479999999999</v>
      </c>
      <c r="AE339" s="78">
        <v>0.2952169</v>
      </c>
      <c r="AG339" s="78">
        <v>6.6402470000000005E-2</v>
      </c>
      <c r="AO339" s="78">
        <v>4.0172769999999997E-3</v>
      </c>
      <c r="AQ339" s="78">
        <v>5.502078</v>
      </c>
      <c r="AS339" s="78">
        <v>1.7419690000000001</v>
      </c>
      <c r="AZ339" s="78">
        <v>7.8820690000000004</v>
      </c>
      <c r="BB339" s="78">
        <v>10.682740000000001</v>
      </c>
      <c r="BC339" s="78">
        <v>0.73924369999999995</v>
      </c>
      <c r="BD339" s="78">
        <v>1.264022</v>
      </c>
    </row>
    <row r="340" spans="1:56" x14ac:dyDescent="0.2">
      <c r="A340" s="78" t="s">
        <v>488</v>
      </c>
      <c r="B340" s="22">
        <v>29037</v>
      </c>
      <c r="C340" s="22"/>
      <c r="D340" s="22"/>
      <c r="E340" s="22">
        <v>28550</v>
      </c>
      <c r="F340" s="78" t="s">
        <v>472</v>
      </c>
      <c r="G340" s="78">
        <v>2.5384310000000001</v>
      </c>
      <c r="J340" s="78">
        <v>6.576695</v>
      </c>
      <c r="K340" s="78">
        <v>17.507719999999999</v>
      </c>
      <c r="R340" s="78">
        <v>7.6806910000000004</v>
      </c>
      <c r="S340" s="78">
        <v>8.4077839999999995</v>
      </c>
      <c r="AE340" s="78">
        <v>0.2996161</v>
      </c>
      <c r="AG340" s="78">
        <v>6.8535429999999994E-2</v>
      </c>
      <c r="AO340" s="78">
        <v>4.1045980000000001E-3</v>
      </c>
      <c r="AQ340" s="78">
        <v>5.5471110000000001</v>
      </c>
      <c r="AS340" s="78">
        <v>1.762391</v>
      </c>
      <c r="AZ340" s="78">
        <v>7.9622140000000003</v>
      </c>
      <c r="BB340" s="78">
        <v>10.73842</v>
      </c>
      <c r="BC340" s="78">
        <v>0.74583659999999996</v>
      </c>
      <c r="BD340" s="78">
        <v>1.296333</v>
      </c>
    </row>
    <row r="341" spans="1:56" x14ac:dyDescent="0.2">
      <c r="A341" s="78" t="s">
        <v>489</v>
      </c>
      <c r="B341" s="22">
        <v>29068</v>
      </c>
      <c r="C341" s="22"/>
      <c r="D341" s="22"/>
      <c r="E341" s="22">
        <v>28581</v>
      </c>
      <c r="F341" s="78" t="s">
        <v>473</v>
      </c>
      <c r="G341" s="78">
        <v>2.569251</v>
      </c>
      <c r="J341" s="78">
        <v>6.7067079999999999</v>
      </c>
      <c r="K341" s="78">
        <v>17.697620000000001</v>
      </c>
      <c r="R341" s="78">
        <v>7.7135160000000003</v>
      </c>
      <c r="S341" s="78">
        <v>8.4936070000000008</v>
      </c>
      <c r="AE341" s="78">
        <v>0.30483890000000002</v>
      </c>
      <c r="AG341" s="78">
        <v>7.0417140000000003E-2</v>
      </c>
      <c r="AO341" s="78">
        <v>4.2001139999999996E-3</v>
      </c>
      <c r="AQ341" s="78">
        <v>5.5972660000000003</v>
      </c>
      <c r="AS341" s="78">
        <v>1.784805</v>
      </c>
      <c r="AZ341" s="78">
        <v>8.0816440000000007</v>
      </c>
      <c r="BB341" s="78">
        <v>10.806570000000001</v>
      </c>
      <c r="BC341" s="78">
        <v>0.75767580000000001</v>
      </c>
      <c r="BD341" s="78">
        <v>1.332546</v>
      </c>
    </row>
    <row r="342" spans="1:56" x14ac:dyDescent="0.2">
      <c r="A342" s="78" t="s">
        <v>490</v>
      </c>
      <c r="B342" s="22">
        <v>29099</v>
      </c>
      <c r="C342" s="22"/>
      <c r="D342" s="22"/>
      <c r="E342" s="22">
        <v>28611</v>
      </c>
      <c r="F342" s="78" t="s">
        <v>474</v>
      </c>
      <c r="G342" s="78">
        <v>2.6000709999999998</v>
      </c>
      <c r="J342" s="78">
        <v>6.7597990000000001</v>
      </c>
      <c r="K342" s="78">
        <v>17.859200000000001</v>
      </c>
      <c r="R342" s="78">
        <v>7.7557850000000004</v>
      </c>
      <c r="S342" s="78">
        <v>8.5817870000000003</v>
      </c>
      <c r="AE342" s="78">
        <v>0.30966769999999999</v>
      </c>
      <c r="AG342" s="78">
        <v>7.2257390000000005E-2</v>
      </c>
      <c r="AO342" s="78">
        <v>4.3065239999999999E-3</v>
      </c>
      <c r="AQ342" s="78">
        <v>5.6791049999999998</v>
      </c>
      <c r="AS342" s="78">
        <v>1.8104119999999999</v>
      </c>
      <c r="AZ342" s="78">
        <v>8.1864989999999995</v>
      </c>
      <c r="BB342" s="78">
        <v>10.890499999999999</v>
      </c>
      <c r="BC342" s="78">
        <v>0.77103650000000001</v>
      </c>
      <c r="BD342" s="78">
        <v>1.377003</v>
      </c>
    </row>
    <row r="343" spans="1:56" x14ac:dyDescent="0.2">
      <c r="A343" s="78" t="s">
        <v>491</v>
      </c>
      <c r="B343" s="22">
        <v>29129</v>
      </c>
      <c r="C343" s="22"/>
      <c r="D343" s="22"/>
      <c r="E343" s="22">
        <v>28642</v>
      </c>
      <c r="F343" s="78" t="s">
        <v>475</v>
      </c>
      <c r="G343" s="78">
        <v>2.6252870000000001</v>
      </c>
      <c r="J343" s="78">
        <v>6.8401329999999998</v>
      </c>
      <c r="K343" s="78">
        <v>18.008479999999999</v>
      </c>
      <c r="R343" s="78">
        <v>7.839728</v>
      </c>
      <c r="S343" s="78">
        <v>8.6855290000000007</v>
      </c>
      <c r="AE343" s="78">
        <v>0.31429430000000003</v>
      </c>
      <c r="AG343" s="78">
        <v>7.5092309999999995E-2</v>
      </c>
      <c r="AO343" s="78">
        <v>4.4188949999999999E-3</v>
      </c>
      <c r="AQ343" s="78">
        <v>5.7299360000000004</v>
      </c>
      <c r="AS343" s="78">
        <v>1.841094</v>
      </c>
      <c r="AZ343" s="78">
        <v>8.3043580000000006</v>
      </c>
      <c r="BB343" s="78">
        <v>10.95698</v>
      </c>
      <c r="BC343" s="78">
        <v>0.78205380000000002</v>
      </c>
      <c r="BD343" s="78">
        <v>1.4298709999999999</v>
      </c>
    </row>
    <row r="344" spans="1:56" x14ac:dyDescent="0.2">
      <c r="A344" s="78" t="s">
        <v>492</v>
      </c>
      <c r="B344" s="22">
        <v>29160</v>
      </c>
      <c r="C344" s="22"/>
      <c r="D344" s="22"/>
      <c r="E344" s="22">
        <v>28672</v>
      </c>
      <c r="F344" s="78" t="s">
        <v>476</v>
      </c>
      <c r="G344" s="78">
        <v>2.6477020000000002</v>
      </c>
      <c r="J344" s="78">
        <v>6.9079569999999997</v>
      </c>
      <c r="K344" s="78">
        <v>18.045909999999999</v>
      </c>
      <c r="R344" s="78">
        <v>7.9175659999999999</v>
      </c>
      <c r="S344" s="78">
        <v>8.7897420000000004</v>
      </c>
      <c r="AE344" s="78">
        <v>0.3184593</v>
      </c>
      <c r="AG344" s="78">
        <v>7.7720590000000006E-2</v>
      </c>
      <c r="AO344" s="78">
        <v>4.5290920000000002E-3</v>
      </c>
      <c r="AQ344" s="78">
        <v>5.7323259999999996</v>
      </c>
      <c r="AS344" s="78">
        <v>1.875651</v>
      </c>
      <c r="AZ344" s="78">
        <v>8.4451049999999999</v>
      </c>
      <c r="BB344" s="78">
        <v>11.00352</v>
      </c>
      <c r="BC344" s="78">
        <v>0.79454009999999997</v>
      </c>
      <c r="BD344" s="78">
        <v>1.4696579999999999</v>
      </c>
    </row>
    <row r="345" spans="1:56" x14ac:dyDescent="0.2">
      <c r="A345" s="78" t="s">
        <v>493</v>
      </c>
      <c r="B345" s="22">
        <v>29190</v>
      </c>
      <c r="C345" s="22"/>
      <c r="D345" s="22"/>
      <c r="E345" s="22">
        <v>28703</v>
      </c>
      <c r="F345" s="78" t="s">
        <v>477</v>
      </c>
      <c r="G345" s="78">
        <v>2.675719</v>
      </c>
      <c r="J345" s="78">
        <v>6.9993020000000001</v>
      </c>
      <c r="K345" s="78">
        <v>18.134060000000002</v>
      </c>
      <c r="R345" s="78">
        <v>7.9506199999999998</v>
      </c>
      <c r="S345" s="78">
        <v>8.8977269999999997</v>
      </c>
      <c r="AE345" s="78">
        <v>0.32248280000000001</v>
      </c>
      <c r="AG345" s="78">
        <v>7.8983120000000004E-2</v>
      </c>
      <c r="AO345" s="78">
        <v>4.63854E-3</v>
      </c>
      <c r="AQ345" s="78">
        <v>5.7910000000000004</v>
      </c>
      <c r="AS345" s="78">
        <v>1.9144460000000001</v>
      </c>
      <c r="AZ345" s="78">
        <v>8.5632230000000007</v>
      </c>
      <c r="BB345" s="78">
        <v>11.081630000000001</v>
      </c>
      <c r="BC345" s="78">
        <v>0.81125840000000005</v>
      </c>
      <c r="BD345" s="78">
        <v>1.511088</v>
      </c>
    </row>
    <row r="346" spans="1:56" x14ac:dyDescent="0.2">
      <c r="A346" s="78" t="s">
        <v>494</v>
      </c>
      <c r="B346" s="22">
        <v>29221</v>
      </c>
      <c r="C346" s="22"/>
      <c r="D346" s="22"/>
      <c r="E346" s="22">
        <v>28734</v>
      </c>
      <c r="F346" s="78" t="s">
        <v>478</v>
      </c>
      <c r="G346" s="78">
        <v>2.7037369999999998</v>
      </c>
      <c r="J346" s="78">
        <v>7.1384129999999999</v>
      </c>
      <c r="K346" s="78">
        <v>18.28124</v>
      </c>
      <c r="R346" s="78">
        <v>7.9952480000000001</v>
      </c>
      <c r="S346" s="78">
        <v>9.0123149999999992</v>
      </c>
      <c r="AE346" s="78">
        <v>0.3282099</v>
      </c>
      <c r="AG346" s="78">
        <v>8.1607230000000003E-2</v>
      </c>
      <c r="AO346" s="78">
        <v>4.7625890000000002E-3</v>
      </c>
      <c r="AQ346" s="78">
        <v>5.8455630000000003</v>
      </c>
      <c r="AS346" s="78">
        <v>1.9524900000000001</v>
      </c>
      <c r="AZ346" s="78">
        <v>8.6430220000000002</v>
      </c>
      <c r="BB346" s="78">
        <v>11.177199999999999</v>
      </c>
      <c r="BC346" s="78">
        <v>0.80562730000000005</v>
      </c>
      <c r="BD346" s="78">
        <v>1.567631</v>
      </c>
    </row>
    <row r="347" spans="1:56" x14ac:dyDescent="0.2">
      <c r="A347" s="78" t="s">
        <v>495</v>
      </c>
      <c r="B347" s="22">
        <v>29252</v>
      </c>
      <c r="C347" s="22"/>
      <c r="D347" s="22"/>
      <c r="E347" s="22">
        <v>28764</v>
      </c>
      <c r="F347" s="78" t="s">
        <v>479</v>
      </c>
      <c r="G347" s="78">
        <v>2.7261519999999999</v>
      </c>
      <c r="J347" s="78">
        <v>7.2187989999999997</v>
      </c>
      <c r="K347" s="78">
        <v>18.442699999999999</v>
      </c>
      <c r="R347" s="78">
        <v>8.0152809999999999</v>
      </c>
      <c r="S347" s="78">
        <v>9.1203000000000003</v>
      </c>
      <c r="AE347" s="78">
        <v>0.33422540000000001</v>
      </c>
      <c r="AG347" s="78">
        <v>8.5580370000000003E-2</v>
      </c>
      <c r="AO347" s="78">
        <v>4.8903970000000003E-3</v>
      </c>
      <c r="AQ347" s="78">
        <v>5.9049469999999999</v>
      </c>
      <c r="AS347" s="78">
        <v>1.9878359999999999</v>
      </c>
      <c r="AZ347" s="78">
        <v>8.7042509999999993</v>
      </c>
      <c r="BB347" s="78">
        <v>11.23786</v>
      </c>
      <c r="BC347" s="78">
        <v>0.81082120000000002</v>
      </c>
      <c r="BD347" s="78">
        <v>1.6397090000000001</v>
      </c>
    </row>
    <row r="348" spans="1:56" x14ac:dyDescent="0.2">
      <c r="A348" s="78" t="s">
        <v>496</v>
      </c>
      <c r="B348" s="22">
        <v>29281</v>
      </c>
      <c r="C348" s="22"/>
      <c r="D348" s="22"/>
      <c r="E348" s="22">
        <v>28795</v>
      </c>
      <c r="F348" s="78" t="s">
        <v>480</v>
      </c>
      <c r="G348" s="78">
        <v>2.7485659999999998</v>
      </c>
      <c r="J348" s="78">
        <v>7.4195310000000001</v>
      </c>
      <c r="K348" s="78">
        <v>18.653569999999998</v>
      </c>
      <c r="R348" s="78">
        <v>8.0314499999999995</v>
      </c>
      <c r="S348" s="78">
        <v>9.2278140000000004</v>
      </c>
      <c r="AE348" s="78">
        <v>0.33980830000000001</v>
      </c>
      <c r="AG348" s="78">
        <v>8.9479890000000006E-2</v>
      </c>
      <c r="AO348" s="78">
        <v>5.0031040000000004E-3</v>
      </c>
      <c r="AQ348" s="78">
        <v>5.9952620000000003</v>
      </c>
      <c r="AS348" s="78">
        <v>2.0232260000000002</v>
      </c>
      <c r="AZ348" s="78">
        <v>8.8514710000000001</v>
      </c>
      <c r="BB348" s="78">
        <v>11.294370000000001</v>
      </c>
      <c r="BC348" s="78">
        <v>0.83780489999999996</v>
      </c>
      <c r="BD348" s="78">
        <v>1.6944650000000001</v>
      </c>
    </row>
    <row r="349" spans="1:56" x14ac:dyDescent="0.2">
      <c r="A349" s="78" t="s">
        <v>497</v>
      </c>
      <c r="B349" s="22">
        <v>29312</v>
      </c>
      <c r="C349" s="22"/>
      <c r="D349" s="22"/>
      <c r="E349" s="22">
        <v>28825</v>
      </c>
      <c r="F349" s="78" t="s">
        <v>481</v>
      </c>
      <c r="G349" s="78">
        <v>2.7737829999999999</v>
      </c>
      <c r="J349" s="78">
        <v>7.5045700000000002</v>
      </c>
      <c r="K349" s="78">
        <v>18.79138</v>
      </c>
      <c r="R349" s="78">
        <v>8.1042419999999993</v>
      </c>
      <c r="S349" s="78">
        <v>9.3042060000000006</v>
      </c>
      <c r="AE349" s="78">
        <v>0.34791810000000001</v>
      </c>
      <c r="AG349" s="78">
        <v>9.3295970000000006E-2</v>
      </c>
      <c r="AO349" s="78">
        <v>5.1377530000000001E-3</v>
      </c>
      <c r="AQ349" s="78">
        <v>6.0542239999999996</v>
      </c>
      <c r="AS349" s="78">
        <v>2.0621689999999999</v>
      </c>
      <c r="AZ349" s="78">
        <v>8.9136919999999993</v>
      </c>
      <c r="BB349" s="78">
        <v>11.351710000000001</v>
      </c>
      <c r="BC349" s="78">
        <v>0.84642640000000002</v>
      </c>
      <c r="BD349" s="78">
        <v>1.7170399999999999</v>
      </c>
    </row>
    <row r="350" spans="1:56" x14ac:dyDescent="0.2">
      <c r="A350" s="78" t="s">
        <v>498</v>
      </c>
      <c r="B350" s="22">
        <v>29342</v>
      </c>
      <c r="C350" s="22"/>
      <c r="D350" s="22"/>
      <c r="E350" s="22">
        <v>28856</v>
      </c>
      <c r="F350" s="78" t="s">
        <v>482</v>
      </c>
      <c r="G350" s="78">
        <v>2.807404</v>
      </c>
      <c r="J350" s="78">
        <v>7.6331870000000004</v>
      </c>
      <c r="K350" s="78">
        <v>18.90587</v>
      </c>
      <c r="R350" s="78">
        <v>8.1823730000000001</v>
      </c>
      <c r="S350" s="78">
        <v>9.3716369999999998</v>
      </c>
      <c r="AE350" s="78">
        <v>0.35679499999999997</v>
      </c>
      <c r="AG350" s="78">
        <v>9.6627829999999998E-2</v>
      </c>
      <c r="AO350" s="78">
        <v>5.3064360000000003E-3</v>
      </c>
      <c r="AQ350" s="78">
        <v>6.0900449999999999</v>
      </c>
      <c r="AS350" s="78">
        <v>2.0851359999999999</v>
      </c>
      <c r="AZ350" s="78">
        <v>8.9758169999999993</v>
      </c>
      <c r="BB350" s="78">
        <v>11.398250000000001</v>
      </c>
      <c r="BC350" s="78">
        <v>0.85009880000000004</v>
      </c>
      <c r="BD350" s="78">
        <v>1.7509939999999999</v>
      </c>
    </row>
    <row r="351" spans="1:56" x14ac:dyDescent="0.2">
      <c r="A351" s="78" t="s">
        <v>499</v>
      </c>
      <c r="B351" s="22">
        <v>29373</v>
      </c>
      <c r="C351" s="22"/>
      <c r="D351" s="22"/>
      <c r="E351" s="22">
        <v>28887</v>
      </c>
      <c r="F351" s="78" t="s">
        <v>483</v>
      </c>
      <c r="G351" s="78">
        <v>2.849431</v>
      </c>
      <c r="J351" s="78">
        <v>7.7525510000000004</v>
      </c>
      <c r="K351" s="78">
        <v>19.015180000000001</v>
      </c>
      <c r="R351" s="78">
        <v>8.2603530000000003</v>
      </c>
      <c r="S351" s="78">
        <v>9.4607609999999998</v>
      </c>
      <c r="AE351" s="78">
        <v>0.3608015</v>
      </c>
      <c r="AG351" s="78">
        <v>0.1000326</v>
      </c>
      <c r="AO351" s="78">
        <v>5.4609289999999998E-3</v>
      </c>
      <c r="AQ351" s="78">
        <v>6.15482</v>
      </c>
      <c r="AS351" s="78">
        <v>2.11591</v>
      </c>
      <c r="AZ351" s="78">
        <v>9.1379760000000001</v>
      </c>
      <c r="BB351" s="78">
        <v>11.449769999999999</v>
      </c>
      <c r="BC351" s="78">
        <v>0.85803819999999997</v>
      </c>
      <c r="BD351" s="78">
        <v>1.7978590000000001</v>
      </c>
    </row>
    <row r="352" spans="1:56" x14ac:dyDescent="0.2">
      <c r="A352" s="78" t="s">
        <v>500</v>
      </c>
      <c r="B352" s="22">
        <v>29403</v>
      </c>
      <c r="C352" s="22"/>
      <c r="D352" s="22"/>
      <c r="E352" s="22">
        <v>28915</v>
      </c>
      <c r="F352" s="78" t="s">
        <v>484</v>
      </c>
      <c r="G352" s="78">
        <v>2.8858549999999998</v>
      </c>
      <c r="J352" s="78">
        <v>7.813809</v>
      </c>
      <c r="K352" s="78">
        <v>19.143820000000002</v>
      </c>
      <c r="R352" s="78">
        <v>8.3676999999999992</v>
      </c>
      <c r="S352" s="78">
        <v>9.5531849999999991</v>
      </c>
      <c r="AE352" s="78">
        <v>0.36455559999999998</v>
      </c>
      <c r="AG352" s="78">
        <v>0.10523200000000001</v>
      </c>
      <c r="AO352" s="78">
        <v>5.6110580000000004E-3</v>
      </c>
      <c r="AQ352" s="78">
        <v>6.2188410000000003</v>
      </c>
      <c r="AS352" s="78">
        <v>2.1602830000000002</v>
      </c>
      <c r="AZ352" s="78">
        <v>9.2267229999999998</v>
      </c>
      <c r="BB352" s="78">
        <v>11.53288</v>
      </c>
      <c r="BC352" s="78">
        <v>0.86875829999999998</v>
      </c>
      <c r="BD352" s="78">
        <v>1.8577619999999999</v>
      </c>
    </row>
    <row r="353" spans="1:56" x14ac:dyDescent="0.2">
      <c r="A353" s="78" t="s">
        <v>501</v>
      </c>
      <c r="B353" s="22">
        <v>29434</v>
      </c>
      <c r="C353" s="22"/>
      <c r="D353" s="22"/>
      <c r="E353" s="22">
        <v>28946</v>
      </c>
      <c r="F353" s="78" t="s">
        <v>485</v>
      </c>
      <c r="G353" s="78">
        <v>2.9222779999999999</v>
      </c>
      <c r="J353" s="78">
        <v>7.9404620000000001</v>
      </c>
      <c r="K353" s="78">
        <v>19.259699999999999</v>
      </c>
      <c r="R353" s="78">
        <v>8.4660010000000003</v>
      </c>
      <c r="S353" s="78">
        <v>9.6418370000000007</v>
      </c>
      <c r="AE353" s="78">
        <v>0.36930980000000002</v>
      </c>
      <c r="AG353" s="78">
        <v>0.109893</v>
      </c>
      <c r="AO353" s="78">
        <v>5.7653360000000002E-3</v>
      </c>
      <c r="AQ353" s="78">
        <v>6.2972970000000004</v>
      </c>
      <c r="AS353" s="78">
        <v>2.1916449999999998</v>
      </c>
      <c r="AZ353" s="78">
        <v>9.2940900000000006</v>
      </c>
      <c r="BB353" s="78">
        <v>11.65171</v>
      </c>
      <c r="BC353" s="78">
        <v>0.87645289999999998</v>
      </c>
      <c r="BD353" s="78">
        <v>1.8728400000000001</v>
      </c>
    </row>
    <row r="354" spans="1:56" x14ac:dyDescent="0.2">
      <c r="A354" s="78" t="s">
        <v>502</v>
      </c>
      <c r="B354" s="22">
        <v>29465</v>
      </c>
      <c r="C354" s="22"/>
      <c r="D354" s="22"/>
      <c r="E354" s="22">
        <v>28976</v>
      </c>
      <c r="F354" s="78" t="s">
        <v>486</v>
      </c>
      <c r="G354" s="78">
        <v>2.9530979999999998</v>
      </c>
      <c r="J354" s="78">
        <v>8.075386</v>
      </c>
      <c r="K354" s="78">
        <v>19.369260000000001</v>
      </c>
      <c r="R354" s="78">
        <v>8.5575279999999996</v>
      </c>
      <c r="S354" s="78">
        <v>9.7347339999999996</v>
      </c>
      <c r="AE354" s="78">
        <v>0.37381140000000002</v>
      </c>
      <c r="AG354" s="78">
        <v>0.11321630000000001</v>
      </c>
      <c r="AO354" s="78">
        <v>5.9392819999999997E-3</v>
      </c>
      <c r="AQ354" s="78">
        <v>6.3586309999999999</v>
      </c>
      <c r="AS354" s="78">
        <v>2.225406</v>
      </c>
      <c r="AZ354" s="78">
        <v>9.3652870000000004</v>
      </c>
      <c r="BB354" s="78">
        <v>11.71902</v>
      </c>
      <c r="BC354" s="78">
        <v>0.88412999999999997</v>
      </c>
      <c r="BD354" s="78">
        <v>1.8911910000000001</v>
      </c>
    </row>
    <row r="355" spans="1:56" x14ac:dyDescent="0.2">
      <c r="A355" s="78" t="s">
        <v>503</v>
      </c>
      <c r="B355" s="22">
        <v>29495</v>
      </c>
      <c r="C355" s="22"/>
      <c r="D355" s="22"/>
      <c r="E355" s="22">
        <v>29007</v>
      </c>
      <c r="F355" s="78" t="s">
        <v>487</v>
      </c>
      <c r="G355" s="78">
        <v>2.9727100000000002</v>
      </c>
      <c r="J355" s="78">
        <v>8.1960949999999997</v>
      </c>
      <c r="K355" s="78">
        <v>19.519439999999999</v>
      </c>
      <c r="R355" s="78">
        <v>8.6177519999999994</v>
      </c>
      <c r="S355" s="78">
        <v>9.8347020000000001</v>
      </c>
      <c r="AE355" s="78">
        <v>0.38186599999999998</v>
      </c>
      <c r="AG355" s="78">
        <v>0.11773</v>
      </c>
      <c r="AO355" s="78">
        <v>6.0847560000000002E-3</v>
      </c>
      <c r="AQ355" s="78">
        <v>6.4159920000000001</v>
      </c>
      <c r="AS355" s="78">
        <v>2.2751329999999998</v>
      </c>
      <c r="AZ355" s="78">
        <v>9.4459759999999999</v>
      </c>
      <c r="BB355" s="78">
        <v>11.825390000000001</v>
      </c>
      <c r="BC355" s="78">
        <v>0.89089779999999996</v>
      </c>
      <c r="BD355" s="78">
        <v>1.9387490000000001</v>
      </c>
    </row>
    <row r="356" spans="1:56" x14ac:dyDescent="0.2">
      <c r="A356" s="78" t="s">
        <v>504</v>
      </c>
      <c r="B356" s="22">
        <v>29526</v>
      </c>
      <c r="C356" s="22"/>
      <c r="D356" s="22"/>
      <c r="E356" s="22">
        <v>29037</v>
      </c>
      <c r="F356" s="78" t="s">
        <v>488</v>
      </c>
      <c r="G356" s="78">
        <v>2.9895209999999999</v>
      </c>
      <c r="J356" s="78">
        <v>8.3544359999999998</v>
      </c>
      <c r="K356" s="78">
        <v>19.728539999999999</v>
      </c>
      <c r="R356" s="78">
        <v>8.6740530000000007</v>
      </c>
      <c r="S356" s="78">
        <v>9.9172239999999992</v>
      </c>
      <c r="AE356" s="78">
        <v>0.39007439999999999</v>
      </c>
      <c r="AG356" s="78">
        <v>0.1216666</v>
      </c>
      <c r="AO356" s="78">
        <v>6.2127229999999999E-3</v>
      </c>
      <c r="AQ356" s="78">
        <v>6.5045890000000002</v>
      </c>
      <c r="AS356" s="78">
        <v>2.3205439999999999</v>
      </c>
      <c r="AZ356" s="78">
        <v>9.5159330000000004</v>
      </c>
      <c r="BB356" s="78">
        <v>11.92346</v>
      </c>
      <c r="BC356" s="78">
        <v>0.89801529999999996</v>
      </c>
      <c r="BD356" s="78">
        <v>1.9905310000000001</v>
      </c>
    </row>
    <row r="357" spans="1:56" x14ac:dyDescent="0.2">
      <c r="A357" s="78" t="s">
        <v>505</v>
      </c>
      <c r="B357" s="22">
        <v>29556</v>
      </c>
      <c r="C357" s="22"/>
      <c r="D357" s="22"/>
      <c r="E357" s="22">
        <v>29068</v>
      </c>
      <c r="F357" s="78" t="s">
        <v>489</v>
      </c>
      <c r="G357" s="78">
        <v>3.0119359999999999</v>
      </c>
      <c r="J357" s="78">
        <v>8.4291350000000005</v>
      </c>
      <c r="K357" s="78">
        <v>19.900020000000001</v>
      </c>
      <c r="R357" s="78">
        <v>8.7310920000000003</v>
      </c>
      <c r="S357" s="78">
        <v>10.0021</v>
      </c>
      <c r="AE357" s="78">
        <v>0.39804719999999999</v>
      </c>
      <c r="AG357" s="78">
        <v>0.12542349999999999</v>
      </c>
      <c r="AO357" s="78">
        <v>6.3935370000000004E-3</v>
      </c>
      <c r="AQ357" s="78">
        <v>6.5659510000000001</v>
      </c>
      <c r="AS357" s="78">
        <v>2.3561899999999998</v>
      </c>
      <c r="AZ357" s="78">
        <v>9.6168709999999997</v>
      </c>
      <c r="BB357" s="78">
        <v>12.021509999999999</v>
      </c>
      <c r="BC357" s="78">
        <v>0.91141090000000002</v>
      </c>
      <c r="BD357" s="78">
        <v>2.0474939999999999</v>
      </c>
    </row>
    <row r="358" spans="1:56" x14ac:dyDescent="0.2">
      <c r="A358" s="78" t="s">
        <v>506</v>
      </c>
      <c r="B358" s="22">
        <v>29587</v>
      </c>
      <c r="C358" s="22"/>
      <c r="D358" s="22"/>
      <c r="E358" s="22">
        <v>29099</v>
      </c>
      <c r="F358" s="78" t="s">
        <v>490</v>
      </c>
      <c r="G358" s="78">
        <v>3.0371519999999999</v>
      </c>
      <c r="J358" s="78">
        <v>8.514329</v>
      </c>
      <c r="K358" s="78">
        <v>19.95234</v>
      </c>
      <c r="R358" s="78">
        <v>8.7661599999999993</v>
      </c>
      <c r="S358" s="78">
        <v>10.081799999999999</v>
      </c>
      <c r="AE358" s="78">
        <v>0.4027366</v>
      </c>
      <c r="AG358" s="78">
        <v>0.1297499</v>
      </c>
      <c r="AO358" s="78">
        <v>6.5697050000000003E-3</v>
      </c>
      <c r="AQ358" s="78">
        <v>6.6394869999999999</v>
      </c>
      <c r="AS358" s="78">
        <v>2.4008099999999999</v>
      </c>
      <c r="AZ358" s="78">
        <v>9.753304</v>
      </c>
      <c r="BB358" s="78">
        <v>12.08384</v>
      </c>
      <c r="BC358" s="78">
        <v>0.92445679999999997</v>
      </c>
      <c r="BD358" s="78">
        <v>2.0979860000000001</v>
      </c>
    </row>
    <row r="359" spans="1:56" x14ac:dyDescent="0.2">
      <c r="A359" s="78" t="s">
        <v>507</v>
      </c>
      <c r="B359" s="22">
        <v>29618</v>
      </c>
      <c r="C359" s="22"/>
      <c r="D359" s="22"/>
      <c r="E359" s="22">
        <v>29129</v>
      </c>
      <c r="F359" s="78" t="s">
        <v>491</v>
      </c>
      <c r="G359" s="78">
        <v>3.0623680000000002</v>
      </c>
      <c r="J359" s="78">
        <v>8.619942</v>
      </c>
      <c r="K359" s="78">
        <v>20.069669999999999</v>
      </c>
      <c r="R359" s="78">
        <v>8.8416420000000002</v>
      </c>
      <c r="S359" s="78">
        <v>10.159599999999999</v>
      </c>
      <c r="AE359" s="78">
        <v>0.40537479999999998</v>
      </c>
      <c r="AG359" s="78">
        <v>0.1342344</v>
      </c>
      <c r="AO359" s="78">
        <v>6.7506830000000004E-3</v>
      </c>
      <c r="AQ359" s="78">
        <v>6.7227249999999996</v>
      </c>
      <c r="AS359" s="78">
        <v>2.4536030000000002</v>
      </c>
      <c r="AZ359" s="78">
        <v>9.8481480000000001</v>
      </c>
      <c r="BB359" s="78">
        <v>12.136200000000001</v>
      </c>
      <c r="BC359" s="78">
        <v>0.93870940000000003</v>
      </c>
      <c r="BD359" s="78">
        <v>2.1616110000000002</v>
      </c>
    </row>
    <row r="360" spans="1:56" x14ac:dyDescent="0.2">
      <c r="A360" s="78" t="s">
        <v>508</v>
      </c>
      <c r="B360" s="22">
        <v>29646</v>
      </c>
      <c r="C360" s="22"/>
      <c r="D360" s="22"/>
      <c r="E360" s="22">
        <v>29160</v>
      </c>
      <c r="F360" s="78" t="s">
        <v>492</v>
      </c>
      <c r="G360" s="78">
        <v>3.098792</v>
      </c>
      <c r="J360" s="78">
        <v>8.8181919999999998</v>
      </c>
      <c r="K360" s="78">
        <v>20.243220000000001</v>
      </c>
      <c r="R360" s="78">
        <v>8.9151980000000002</v>
      </c>
      <c r="S360" s="78">
        <v>10.2624</v>
      </c>
      <c r="AE360" s="78">
        <v>0.40917769999999998</v>
      </c>
      <c r="AG360" s="78">
        <v>0.13966609999999999</v>
      </c>
      <c r="AO360" s="78">
        <v>6.9507889999999998E-3</v>
      </c>
      <c r="AQ360" s="78">
        <v>6.8033950000000001</v>
      </c>
      <c r="AS360" s="78">
        <v>2.5056790000000002</v>
      </c>
      <c r="AZ360" s="78">
        <v>9.9424060000000001</v>
      </c>
      <c r="BB360" s="78">
        <v>12.181900000000001</v>
      </c>
      <c r="BC360" s="78">
        <v>0.95640700000000001</v>
      </c>
      <c r="BD360" s="78">
        <v>2.2140019999999998</v>
      </c>
    </row>
    <row r="361" spans="1:56" x14ac:dyDescent="0.2">
      <c r="A361" s="78" t="s">
        <v>509</v>
      </c>
      <c r="B361" s="22">
        <v>29677</v>
      </c>
      <c r="C361" s="22"/>
      <c r="D361" s="22"/>
      <c r="E361" s="22">
        <v>29190</v>
      </c>
      <c r="F361" s="78" t="s">
        <v>493</v>
      </c>
      <c r="G361" s="78">
        <v>3.1380170000000001</v>
      </c>
      <c r="J361" s="78">
        <v>8.9240639999999996</v>
      </c>
      <c r="K361" s="78">
        <v>20.380590000000002</v>
      </c>
      <c r="R361" s="78">
        <v>8.9361840000000008</v>
      </c>
      <c r="S361" s="78">
        <v>10.34822</v>
      </c>
      <c r="AE361" s="78">
        <v>0.41289199999999998</v>
      </c>
      <c r="AG361" s="78">
        <v>0.14542359999999999</v>
      </c>
      <c r="AO361" s="78">
        <v>7.1285690000000004E-3</v>
      </c>
      <c r="AQ361" s="78">
        <v>6.8509659999999997</v>
      </c>
      <c r="AS361" s="78">
        <v>2.5439409999999998</v>
      </c>
      <c r="AZ361" s="78">
        <v>9.8659510000000008</v>
      </c>
      <c r="BB361" s="78">
        <v>12.24672</v>
      </c>
      <c r="BC361" s="78">
        <v>0.97314290000000003</v>
      </c>
      <c r="BD361" s="78">
        <v>2.2752970000000001</v>
      </c>
    </row>
    <row r="362" spans="1:56" x14ac:dyDescent="0.2">
      <c r="A362" s="78" t="s">
        <v>510</v>
      </c>
      <c r="B362" s="22">
        <v>29707</v>
      </c>
      <c r="C362" s="22"/>
      <c r="D362" s="22"/>
      <c r="E362" s="22">
        <v>29221</v>
      </c>
      <c r="F362" s="78" t="s">
        <v>494</v>
      </c>
      <c r="G362" s="78">
        <v>3.1912509999999998</v>
      </c>
      <c r="J362" s="78">
        <v>9.0028469999999992</v>
      </c>
      <c r="K362" s="78">
        <v>20.56983</v>
      </c>
      <c r="R362" s="78">
        <v>8.9675410000000007</v>
      </c>
      <c r="S362" s="78">
        <v>10.41</v>
      </c>
      <c r="AE362" s="78">
        <v>0.41828609999999999</v>
      </c>
      <c r="AG362" s="78">
        <v>0.1507328</v>
      </c>
      <c r="AJ362" s="78">
        <v>24.147410000000001</v>
      </c>
      <c r="AK362" s="78">
        <v>0.461453</v>
      </c>
      <c r="AO362" s="78">
        <v>7.3063859999999998E-3</v>
      </c>
      <c r="AQ362" s="78">
        <v>6.881392</v>
      </c>
      <c r="AR362" s="78">
        <v>3.2771780000000001</v>
      </c>
      <c r="AS362" s="78">
        <v>2.6012659999999999</v>
      </c>
      <c r="AZ362" s="78">
        <v>9.9695140000000002</v>
      </c>
      <c r="BA362" s="78">
        <v>6.0786979999999998E-5</v>
      </c>
      <c r="BB362" s="78">
        <v>12.32151</v>
      </c>
      <c r="BC362" s="78">
        <v>0.98723799999999995</v>
      </c>
      <c r="BD362" s="78">
        <v>2.3384070000000001</v>
      </c>
    </row>
    <row r="363" spans="1:56" x14ac:dyDescent="0.2">
      <c r="A363" s="78" t="s">
        <v>511</v>
      </c>
      <c r="B363" s="22">
        <v>29738</v>
      </c>
      <c r="C363" s="22"/>
      <c r="D363" s="22"/>
      <c r="E363" s="22">
        <v>29252</v>
      </c>
      <c r="F363" s="78" t="s">
        <v>495</v>
      </c>
      <c r="G363" s="78">
        <v>3.247287</v>
      </c>
      <c r="J363" s="78">
        <v>9.1563289999999995</v>
      </c>
      <c r="K363" s="78">
        <v>20.764859999999999</v>
      </c>
      <c r="R363" s="78">
        <v>9.0010689999999993</v>
      </c>
      <c r="S363" s="78">
        <v>10.442460000000001</v>
      </c>
      <c r="AE363" s="78">
        <v>0.42480200000000001</v>
      </c>
      <c r="AG363" s="78">
        <v>0.15689239999999999</v>
      </c>
      <c r="AJ363" s="78">
        <v>24.294650000000001</v>
      </c>
      <c r="AK363" s="78">
        <v>0.47683330000000002</v>
      </c>
      <c r="AO363" s="78">
        <v>7.4970210000000004E-3</v>
      </c>
      <c r="AQ363" s="78">
        <v>6.9331420000000001</v>
      </c>
      <c r="AR363" s="78">
        <v>3.3137050000000001</v>
      </c>
      <c r="AS363" s="78">
        <v>2.6424310000000002</v>
      </c>
      <c r="AZ363" s="78">
        <v>10.2362</v>
      </c>
      <c r="BA363" s="78">
        <v>6.3338989999999997E-5</v>
      </c>
      <c r="BB363" s="78">
        <v>12.420400000000001</v>
      </c>
      <c r="BC363" s="78">
        <v>0.99874499999999999</v>
      </c>
      <c r="BD363" s="78">
        <v>2.3681000000000001</v>
      </c>
    </row>
    <row r="364" spans="1:56" x14ac:dyDescent="0.2">
      <c r="A364" s="78" t="s">
        <v>512</v>
      </c>
      <c r="B364" s="22">
        <v>29768</v>
      </c>
      <c r="C364" s="22"/>
      <c r="D364" s="22"/>
      <c r="E364" s="22">
        <v>29281</v>
      </c>
      <c r="F364" s="78" t="s">
        <v>496</v>
      </c>
      <c r="G364" s="78">
        <v>3.2753049999999999</v>
      </c>
      <c r="J364" s="78">
        <v>9.2905820000000006</v>
      </c>
      <c r="K364" s="78">
        <v>20.864180000000001</v>
      </c>
      <c r="R364" s="78">
        <v>9.0528919999999999</v>
      </c>
      <c r="S364" s="78">
        <v>10.501049999999999</v>
      </c>
      <c r="AE364" s="78">
        <v>0.43088310000000002</v>
      </c>
      <c r="AG364" s="78">
        <v>0.16361339999999999</v>
      </c>
      <c r="AJ364" s="78">
        <v>24.425529999999998</v>
      </c>
      <c r="AK364" s="78">
        <v>0.4884114</v>
      </c>
      <c r="AO364" s="78">
        <v>7.7176190000000002E-3</v>
      </c>
      <c r="AQ364" s="78">
        <v>6.9833889999999998</v>
      </c>
      <c r="AR364" s="78">
        <v>3.3374229999999998</v>
      </c>
      <c r="AS364" s="78">
        <v>2.6735060000000002</v>
      </c>
      <c r="AZ364" s="78">
        <v>10.31415</v>
      </c>
      <c r="BA364" s="78">
        <v>6.4175149999999998E-5</v>
      </c>
      <c r="BB364" s="78">
        <v>12.463620000000001</v>
      </c>
      <c r="BC364" s="78">
        <v>1.0188029999999999</v>
      </c>
      <c r="BD364" s="78">
        <v>2.3845770000000002</v>
      </c>
    </row>
    <row r="365" spans="1:56" x14ac:dyDescent="0.2">
      <c r="A365" s="78" t="s">
        <v>513</v>
      </c>
      <c r="B365" s="22">
        <v>29799</v>
      </c>
      <c r="C365" s="22"/>
      <c r="D365" s="22"/>
      <c r="E365" s="22">
        <v>29312</v>
      </c>
      <c r="F365" s="78" t="s">
        <v>497</v>
      </c>
      <c r="G365" s="78">
        <v>3.294918</v>
      </c>
      <c r="J365" s="78">
        <v>9.4094289999999994</v>
      </c>
      <c r="K365" s="78">
        <v>20.86298</v>
      </c>
      <c r="R365" s="78">
        <v>9.0878029999999992</v>
      </c>
      <c r="S365" s="78">
        <v>10.56845</v>
      </c>
      <c r="AE365" s="78">
        <v>0.43628349999999999</v>
      </c>
      <c r="AG365" s="78">
        <v>0.17159250000000001</v>
      </c>
      <c r="AJ365" s="78">
        <v>24.59731</v>
      </c>
      <c r="AK365" s="78">
        <v>0.49709740000000002</v>
      </c>
      <c r="AO365" s="78">
        <v>7.9167649999999992E-3</v>
      </c>
      <c r="AQ365" s="78">
        <v>7.0442999999999998</v>
      </c>
      <c r="AR365" s="78">
        <v>3.3589530000000001</v>
      </c>
      <c r="AS365" s="78">
        <v>2.714807</v>
      </c>
      <c r="AZ365" s="78">
        <v>10.37246</v>
      </c>
      <c r="BA365" s="78">
        <v>6.6112380000000006E-5</v>
      </c>
      <c r="BB365" s="78">
        <v>12.483560000000001</v>
      </c>
      <c r="BC365" s="78">
        <v>1.029401</v>
      </c>
      <c r="BD365" s="78">
        <v>2.4082620000000001</v>
      </c>
    </row>
    <row r="366" spans="1:56" x14ac:dyDescent="0.2">
      <c r="A366" s="78" t="s">
        <v>514</v>
      </c>
      <c r="B366" s="22">
        <v>29830</v>
      </c>
      <c r="C366" s="22"/>
      <c r="D366" s="22"/>
      <c r="E366" s="22">
        <v>29342</v>
      </c>
      <c r="F366" s="78" t="s">
        <v>498</v>
      </c>
      <c r="G366" s="78">
        <v>3.3229359999999999</v>
      </c>
      <c r="J366" s="78">
        <v>9.5438360000000007</v>
      </c>
      <c r="K366" s="78">
        <v>20.79299</v>
      </c>
      <c r="R366" s="78">
        <v>9.1033539999999995</v>
      </c>
      <c r="S366" s="78">
        <v>10.606350000000001</v>
      </c>
      <c r="AE366" s="78">
        <v>0.4410809</v>
      </c>
      <c r="AG366" s="78">
        <v>0.17956639999999999</v>
      </c>
      <c r="AJ366" s="78">
        <v>24.79363</v>
      </c>
      <c r="AK366" s="78">
        <v>0.50867320000000005</v>
      </c>
      <c r="AO366" s="78">
        <v>8.1327080000000006E-3</v>
      </c>
      <c r="AQ366" s="78">
        <v>7.1566609999999997</v>
      </c>
      <c r="AR366" s="78">
        <v>3.3919649999999999</v>
      </c>
      <c r="AS366" s="78">
        <v>2.7476319999999999</v>
      </c>
      <c r="AZ366" s="78">
        <v>10.445449999999999</v>
      </c>
      <c r="BA366" s="78">
        <v>6.8255259999999994E-5</v>
      </c>
      <c r="BB366" s="78">
        <v>12.567489999999999</v>
      </c>
      <c r="BC366" s="78">
        <v>1.0334760000000001</v>
      </c>
      <c r="BD366" s="78">
        <v>2.435349</v>
      </c>
    </row>
    <row r="367" spans="1:56" x14ac:dyDescent="0.2">
      <c r="A367" s="78" t="s">
        <v>515</v>
      </c>
      <c r="B367" s="22">
        <v>29860</v>
      </c>
      <c r="C367" s="22"/>
      <c r="D367" s="22"/>
      <c r="E367" s="22">
        <v>29373</v>
      </c>
      <c r="F367" s="78" t="s">
        <v>499</v>
      </c>
      <c r="G367" s="78">
        <v>3.356557</v>
      </c>
      <c r="J367" s="78">
        <v>9.675554</v>
      </c>
      <c r="K367" s="78">
        <v>20.714289999999998</v>
      </c>
      <c r="R367" s="78">
        <v>9.1694130000000005</v>
      </c>
      <c r="S367" s="78">
        <v>10.704129999999999</v>
      </c>
      <c r="AE367" s="78">
        <v>0.44370730000000003</v>
      </c>
      <c r="AG367" s="78">
        <v>0.18501000000000001</v>
      </c>
      <c r="AJ367" s="78">
        <v>24.883610000000001</v>
      </c>
      <c r="AK367" s="78">
        <v>0.51913450000000005</v>
      </c>
      <c r="AO367" s="78">
        <v>8.4312840000000007E-3</v>
      </c>
      <c r="AQ367" s="78">
        <v>7.2332000000000001</v>
      </c>
      <c r="AR367" s="78">
        <v>3.4330780000000001</v>
      </c>
      <c r="AS367" s="78">
        <v>2.7845529999999998</v>
      </c>
      <c r="AZ367" s="78">
        <v>10.53694</v>
      </c>
      <c r="BA367" s="78">
        <v>7.0181300000000005E-5</v>
      </c>
      <c r="BB367" s="78">
        <v>12.707940000000001</v>
      </c>
      <c r="BC367" s="78">
        <v>1.0535870000000001</v>
      </c>
      <c r="BD367" s="78">
        <v>2.478129</v>
      </c>
    </row>
    <row r="368" spans="1:56" x14ac:dyDescent="0.2">
      <c r="A368" s="78" t="s">
        <v>516</v>
      </c>
      <c r="B368" s="22">
        <v>29891</v>
      </c>
      <c r="C368" s="22"/>
      <c r="D368" s="22"/>
      <c r="E368" s="22">
        <v>29403</v>
      </c>
      <c r="F368" s="78" t="s">
        <v>500</v>
      </c>
      <c r="G368" s="78">
        <v>3.398584</v>
      </c>
      <c r="J368" s="78">
        <v>9.791093</v>
      </c>
      <c r="K368" s="78">
        <v>20.6782</v>
      </c>
      <c r="R368" s="78">
        <v>9.2157400000000003</v>
      </c>
      <c r="S368" s="78">
        <v>10.80115</v>
      </c>
      <c r="AE368" s="78">
        <v>0.44744119999999998</v>
      </c>
      <c r="AG368" s="78">
        <v>0.1914449</v>
      </c>
      <c r="AJ368" s="78">
        <v>24.98995</v>
      </c>
      <c r="AK368" s="78">
        <v>0.53062710000000002</v>
      </c>
      <c r="AO368" s="78">
        <v>8.6820349999999994E-3</v>
      </c>
      <c r="AQ368" s="78">
        <v>7.2688009999999998</v>
      </c>
      <c r="AR368" s="78">
        <v>3.4810210000000001</v>
      </c>
      <c r="AS368" s="78">
        <v>2.819226</v>
      </c>
      <c r="AZ368" s="78">
        <v>10.656790000000001</v>
      </c>
      <c r="BA368" s="78">
        <v>7.7606129999999998E-5</v>
      </c>
      <c r="BB368" s="78">
        <v>12.843389999999999</v>
      </c>
      <c r="BC368" s="78">
        <v>1.0825640000000001</v>
      </c>
      <c r="BD368" s="78">
        <v>2.526233</v>
      </c>
    </row>
    <row r="369" spans="1:56" x14ac:dyDescent="0.2">
      <c r="A369" s="78" t="s">
        <v>517</v>
      </c>
      <c r="B369" s="22">
        <v>29921</v>
      </c>
      <c r="C369" s="22"/>
      <c r="D369" s="22"/>
      <c r="E369" s="22">
        <v>29434</v>
      </c>
      <c r="F369" s="78" t="s">
        <v>501</v>
      </c>
      <c r="G369" s="78">
        <v>3.4406110000000001</v>
      </c>
      <c r="J369" s="78">
        <v>9.7764640000000007</v>
      </c>
      <c r="K369" s="78">
        <v>20.700089999999999</v>
      </c>
      <c r="R369" s="78">
        <v>9.2783829999999998</v>
      </c>
      <c r="S369" s="78">
        <v>10.82687</v>
      </c>
      <c r="AE369" s="78">
        <v>0.45336490000000002</v>
      </c>
      <c r="AG369" s="78">
        <v>0.1994011</v>
      </c>
      <c r="AJ369" s="78">
        <v>25.120830000000002</v>
      </c>
      <c r="AK369" s="78">
        <v>0.54518849999999996</v>
      </c>
      <c r="AO369" s="78">
        <v>8.8937809999999999E-3</v>
      </c>
      <c r="AQ369" s="78">
        <v>7.3737709999999996</v>
      </c>
      <c r="AR369" s="78">
        <v>3.5261089999999999</v>
      </c>
      <c r="AS369" s="78">
        <v>2.8460709999999998</v>
      </c>
      <c r="AZ369" s="78">
        <v>10.74394</v>
      </c>
      <c r="BA369" s="78">
        <v>8.5264210000000003E-5</v>
      </c>
      <c r="BB369" s="78">
        <v>12.97636</v>
      </c>
      <c r="BC369" s="78">
        <v>1.106959</v>
      </c>
      <c r="BD369" s="78">
        <v>2.5658479999999999</v>
      </c>
    </row>
    <row r="370" spans="1:56" x14ac:dyDescent="0.2">
      <c r="A370" s="78" t="s">
        <v>518</v>
      </c>
      <c r="B370" s="22">
        <v>29952</v>
      </c>
      <c r="C370" s="22"/>
      <c r="D370" s="22"/>
      <c r="E370" s="22">
        <v>29465</v>
      </c>
      <c r="F370" s="78" t="s">
        <v>502</v>
      </c>
      <c r="G370" s="78">
        <v>3.4714309999999999</v>
      </c>
      <c r="J370" s="78">
        <v>9.8462510000000005</v>
      </c>
      <c r="K370" s="78">
        <v>20.787649999999999</v>
      </c>
      <c r="R370" s="78">
        <v>9.4049949999999995</v>
      </c>
      <c r="S370" s="78">
        <v>10.85962</v>
      </c>
      <c r="AE370" s="78">
        <v>0.45983030000000003</v>
      </c>
      <c r="AG370" s="78">
        <v>0.2084551</v>
      </c>
      <c r="AJ370" s="78">
        <v>25.24353</v>
      </c>
      <c r="AK370" s="78">
        <v>0.55362429999999996</v>
      </c>
      <c r="AO370" s="78">
        <v>9.1342460000000004E-3</v>
      </c>
      <c r="AQ370" s="78">
        <v>7.4656750000000001</v>
      </c>
      <c r="AR370" s="78">
        <v>3.5640100000000001</v>
      </c>
      <c r="AS370" s="78">
        <v>2.8792589999999998</v>
      </c>
      <c r="AZ370" s="78">
        <v>10.78914</v>
      </c>
      <c r="BA370" s="78">
        <v>8.9515389999999999E-5</v>
      </c>
      <c r="BB370" s="78">
        <v>13.08023</v>
      </c>
      <c r="BC370" s="78">
        <v>1.130201</v>
      </c>
      <c r="BD370" s="78">
        <v>2.627764</v>
      </c>
    </row>
    <row r="371" spans="1:56" x14ac:dyDescent="0.2">
      <c r="A371" s="78" t="s">
        <v>519</v>
      </c>
      <c r="B371" s="22">
        <v>29983</v>
      </c>
      <c r="C371" s="22"/>
      <c r="D371" s="22"/>
      <c r="E371" s="22">
        <v>29495</v>
      </c>
      <c r="F371" s="78" t="s">
        <v>503</v>
      </c>
      <c r="G371" s="78">
        <v>3.510656</v>
      </c>
      <c r="J371" s="78">
        <v>9.9616869999999995</v>
      </c>
      <c r="K371" s="78">
        <v>20.888200000000001</v>
      </c>
      <c r="R371" s="78">
        <v>9.5682720000000003</v>
      </c>
      <c r="S371" s="78">
        <v>10.91513</v>
      </c>
      <c r="AE371" s="78">
        <v>0.46728209999999998</v>
      </c>
      <c r="AG371" s="78">
        <v>0.21895870000000001</v>
      </c>
      <c r="AJ371" s="78">
        <v>25.38259</v>
      </c>
      <c r="AK371" s="78">
        <v>0.55988360000000004</v>
      </c>
      <c r="AO371" s="78">
        <v>9.4025069999999992E-3</v>
      </c>
      <c r="AQ371" s="78">
        <v>7.5412410000000003</v>
      </c>
      <c r="AR371" s="78">
        <v>3.6045959999999999</v>
      </c>
      <c r="AS371" s="78">
        <v>2.9066079999999999</v>
      </c>
      <c r="AZ371" s="78">
        <v>10.86918</v>
      </c>
      <c r="BA371" s="78">
        <v>9.5026920000000005E-5</v>
      </c>
      <c r="BB371" s="78">
        <v>13.169980000000001</v>
      </c>
      <c r="BC371" s="78">
        <v>1.158828</v>
      </c>
      <c r="BD371" s="78">
        <v>2.6671520000000002</v>
      </c>
    </row>
    <row r="372" spans="1:56" x14ac:dyDescent="0.2">
      <c r="A372" s="78" t="s">
        <v>520</v>
      </c>
      <c r="B372" s="22">
        <v>30011</v>
      </c>
      <c r="C372" s="22"/>
      <c r="D372" s="22"/>
      <c r="E372" s="22">
        <v>29526</v>
      </c>
      <c r="F372" s="78" t="s">
        <v>504</v>
      </c>
      <c r="G372" s="78">
        <v>3.555485</v>
      </c>
      <c r="J372" s="78">
        <v>10.07826</v>
      </c>
      <c r="K372" s="78">
        <v>20.965599999999998</v>
      </c>
      <c r="R372" s="78">
        <v>9.7537040000000008</v>
      </c>
      <c r="S372" s="78">
        <v>11.063840000000001</v>
      </c>
      <c r="AE372" s="78">
        <v>0.47569080000000002</v>
      </c>
      <c r="AG372" s="78">
        <v>0.22982269999999999</v>
      </c>
      <c r="AJ372" s="78">
        <v>25.58709</v>
      </c>
      <c r="AK372" s="78">
        <v>0.57963220000000004</v>
      </c>
      <c r="AO372" s="78">
        <v>9.7204470000000001E-3</v>
      </c>
      <c r="AQ372" s="78">
        <v>7.6399809999999997</v>
      </c>
      <c r="AR372" s="78">
        <v>3.6467909999999999</v>
      </c>
      <c r="AS372" s="78">
        <v>2.939041</v>
      </c>
      <c r="AZ372" s="78">
        <v>10.98007</v>
      </c>
      <c r="BA372" s="78">
        <v>9.8918600000000005E-5</v>
      </c>
      <c r="BB372" s="78">
        <v>13.26139</v>
      </c>
      <c r="BC372" s="78">
        <v>1.1801980000000001</v>
      </c>
      <c r="BD372" s="78">
        <v>2.702134</v>
      </c>
    </row>
    <row r="373" spans="1:56" x14ac:dyDescent="0.2">
      <c r="A373" s="78" t="s">
        <v>521</v>
      </c>
      <c r="B373" s="22">
        <v>30042</v>
      </c>
      <c r="C373" s="22"/>
      <c r="D373" s="22"/>
      <c r="E373" s="22">
        <v>29556</v>
      </c>
      <c r="F373" s="78" t="s">
        <v>505</v>
      </c>
      <c r="G373" s="78">
        <v>3.5947100000000001</v>
      </c>
      <c r="J373" s="78">
        <v>10.196070000000001</v>
      </c>
      <c r="K373" s="78">
        <v>21.0886</v>
      </c>
      <c r="R373" s="78">
        <v>9.8622619999999994</v>
      </c>
      <c r="S373" s="78">
        <v>11.39776</v>
      </c>
      <c r="AE373" s="78">
        <v>0.48276760000000002</v>
      </c>
      <c r="AG373" s="78">
        <v>0.24018429999999999</v>
      </c>
      <c r="AJ373" s="78">
        <v>25.758870000000002</v>
      </c>
      <c r="AK373" s="78">
        <v>0.59705010000000003</v>
      </c>
      <c r="AO373" s="78">
        <v>1.012419E-2</v>
      </c>
      <c r="AQ373" s="78">
        <v>7.7407110000000001</v>
      </c>
      <c r="AR373" s="78">
        <v>3.6807759999999998</v>
      </c>
      <c r="AS373" s="78">
        <v>2.9803609999999998</v>
      </c>
      <c r="AZ373" s="78">
        <v>11.16738</v>
      </c>
      <c r="BA373" s="78">
        <v>1.014808E-4</v>
      </c>
      <c r="BB373" s="78">
        <v>13.294639999999999</v>
      </c>
      <c r="BC373" s="78">
        <v>1.1984379999999999</v>
      </c>
      <c r="BD373" s="78">
        <v>2.7562579999999999</v>
      </c>
    </row>
    <row r="374" spans="1:56" x14ac:dyDescent="0.2">
      <c r="A374" s="78" t="s">
        <v>522</v>
      </c>
      <c r="B374" s="22">
        <v>30072</v>
      </c>
      <c r="C374" s="22"/>
      <c r="D374" s="22"/>
      <c r="E374" s="22">
        <v>29587</v>
      </c>
      <c r="F374" s="78" t="s">
        <v>506</v>
      </c>
      <c r="G374" s="78">
        <v>3.6283319999999999</v>
      </c>
      <c r="J374" s="78">
        <v>10.412979999999999</v>
      </c>
      <c r="K374" s="78">
        <v>21.17146</v>
      </c>
      <c r="R374" s="78">
        <v>9.9039420000000007</v>
      </c>
      <c r="S374" s="78">
        <v>11.5548</v>
      </c>
      <c r="AE374" s="78">
        <v>0.49058239999999997</v>
      </c>
      <c r="AG374" s="78">
        <v>0.25383080000000002</v>
      </c>
      <c r="AJ374" s="78">
        <v>25.93065</v>
      </c>
      <c r="AK374" s="78">
        <v>0.60926029999999998</v>
      </c>
      <c r="AO374" s="78">
        <v>1.0451169999999999E-2</v>
      </c>
      <c r="AQ374" s="78">
        <v>7.8541980000000002</v>
      </c>
      <c r="AR374" s="78">
        <v>3.7185079999999999</v>
      </c>
      <c r="AS374" s="78">
        <v>3.00644</v>
      </c>
      <c r="AZ374" s="78">
        <v>11.25028</v>
      </c>
      <c r="BA374" s="78">
        <v>1.043509E-4</v>
      </c>
      <c r="BB374" s="78">
        <v>13.35364</v>
      </c>
      <c r="BC374" s="78">
        <v>1.2205429999999999</v>
      </c>
      <c r="BD374" s="78">
        <v>2.9784220000000001</v>
      </c>
    </row>
    <row r="375" spans="1:56" x14ac:dyDescent="0.2">
      <c r="A375" s="78" t="s">
        <v>523</v>
      </c>
      <c r="B375" s="22">
        <v>30103</v>
      </c>
      <c r="C375" s="22"/>
      <c r="D375" s="22"/>
      <c r="E375" s="22">
        <v>29618</v>
      </c>
      <c r="F375" s="78" t="s">
        <v>507</v>
      </c>
      <c r="G375" s="78">
        <v>3.6563500000000002</v>
      </c>
      <c r="J375" s="78">
        <v>10.65802</v>
      </c>
      <c r="K375" s="78">
        <v>21.20195</v>
      </c>
      <c r="R375" s="78">
        <v>10.000080000000001</v>
      </c>
      <c r="S375" s="78">
        <v>11.53819</v>
      </c>
      <c r="AE375" s="78">
        <v>0.49929129999999999</v>
      </c>
      <c r="AG375" s="78">
        <v>0.2695014</v>
      </c>
      <c r="AJ375" s="78">
        <v>26.12697</v>
      </c>
      <c r="AK375" s="78">
        <v>0.62654909999999997</v>
      </c>
      <c r="AO375" s="78">
        <v>1.068727E-2</v>
      </c>
      <c r="AQ375" s="78">
        <v>7.9298419999999998</v>
      </c>
      <c r="AR375" s="78">
        <v>3.7583389999999999</v>
      </c>
      <c r="AS375" s="78">
        <v>3.0275509999999999</v>
      </c>
      <c r="AZ375" s="78">
        <v>11.1776</v>
      </c>
      <c r="BA375" s="78">
        <v>1.0835680000000001E-4</v>
      </c>
      <c r="BB375" s="78">
        <v>13.451700000000001</v>
      </c>
      <c r="BC375" s="78">
        <v>1.244623</v>
      </c>
      <c r="BD375" s="78">
        <v>3.2490670000000001</v>
      </c>
    </row>
    <row r="376" spans="1:56" x14ac:dyDescent="0.2">
      <c r="A376" s="78" t="s">
        <v>524</v>
      </c>
      <c r="B376" s="22">
        <v>30133</v>
      </c>
      <c r="C376" s="22"/>
      <c r="D376" s="22"/>
      <c r="E376" s="22">
        <v>29646</v>
      </c>
      <c r="F376" s="78" t="s">
        <v>508</v>
      </c>
      <c r="G376" s="78">
        <v>3.6871700000000001</v>
      </c>
      <c r="J376" s="78">
        <v>10.62111</v>
      </c>
      <c r="K376" s="78">
        <v>21.28116</v>
      </c>
      <c r="R376" s="78">
        <v>10.08456</v>
      </c>
      <c r="S376" s="78">
        <v>11.60947</v>
      </c>
      <c r="AE376" s="78">
        <v>0.50764100000000001</v>
      </c>
      <c r="AG376" s="78">
        <v>0.28065059999999997</v>
      </c>
      <c r="AJ376" s="78">
        <v>26.32329</v>
      </c>
      <c r="AK376" s="78">
        <v>0.64226470000000002</v>
      </c>
      <c r="AO376" s="78">
        <v>1.108111E-2</v>
      </c>
      <c r="AQ376" s="78">
        <v>7.9145380000000003</v>
      </c>
      <c r="AR376" s="78">
        <v>3.8035040000000002</v>
      </c>
      <c r="AS376" s="78">
        <v>3.063752</v>
      </c>
      <c r="AZ376" s="78">
        <v>11.23761</v>
      </c>
      <c r="BA376" s="78">
        <v>1.122243E-4</v>
      </c>
      <c r="BB376" s="78">
        <v>13.60045</v>
      </c>
      <c r="BC376" s="78">
        <v>1.2726740000000001</v>
      </c>
      <c r="BD376" s="78">
        <v>3.2416710000000002</v>
      </c>
    </row>
    <row r="377" spans="1:56" x14ac:dyDescent="0.2">
      <c r="A377" s="78" t="s">
        <v>525</v>
      </c>
      <c r="B377" s="22">
        <v>30164</v>
      </c>
      <c r="C377" s="22"/>
      <c r="D377" s="22"/>
      <c r="E377" s="22">
        <v>29677</v>
      </c>
      <c r="F377" s="78" t="s">
        <v>509</v>
      </c>
      <c r="G377" s="78">
        <v>3.7207910000000002</v>
      </c>
      <c r="J377" s="78">
        <v>10.68418</v>
      </c>
      <c r="K377" s="78">
        <v>21.399139999999999</v>
      </c>
      <c r="R377" s="78">
        <v>10.180490000000001</v>
      </c>
      <c r="S377" s="78">
        <v>11.682510000000001</v>
      </c>
      <c r="AE377" s="78">
        <v>0.51567949999999996</v>
      </c>
      <c r="AG377" s="78">
        <v>0.29512310000000003</v>
      </c>
      <c r="AJ377" s="78">
        <v>26.593229999999998</v>
      </c>
      <c r="AK377" s="78">
        <v>0.65463800000000005</v>
      </c>
      <c r="AO377" s="78">
        <v>1.1610290000000001E-2</v>
      </c>
      <c r="AQ377" s="78">
        <v>7.9895379999999996</v>
      </c>
      <c r="AR377" s="78">
        <v>3.8684479999999999</v>
      </c>
      <c r="AS377" s="78">
        <v>3.1096759999999999</v>
      </c>
      <c r="AZ377" s="78">
        <v>11.43051</v>
      </c>
      <c r="BA377" s="78">
        <v>1.208189E-4</v>
      </c>
      <c r="BB377" s="78">
        <v>13.788259999999999</v>
      </c>
      <c r="BC377" s="78">
        <v>1.307247</v>
      </c>
      <c r="BD377" s="78">
        <v>3.2420640000000001</v>
      </c>
    </row>
    <row r="378" spans="1:56" x14ac:dyDescent="0.2">
      <c r="A378" s="78" t="s">
        <v>526</v>
      </c>
      <c r="B378" s="22">
        <v>30195</v>
      </c>
      <c r="C378" s="22"/>
      <c r="D378" s="22"/>
      <c r="E378" s="22">
        <v>29707</v>
      </c>
      <c r="F378" s="78" t="s">
        <v>510</v>
      </c>
      <c r="G378" s="78">
        <v>3.7600159999999998</v>
      </c>
      <c r="J378" s="78">
        <v>10.69524</v>
      </c>
      <c r="K378" s="78">
        <v>21.517040000000001</v>
      </c>
      <c r="R378" s="78">
        <v>10.27708</v>
      </c>
      <c r="S378" s="78">
        <v>11.792719999999999</v>
      </c>
      <c r="AE378" s="78">
        <v>0.52259049999999996</v>
      </c>
      <c r="AG378" s="78">
        <v>0.31272179999999999</v>
      </c>
      <c r="AJ378" s="78">
        <v>26.756830000000001</v>
      </c>
      <c r="AK378" s="78">
        <v>0.66703690000000004</v>
      </c>
      <c r="AO378" s="78">
        <v>1.210499E-2</v>
      </c>
      <c r="AQ378" s="78">
        <v>8.1021820000000009</v>
      </c>
      <c r="AR378" s="78">
        <v>3.9093640000000001</v>
      </c>
      <c r="AS378" s="78">
        <v>3.1570900000000002</v>
      </c>
      <c r="AZ378" s="78">
        <v>11.55608</v>
      </c>
      <c r="BA378" s="78">
        <v>1.312706E-4</v>
      </c>
      <c r="BB378" s="78">
        <v>13.82981</v>
      </c>
      <c r="BC378" s="78">
        <v>1.334598</v>
      </c>
      <c r="BD378" s="78">
        <v>3.4060440000000001</v>
      </c>
    </row>
    <row r="379" spans="1:56" x14ac:dyDescent="0.2">
      <c r="A379" s="78" t="s">
        <v>527</v>
      </c>
      <c r="B379" s="22">
        <v>30225</v>
      </c>
      <c r="C379" s="22"/>
      <c r="D379" s="22"/>
      <c r="E379" s="22">
        <v>29738</v>
      </c>
      <c r="F379" s="78" t="s">
        <v>511</v>
      </c>
      <c r="G379" s="78">
        <v>3.8048449999999998</v>
      </c>
      <c r="J379" s="78">
        <v>10.892609999999999</v>
      </c>
      <c r="K379" s="78">
        <v>21.655750000000001</v>
      </c>
      <c r="R379" s="78">
        <v>10.338900000000001</v>
      </c>
      <c r="S379" s="78">
        <v>11.91502</v>
      </c>
      <c r="AE379" s="78">
        <v>0.52954060000000003</v>
      </c>
      <c r="AG379" s="78">
        <v>0.32375120000000002</v>
      </c>
      <c r="AJ379" s="78">
        <v>27.043130000000001</v>
      </c>
      <c r="AK379" s="78">
        <v>0.67812870000000003</v>
      </c>
      <c r="AO379" s="78">
        <v>1.2544929999999999E-2</v>
      </c>
      <c r="AQ379" s="78">
        <v>8.1610560000000003</v>
      </c>
      <c r="AR379" s="78">
        <v>3.9515039999999999</v>
      </c>
      <c r="AS379" s="78">
        <v>3.2007330000000001</v>
      </c>
      <c r="AZ379" s="78">
        <v>11.590579999999999</v>
      </c>
      <c r="BA379" s="78">
        <v>1.371171E-4</v>
      </c>
      <c r="BB379" s="78">
        <v>13.8805</v>
      </c>
      <c r="BC379" s="78">
        <v>1.3488150000000001</v>
      </c>
      <c r="BD379" s="78">
        <v>3.542017</v>
      </c>
    </row>
    <row r="380" spans="1:56" x14ac:dyDescent="0.2">
      <c r="A380" s="78" t="s">
        <v>528</v>
      </c>
      <c r="B380" s="22">
        <v>30256</v>
      </c>
      <c r="C380" s="22"/>
      <c r="D380" s="22"/>
      <c r="E380" s="22">
        <v>29768</v>
      </c>
      <c r="F380" s="78" t="s">
        <v>512</v>
      </c>
      <c r="G380" s="78">
        <v>3.841269</v>
      </c>
      <c r="J380" s="78">
        <v>11.03715</v>
      </c>
      <c r="K380" s="78">
        <v>21.797329999999999</v>
      </c>
      <c r="R380" s="78">
        <v>10.404070000000001</v>
      </c>
      <c r="S380" s="78">
        <v>11.966989999999999</v>
      </c>
      <c r="AE380" s="78">
        <v>0.53768300000000002</v>
      </c>
      <c r="AG380" s="78">
        <v>0.3381612</v>
      </c>
      <c r="AJ380" s="78">
        <v>27.25581</v>
      </c>
      <c r="AK380" s="78">
        <v>0.69046229999999997</v>
      </c>
      <c r="AO380" s="78">
        <v>1.296565E-2</v>
      </c>
      <c r="AQ380" s="78">
        <v>8.2467290000000002</v>
      </c>
      <c r="AR380" s="78">
        <v>4.0014909999999997</v>
      </c>
      <c r="AS380" s="78">
        <v>3.2425079999999999</v>
      </c>
      <c r="AZ380" s="78">
        <v>11.537649999999999</v>
      </c>
      <c r="BA380" s="78">
        <v>1.4832809999999999E-4</v>
      </c>
      <c r="BB380" s="78">
        <v>13.976900000000001</v>
      </c>
      <c r="BC380" s="78">
        <v>1.365901</v>
      </c>
      <c r="BD380" s="78">
        <v>3.6343709999999998</v>
      </c>
    </row>
    <row r="381" spans="1:56" x14ac:dyDescent="0.2">
      <c r="A381" s="78" t="s">
        <v>529</v>
      </c>
      <c r="B381" s="22">
        <v>30286</v>
      </c>
      <c r="C381" s="22"/>
      <c r="D381" s="22"/>
      <c r="E381" s="22">
        <v>29799</v>
      </c>
      <c r="F381" s="78" t="s">
        <v>513</v>
      </c>
      <c r="G381" s="78">
        <v>3.8692869999999999</v>
      </c>
      <c r="J381" s="78">
        <v>11.272</v>
      </c>
      <c r="K381" s="78">
        <v>21.850159999999999</v>
      </c>
      <c r="R381" s="78">
        <v>10.650270000000001</v>
      </c>
      <c r="S381" s="78">
        <v>11.968209999999999</v>
      </c>
      <c r="AE381" s="78">
        <v>0.54248540000000001</v>
      </c>
      <c r="AG381" s="78">
        <v>0.3557804</v>
      </c>
      <c r="AJ381" s="78">
        <v>27.493030000000001</v>
      </c>
      <c r="AK381" s="78">
        <v>0.70478680000000005</v>
      </c>
      <c r="AO381" s="78">
        <v>1.3361069999999999E-2</v>
      </c>
      <c r="AQ381" s="78">
        <v>8.3261780000000005</v>
      </c>
      <c r="AR381" s="78">
        <v>4.0528959999999996</v>
      </c>
      <c r="AS381" s="78">
        <v>3.2863180000000001</v>
      </c>
      <c r="AZ381" s="78">
        <v>11.615170000000001</v>
      </c>
      <c r="BA381" s="78">
        <v>1.5735200000000001E-4</v>
      </c>
      <c r="BB381" s="78">
        <v>14.07995</v>
      </c>
      <c r="BC381" s="78">
        <v>1.381413</v>
      </c>
      <c r="BD381" s="78">
        <v>3.7195339999999999</v>
      </c>
    </row>
    <row r="382" spans="1:56" x14ac:dyDescent="0.2">
      <c r="A382" s="78" t="s">
        <v>530</v>
      </c>
      <c r="B382" s="22">
        <v>30317</v>
      </c>
      <c r="C382" s="22"/>
      <c r="D382" s="22"/>
      <c r="E382" s="22">
        <v>29830</v>
      </c>
      <c r="F382" s="78" t="s">
        <v>514</v>
      </c>
      <c r="G382" s="78">
        <v>3.9001060000000001</v>
      </c>
      <c r="J382" s="78">
        <v>11.334759999999999</v>
      </c>
      <c r="K382" s="78">
        <v>21.84356</v>
      </c>
      <c r="R382" s="78">
        <v>10.71031</v>
      </c>
      <c r="S382" s="78">
        <v>12.030749999999999</v>
      </c>
      <c r="AE382" s="78">
        <v>0.54614669999999998</v>
      </c>
      <c r="AG382" s="78">
        <v>0.36829849999999997</v>
      </c>
      <c r="AJ382" s="78">
        <v>27.738430000000001</v>
      </c>
      <c r="AK382" s="78">
        <v>0.72123760000000003</v>
      </c>
      <c r="AO382" s="78">
        <v>1.380726E-2</v>
      </c>
      <c r="AQ382" s="78">
        <v>8.4419699999999995</v>
      </c>
      <c r="AR382" s="78">
        <v>4.0947370000000003</v>
      </c>
      <c r="AS382" s="78">
        <v>3.3487559999999998</v>
      </c>
      <c r="AZ382" s="78">
        <v>11.7979</v>
      </c>
      <c r="BA382" s="78">
        <v>1.5977769999999999E-4</v>
      </c>
      <c r="BB382" s="78">
        <v>14.17718</v>
      </c>
      <c r="BC382" s="78">
        <v>1.3811150000000001</v>
      </c>
      <c r="BD382" s="78">
        <v>3.7836650000000001</v>
      </c>
    </row>
    <row r="383" spans="1:56" x14ac:dyDescent="0.2">
      <c r="A383" s="78" t="s">
        <v>531</v>
      </c>
      <c r="B383" s="22">
        <v>30348</v>
      </c>
      <c r="C383" s="22"/>
      <c r="D383" s="22"/>
      <c r="E383" s="22">
        <v>29860</v>
      </c>
      <c r="F383" s="78" t="s">
        <v>515</v>
      </c>
      <c r="G383" s="78">
        <v>3.9365299999999999</v>
      </c>
      <c r="J383" s="78">
        <v>11.32246</v>
      </c>
      <c r="K383" s="78">
        <v>21.82302</v>
      </c>
      <c r="R383" s="78">
        <v>10.618460000000001</v>
      </c>
      <c r="S383" s="78">
        <v>12.115119999999999</v>
      </c>
      <c r="AE383" s="78">
        <v>0.55476049999999999</v>
      </c>
      <c r="AG383" s="78">
        <v>0.38201099999999999</v>
      </c>
      <c r="AJ383" s="78">
        <v>28.016549999999999</v>
      </c>
      <c r="AK383" s="78">
        <v>0.7399732</v>
      </c>
      <c r="AO383" s="78">
        <v>1.426318E-2</v>
      </c>
      <c r="AQ383" s="78">
        <v>8.5309849999999994</v>
      </c>
      <c r="AR383" s="78">
        <v>4.1508799999999999</v>
      </c>
      <c r="AS383" s="78">
        <v>3.4166059999999998</v>
      </c>
      <c r="AZ383" s="78">
        <v>11.94102</v>
      </c>
      <c r="BA383" s="78">
        <v>1.7187419999999999E-4</v>
      </c>
      <c r="BB383" s="78">
        <v>14.308479999999999</v>
      </c>
      <c r="BC383" s="78">
        <v>1.388058</v>
      </c>
      <c r="BD383" s="78">
        <v>3.8604880000000001</v>
      </c>
    </row>
    <row r="384" spans="1:56" x14ac:dyDescent="0.2">
      <c r="A384" s="78" t="s">
        <v>532</v>
      </c>
      <c r="B384" s="22">
        <v>30376</v>
      </c>
      <c r="C384" s="22"/>
      <c r="D384" s="22"/>
      <c r="E384" s="22">
        <v>29891</v>
      </c>
      <c r="F384" s="78" t="s">
        <v>516</v>
      </c>
      <c r="G384" s="78">
        <v>3.972953</v>
      </c>
      <c r="J384" s="78">
        <v>11.16339</v>
      </c>
      <c r="K384" s="78">
        <v>21.811419999999998</v>
      </c>
      <c r="R384" s="78">
        <v>10.82757</v>
      </c>
      <c r="S384" s="78">
        <v>12.218450000000001</v>
      </c>
      <c r="AE384" s="78">
        <v>0.55997070000000004</v>
      </c>
      <c r="AG384" s="78">
        <v>0.40094819999999998</v>
      </c>
      <c r="AJ384" s="78">
        <v>28.212879999999998</v>
      </c>
      <c r="AK384" s="78">
        <v>0.76148340000000003</v>
      </c>
      <c r="AO384" s="78">
        <v>1.465469E-2</v>
      </c>
      <c r="AQ384" s="78">
        <v>8.5608760000000004</v>
      </c>
      <c r="AR384" s="78">
        <v>4.2001429999999997</v>
      </c>
      <c r="AS384" s="78">
        <v>3.4708830000000002</v>
      </c>
      <c r="AZ384" s="78">
        <v>12.00661</v>
      </c>
      <c r="BA384" s="78">
        <v>1.8503470000000001E-4</v>
      </c>
      <c r="BB384" s="78">
        <v>14.42731</v>
      </c>
      <c r="BC384" s="78">
        <v>1.409813</v>
      </c>
      <c r="BD384" s="78">
        <v>3.9263560000000002</v>
      </c>
    </row>
    <row r="385" spans="1:56" x14ac:dyDescent="0.2">
      <c r="A385" s="78" t="s">
        <v>533</v>
      </c>
      <c r="B385" s="22">
        <v>30407</v>
      </c>
      <c r="C385" s="22"/>
      <c r="D385" s="22"/>
      <c r="E385" s="22">
        <v>29921</v>
      </c>
      <c r="F385" s="78" t="s">
        <v>517</v>
      </c>
      <c r="G385" s="78">
        <v>4.0037729999999998</v>
      </c>
      <c r="J385" s="78">
        <v>11.31062</v>
      </c>
      <c r="K385" s="78">
        <v>21.76022</v>
      </c>
      <c r="R385" s="78">
        <v>10.91061</v>
      </c>
      <c r="S385" s="78">
        <v>12.550369999999999</v>
      </c>
      <c r="AE385" s="78">
        <v>0.56383989999999995</v>
      </c>
      <c r="AG385" s="78">
        <v>0.41454469999999999</v>
      </c>
      <c r="AJ385" s="78">
        <v>28.417380000000001</v>
      </c>
      <c r="AK385" s="78">
        <v>0.78260770000000002</v>
      </c>
      <c r="AO385" s="78">
        <v>1.509401E-2</v>
      </c>
      <c r="AQ385" s="78">
        <v>8.6031379999999995</v>
      </c>
      <c r="AR385" s="78">
        <v>4.2621570000000002</v>
      </c>
      <c r="AS385" s="78">
        <v>3.5254799999999999</v>
      </c>
      <c r="AZ385" s="78">
        <v>12.339919999999999</v>
      </c>
      <c r="BA385" s="78">
        <v>1.966704E-4</v>
      </c>
      <c r="BB385" s="78">
        <v>14.58853</v>
      </c>
      <c r="BC385" s="78">
        <v>1.422631</v>
      </c>
      <c r="BD385" s="78">
        <v>3.942002</v>
      </c>
    </row>
    <row r="386" spans="1:56" x14ac:dyDescent="0.2">
      <c r="A386" s="78" t="s">
        <v>534</v>
      </c>
      <c r="B386" s="22">
        <v>30437</v>
      </c>
      <c r="C386" s="22"/>
      <c r="D386" s="22"/>
      <c r="E386" s="22">
        <v>29952</v>
      </c>
      <c r="F386" s="78" t="s">
        <v>518</v>
      </c>
      <c r="G386" s="78">
        <v>4.0373950000000001</v>
      </c>
      <c r="J386" s="78">
        <v>11.24098</v>
      </c>
      <c r="K386" s="78">
        <v>21.656269999999999</v>
      </c>
      <c r="R386" s="78">
        <v>10.910959999999999</v>
      </c>
      <c r="S386" s="78">
        <v>12.79003</v>
      </c>
      <c r="AE386" s="78">
        <v>0.56830179999999997</v>
      </c>
      <c r="AG386" s="78">
        <v>0.42676649999999999</v>
      </c>
      <c r="AJ386" s="78">
        <v>28.654599999999999</v>
      </c>
      <c r="AK386" s="78">
        <v>0.79853399999999997</v>
      </c>
      <c r="AO386" s="78">
        <v>1.560373E-2</v>
      </c>
      <c r="AQ386" s="78">
        <v>8.6909740000000006</v>
      </c>
      <c r="AR386" s="78">
        <v>4.315474</v>
      </c>
      <c r="AS386" s="78">
        <v>3.5901990000000001</v>
      </c>
      <c r="AZ386" s="78">
        <v>12.64484</v>
      </c>
      <c r="BA386" s="78">
        <v>2.0689450000000001E-4</v>
      </c>
      <c r="BB386" s="78">
        <v>14.712350000000001</v>
      </c>
      <c r="BC386" s="78">
        <v>1.428088</v>
      </c>
      <c r="BD386" s="78">
        <v>3.9751609999999999</v>
      </c>
    </row>
    <row r="387" spans="1:56" x14ac:dyDescent="0.2">
      <c r="A387" s="78" t="s">
        <v>535</v>
      </c>
      <c r="B387" s="22">
        <v>30468</v>
      </c>
      <c r="C387" s="22"/>
      <c r="D387" s="22"/>
      <c r="E387" s="22">
        <v>29983</v>
      </c>
      <c r="F387" s="78" t="s">
        <v>519</v>
      </c>
      <c r="G387" s="78">
        <v>4.0738180000000002</v>
      </c>
      <c r="J387" s="78">
        <v>11.196160000000001</v>
      </c>
      <c r="K387" s="78">
        <v>21.688120000000001</v>
      </c>
      <c r="N387" s="78">
        <v>0.1771576</v>
      </c>
      <c r="R387" s="78">
        <v>11.021000000000001</v>
      </c>
      <c r="S387" s="78">
        <v>12.80822</v>
      </c>
      <c r="AE387" s="78">
        <v>0.57217759999999995</v>
      </c>
      <c r="AG387" s="78">
        <v>0.44377260000000002</v>
      </c>
      <c r="AJ387" s="78">
        <v>28.850919999999999</v>
      </c>
      <c r="AK387" s="78">
        <v>0.81657230000000003</v>
      </c>
      <c r="AO387" s="78">
        <v>1.7177540000000002E-2</v>
      </c>
      <c r="AQ387" s="78">
        <v>8.7316020000000005</v>
      </c>
      <c r="AR387" s="78">
        <v>4.3674390000000001</v>
      </c>
      <c r="AS387" s="78">
        <v>3.6431979999999999</v>
      </c>
      <c r="AZ387" s="78">
        <v>12.69007</v>
      </c>
      <c r="BA387" s="78">
        <v>2.12031E-4</v>
      </c>
      <c r="BB387" s="78">
        <v>14.746420000000001</v>
      </c>
      <c r="BC387" s="78">
        <v>1.435905</v>
      </c>
      <c r="BD387" s="78">
        <v>4.0226230000000003</v>
      </c>
    </row>
    <row r="388" spans="1:56" x14ac:dyDescent="0.2">
      <c r="A388" s="78" t="s">
        <v>536</v>
      </c>
      <c r="B388" s="22">
        <v>30498</v>
      </c>
      <c r="C388" s="22"/>
      <c r="D388" s="22"/>
      <c r="E388" s="22">
        <v>30011</v>
      </c>
      <c r="F388" s="78" t="s">
        <v>520</v>
      </c>
      <c r="G388" s="78">
        <v>4.1074400000000004</v>
      </c>
      <c r="J388" s="78">
        <v>11.28642</v>
      </c>
      <c r="K388" s="78">
        <v>21.748709999999999</v>
      </c>
      <c r="N388" s="78">
        <v>0.18042720000000001</v>
      </c>
      <c r="R388" s="78">
        <v>11.11571</v>
      </c>
      <c r="S388" s="78">
        <v>12.861879999999999</v>
      </c>
      <c r="AE388" s="78">
        <v>0.57622099999999998</v>
      </c>
      <c r="AG388" s="78">
        <v>0.45877050000000003</v>
      </c>
      <c r="AJ388" s="78">
        <v>29.0227</v>
      </c>
      <c r="AK388" s="78">
        <v>0.83917770000000003</v>
      </c>
      <c r="AO388" s="78">
        <v>1.8645729999999999E-2</v>
      </c>
      <c r="AQ388" s="78">
        <v>8.8278090000000002</v>
      </c>
      <c r="AR388" s="78">
        <v>4.4290599999999998</v>
      </c>
      <c r="AS388" s="78">
        <v>3.6962730000000001</v>
      </c>
      <c r="AZ388" s="78">
        <v>12.80865</v>
      </c>
      <c r="BA388" s="78">
        <v>2.1631109999999999E-4</v>
      </c>
      <c r="BB388" s="78">
        <v>14.84615</v>
      </c>
      <c r="BC388" s="78">
        <v>1.458272</v>
      </c>
      <c r="BD388" s="78">
        <v>3.9542670000000002</v>
      </c>
    </row>
    <row r="389" spans="1:56" x14ac:dyDescent="0.2">
      <c r="A389" s="78" t="s">
        <v>537</v>
      </c>
      <c r="B389" s="22">
        <v>30529</v>
      </c>
      <c r="C389" s="22"/>
      <c r="D389" s="22"/>
      <c r="E389" s="22">
        <v>30042</v>
      </c>
      <c r="F389" s="78" t="s">
        <v>521</v>
      </c>
      <c r="G389" s="78">
        <v>4.1494669999999996</v>
      </c>
      <c r="J389" s="78">
        <v>11.33708</v>
      </c>
      <c r="K389" s="78">
        <v>21.77984</v>
      </c>
      <c r="N389" s="78">
        <v>0.18433359999999999</v>
      </c>
      <c r="R389" s="78">
        <v>11.18365</v>
      </c>
      <c r="S389" s="78">
        <v>12.91419</v>
      </c>
      <c r="AE389" s="78">
        <v>0.5826924</v>
      </c>
      <c r="AG389" s="78">
        <v>0.47322570000000003</v>
      </c>
      <c r="AJ389" s="78">
        <v>29.153580000000002</v>
      </c>
      <c r="AK389" s="78">
        <v>0.86230530000000005</v>
      </c>
      <c r="AO389" s="78">
        <v>1.8788510000000001E-2</v>
      </c>
      <c r="AQ389" s="78">
        <v>8.9604879999999998</v>
      </c>
      <c r="AR389" s="78">
        <v>4.4703460000000002</v>
      </c>
      <c r="AS389" s="78">
        <v>3.7486380000000001</v>
      </c>
      <c r="AZ389" s="78">
        <v>12.91643</v>
      </c>
      <c r="BA389" s="78">
        <v>2.252988E-4</v>
      </c>
      <c r="BB389" s="78">
        <v>14.990740000000001</v>
      </c>
      <c r="BC389" s="78">
        <v>1.4696039999999999</v>
      </c>
      <c r="BD389" s="78">
        <v>3.9537990000000001</v>
      </c>
    </row>
    <row r="390" spans="1:56" x14ac:dyDescent="0.2">
      <c r="A390" s="78" t="s">
        <v>538</v>
      </c>
      <c r="B390" s="22">
        <v>30560</v>
      </c>
      <c r="C390" s="22"/>
      <c r="D390" s="22"/>
      <c r="E390" s="22">
        <v>30072</v>
      </c>
      <c r="F390" s="78" t="s">
        <v>522</v>
      </c>
      <c r="G390" s="78">
        <v>4.211106</v>
      </c>
      <c r="J390" s="78">
        <v>11.36009</v>
      </c>
      <c r="K390" s="78">
        <v>21.838989999999999</v>
      </c>
      <c r="N390" s="78">
        <v>0.1894767</v>
      </c>
      <c r="R390" s="78">
        <v>11.240030000000001</v>
      </c>
      <c r="S390" s="78">
        <v>12.996589999999999</v>
      </c>
      <c r="AE390" s="78">
        <v>0.59166870000000005</v>
      </c>
      <c r="AG390" s="78">
        <v>0.48844660000000001</v>
      </c>
      <c r="AJ390" s="78">
        <v>29.341719999999999</v>
      </c>
      <c r="AK390" s="78">
        <v>0.88587400000000005</v>
      </c>
      <c r="AO390" s="78">
        <v>1.8939540000000001E-2</v>
      </c>
      <c r="AQ390" s="78">
        <v>9.0404509999999991</v>
      </c>
      <c r="AR390" s="78">
        <v>4.5061770000000001</v>
      </c>
      <c r="AS390" s="78">
        <v>3.7986399999999998</v>
      </c>
      <c r="AZ390" s="78">
        <v>13.014749999999999</v>
      </c>
      <c r="BA390" s="78">
        <v>2.3379839999999999E-4</v>
      </c>
      <c r="BB390" s="78">
        <v>15.086309999999999</v>
      </c>
      <c r="BC390" s="78">
        <v>1.4653369999999999</v>
      </c>
      <c r="BD390" s="78">
        <v>4.0933219999999997</v>
      </c>
    </row>
    <row r="391" spans="1:56" x14ac:dyDescent="0.2">
      <c r="A391" s="78" t="s">
        <v>539</v>
      </c>
      <c r="B391" s="22">
        <v>30590</v>
      </c>
      <c r="C391" s="22"/>
      <c r="D391" s="22"/>
      <c r="E391" s="22">
        <v>30103</v>
      </c>
      <c r="F391" s="78" t="s">
        <v>523</v>
      </c>
      <c r="G391" s="78">
        <v>4.2531330000000001</v>
      </c>
      <c r="J391" s="78">
        <v>11.40667</v>
      </c>
      <c r="K391" s="78">
        <v>21.863140000000001</v>
      </c>
      <c r="N391" s="78">
        <v>0.19298969999999999</v>
      </c>
      <c r="R391" s="78">
        <v>11.29443</v>
      </c>
      <c r="S391" s="78">
        <v>13.152049999999999</v>
      </c>
      <c r="AE391" s="78">
        <v>0.59924960000000005</v>
      </c>
      <c r="AG391" s="78">
        <v>0.50331170000000003</v>
      </c>
      <c r="AJ391" s="78">
        <v>29.513500000000001</v>
      </c>
      <c r="AK391" s="78">
        <v>0.91513120000000003</v>
      </c>
      <c r="AO391" s="78">
        <v>1.9342439999999999E-2</v>
      </c>
      <c r="AQ391" s="78">
        <v>9.1201319999999999</v>
      </c>
      <c r="AR391" s="78">
        <v>4.5437919999999998</v>
      </c>
      <c r="AS391" s="78">
        <v>3.8527930000000001</v>
      </c>
      <c r="AZ391" s="78">
        <v>13.23277</v>
      </c>
      <c r="BA391" s="78">
        <v>2.3804260000000001E-4</v>
      </c>
      <c r="BB391" s="78">
        <v>15.1744</v>
      </c>
      <c r="BC391" s="78">
        <v>1.4779800000000001</v>
      </c>
      <c r="BD391" s="78">
        <v>4.2455470000000002</v>
      </c>
    </row>
    <row r="392" spans="1:56" x14ac:dyDescent="0.2">
      <c r="A392" s="78" t="s">
        <v>540</v>
      </c>
      <c r="B392" s="22">
        <v>30621</v>
      </c>
      <c r="C392" s="22"/>
      <c r="D392" s="22"/>
      <c r="E392" s="22">
        <v>30133</v>
      </c>
      <c r="F392" s="78" t="s">
        <v>524</v>
      </c>
      <c r="G392" s="78">
        <v>4.2699439999999997</v>
      </c>
      <c r="J392" s="78">
        <v>11.42765</v>
      </c>
      <c r="K392" s="78">
        <v>21.931509999999999</v>
      </c>
      <c r="N392" s="78">
        <v>0.1952613</v>
      </c>
      <c r="R392" s="78">
        <v>11.44097</v>
      </c>
      <c r="S392" s="78">
        <v>13.279450000000001</v>
      </c>
      <c r="AE392" s="78">
        <v>0.60611470000000001</v>
      </c>
      <c r="AG392" s="78">
        <v>0.519509</v>
      </c>
      <c r="AJ392" s="78">
        <v>29.791620000000002</v>
      </c>
      <c r="AK392" s="78">
        <v>0.93883830000000001</v>
      </c>
      <c r="AO392" s="78">
        <v>1.9941509999999999E-2</v>
      </c>
      <c r="AQ392" s="78">
        <v>9.1674410000000002</v>
      </c>
      <c r="AR392" s="78">
        <v>4.5839109999999996</v>
      </c>
      <c r="AS392" s="78">
        <v>3.9082370000000002</v>
      </c>
      <c r="AZ392" s="78">
        <v>13.35188</v>
      </c>
      <c r="BA392" s="78">
        <v>2.4719219999999999E-4</v>
      </c>
      <c r="BB392" s="78">
        <v>15.22011</v>
      </c>
      <c r="BC392" s="78">
        <v>1.4980039999999999</v>
      </c>
      <c r="BD392" s="78">
        <v>4.323359</v>
      </c>
    </row>
    <row r="393" spans="1:56" x14ac:dyDescent="0.2">
      <c r="A393" s="78" t="s">
        <v>541</v>
      </c>
      <c r="B393" s="22">
        <v>30651</v>
      </c>
      <c r="C393" s="22"/>
      <c r="D393" s="22"/>
      <c r="E393" s="22">
        <v>30164</v>
      </c>
      <c r="F393" s="78" t="s">
        <v>525</v>
      </c>
      <c r="G393" s="78">
        <v>4.2923580000000001</v>
      </c>
      <c r="J393" s="78">
        <v>11.52427</v>
      </c>
      <c r="K393" s="78">
        <v>22.04599</v>
      </c>
      <c r="N393" s="78">
        <v>0.19681560000000001</v>
      </c>
      <c r="R393" s="78">
        <v>11.590719999999999</v>
      </c>
      <c r="S393" s="78">
        <v>13.330830000000001</v>
      </c>
      <c r="AE393" s="78">
        <v>0.61476419999999998</v>
      </c>
      <c r="AG393" s="78">
        <v>0.54049599999999998</v>
      </c>
      <c r="AJ393" s="78">
        <v>29.996120000000001</v>
      </c>
      <c r="AK393" s="78">
        <v>0.9619856</v>
      </c>
      <c r="AO393" s="78">
        <v>2.1715559999999998E-2</v>
      </c>
      <c r="AQ393" s="78">
        <v>9.2132430000000003</v>
      </c>
      <c r="AR393" s="78">
        <v>4.6595719999999998</v>
      </c>
      <c r="AS393" s="78">
        <v>3.9646789999999998</v>
      </c>
      <c r="AZ393" s="78">
        <v>13.34699</v>
      </c>
      <c r="BA393" s="78">
        <v>2.5808230000000002E-4</v>
      </c>
      <c r="BB393" s="78">
        <v>15.33395</v>
      </c>
      <c r="BC393" s="78">
        <v>1.5201960000000001</v>
      </c>
      <c r="BD393" s="78">
        <v>4.3071760000000001</v>
      </c>
    </row>
    <row r="394" spans="1:56" x14ac:dyDescent="0.2">
      <c r="A394" s="78" t="s">
        <v>542</v>
      </c>
      <c r="B394" s="22">
        <v>30682</v>
      </c>
      <c r="C394" s="22"/>
      <c r="D394" s="22"/>
      <c r="E394" s="22">
        <v>30195</v>
      </c>
      <c r="F394" s="78" t="s">
        <v>526</v>
      </c>
      <c r="G394" s="78">
        <v>4.3287820000000004</v>
      </c>
      <c r="J394" s="78">
        <v>11.54795</v>
      </c>
      <c r="K394" s="78">
        <v>22.225380000000001</v>
      </c>
      <c r="N394" s="78">
        <v>0.198518</v>
      </c>
      <c r="R394" s="78">
        <v>11.650270000000001</v>
      </c>
      <c r="S394" s="78">
        <v>13.409879999999999</v>
      </c>
      <c r="AE394" s="78">
        <v>0.62419630000000004</v>
      </c>
      <c r="AG394" s="78">
        <v>0.56475790000000003</v>
      </c>
      <c r="AJ394" s="78">
        <v>30.151540000000001</v>
      </c>
      <c r="AK394" s="78">
        <v>0.99095409999999995</v>
      </c>
      <c r="AO394" s="78">
        <v>2.3638070000000001E-2</v>
      </c>
      <c r="AQ394" s="78">
        <v>9.2692560000000004</v>
      </c>
      <c r="AR394" s="78">
        <v>4.7350219999999998</v>
      </c>
      <c r="AS394" s="78">
        <v>4.0198369999999999</v>
      </c>
      <c r="AZ394" s="78">
        <v>13.37656</v>
      </c>
      <c r="BA394" s="78">
        <v>2.6833089999999998E-4</v>
      </c>
      <c r="BB394" s="78">
        <v>15.44365</v>
      </c>
      <c r="BC394" s="78">
        <v>1.5481940000000001</v>
      </c>
      <c r="BD394" s="78">
        <v>4.2911299999999999</v>
      </c>
    </row>
    <row r="395" spans="1:56" x14ac:dyDescent="0.2">
      <c r="A395" s="78" t="s">
        <v>543</v>
      </c>
      <c r="B395" s="22">
        <v>30713</v>
      </c>
      <c r="C395" s="22"/>
      <c r="D395" s="22"/>
      <c r="E395" s="22">
        <v>30225</v>
      </c>
      <c r="F395" s="78" t="s">
        <v>527</v>
      </c>
      <c r="G395" s="78">
        <v>4.3624029999999996</v>
      </c>
      <c r="J395" s="78">
        <v>11.58202</v>
      </c>
      <c r="K395" s="78">
        <v>22.429459999999999</v>
      </c>
      <c r="N395" s="78">
        <v>0.19967509999999999</v>
      </c>
      <c r="R395" s="78">
        <v>11.72598</v>
      </c>
      <c r="S395" s="78">
        <v>13.50671</v>
      </c>
      <c r="AE395" s="78">
        <v>0.63092839999999994</v>
      </c>
      <c r="AG395" s="78">
        <v>0.58927890000000005</v>
      </c>
      <c r="AJ395" s="78">
        <v>30.339680000000001</v>
      </c>
      <c r="AK395" s="78">
        <v>1.0140640000000001</v>
      </c>
      <c r="AO395" s="78">
        <v>2.4536800000000001E-2</v>
      </c>
      <c r="AQ395" s="78">
        <v>9.3173349999999999</v>
      </c>
      <c r="AR395" s="78">
        <v>4.7862479999999996</v>
      </c>
      <c r="AS395" s="78">
        <v>4.0739859999999997</v>
      </c>
      <c r="AZ395" s="78">
        <v>13.42534</v>
      </c>
      <c r="BA395" s="78">
        <v>2.7675170000000002E-4</v>
      </c>
      <c r="BB395" s="78">
        <v>15.53755</v>
      </c>
      <c r="BC395" s="78">
        <v>1.5714699999999999</v>
      </c>
      <c r="BD395" s="78">
        <v>4.2756420000000004</v>
      </c>
    </row>
    <row r="396" spans="1:56" x14ac:dyDescent="0.2">
      <c r="A396" s="78" t="s">
        <v>544</v>
      </c>
      <c r="B396" s="22">
        <v>30742</v>
      </c>
      <c r="C396" s="22"/>
      <c r="D396" s="22"/>
      <c r="E396" s="22">
        <v>30256</v>
      </c>
      <c r="F396" s="78" t="s">
        <v>528</v>
      </c>
      <c r="G396" s="78">
        <v>4.3960249999999998</v>
      </c>
      <c r="J396" s="78">
        <v>11.61293</v>
      </c>
      <c r="K396" s="78">
        <v>22.617709999999999</v>
      </c>
      <c r="N396" s="78">
        <v>0.20113400000000001</v>
      </c>
      <c r="R396" s="78">
        <v>11.825839999999999</v>
      </c>
      <c r="S396" s="78">
        <v>13.613289999999999</v>
      </c>
      <c r="AE396" s="78">
        <v>0.63873919999999995</v>
      </c>
      <c r="AG396" s="78">
        <v>0.61489340000000003</v>
      </c>
      <c r="AJ396" s="78">
        <v>30.519639999999999</v>
      </c>
      <c r="AK396" s="78">
        <v>1.028265</v>
      </c>
      <c r="AO396" s="78">
        <v>2.5474500000000001E-2</v>
      </c>
      <c r="AQ396" s="78">
        <v>9.3527129999999996</v>
      </c>
      <c r="AR396" s="78">
        <v>4.8407390000000001</v>
      </c>
      <c r="AS396" s="78">
        <v>4.1307939999999999</v>
      </c>
      <c r="AZ396" s="78">
        <v>13.467359999999999</v>
      </c>
      <c r="BA396" s="78">
        <v>2.8399490000000001E-4</v>
      </c>
      <c r="BB396" s="78">
        <v>15.6539</v>
      </c>
      <c r="BC396" s="78">
        <v>1.597702</v>
      </c>
      <c r="BD396" s="78">
        <v>4.3585890000000003</v>
      </c>
    </row>
    <row r="397" spans="1:56" x14ac:dyDescent="0.2">
      <c r="A397" s="78" t="s">
        <v>545</v>
      </c>
      <c r="B397" s="22">
        <v>30773</v>
      </c>
      <c r="C397" s="22"/>
      <c r="D397" s="22"/>
      <c r="E397" s="22">
        <v>30286</v>
      </c>
      <c r="F397" s="78" t="s">
        <v>529</v>
      </c>
      <c r="G397" s="78">
        <v>4.4492589999999996</v>
      </c>
      <c r="J397" s="78">
        <v>11.59416</v>
      </c>
      <c r="K397" s="78">
        <v>22.7134</v>
      </c>
      <c r="N397" s="78">
        <v>0.2044357</v>
      </c>
      <c r="R397" s="78">
        <v>11.94952</v>
      </c>
      <c r="S397" s="78">
        <v>13.96884</v>
      </c>
      <c r="AE397" s="78">
        <v>0.65445319999999996</v>
      </c>
      <c r="AG397" s="78">
        <v>0.64356539999999995</v>
      </c>
      <c r="AJ397" s="78">
        <v>30.6587</v>
      </c>
      <c r="AK397" s="78">
        <v>1.036621</v>
      </c>
      <c r="AO397" s="78">
        <v>2.648265E-2</v>
      </c>
      <c r="AQ397" s="78">
        <v>9.4515899999999995</v>
      </c>
      <c r="AR397" s="78">
        <v>4.9085479999999997</v>
      </c>
      <c r="AS397" s="78">
        <v>4.182588</v>
      </c>
      <c r="AZ397" s="78">
        <v>13.52073</v>
      </c>
      <c r="BA397" s="78">
        <v>2.9601280000000001E-4</v>
      </c>
      <c r="BB397" s="78">
        <v>15.838380000000001</v>
      </c>
      <c r="BC397" s="78">
        <v>1.629302</v>
      </c>
      <c r="BD397" s="78">
        <v>4.5337420000000002</v>
      </c>
    </row>
    <row r="398" spans="1:56" x14ac:dyDescent="0.2">
      <c r="A398" s="78" t="s">
        <v>546</v>
      </c>
      <c r="B398" s="22">
        <v>30803</v>
      </c>
      <c r="C398" s="22"/>
      <c r="D398" s="22"/>
      <c r="E398" s="22">
        <v>30317</v>
      </c>
      <c r="F398" s="78" t="s">
        <v>530</v>
      </c>
      <c r="G398" s="78">
        <v>4.4940879999999996</v>
      </c>
      <c r="J398" s="78">
        <v>11.6701</v>
      </c>
      <c r="K398" s="78">
        <v>22.75543</v>
      </c>
      <c r="N398" s="78">
        <v>0.20800370000000001</v>
      </c>
      <c r="R398" s="78">
        <v>12.12848</v>
      </c>
      <c r="S398" s="78">
        <v>14.227309999999999</v>
      </c>
      <c r="AE398" s="78">
        <v>0.66261639999999999</v>
      </c>
      <c r="AG398" s="78">
        <v>0.67100230000000005</v>
      </c>
      <c r="AH398" s="78">
        <v>2.0957429999999999E-2</v>
      </c>
      <c r="AJ398" s="78">
        <v>30.822299999999998</v>
      </c>
      <c r="AK398" s="78">
        <v>1.056316</v>
      </c>
      <c r="AO398" s="78">
        <v>2.7444679999999999E-2</v>
      </c>
      <c r="AQ398" s="78">
        <v>9.5112030000000001</v>
      </c>
      <c r="AR398" s="78">
        <v>5.014716</v>
      </c>
      <c r="AS398" s="78">
        <v>4.2384769999999996</v>
      </c>
      <c r="AZ398" s="78">
        <v>13.72822</v>
      </c>
      <c r="BA398" s="78">
        <v>3.0223240000000002E-4</v>
      </c>
      <c r="BB398" s="78">
        <v>16.282979999999998</v>
      </c>
      <c r="BC398" s="78">
        <v>1.6603429999999999</v>
      </c>
      <c r="BD398" s="78">
        <v>4.6959790000000003</v>
      </c>
    </row>
    <row r="399" spans="1:56" x14ac:dyDescent="0.2">
      <c r="A399" s="78" t="s">
        <v>547</v>
      </c>
      <c r="B399" s="22">
        <v>30834</v>
      </c>
      <c r="C399" s="22"/>
      <c r="D399" s="22"/>
      <c r="E399" s="22">
        <v>30348</v>
      </c>
      <c r="F399" s="78" t="s">
        <v>531</v>
      </c>
      <c r="G399" s="78">
        <v>4.5361149999999997</v>
      </c>
      <c r="J399" s="78">
        <v>11.700089999999999</v>
      </c>
      <c r="K399" s="78">
        <v>22.874970000000001</v>
      </c>
      <c r="N399" s="78">
        <v>0.21075079999999999</v>
      </c>
      <c r="R399" s="78">
        <v>12.313650000000001</v>
      </c>
      <c r="S399" s="78">
        <v>14.206189999999999</v>
      </c>
      <c r="AE399" s="78">
        <v>0.66327689999999995</v>
      </c>
      <c r="AG399" s="78">
        <v>0.7008974</v>
      </c>
      <c r="AH399" s="78">
        <v>2.2732160000000001E-2</v>
      </c>
      <c r="AJ399" s="78">
        <v>30.985900000000001</v>
      </c>
      <c r="AK399" s="78">
        <v>1.0792120000000001</v>
      </c>
      <c r="AO399" s="78">
        <v>2.8374460000000001E-2</v>
      </c>
      <c r="AQ399" s="78">
        <v>9.5773890000000002</v>
      </c>
      <c r="AR399" s="78">
        <v>5.0929700000000002</v>
      </c>
      <c r="AS399" s="78">
        <v>4.2892929999999998</v>
      </c>
      <c r="AZ399" s="78">
        <v>13.93952</v>
      </c>
      <c r="BA399" s="78">
        <v>3.0194249999999998E-4</v>
      </c>
      <c r="BB399" s="78">
        <v>16.593779999999999</v>
      </c>
      <c r="BC399" s="78">
        <v>1.6896</v>
      </c>
      <c r="BD399" s="78">
        <v>4.831162</v>
      </c>
    </row>
    <row r="400" spans="1:56" x14ac:dyDescent="0.2">
      <c r="A400" s="78" t="s">
        <v>548</v>
      </c>
      <c r="B400" s="22">
        <v>30864</v>
      </c>
      <c r="C400" s="22"/>
      <c r="D400" s="22"/>
      <c r="E400" s="22">
        <v>30376</v>
      </c>
      <c r="F400" s="78" t="s">
        <v>532</v>
      </c>
      <c r="G400" s="78">
        <v>4.608962</v>
      </c>
      <c r="J400" s="78">
        <v>11.6761</v>
      </c>
      <c r="K400" s="78">
        <v>23.05199</v>
      </c>
      <c r="N400" s="78">
        <v>0.21209040000000001</v>
      </c>
      <c r="R400" s="78">
        <v>12.581</v>
      </c>
      <c r="S400" s="78">
        <v>14.199299999999999</v>
      </c>
      <c r="AE400" s="78">
        <v>0.67041640000000002</v>
      </c>
      <c r="AG400" s="78">
        <v>0.74222560000000004</v>
      </c>
      <c r="AH400" s="78">
        <v>2.45674E-2</v>
      </c>
      <c r="AJ400" s="78">
        <v>31.1495</v>
      </c>
      <c r="AK400" s="78">
        <v>1.0962419999999999</v>
      </c>
      <c r="AO400" s="78">
        <v>2.9239390000000001E-2</v>
      </c>
      <c r="AQ400" s="78">
        <v>9.6595929999999992</v>
      </c>
      <c r="AR400" s="78">
        <v>5.1476800000000003</v>
      </c>
      <c r="AS400" s="78">
        <v>4.3414609999999998</v>
      </c>
      <c r="AZ400" s="78">
        <v>14.04092</v>
      </c>
      <c r="BA400" s="78">
        <v>3.0898690000000001E-4</v>
      </c>
      <c r="BB400" s="78">
        <v>16.746690000000001</v>
      </c>
      <c r="BC400" s="78">
        <v>1.720186</v>
      </c>
      <c r="BD400" s="78">
        <v>4.7342409999999999</v>
      </c>
    </row>
    <row r="401" spans="1:56" x14ac:dyDescent="0.2">
      <c r="A401" s="78" t="s">
        <v>549</v>
      </c>
      <c r="B401" s="22">
        <v>30895</v>
      </c>
      <c r="C401" s="22"/>
      <c r="D401" s="22"/>
      <c r="E401" s="22">
        <v>30407</v>
      </c>
      <c r="F401" s="78" t="s">
        <v>533</v>
      </c>
      <c r="G401" s="78">
        <v>4.6706019999999997</v>
      </c>
      <c r="J401" s="78">
        <v>11.638780000000001</v>
      </c>
      <c r="K401" s="78">
        <v>23.21208</v>
      </c>
      <c r="N401" s="78">
        <v>0.21641050000000001</v>
      </c>
      <c r="R401" s="78">
        <v>12.901680000000001</v>
      </c>
      <c r="S401" s="78">
        <v>14.22851</v>
      </c>
      <c r="AE401" s="78">
        <v>0.68013610000000002</v>
      </c>
      <c r="AG401" s="78">
        <v>0.77941289999999996</v>
      </c>
      <c r="AH401" s="78">
        <v>2.6050759999999999E-2</v>
      </c>
      <c r="AJ401" s="78">
        <v>31.378540000000001</v>
      </c>
      <c r="AK401" s="78">
        <v>1.1175850000000001</v>
      </c>
      <c r="AO401" s="78">
        <v>3.025216E-2</v>
      </c>
      <c r="AQ401" s="78">
        <v>9.7059999999999995</v>
      </c>
      <c r="AR401" s="78">
        <v>5.1976420000000001</v>
      </c>
      <c r="AS401" s="78">
        <v>4.3836329999999997</v>
      </c>
      <c r="AZ401" s="78">
        <v>14.014939999999999</v>
      </c>
      <c r="BA401" s="78">
        <v>3.16996E-4</v>
      </c>
      <c r="BB401" s="78">
        <v>16.858039999999999</v>
      </c>
      <c r="BC401" s="78">
        <v>1.749233</v>
      </c>
      <c r="BD401" s="78">
        <v>4.5619560000000003</v>
      </c>
    </row>
    <row r="402" spans="1:56" x14ac:dyDescent="0.2">
      <c r="A402" s="78" t="s">
        <v>550</v>
      </c>
      <c r="B402" s="22">
        <v>30926</v>
      </c>
      <c r="C402" s="22"/>
      <c r="D402" s="22"/>
      <c r="E402" s="22">
        <v>30437</v>
      </c>
      <c r="F402" s="78" t="s">
        <v>534</v>
      </c>
      <c r="G402" s="78">
        <v>4.7182320000000004</v>
      </c>
      <c r="J402" s="78">
        <v>11.6043</v>
      </c>
      <c r="K402" s="78">
        <v>23.388100000000001</v>
      </c>
      <c r="N402" s="78">
        <v>0.22399669999999999</v>
      </c>
      <c r="R402" s="78">
        <v>13.16513</v>
      </c>
      <c r="S402" s="78">
        <v>14.323230000000001</v>
      </c>
      <c r="AE402" s="78">
        <v>0.69132300000000002</v>
      </c>
      <c r="AG402" s="78">
        <v>0.82231549999999998</v>
      </c>
      <c r="AH402" s="78">
        <v>2.8120949999999999E-2</v>
      </c>
      <c r="AJ402" s="78">
        <v>31.574860000000001</v>
      </c>
      <c r="AK402" s="78">
        <v>1.1390849999999999</v>
      </c>
      <c r="AO402" s="78">
        <v>3.1505350000000001E-2</v>
      </c>
      <c r="AQ402" s="78">
        <v>9.7819760000000002</v>
      </c>
      <c r="AR402" s="78">
        <v>5.2534280000000004</v>
      </c>
      <c r="AS402" s="78">
        <v>4.4350420000000002</v>
      </c>
      <c r="AZ402" s="78">
        <v>14.03833</v>
      </c>
      <c r="BA402" s="78">
        <v>3.2415020000000001E-4</v>
      </c>
      <c r="BB402" s="78">
        <v>16.978539999999999</v>
      </c>
      <c r="BC402" s="78">
        <v>1.775587</v>
      </c>
      <c r="BD402" s="78">
        <v>4.63286</v>
      </c>
    </row>
    <row r="403" spans="1:56" x14ac:dyDescent="0.2">
      <c r="A403" s="78" t="s">
        <v>551</v>
      </c>
      <c r="B403" s="22">
        <v>30956</v>
      </c>
      <c r="C403" s="22"/>
      <c r="D403" s="22"/>
      <c r="E403" s="22">
        <v>30468</v>
      </c>
      <c r="F403" s="78" t="s">
        <v>535</v>
      </c>
      <c r="G403" s="78">
        <v>4.7770700000000001</v>
      </c>
      <c r="J403" s="78">
        <v>11.57338</v>
      </c>
      <c r="K403" s="78">
        <v>23.571760000000001</v>
      </c>
      <c r="N403" s="78">
        <v>0.23010459999999999</v>
      </c>
      <c r="R403" s="78">
        <v>13.477180000000001</v>
      </c>
      <c r="S403" s="78">
        <v>14.44253</v>
      </c>
      <c r="AE403" s="78">
        <v>0.70145900000000005</v>
      </c>
      <c r="AG403" s="78">
        <v>0.88449699999999998</v>
      </c>
      <c r="AH403" s="78">
        <v>3.0426450000000001E-2</v>
      </c>
      <c r="AJ403" s="78">
        <v>31.78754</v>
      </c>
      <c r="AK403" s="78">
        <v>1.1577789999999999</v>
      </c>
      <c r="AO403" s="78">
        <v>3.3016289999999997E-2</v>
      </c>
      <c r="AQ403" s="78">
        <v>9.8732629999999997</v>
      </c>
      <c r="AR403" s="78">
        <v>5.3105909999999996</v>
      </c>
      <c r="AS403" s="78">
        <v>4.4753290000000003</v>
      </c>
      <c r="AZ403" s="78">
        <v>14.15845</v>
      </c>
      <c r="BA403" s="78">
        <v>3.3231210000000001E-4</v>
      </c>
      <c r="BB403" s="78">
        <v>17.064969999999999</v>
      </c>
      <c r="BC403" s="78">
        <v>1.802956</v>
      </c>
      <c r="BD403" s="78">
        <v>4.756926</v>
      </c>
    </row>
    <row r="404" spans="1:56" x14ac:dyDescent="0.2">
      <c r="A404" s="78" t="s">
        <v>552</v>
      </c>
      <c r="B404" s="22">
        <v>30987</v>
      </c>
      <c r="C404" s="22"/>
      <c r="D404" s="22"/>
      <c r="E404" s="22">
        <v>30498</v>
      </c>
      <c r="F404" s="78" t="s">
        <v>536</v>
      </c>
      <c r="G404" s="78">
        <v>4.8247010000000001</v>
      </c>
      <c r="J404" s="78">
        <v>11.594939999999999</v>
      </c>
      <c r="K404" s="78">
        <v>23.696429999999999</v>
      </c>
      <c r="N404" s="78">
        <v>0.23630219999999999</v>
      </c>
      <c r="R404" s="78">
        <v>13.748480000000001</v>
      </c>
      <c r="S404" s="78">
        <v>14.57456</v>
      </c>
      <c r="AE404" s="78">
        <v>0.71306290000000006</v>
      </c>
      <c r="AG404" s="78">
        <v>0.94223230000000002</v>
      </c>
      <c r="AH404" s="78">
        <v>3.2853510000000002E-2</v>
      </c>
      <c r="AJ404" s="78">
        <v>31.93478</v>
      </c>
      <c r="AK404" s="78">
        <v>1.1760360000000001</v>
      </c>
      <c r="AO404" s="78">
        <v>3.4846630000000003E-2</v>
      </c>
      <c r="AQ404" s="78">
        <v>10.037380000000001</v>
      </c>
      <c r="AR404" s="78">
        <v>5.3713740000000003</v>
      </c>
      <c r="AS404" s="78">
        <v>4.5197479999999999</v>
      </c>
      <c r="AZ404" s="78">
        <v>14.31264</v>
      </c>
      <c r="BA404" s="78">
        <v>3.3892360000000002E-4</v>
      </c>
      <c r="BB404" s="78">
        <v>17.15887</v>
      </c>
      <c r="BC404" s="78">
        <v>1.8150219999999999</v>
      </c>
      <c r="BD404" s="78">
        <v>4.8557410000000001</v>
      </c>
    </row>
    <row r="405" spans="1:56" x14ac:dyDescent="0.2">
      <c r="A405" s="78" t="s">
        <v>553</v>
      </c>
      <c r="B405" s="22">
        <v>31017</v>
      </c>
      <c r="C405" s="22"/>
      <c r="D405" s="22"/>
      <c r="E405" s="22">
        <v>30529</v>
      </c>
      <c r="F405" s="78" t="s">
        <v>537</v>
      </c>
      <c r="G405" s="78">
        <v>4.872331</v>
      </c>
      <c r="J405" s="78">
        <v>11.6548</v>
      </c>
      <c r="K405" s="78">
        <v>23.83766</v>
      </c>
      <c r="N405" s="78">
        <v>0.24262539999999999</v>
      </c>
      <c r="R405" s="78">
        <v>13.931520000000001</v>
      </c>
      <c r="S405" s="78">
        <v>14.617940000000001</v>
      </c>
      <c r="AE405" s="78">
        <v>0.72384930000000003</v>
      </c>
      <c r="AG405" s="78">
        <v>0.99861129999999998</v>
      </c>
      <c r="AH405" s="78">
        <v>3.6607710000000002E-2</v>
      </c>
      <c r="AJ405" s="78">
        <v>32.114739999999998</v>
      </c>
      <c r="AK405" s="78">
        <v>1.194269</v>
      </c>
      <c r="AO405" s="78">
        <v>3.670263E-2</v>
      </c>
      <c r="AQ405" s="78">
        <v>10.141080000000001</v>
      </c>
      <c r="AR405" s="78">
        <v>5.4305909999999997</v>
      </c>
      <c r="AS405" s="78">
        <v>4.5880130000000001</v>
      </c>
      <c r="AZ405" s="78">
        <v>14.42652</v>
      </c>
      <c r="BA405" s="78">
        <v>3.4178049999999998E-4</v>
      </c>
      <c r="BB405" s="78">
        <v>17.235320000000002</v>
      </c>
      <c r="BC405" s="78">
        <v>1.8262849999999999</v>
      </c>
      <c r="BD405" s="78">
        <v>4.9685600000000001</v>
      </c>
    </row>
    <row r="406" spans="1:56" x14ac:dyDescent="0.2">
      <c r="A406" s="78" t="s">
        <v>554</v>
      </c>
      <c r="B406" s="22">
        <v>31048</v>
      </c>
      <c r="C406" s="22"/>
      <c r="D406" s="22"/>
      <c r="E406" s="22">
        <v>30560</v>
      </c>
      <c r="F406" s="78" t="s">
        <v>538</v>
      </c>
      <c r="G406" s="78">
        <v>4.9227639999999999</v>
      </c>
      <c r="J406" s="78">
        <v>11.709339999999999</v>
      </c>
      <c r="K406" s="78">
        <v>23.9619</v>
      </c>
      <c r="N406" s="78">
        <v>0.2478349</v>
      </c>
      <c r="R406" s="78">
        <v>14.24056</v>
      </c>
      <c r="S406" s="78">
        <v>14.622579999999999</v>
      </c>
      <c r="AE406" s="78">
        <v>0.7322921</v>
      </c>
      <c r="AG406" s="78">
        <v>1.049833</v>
      </c>
      <c r="AH406" s="78">
        <v>4.0885930000000001E-2</v>
      </c>
      <c r="AJ406" s="78">
        <v>32.327419999999996</v>
      </c>
      <c r="AK406" s="78">
        <v>1.21007</v>
      </c>
      <c r="AO406" s="78">
        <v>3.831557E-2</v>
      </c>
      <c r="AQ406" s="78">
        <v>10.13828</v>
      </c>
      <c r="AR406" s="78">
        <v>5.4874859999999996</v>
      </c>
      <c r="AS406" s="78">
        <v>4.645791</v>
      </c>
      <c r="AZ406" s="78">
        <v>14.525399999999999</v>
      </c>
      <c r="BA406" s="78">
        <v>3.4404329999999998E-4</v>
      </c>
      <c r="BB406" s="78">
        <v>17.311779999999999</v>
      </c>
      <c r="BC406" s="78">
        <v>1.857658</v>
      </c>
      <c r="BD406" s="78">
        <v>5.0814680000000001</v>
      </c>
    </row>
    <row r="407" spans="1:56" x14ac:dyDescent="0.2">
      <c r="A407" s="78" t="s">
        <v>555</v>
      </c>
      <c r="B407" s="22">
        <v>31079</v>
      </c>
      <c r="C407" s="22"/>
      <c r="D407" s="22"/>
      <c r="E407" s="22">
        <v>30590</v>
      </c>
      <c r="F407" s="78" t="s">
        <v>539</v>
      </c>
      <c r="G407" s="78">
        <v>4.9703939999999998</v>
      </c>
      <c r="J407" s="78">
        <v>11.728669999999999</v>
      </c>
      <c r="K407" s="78">
        <v>23.970099999999999</v>
      </c>
      <c r="N407" s="78">
        <v>0.25506610000000002</v>
      </c>
      <c r="R407" s="78">
        <v>14.495749999999999</v>
      </c>
      <c r="S407" s="78">
        <v>14.71523</v>
      </c>
      <c r="AE407" s="78">
        <v>0.74271529999999997</v>
      </c>
      <c r="AG407" s="78">
        <v>1.0912280000000001</v>
      </c>
      <c r="AH407" s="78">
        <v>4.7353319999999997E-2</v>
      </c>
      <c r="AJ407" s="78">
        <v>32.523739999999997</v>
      </c>
      <c r="AK407" s="78">
        <v>1.2270730000000001</v>
      </c>
      <c r="AO407" s="78">
        <v>4.0095400000000003E-2</v>
      </c>
      <c r="AQ407" s="78">
        <v>10.179220000000001</v>
      </c>
      <c r="AR407" s="78">
        <v>5.5599559999999997</v>
      </c>
      <c r="AS407" s="78">
        <v>4.7150340000000002</v>
      </c>
      <c r="AZ407" s="78">
        <v>14.546480000000001</v>
      </c>
      <c r="BA407" s="78">
        <v>3.54166E-4</v>
      </c>
      <c r="BB407" s="78">
        <v>17.44557</v>
      </c>
      <c r="BC407" s="78">
        <v>1.872959</v>
      </c>
      <c r="BD407" s="78">
        <v>5.1700999999999997</v>
      </c>
    </row>
    <row r="408" spans="1:56" x14ac:dyDescent="0.2">
      <c r="A408" s="78" t="s">
        <v>556</v>
      </c>
      <c r="B408" s="22">
        <v>31107</v>
      </c>
      <c r="C408" s="22"/>
      <c r="D408" s="22"/>
      <c r="E408" s="22">
        <v>30621</v>
      </c>
      <c r="F408" s="78" t="s">
        <v>540</v>
      </c>
      <c r="G408" s="78">
        <v>5.0208269999999997</v>
      </c>
      <c r="J408" s="78">
        <v>11.72687</v>
      </c>
      <c r="K408" s="78">
        <v>24.053650000000001</v>
      </c>
      <c r="N408" s="78">
        <v>0.26309900000000003</v>
      </c>
      <c r="R408" s="78">
        <v>14.678800000000001</v>
      </c>
      <c r="S408" s="78">
        <v>14.861420000000001</v>
      </c>
      <c r="AE408" s="78">
        <v>0.75370340000000002</v>
      </c>
      <c r="AG408" s="78">
        <v>1.1291020000000001</v>
      </c>
      <c r="AH408" s="78">
        <v>5.6196870000000003E-2</v>
      </c>
      <c r="AJ408" s="78">
        <v>32.654620000000001</v>
      </c>
      <c r="AK408" s="78">
        <v>1.24715</v>
      </c>
      <c r="AO408" s="78">
        <v>4.2041370000000002E-2</v>
      </c>
      <c r="AQ408" s="78">
        <v>10.26783</v>
      </c>
      <c r="AR408" s="78">
        <v>5.632593</v>
      </c>
      <c r="AS408" s="78">
        <v>4.8006760000000002</v>
      </c>
      <c r="AZ408" s="78">
        <v>14.53533</v>
      </c>
      <c r="BA408" s="78">
        <v>3.6641370000000003E-4</v>
      </c>
      <c r="BB408" s="78">
        <v>17.553609999999999</v>
      </c>
      <c r="BC408" s="78">
        <v>1.87985</v>
      </c>
      <c r="BD408" s="78">
        <v>5.2834529999999997</v>
      </c>
    </row>
    <row r="409" spans="1:56" x14ac:dyDescent="0.2">
      <c r="A409" s="78" t="s">
        <v>557</v>
      </c>
      <c r="B409" s="22">
        <v>31138</v>
      </c>
      <c r="C409" s="22"/>
      <c r="D409" s="22"/>
      <c r="E409" s="22">
        <v>30651</v>
      </c>
      <c r="F409" s="78" t="s">
        <v>541</v>
      </c>
      <c r="G409" s="78">
        <v>5.0824660000000002</v>
      </c>
      <c r="J409" s="78">
        <v>11.76745</v>
      </c>
      <c r="K409" s="78">
        <v>24.223710000000001</v>
      </c>
      <c r="N409" s="78">
        <v>0.26690380000000002</v>
      </c>
      <c r="R409" s="78">
        <v>15.035030000000001</v>
      </c>
      <c r="S409" s="78">
        <v>15.23922</v>
      </c>
      <c r="AE409" s="78">
        <v>0.76837330000000004</v>
      </c>
      <c r="AG409" s="78">
        <v>1.1593819999999999</v>
      </c>
      <c r="AH409" s="78">
        <v>6.4482789999999998E-2</v>
      </c>
      <c r="AJ409" s="78">
        <v>32.965470000000003</v>
      </c>
      <c r="AK409" s="78">
        <v>1.2658560000000001</v>
      </c>
      <c r="AO409" s="78">
        <v>4.3967880000000001E-2</v>
      </c>
      <c r="AQ409" s="78">
        <v>10.37255</v>
      </c>
      <c r="AR409" s="78">
        <v>5.7097360000000004</v>
      </c>
      <c r="AS409" s="78">
        <v>4.874714</v>
      </c>
      <c r="AZ409" s="78">
        <v>14.544320000000001</v>
      </c>
      <c r="BA409" s="78">
        <v>3.7647610000000003E-4</v>
      </c>
      <c r="BB409" s="78">
        <v>17.64668</v>
      </c>
      <c r="BC409" s="78">
        <v>1.9020239999999999</v>
      </c>
      <c r="BD409" s="78">
        <v>5.4178839999999999</v>
      </c>
    </row>
    <row r="410" spans="1:56" x14ac:dyDescent="0.2">
      <c r="A410" s="78" t="s">
        <v>558</v>
      </c>
      <c r="B410" s="22">
        <v>31168</v>
      </c>
      <c r="C410" s="22"/>
      <c r="D410" s="22"/>
      <c r="E410" s="22">
        <v>30682</v>
      </c>
      <c r="F410" s="78" t="s">
        <v>542</v>
      </c>
      <c r="G410" s="78">
        <v>5.1469079999999998</v>
      </c>
      <c r="J410" s="78">
        <v>11.77427</v>
      </c>
      <c r="K410" s="78">
        <v>24.34656</v>
      </c>
      <c r="N410" s="78">
        <v>0.26892709999999997</v>
      </c>
      <c r="R410" s="78">
        <v>15.375679999999999</v>
      </c>
      <c r="S410" s="78">
        <v>15.47452</v>
      </c>
      <c r="AE410" s="78">
        <v>0.77829429999999999</v>
      </c>
      <c r="AG410" s="78">
        <v>1.1843999999999999</v>
      </c>
      <c r="AH410" s="78">
        <v>7.3671810000000004E-2</v>
      </c>
      <c r="AJ410" s="78">
        <v>33.153599999999997</v>
      </c>
      <c r="AK410" s="78">
        <v>1.2817259999999999</v>
      </c>
      <c r="AO410" s="78">
        <v>4.600075E-2</v>
      </c>
      <c r="AQ410" s="78">
        <v>10.4756</v>
      </c>
      <c r="AR410" s="78">
        <v>5.787604</v>
      </c>
      <c r="AS410" s="78">
        <v>4.988683</v>
      </c>
      <c r="AZ410" s="78">
        <v>14.536239999999999</v>
      </c>
      <c r="BA410" s="78">
        <v>3.8407559999999999E-4</v>
      </c>
      <c r="BB410" s="78">
        <v>17.768840000000001</v>
      </c>
      <c r="BC410" s="78">
        <v>1.9323129999999999</v>
      </c>
      <c r="BD410" s="78">
        <v>5.5286780000000002</v>
      </c>
    </row>
    <row r="411" spans="1:56" x14ac:dyDescent="0.2">
      <c r="A411" s="78" t="s">
        <v>559</v>
      </c>
      <c r="B411" s="22">
        <v>31199</v>
      </c>
      <c r="C411" s="22"/>
      <c r="D411" s="22"/>
      <c r="E411" s="22">
        <v>30713</v>
      </c>
      <c r="F411" s="78" t="s">
        <v>543</v>
      </c>
      <c r="G411" s="78">
        <v>5.2141510000000002</v>
      </c>
      <c r="J411" s="78">
        <v>11.77618</v>
      </c>
      <c r="K411" s="78">
        <v>24.483409999999999</v>
      </c>
      <c r="N411" s="78">
        <v>0.27217540000000001</v>
      </c>
      <c r="R411" s="78">
        <v>15.60685</v>
      </c>
      <c r="S411" s="78">
        <v>15.39303</v>
      </c>
      <c r="AE411" s="78">
        <v>0.78335129999999997</v>
      </c>
      <c r="AG411" s="78">
        <v>1.2100880000000001</v>
      </c>
      <c r="AH411" s="78">
        <v>8.4979620000000006E-2</v>
      </c>
      <c r="AJ411" s="78">
        <v>33.374470000000002</v>
      </c>
      <c r="AK411" s="78">
        <v>1.2977110000000001</v>
      </c>
      <c r="AO411" s="78">
        <v>4.815287E-2</v>
      </c>
      <c r="AQ411" s="78">
        <v>10.59868</v>
      </c>
      <c r="AR411" s="78">
        <v>5.8595750000000004</v>
      </c>
      <c r="AS411" s="78">
        <v>5.1061519999999998</v>
      </c>
      <c r="AZ411" s="78">
        <v>14.55841</v>
      </c>
      <c r="BA411" s="78">
        <v>3.9371220000000001E-4</v>
      </c>
      <c r="BB411" s="78">
        <v>17.935040000000001</v>
      </c>
      <c r="BC411" s="78">
        <v>1.9636690000000001</v>
      </c>
      <c r="BD411" s="78">
        <v>5.622452</v>
      </c>
    </row>
    <row r="412" spans="1:56" x14ac:dyDescent="0.2">
      <c r="A412" s="78" t="s">
        <v>560</v>
      </c>
      <c r="B412" s="22">
        <v>31229</v>
      </c>
      <c r="C412" s="22"/>
      <c r="D412" s="22"/>
      <c r="E412" s="22">
        <v>30742</v>
      </c>
      <c r="F412" s="78" t="s">
        <v>544</v>
      </c>
      <c r="G412" s="78">
        <v>5.2729889999999999</v>
      </c>
      <c r="J412" s="78">
        <v>11.844939999999999</v>
      </c>
      <c r="K412" s="78">
        <v>24.616980000000002</v>
      </c>
      <c r="N412" s="78">
        <v>0.27586650000000001</v>
      </c>
      <c r="R412" s="78">
        <v>15.80437</v>
      </c>
      <c r="S412" s="78">
        <v>15.37608</v>
      </c>
      <c r="AE412" s="78">
        <v>0.79277889999999995</v>
      </c>
      <c r="AG412" s="78">
        <v>1.238413</v>
      </c>
      <c r="AH412" s="78">
        <v>9.7617410000000002E-2</v>
      </c>
      <c r="AJ412" s="78">
        <v>33.660769999999999</v>
      </c>
      <c r="AK412" s="78">
        <v>1.3066390000000001</v>
      </c>
      <c r="AO412" s="78">
        <v>5.0498309999999998E-2</v>
      </c>
      <c r="AQ412" s="78">
        <v>10.738849999999999</v>
      </c>
      <c r="AR412" s="78">
        <v>5.9361240000000004</v>
      </c>
      <c r="AS412" s="78">
        <v>5.1968100000000002</v>
      </c>
      <c r="AZ412" s="78">
        <v>14.6418</v>
      </c>
      <c r="BA412" s="78">
        <v>4.1062979999999998E-4</v>
      </c>
      <c r="BB412" s="78">
        <v>18.076319999999999</v>
      </c>
      <c r="BC412" s="78">
        <v>1.979425</v>
      </c>
      <c r="BD412" s="78">
        <v>5.5290340000000002</v>
      </c>
    </row>
    <row r="413" spans="1:56" x14ac:dyDescent="0.2">
      <c r="A413" s="78" t="s">
        <v>561</v>
      </c>
      <c r="B413" s="22">
        <v>31260</v>
      </c>
      <c r="C413" s="22"/>
      <c r="D413" s="22"/>
      <c r="E413" s="22">
        <v>30773</v>
      </c>
      <c r="F413" s="78" t="s">
        <v>545</v>
      </c>
      <c r="G413" s="78">
        <v>5.3066110000000002</v>
      </c>
      <c r="J413" s="78">
        <v>11.91581</v>
      </c>
      <c r="K413" s="78">
        <v>24.736979999999999</v>
      </c>
      <c r="N413" s="78">
        <v>0.28045900000000001</v>
      </c>
      <c r="R413" s="78">
        <v>15.9664</v>
      </c>
      <c r="S413" s="78">
        <v>15.438840000000001</v>
      </c>
      <c r="AE413" s="78">
        <v>0.80295260000000002</v>
      </c>
      <c r="AG413" s="78">
        <v>1.261552</v>
      </c>
      <c r="AH413" s="78">
        <v>0.1130234</v>
      </c>
      <c r="AJ413" s="78">
        <v>33.742570000000001</v>
      </c>
      <c r="AK413" s="78">
        <v>1.3228519999999999</v>
      </c>
      <c r="AO413" s="78">
        <v>5.2897149999999997E-2</v>
      </c>
      <c r="AQ413" s="78">
        <v>10.87809</v>
      </c>
      <c r="AR413" s="78">
        <v>6.0043129999999998</v>
      </c>
      <c r="AS413" s="78">
        <v>5.3777780000000002</v>
      </c>
      <c r="AZ413" s="78">
        <v>14.736879999999999</v>
      </c>
      <c r="BA413" s="78">
        <v>4.252506E-4</v>
      </c>
      <c r="BB413" s="78">
        <v>18.213429999999999</v>
      </c>
      <c r="BC413" s="78">
        <v>2.0032429999999999</v>
      </c>
      <c r="BD413" s="78">
        <v>5.5357960000000004</v>
      </c>
    </row>
    <row r="414" spans="1:56" x14ac:dyDescent="0.2">
      <c r="A414" s="78" t="s">
        <v>562</v>
      </c>
      <c r="B414" s="22">
        <v>31291</v>
      </c>
      <c r="C414" s="22"/>
      <c r="D414" s="22"/>
      <c r="E414" s="22">
        <v>30803</v>
      </c>
      <c r="F414" s="78" t="s">
        <v>546</v>
      </c>
      <c r="G414" s="78">
        <v>5.3374300000000003</v>
      </c>
      <c r="J414" s="78">
        <v>12.0115</v>
      </c>
      <c r="K414" s="78">
        <v>24.866879999999998</v>
      </c>
      <c r="N414" s="78">
        <v>0.28400429999999999</v>
      </c>
      <c r="R414" s="78">
        <v>16.160550000000001</v>
      </c>
      <c r="S414" s="78">
        <v>15.547499999999999</v>
      </c>
      <c r="AE414" s="78">
        <v>0.8155017</v>
      </c>
      <c r="AG414" s="78">
        <v>1.2827980000000001</v>
      </c>
      <c r="AH414" s="78">
        <v>0.12993959999999999</v>
      </c>
      <c r="AJ414" s="78">
        <v>33.979790000000001</v>
      </c>
      <c r="AK414" s="78">
        <v>1.354004</v>
      </c>
      <c r="AO414" s="78">
        <v>5.5225919999999998E-2</v>
      </c>
      <c r="AQ414" s="78">
        <v>11.00437</v>
      </c>
      <c r="AR414" s="78">
        <v>6.0728489999999997</v>
      </c>
      <c r="AS414" s="78">
        <v>5.5894240000000002</v>
      </c>
      <c r="AZ414" s="78">
        <v>14.67159</v>
      </c>
      <c r="BA414" s="78">
        <v>4.3850660000000001E-4</v>
      </c>
      <c r="BB414" s="78">
        <v>18.316479999999999</v>
      </c>
      <c r="BC414" s="78">
        <v>2.03376</v>
      </c>
      <c r="BD414" s="78">
        <v>5.7437180000000003</v>
      </c>
    </row>
    <row r="415" spans="1:56" x14ac:dyDescent="0.2">
      <c r="A415" s="78" t="s">
        <v>563</v>
      </c>
      <c r="B415" s="22">
        <v>31321</v>
      </c>
      <c r="C415" s="22"/>
      <c r="D415" s="22"/>
      <c r="E415" s="22">
        <v>30834</v>
      </c>
      <c r="F415" s="78" t="s">
        <v>547</v>
      </c>
      <c r="G415" s="78">
        <v>5.3794570000000004</v>
      </c>
      <c r="J415" s="78">
        <v>12.13097</v>
      </c>
      <c r="K415" s="78">
        <v>24.98396</v>
      </c>
      <c r="N415" s="78">
        <v>0.28747590000000001</v>
      </c>
      <c r="R415" s="78">
        <v>16.394169999999999</v>
      </c>
      <c r="S415" s="78">
        <v>15.66175</v>
      </c>
      <c r="AE415" s="78">
        <v>0.83395830000000004</v>
      </c>
      <c r="AG415" s="78">
        <v>1.31664</v>
      </c>
      <c r="AH415" s="78">
        <v>0.1477956</v>
      </c>
      <c r="AJ415" s="78">
        <v>34.208829999999999</v>
      </c>
      <c r="AK415" s="78">
        <v>1.383955</v>
      </c>
      <c r="AO415" s="78">
        <v>5.7649649999999997E-2</v>
      </c>
      <c r="AQ415" s="78">
        <v>11.125859999999999</v>
      </c>
      <c r="AR415" s="78">
        <v>6.145213</v>
      </c>
      <c r="AS415" s="78">
        <v>5.7604610000000003</v>
      </c>
      <c r="AZ415" s="78">
        <v>14.50934</v>
      </c>
      <c r="BA415" s="78">
        <v>4.595496E-4</v>
      </c>
      <c r="BB415" s="78">
        <v>18.407889999999998</v>
      </c>
      <c r="BC415" s="78">
        <v>2.056511</v>
      </c>
      <c r="BD415" s="78">
        <v>5.8511860000000002</v>
      </c>
    </row>
    <row r="416" spans="1:56" x14ac:dyDescent="0.2">
      <c r="A416" s="78" t="s">
        <v>564</v>
      </c>
      <c r="B416" s="22">
        <v>31352</v>
      </c>
      <c r="C416" s="22"/>
      <c r="D416" s="22"/>
      <c r="E416" s="22">
        <v>30864</v>
      </c>
      <c r="F416" s="78" t="s">
        <v>548</v>
      </c>
      <c r="G416" s="78">
        <v>5.4354930000000001</v>
      </c>
      <c r="J416" s="78">
        <v>12.23715</v>
      </c>
      <c r="K416" s="78">
        <v>25.094460000000002</v>
      </c>
      <c r="N416" s="78">
        <v>0.29226390000000002</v>
      </c>
      <c r="R416" s="78">
        <v>16.517019999999999</v>
      </c>
      <c r="S416" s="78">
        <v>15.78797</v>
      </c>
      <c r="AE416" s="78">
        <v>0.84551560000000003</v>
      </c>
      <c r="AG416" s="78">
        <v>1.3403339999999999</v>
      </c>
      <c r="AH416" s="78">
        <v>0.16935130000000001</v>
      </c>
      <c r="AJ416" s="78">
        <v>34.421500000000002</v>
      </c>
      <c r="AK416" s="78">
        <v>1.4152640000000001</v>
      </c>
      <c r="AO416" s="78">
        <v>6.0002130000000001E-2</v>
      </c>
      <c r="AQ416" s="78">
        <v>11.26769</v>
      </c>
      <c r="AR416" s="78">
        <v>6.212059</v>
      </c>
      <c r="AS416" s="78">
        <v>5.949071</v>
      </c>
      <c r="AZ416" s="78">
        <v>14.54618</v>
      </c>
      <c r="BA416" s="78">
        <v>4.7370339999999999E-4</v>
      </c>
      <c r="BB416" s="78">
        <v>18.477699999999999</v>
      </c>
      <c r="BC416" s="78">
        <v>2.0868880000000001</v>
      </c>
      <c r="BD416" s="78">
        <v>5.9846469999999998</v>
      </c>
    </row>
    <row r="417" spans="1:56" x14ac:dyDescent="0.2">
      <c r="A417" s="78" t="s">
        <v>565</v>
      </c>
      <c r="B417" s="22">
        <v>31382</v>
      </c>
      <c r="C417" s="22"/>
      <c r="D417" s="22"/>
      <c r="E417" s="22">
        <v>30895</v>
      </c>
      <c r="F417" s="78" t="s">
        <v>549</v>
      </c>
      <c r="G417" s="78">
        <v>5.5083399999999996</v>
      </c>
      <c r="J417" s="78">
        <v>12.24976</v>
      </c>
      <c r="K417" s="78">
        <v>25.236940000000001</v>
      </c>
      <c r="N417" s="78">
        <v>0.29793649999999999</v>
      </c>
      <c r="R417" s="78">
        <v>16.751339999999999</v>
      </c>
      <c r="S417" s="78">
        <v>15.82855</v>
      </c>
      <c r="AE417" s="78">
        <v>0.85140360000000004</v>
      </c>
      <c r="AG417" s="78">
        <v>1.350274</v>
      </c>
      <c r="AH417" s="78">
        <v>0.19772010000000001</v>
      </c>
      <c r="AJ417" s="78">
        <v>34.64237</v>
      </c>
      <c r="AK417" s="78">
        <v>1.434372</v>
      </c>
      <c r="AO417" s="78">
        <v>6.2443859999999997E-2</v>
      </c>
      <c r="AQ417" s="78">
        <v>11.39157</v>
      </c>
      <c r="AR417" s="78">
        <v>6.2797400000000003</v>
      </c>
      <c r="AS417" s="78">
        <v>6.0766039999999997</v>
      </c>
      <c r="AZ417" s="78">
        <v>14.687250000000001</v>
      </c>
      <c r="BA417" s="78">
        <v>4.8588739999999998E-4</v>
      </c>
      <c r="BB417" s="78">
        <v>18.535039999999999</v>
      </c>
      <c r="BC417" s="78">
        <v>2.115113</v>
      </c>
      <c r="BD417" s="78">
        <v>6.2117639999999996</v>
      </c>
    </row>
    <row r="418" spans="1:56" x14ac:dyDescent="0.2">
      <c r="A418" s="78" t="s">
        <v>566</v>
      </c>
      <c r="B418" s="22">
        <v>31413</v>
      </c>
      <c r="C418" s="22"/>
      <c r="D418" s="22"/>
      <c r="E418" s="22">
        <v>30926</v>
      </c>
      <c r="F418" s="78" t="s">
        <v>550</v>
      </c>
      <c r="G418" s="78">
        <v>5.575583</v>
      </c>
      <c r="J418" s="78">
        <v>12.299799999999999</v>
      </c>
      <c r="K418" s="78">
        <v>25.379429999999999</v>
      </c>
      <c r="N418" s="78">
        <v>0.3065812</v>
      </c>
      <c r="R418" s="78">
        <v>17.04036</v>
      </c>
      <c r="S418" s="78">
        <v>15.93709</v>
      </c>
      <c r="AE418" s="78">
        <v>0.86304559999999997</v>
      </c>
      <c r="AG418" s="78">
        <v>1.3834869999999999</v>
      </c>
      <c r="AH418" s="78">
        <v>0.23537920000000001</v>
      </c>
      <c r="AJ418" s="78">
        <v>34.904130000000002</v>
      </c>
      <c r="AK418" s="78">
        <v>1.453959</v>
      </c>
      <c r="AO418" s="78">
        <v>6.4940709999999999E-2</v>
      </c>
      <c r="AQ418" s="78">
        <v>11.59661</v>
      </c>
      <c r="AR418" s="78">
        <v>6.3660069999999997</v>
      </c>
      <c r="AS418" s="78">
        <v>6.1960119999999996</v>
      </c>
      <c r="AZ418" s="78">
        <v>14.734629999999999</v>
      </c>
      <c r="BA418" s="78">
        <v>5.0440200000000004E-4</v>
      </c>
      <c r="BB418" s="78">
        <v>18.65138</v>
      </c>
      <c r="BC418" s="78">
        <v>2.1453669999999998</v>
      </c>
      <c r="BD418" s="78">
        <v>6.4157089999999997</v>
      </c>
    </row>
    <row r="419" spans="1:56" x14ac:dyDescent="0.2">
      <c r="A419" s="78" t="s">
        <v>567</v>
      </c>
      <c r="B419" s="22">
        <v>31444</v>
      </c>
      <c r="C419" s="22"/>
      <c r="D419" s="22"/>
      <c r="E419" s="22">
        <v>30956</v>
      </c>
      <c r="F419" s="78" t="s">
        <v>551</v>
      </c>
      <c r="G419" s="78">
        <v>5.6344209999999997</v>
      </c>
      <c r="J419" s="78">
        <v>12.42925</v>
      </c>
      <c r="K419" s="78">
        <v>25.490770000000001</v>
      </c>
      <c r="N419" s="78">
        <v>0.3143494</v>
      </c>
      <c r="R419" s="78">
        <v>17.374030000000001</v>
      </c>
      <c r="S419" s="78">
        <v>16.05753</v>
      </c>
      <c r="AE419" s="78">
        <v>0.87614320000000001</v>
      </c>
      <c r="AG419" s="78">
        <v>1.4473830000000001</v>
      </c>
      <c r="AH419" s="78">
        <v>0.28144249999999998</v>
      </c>
      <c r="AJ419" s="78">
        <v>35.07591</v>
      </c>
      <c r="AK419" s="78">
        <v>1.4820500000000001</v>
      </c>
      <c r="AO419" s="78">
        <v>6.7398700000000006E-2</v>
      </c>
      <c r="AQ419" s="78">
        <v>11.798859999999999</v>
      </c>
      <c r="AR419" s="78">
        <v>6.4521540000000002</v>
      </c>
      <c r="AS419" s="78">
        <v>6.3335100000000004</v>
      </c>
      <c r="AZ419" s="78">
        <v>14.83623</v>
      </c>
      <c r="BA419" s="78">
        <v>5.1696909999999997E-4</v>
      </c>
      <c r="BB419" s="78">
        <v>18.771879999999999</v>
      </c>
      <c r="BC419" s="78">
        <v>2.185746</v>
      </c>
      <c r="BD419" s="78">
        <v>6.5674929999999998</v>
      </c>
    </row>
    <row r="420" spans="1:56" x14ac:dyDescent="0.2">
      <c r="A420" s="78" t="s">
        <v>568</v>
      </c>
      <c r="B420" s="22">
        <v>31472</v>
      </c>
      <c r="C420" s="22"/>
      <c r="D420" s="22"/>
      <c r="E420" s="22">
        <v>30987</v>
      </c>
      <c r="F420" s="78" t="s">
        <v>552</v>
      </c>
      <c r="G420" s="78">
        <v>5.71007</v>
      </c>
      <c r="J420" s="78">
        <v>12.381790000000001</v>
      </c>
      <c r="K420" s="78">
        <v>25.55677</v>
      </c>
      <c r="N420" s="78">
        <v>0.32025330000000002</v>
      </c>
      <c r="R420" s="78">
        <v>17.805700000000002</v>
      </c>
      <c r="S420" s="78">
        <v>16.104880000000001</v>
      </c>
      <c r="AE420" s="78">
        <v>0.88998350000000004</v>
      </c>
      <c r="AG420" s="78">
        <v>1.492604</v>
      </c>
      <c r="AH420" s="78">
        <v>0.33542240000000001</v>
      </c>
      <c r="AJ420" s="78">
        <v>35.304949999999998</v>
      </c>
      <c r="AK420" s="78">
        <v>1.504928</v>
      </c>
      <c r="AO420" s="78">
        <v>7.034174E-2</v>
      </c>
      <c r="AQ420" s="78">
        <v>11.940149999999999</v>
      </c>
      <c r="AR420" s="78">
        <v>6.5603790000000002</v>
      </c>
      <c r="AS420" s="78">
        <v>6.4571889999999996</v>
      </c>
      <c r="AZ420" s="78">
        <v>14.974220000000001</v>
      </c>
      <c r="BA420" s="78">
        <v>5.3865239999999995E-4</v>
      </c>
      <c r="BB420" s="78">
        <v>18.958860000000001</v>
      </c>
      <c r="BC420" s="78">
        <v>2.232456</v>
      </c>
      <c r="BD420" s="78">
        <v>6.6934259999999997</v>
      </c>
    </row>
    <row r="421" spans="1:56" x14ac:dyDescent="0.2">
      <c r="A421" s="78" t="s">
        <v>569</v>
      </c>
      <c r="B421" s="22">
        <v>31503</v>
      </c>
      <c r="C421" s="22"/>
      <c r="D421" s="22"/>
      <c r="E421" s="22">
        <v>31017</v>
      </c>
      <c r="F421" s="78" t="s">
        <v>553</v>
      </c>
      <c r="G421" s="78">
        <v>5.7941240000000001</v>
      </c>
      <c r="J421" s="78">
        <v>12.542299999999999</v>
      </c>
      <c r="K421" s="78">
        <v>25.878799999999998</v>
      </c>
      <c r="N421" s="78">
        <v>0.32862069999999999</v>
      </c>
      <c r="R421" s="78">
        <v>17.906890000000001</v>
      </c>
      <c r="S421" s="78">
        <v>16.514030000000002</v>
      </c>
      <c r="AE421" s="78">
        <v>0.9080241</v>
      </c>
      <c r="AG421" s="78">
        <v>1.53026</v>
      </c>
      <c r="AH421" s="78">
        <v>0.38712659999999999</v>
      </c>
      <c r="AJ421" s="78">
        <v>35.493090000000002</v>
      </c>
      <c r="AK421" s="78">
        <v>1.531744</v>
      </c>
      <c r="AO421" s="78">
        <v>7.4349090000000007E-2</v>
      </c>
      <c r="AQ421" s="78">
        <v>12.2685</v>
      </c>
      <c r="AR421" s="78">
        <v>6.687786</v>
      </c>
      <c r="AS421" s="78">
        <v>6.557995</v>
      </c>
      <c r="AZ421" s="78">
        <v>15.26634</v>
      </c>
      <c r="BA421" s="78">
        <v>5.629532E-4</v>
      </c>
      <c r="BB421" s="78">
        <v>19.166609999999999</v>
      </c>
      <c r="BC421" s="78">
        <v>2.2563789999999999</v>
      </c>
      <c r="BD421" s="78">
        <v>6.8042569999999998</v>
      </c>
    </row>
    <row r="422" spans="1:56" x14ac:dyDescent="0.2">
      <c r="A422" s="78" t="s">
        <v>570</v>
      </c>
      <c r="B422" s="22">
        <v>31533</v>
      </c>
      <c r="C422" s="22"/>
      <c r="D422" s="22"/>
      <c r="E422" s="22">
        <v>31048</v>
      </c>
      <c r="F422" s="78" t="s">
        <v>554</v>
      </c>
      <c r="G422" s="78">
        <v>5.8865829999999999</v>
      </c>
      <c r="J422" s="78">
        <v>12.59736</v>
      </c>
      <c r="K422" s="78">
        <v>26.235009999999999</v>
      </c>
      <c r="N422" s="78">
        <v>0.3373622</v>
      </c>
      <c r="R422" s="78">
        <v>17.95308</v>
      </c>
      <c r="S422" s="78">
        <v>16.80724</v>
      </c>
      <c r="AE422" s="78">
        <v>0.92106140000000003</v>
      </c>
      <c r="AG422" s="78">
        <v>1.5915170000000001</v>
      </c>
      <c r="AH422" s="78">
        <v>0.4360271</v>
      </c>
      <c r="AJ422" s="78">
        <v>35.771210000000004</v>
      </c>
      <c r="AK422" s="78">
        <v>1.560289</v>
      </c>
      <c r="AO422" s="78">
        <v>7.7797000000000005E-2</v>
      </c>
      <c r="AQ422" s="78">
        <v>12.43956</v>
      </c>
      <c r="AR422" s="78">
        <v>6.8040279999999997</v>
      </c>
      <c r="AS422" s="78">
        <v>6.6930069999999997</v>
      </c>
      <c r="AZ422" s="78">
        <v>15.27805</v>
      </c>
      <c r="BA422" s="78">
        <v>5.7765180000000005E-4</v>
      </c>
      <c r="BB422" s="78">
        <v>19.382680000000001</v>
      </c>
      <c r="BC422" s="78">
        <v>2.2683930000000001</v>
      </c>
      <c r="BD422" s="78">
        <v>6.8993690000000001</v>
      </c>
    </row>
    <row r="423" spans="1:56" x14ac:dyDescent="0.2">
      <c r="A423" s="78" t="s">
        <v>571</v>
      </c>
      <c r="B423" s="22">
        <v>31564</v>
      </c>
      <c r="C423" s="22"/>
      <c r="D423" s="22"/>
      <c r="E423" s="22">
        <v>31079</v>
      </c>
      <c r="F423" s="78" t="s">
        <v>555</v>
      </c>
      <c r="G423" s="78">
        <v>5.9762409999999999</v>
      </c>
      <c r="J423" s="78">
        <v>12.68333</v>
      </c>
      <c r="K423" s="78">
        <v>26.366009999999999</v>
      </c>
      <c r="N423" s="78">
        <v>0.34379959999999998</v>
      </c>
      <c r="R423" s="78">
        <v>18.190770000000001</v>
      </c>
      <c r="S423" s="78">
        <v>16.772680000000001</v>
      </c>
      <c r="AE423" s="78">
        <v>0.92825429999999998</v>
      </c>
      <c r="AG423" s="78">
        <v>1.651867</v>
      </c>
      <c r="AH423" s="78">
        <v>0.48529489999999997</v>
      </c>
      <c r="AJ423" s="78">
        <v>36.01661</v>
      </c>
      <c r="AK423" s="78">
        <v>1.5851649999999999</v>
      </c>
      <c r="AO423" s="78">
        <v>7.9875360000000006E-2</v>
      </c>
      <c r="AQ423" s="78">
        <v>12.407360000000001</v>
      </c>
      <c r="AR423" s="78">
        <v>6.8809110000000002</v>
      </c>
      <c r="AS423" s="78">
        <v>6.814953</v>
      </c>
      <c r="AZ423" s="78">
        <v>15.047650000000001</v>
      </c>
      <c r="BA423" s="78">
        <v>6.0214600000000002E-4</v>
      </c>
      <c r="BB423" s="78">
        <v>19.563009999999998</v>
      </c>
      <c r="BC423" s="78">
        <v>2.2929460000000002</v>
      </c>
      <c r="BD423" s="78">
        <v>6.9714929999999997</v>
      </c>
    </row>
    <row r="424" spans="1:56" x14ac:dyDescent="0.2">
      <c r="A424" s="78" t="s">
        <v>572</v>
      </c>
      <c r="B424" s="22">
        <v>31594</v>
      </c>
      <c r="C424" s="22"/>
      <c r="D424" s="22"/>
      <c r="E424" s="22">
        <v>31107</v>
      </c>
      <c r="F424" s="78" t="s">
        <v>556</v>
      </c>
      <c r="G424" s="78">
        <v>6.0518890000000001</v>
      </c>
      <c r="J424" s="78">
        <v>12.70561</v>
      </c>
      <c r="K424" s="78">
        <v>26.525860000000002</v>
      </c>
      <c r="N424" s="78">
        <v>0.35098289999999999</v>
      </c>
      <c r="R424" s="78">
        <v>18.292649999999998</v>
      </c>
      <c r="S424" s="78">
        <v>16.83982</v>
      </c>
      <c r="AE424" s="78">
        <v>0.94122620000000001</v>
      </c>
      <c r="AG424" s="78">
        <v>1.7035849999999999</v>
      </c>
      <c r="AH424" s="78">
        <v>0.54138280000000005</v>
      </c>
      <c r="AJ424" s="78">
        <v>36.286549999999998</v>
      </c>
      <c r="AK424" s="78">
        <v>1.6122840000000001</v>
      </c>
      <c r="AO424" s="78">
        <v>8.2600179999999995E-2</v>
      </c>
      <c r="AQ424" s="78">
        <v>12.57775</v>
      </c>
      <c r="AR424" s="78">
        <v>6.9498100000000003</v>
      </c>
      <c r="AS424" s="78">
        <v>6.9644870000000001</v>
      </c>
      <c r="AZ424" s="78">
        <v>15.00089</v>
      </c>
      <c r="BA424" s="78">
        <v>6.3107409999999995E-4</v>
      </c>
      <c r="BB424" s="78">
        <v>19.66356</v>
      </c>
      <c r="BC424" s="78">
        <v>2.30538</v>
      </c>
      <c r="BD424" s="78">
        <v>7.0699329999999998</v>
      </c>
    </row>
    <row r="425" spans="1:56" x14ac:dyDescent="0.2">
      <c r="A425" s="78" t="s">
        <v>573</v>
      </c>
      <c r="B425" s="22">
        <v>31625</v>
      </c>
      <c r="C425" s="22"/>
      <c r="D425" s="22"/>
      <c r="E425" s="22">
        <v>31138</v>
      </c>
      <c r="F425" s="78" t="s">
        <v>557</v>
      </c>
      <c r="G425" s="78">
        <v>6.1247360000000004</v>
      </c>
      <c r="J425" s="78">
        <v>12.789149999999999</v>
      </c>
      <c r="K425" s="78">
        <v>26.652850000000001</v>
      </c>
      <c r="N425" s="78">
        <v>0.35775760000000001</v>
      </c>
      <c r="R425" s="78">
        <v>18.443239999999999</v>
      </c>
      <c r="S425" s="78">
        <v>16.90485</v>
      </c>
      <c r="AE425" s="78">
        <v>0.95149110000000003</v>
      </c>
      <c r="AG425" s="78">
        <v>1.7588839999999999</v>
      </c>
      <c r="AH425" s="78">
        <v>0.61774850000000003</v>
      </c>
      <c r="AJ425" s="78">
        <v>36.589210000000001</v>
      </c>
      <c r="AK425" s="78">
        <v>1.6367160000000001</v>
      </c>
      <c r="AO425" s="78">
        <v>8.5675609999999999E-2</v>
      </c>
      <c r="AQ425" s="78">
        <v>12.65944</v>
      </c>
      <c r="AR425" s="78">
        <v>7.0206140000000001</v>
      </c>
      <c r="AS425" s="78">
        <v>7.1035510000000004</v>
      </c>
      <c r="AZ425" s="78">
        <v>15.018380000000001</v>
      </c>
      <c r="BA425" s="78">
        <v>6.5724070000000004E-4</v>
      </c>
      <c r="BB425" s="78">
        <v>19.740020000000001</v>
      </c>
      <c r="BC425" s="78">
        <v>2.322098</v>
      </c>
      <c r="BD425" s="78">
        <v>7.278556</v>
      </c>
    </row>
    <row r="426" spans="1:56" x14ac:dyDescent="0.2">
      <c r="A426" s="78" t="s">
        <v>574</v>
      </c>
      <c r="B426" s="22">
        <v>31656</v>
      </c>
      <c r="C426" s="22"/>
      <c r="D426" s="22"/>
      <c r="E426" s="22">
        <v>31168</v>
      </c>
      <c r="F426" s="78" t="s">
        <v>558</v>
      </c>
      <c r="G426" s="78">
        <v>6.2003849999999998</v>
      </c>
      <c r="J426" s="78">
        <v>12.87574</v>
      </c>
      <c r="K426" s="78">
        <v>26.80603</v>
      </c>
      <c r="N426" s="78">
        <v>0.36442720000000001</v>
      </c>
      <c r="R426" s="78">
        <v>18.715219999999999</v>
      </c>
      <c r="S426" s="78">
        <v>16.922560000000001</v>
      </c>
      <c r="AE426" s="78">
        <v>0.96049910000000005</v>
      </c>
      <c r="AG426" s="78">
        <v>1.8277479999999999</v>
      </c>
      <c r="AH426" s="78">
        <v>0.68795790000000001</v>
      </c>
      <c r="AJ426" s="78">
        <v>36.826430000000002</v>
      </c>
      <c r="AK426" s="78">
        <v>1.652595</v>
      </c>
      <c r="AO426" s="78">
        <v>8.9098239999999995E-2</v>
      </c>
      <c r="AQ426" s="78">
        <v>12.721970000000001</v>
      </c>
      <c r="AR426" s="78">
        <v>7.0986209999999996</v>
      </c>
      <c r="AS426" s="78">
        <v>7.2271010000000002</v>
      </c>
      <c r="AZ426" s="78">
        <v>15.01582</v>
      </c>
      <c r="BA426" s="78">
        <v>6.8319189999999997E-4</v>
      </c>
      <c r="BB426" s="78">
        <v>19.857189999999999</v>
      </c>
      <c r="BC426" s="78">
        <v>2.3530519999999999</v>
      </c>
      <c r="BD426" s="78">
        <v>7.5256400000000001</v>
      </c>
    </row>
    <row r="427" spans="1:56" x14ac:dyDescent="0.2">
      <c r="A427" s="78" t="s">
        <v>575</v>
      </c>
      <c r="B427" s="22">
        <v>31686</v>
      </c>
      <c r="C427" s="22"/>
      <c r="D427" s="22"/>
      <c r="E427" s="22">
        <v>31199</v>
      </c>
      <c r="F427" s="78" t="s">
        <v>559</v>
      </c>
      <c r="G427" s="78">
        <v>6.2452139999999998</v>
      </c>
      <c r="J427" s="78">
        <v>12.914709999999999</v>
      </c>
      <c r="K427" s="78">
        <v>26.918790000000001</v>
      </c>
      <c r="N427" s="78">
        <v>0.37314059999999999</v>
      </c>
      <c r="R427" s="78">
        <v>18.94069</v>
      </c>
      <c r="S427" s="78">
        <v>17.028469999999999</v>
      </c>
      <c r="AE427" s="78">
        <v>0.97101519999999997</v>
      </c>
      <c r="AG427" s="78">
        <v>1.8920360000000001</v>
      </c>
      <c r="AH427" s="78">
        <v>0.75614079999999995</v>
      </c>
      <c r="AJ427" s="78">
        <v>37.047289999999997</v>
      </c>
      <c r="AK427" s="78">
        <v>1.6739250000000001</v>
      </c>
      <c r="AO427" s="78">
        <v>9.239435E-2</v>
      </c>
      <c r="AQ427" s="78">
        <v>12.90263</v>
      </c>
      <c r="AR427" s="78">
        <v>7.1858919999999999</v>
      </c>
      <c r="AS427" s="78">
        <v>7.3519300000000003</v>
      </c>
      <c r="AZ427" s="78">
        <v>14.843120000000001</v>
      </c>
      <c r="BA427" s="78">
        <v>7.116221E-4</v>
      </c>
      <c r="BB427" s="78">
        <v>20.049150000000001</v>
      </c>
      <c r="BC427" s="78">
        <v>2.388814</v>
      </c>
      <c r="BD427" s="78">
        <v>7.7742959999999997</v>
      </c>
    </row>
    <row r="428" spans="1:56" x14ac:dyDescent="0.2">
      <c r="A428" s="78" t="s">
        <v>576</v>
      </c>
      <c r="B428" s="22">
        <v>31717</v>
      </c>
      <c r="C428" s="22"/>
      <c r="D428" s="22"/>
      <c r="E428" s="22">
        <v>31229</v>
      </c>
      <c r="F428" s="78" t="s">
        <v>560</v>
      </c>
      <c r="G428" s="78">
        <v>6.3292679999999999</v>
      </c>
      <c r="J428" s="78">
        <v>12.98011</v>
      </c>
      <c r="K428" s="78">
        <v>26.9481</v>
      </c>
      <c r="N428" s="78">
        <v>0.38346770000000002</v>
      </c>
      <c r="R428" s="78">
        <v>19.235109999999999</v>
      </c>
      <c r="S428" s="78">
        <v>17.162870000000002</v>
      </c>
      <c r="AE428" s="78">
        <v>0.98407789999999995</v>
      </c>
      <c r="AG428" s="78">
        <v>1.946736</v>
      </c>
      <c r="AH428" s="78">
        <v>0.90789039999999999</v>
      </c>
      <c r="AJ428" s="78">
        <v>37.29269</v>
      </c>
      <c r="AK428" s="78">
        <v>1.7030069999999999</v>
      </c>
      <c r="AO428" s="78">
        <v>9.6033610000000005E-2</v>
      </c>
      <c r="AQ428" s="78">
        <v>13.08079</v>
      </c>
      <c r="AR428" s="78">
        <v>7.2775559999999997</v>
      </c>
      <c r="AS428" s="78">
        <v>7.4977359999999997</v>
      </c>
      <c r="AZ428" s="78">
        <v>14.848229999999999</v>
      </c>
      <c r="BA428" s="78">
        <v>7.4054779999999998E-4</v>
      </c>
      <c r="BB428" s="78">
        <v>20.189599999999999</v>
      </c>
      <c r="BC428" s="78">
        <v>2.4173019999999998</v>
      </c>
      <c r="BD428" s="78">
        <v>8.1041570000000007</v>
      </c>
    </row>
    <row r="429" spans="1:56" x14ac:dyDescent="0.2">
      <c r="A429" s="78" t="s">
        <v>577</v>
      </c>
      <c r="B429" s="22">
        <v>31747</v>
      </c>
      <c r="C429" s="22"/>
      <c r="D429" s="22"/>
      <c r="E429" s="22">
        <v>31260</v>
      </c>
      <c r="F429" s="78" t="s">
        <v>561</v>
      </c>
      <c r="G429" s="78">
        <v>6.4469430000000001</v>
      </c>
      <c r="J429" s="78">
        <v>13.047879999999999</v>
      </c>
      <c r="K429" s="78">
        <v>27.000769999999999</v>
      </c>
      <c r="N429" s="78">
        <v>0.3956846</v>
      </c>
      <c r="R429" s="78">
        <v>19.68019</v>
      </c>
      <c r="S429" s="78">
        <v>17.143709999999999</v>
      </c>
      <c r="AE429" s="78">
        <v>0.99906799999999996</v>
      </c>
      <c r="AG429" s="78">
        <v>1.9950300000000001</v>
      </c>
      <c r="AH429" s="78">
        <v>1.0250010000000001</v>
      </c>
      <c r="AJ429" s="78">
        <v>37.529910000000001</v>
      </c>
      <c r="AK429" s="78">
        <v>1.737114</v>
      </c>
      <c r="AO429" s="78">
        <v>0.1004015</v>
      </c>
      <c r="AQ429" s="78">
        <v>13.29608</v>
      </c>
      <c r="AR429" s="78">
        <v>7.3718779999999997</v>
      </c>
      <c r="AS429" s="78">
        <v>7.6607190000000003</v>
      </c>
      <c r="AZ429" s="78">
        <v>14.935879999999999</v>
      </c>
      <c r="BA429" s="78">
        <v>7.7542729999999997E-4</v>
      </c>
      <c r="BB429" s="78">
        <v>20.310089999999999</v>
      </c>
      <c r="BC429" s="78">
        <v>2.441767</v>
      </c>
      <c r="BD429" s="78">
        <v>8.2992050000000006</v>
      </c>
    </row>
    <row r="430" spans="1:56" x14ac:dyDescent="0.2">
      <c r="A430" s="78" t="s">
        <v>578</v>
      </c>
      <c r="B430" s="22">
        <v>31778</v>
      </c>
      <c r="C430" s="22"/>
      <c r="D430" s="22"/>
      <c r="E430" s="22">
        <v>31291</v>
      </c>
      <c r="F430" s="78" t="s">
        <v>562</v>
      </c>
      <c r="G430" s="78">
        <v>6.5253930000000002</v>
      </c>
      <c r="J430" s="78">
        <v>13.134209999999999</v>
      </c>
      <c r="K430" s="78">
        <v>27.13457</v>
      </c>
      <c r="N430" s="78">
        <v>0.40450580000000003</v>
      </c>
      <c r="R430" s="78">
        <v>19.987770000000001</v>
      </c>
      <c r="S430" s="78">
        <v>17.185600000000001</v>
      </c>
      <c r="AE430" s="78">
        <v>1.01169</v>
      </c>
      <c r="AG430" s="78">
        <v>2.0559980000000002</v>
      </c>
      <c r="AH430" s="78">
        <v>1.0471820000000001</v>
      </c>
      <c r="AJ430" s="78">
        <v>37.799849999999999</v>
      </c>
      <c r="AK430" s="78">
        <v>1.765668</v>
      </c>
      <c r="AO430" s="78">
        <v>0.1042746</v>
      </c>
      <c r="AQ430" s="78">
        <v>13.47439</v>
      </c>
      <c r="AR430" s="78">
        <v>7.4508979999999996</v>
      </c>
      <c r="AS430" s="78">
        <v>7.7963709999999997</v>
      </c>
      <c r="AZ430" s="78">
        <v>14.86674</v>
      </c>
      <c r="BA430" s="78">
        <v>8.090641E-4</v>
      </c>
      <c r="BB430" s="78">
        <v>20.413139999999999</v>
      </c>
      <c r="BC430" s="78">
        <v>2.4480979999999999</v>
      </c>
      <c r="BD430" s="78">
        <v>8.4234550000000006</v>
      </c>
    </row>
    <row r="431" spans="1:56" x14ac:dyDescent="0.2">
      <c r="A431" s="78" t="s">
        <v>579</v>
      </c>
      <c r="B431" s="22">
        <v>31809</v>
      </c>
      <c r="C431" s="22"/>
      <c r="D431" s="22"/>
      <c r="E431" s="22">
        <v>31321</v>
      </c>
      <c r="F431" s="78" t="s">
        <v>563</v>
      </c>
      <c r="G431" s="78">
        <v>6.5870329999999999</v>
      </c>
      <c r="J431" s="78">
        <v>13.21072</v>
      </c>
      <c r="K431" s="78">
        <v>27.31643</v>
      </c>
      <c r="N431" s="78">
        <v>0.41446169999999999</v>
      </c>
      <c r="R431" s="78">
        <v>20.068950000000001</v>
      </c>
      <c r="S431" s="78">
        <v>17.273959999999999</v>
      </c>
      <c r="AE431" s="78">
        <v>1.023906</v>
      </c>
      <c r="AG431" s="78">
        <v>2.1346440000000002</v>
      </c>
      <c r="AH431" s="78">
        <v>1.0770230000000001</v>
      </c>
      <c r="AJ431" s="78">
        <v>38.118870000000001</v>
      </c>
      <c r="AK431" s="78">
        <v>1.7950729999999999</v>
      </c>
      <c r="AO431" s="78">
        <v>0.10702250000000001</v>
      </c>
      <c r="AQ431" s="78">
        <v>13.57277</v>
      </c>
      <c r="AR431" s="78">
        <v>7.5166149999999998</v>
      </c>
      <c r="AS431" s="78">
        <v>7.9246869999999996</v>
      </c>
      <c r="AZ431" s="78">
        <v>14.89697</v>
      </c>
      <c r="BA431" s="78">
        <v>8.2675010000000005E-4</v>
      </c>
      <c r="BB431" s="78">
        <v>20.509540000000001</v>
      </c>
      <c r="BC431" s="78">
        <v>2.4608110000000001</v>
      </c>
      <c r="BD431" s="78">
        <v>8.5625610000000005</v>
      </c>
    </row>
    <row r="432" spans="1:56" x14ac:dyDescent="0.2">
      <c r="A432" s="78" t="s">
        <v>580</v>
      </c>
      <c r="B432" s="22">
        <v>31837</v>
      </c>
      <c r="C432" s="22"/>
      <c r="D432" s="22"/>
      <c r="E432" s="22">
        <v>31352</v>
      </c>
      <c r="F432" s="78" t="s">
        <v>564</v>
      </c>
      <c r="G432" s="78">
        <v>6.6346639999999999</v>
      </c>
      <c r="J432" s="78">
        <v>13.30217</v>
      </c>
      <c r="K432" s="78">
        <v>27.438320000000001</v>
      </c>
      <c r="N432" s="78">
        <v>0.42805530000000003</v>
      </c>
      <c r="R432" s="78">
        <v>20.27525</v>
      </c>
      <c r="S432" s="78">
        <v>17.339469999999999</v>
      </c>
      <c r="AE432" s="78">
        <v>1.0361579999999999</v>
      </c>
      <c r="AG432" s="78">
        <v>2.2015790000000002</v>
      </c>
      <c r="AH432" s="78">
        <v>1.115094</v>
      </c>
      <c r="AJ432" s="78">
        <v>38.446080000000002</v>
      </c>
      <c r="AK432" s="78">
        <v>1.8286979999999999</v>
      </c>
      <c r="AO432" s="78">
        <v>0.1095315</v>
      </c>
      <c r="AQ432" s="78">
        <v>13.68146</v>
      </c>
      <c r="AR432" s="78">
        <v>7.5789140000000002</v>
      </c>
      <c r="AS432" s="78">
        <v>8.1066889999999994</v>
      </c>
      <c r="AZ432" s="78">
        <v>14.93735</v>
      </c>
      <c r="BA432" s="78">
        <v>8.4290340000000002E-4</v>
      </c>
      <c r="BB432" s="78">
        <v>20.590979999999998</v>
      </c>
      <c r="BC432" s="78">
        <v>2.4858009999999999</v>
      </c>
      <c r="BD432" s="78">
        <v>8.7175119999999993</v>
      </c>
    </row>
    <row r="433" spans="1:56" x14ac:dyDescent="0.2">
      <c r="A433" s="78" t="s">
        <v>581</v>
      </c>
      <c r="B433" s="22">
        <v>31868</v>
      </c>
      <c r="C433" s="22"/>
      <c r="D433" s="22"/>
      <c r="E433" s="22">
        <v>31382</v>
      </c>
      <c r="F433" s="78" t="s">
        <v>565</v>
      </c>
      <c r="G433" s="78">
        <v>6.673889</v>
      </c>
      <c r="J433" s="78">
        <v>13.37899</v>
      </c>
      <c r="K433" s="78">
        <v>27.602609999999999</v>
      </c>
      <c r="N433" s="78">
        <v>0.43995879999999998</v>
      </c>
      <c r="R433" s="78">
        <v>20.688469999999999</v>
      </c>
      <c r="S433" s="78">
        <v>17.790040000000001</v>
      </c>
      <c r="AE433" s="78">
        <v>1.0476540000000001</v>
      </c>
      <c r="AG433" s="78">
        <v>2.2643070000000001</v>
      </c>
      <c r="AH433" s="78">
        <v>1.1427229999999999</v>
      </c>
      <c r="AJ433" s="78">
        <v>38.773269999999997</v>
      </c>
      <c r="AK433" s="78">
        <v>1.8762570000000001</v>
      </c>
      <c r="AO433" s="78">
        <v>0.1409878</v>
      </c>
      <c r="AQ433" s="78">
        <v>14.031370000000001</v>
      </c>
      <c r="AR433" s="78">
        <v>7.8360390000000004</v>
      </c>
      <c r="AS433" s="78">
        <v>8.3640150000000002</v>
      </c>
      <c r="AZ433" s="78">
        <v>15.21611</v>
      </c>
      <c r="BA433" s="78">
        <v>8.6798319999999997E-4</v>
      </c>
      <c r="BB433" s="78">
        <v>20.709810000000001</v>
      </c>
      <c r="BC433" s="78">
        <v>2.508238</v>
      </c>
      <c r="BD433" s="78">
        <v>8.8974969999999995</v>
      </c>
    </row>
    <row r="434" spans="1:56" x14ac:dyDescent="0.2">
      <c r="A434" s="78" t="s">
        <v>582</v>
      </c>
      <c r="B434" s="22">
        <v>31898</v>
      </c>
      <c r="C434" s="22"/>
      <c r="D434" s="22"/>
      <c r="E434" s="22">
        <v>31413</v>
      </c>
      <c r="F434" s="78" t="s">
        <v>566</v>
      </c>
      <c r="G434" s="78">
        <v>6.6935010000000004</v>
      </c>
      <c r="J434" s="78">
        <v>13.54829</v>
      </c>
      <c r="K434" s="78">
        <v>27.787970000000001</v>
      </c>
      <c r="N434" s="78">
        <v>0.45259569999999999</v>
      </c>
      <c r="R434" s="78">
        <v>21.12677</v>
      </c>
      <c r="S434" s="78">
        <v>18.069189999999999</v>
      </c>
      <c r="AE434" s="78">
        <v>1.065353</v>
      </c>
      <c r="AG434" s="78">
        <v>2.3412440000000001</v>
      </c>
      <c r="AH434" s="78">
        <v>1.149931</v>
      </c>
      <c r="AJ434" s="78">
        <v>38.9696</v>
      </c>
      <c r="AK434" s="78">
        <v>1.926982</v>
      </c>
      <c r="AO434" s="78">
        <v>0.17158619999999999</v>
      </c>
      <c r="AQ434" s="78">
        <v>14.152200000000001</v>
      </c>
      <c r="AR434" s="78">
        <v>8.0794490000000003</v>
      </c>
      <c r="AS434" s="78">
        <v>8.6703089999999996</v>
      </c>
      <c r="AZ434" s="78">
        <v>15.438269999999999</v>
      </c>
      <c r="BA434" s="78">
        <v>9.0279300000000004E-4</v>
      </c>
      <c r="BB434" s="78">
        <v>20.792919999999999</v>
      </c>
      <c r="BC434" s="78">
        <v>2.52779</v>
      </c>
      <c r="BD434" s="78">
        <v>9.0319520000000004</v>
      </c>
    </row>
    <row r="435" spans="1:56" x14ac:dyDescent="0.2">
      <c r="A435" s="78" t="s">
        <v>583</v>
      </c>
      <c r="B435" s="22">
        <v>31929</v>
      </c>
      <c r="C435" s="22"/>
      <c r="D435" s="22"/>
      <c r="E435" s="22">
        <v>31444</v>
      </c>
      <c r="F435" s="78" t="s">
        <v>567</v>
      </c>
      <c r="G435" s="78">
        <v>6.7075100000000001</v>
      </c>
      <c r="J435" s="78">
        <v>13.623760000000001</v>
      </c>
      <c r="K435" s="78">
        <v>27.920729999999999</v>
      </c>
      <c r="L435" s="78">
        <v>0.71701380000000003</v>
      </c>
      <c r="N435" s="78">
        <v>0.46491939999999998</v>
      </c>
      <c r="R435" s="78">
        <v>21.490069999999999</v>
      </c>
      <c r="S435" s="78">
        <v>17.935939999999999</v>
      </c>
      <c r="AE435" s="78">
        <v>1.0827830000000001</v>
      </c>
      <c r="AG435" s="78">
        <v>2.42049</v>
      </c>
      <c r="AH435" s="78">
        <v>1.172369</v>
      </c>
      <c r="AJ435" s="78">
        <v>39.223179999999999</v>
      </c>
      <c r="AK435" s="78">
        <v>1.964593</v>
      </c>
      <c r="AO435" s="78">
        <v>0.1727196</v>
      </c>
      <c r="AQ435" s="78">
        <v>13.98903</v>
      </c>
      <c r="AR435" s="78">
        <v>8.1323760000000007</v>
      </c>
      <c r="AS435" s="78">
        <v>8.8938369999999995</v>
      </c>
      <c r="AZ435" s="78">
        <v>15.380599999999999</v>
      </c>
      <c r="BA435" s="78">
        <v>9.4055379999999995E-4</v>
      </c>
      <c r="BB435" s="78">
        <v>20.882670000000001</v>
      </c>
      <c r="BC435" s="78">
        <v>2.5657899999999998</v>
      </c>
      <c r="BD435" s="78">
        <v>9.1903410000000001</v>
      </c>
    </row>
    <row r="436" spans="1:56" x14ac:dyDescent="0.2">
      <c r="A436" s="78" t="s">
        <v>584</v>
      </c>
      <c r="B436" s="22">
        <v>31959</v>
      </c>
      <c r="C436" s="22"/>
      <c r="D436" s="22"/>
      <c r="E436" s="22">
        <v>31472</v>
      </c>
      <c r="F436" s="78" t="s">
        <v>568</v>
      </c>
      <c r="G436" s="78">
        <v>6.7663479999999998</v>
      </c>
      <c r="J436" s="78">
        <v>13.784380000000001</v>
      </c>
      <c r="K436" s="78">
        <v>27.918230000000001</v>
      </c>
      <c r="L436" s="78">
        <v>0.73783089999999996</v>
      </c>
      <c r="N436" s="78">
        <v>0.47612260000000001</v>
      </c>
      <c r="R436" s="78">
        <v>21.836480000000002</v>
      </c>
      <c r="S436" s="78">
        <v>17.999230000000001</v>
      </c>
      <c r="AE436" s="78">
        <v>1.093785</v>
      </c>
      <c r="AG436" s="78">
        <v>2.4941110000000002</v>
      </c>
      <c r="AH436" s="78">
        <v>1.1959519999999999</v>
      </c>
      <c r="AJ436" s="78">
        <v>39.493110000000001</v>
      </c>
      <c r="AK436" s="78">
        <v>2.0064340000000001</v>
      </c>
      <c r="AO436" s="78">
        <v>0.1733179</v>
      </c>
      <c r="AQ436" s="78">
        <v>13.972289999999999</v>
      </c>
      <c r="AR436" s="78">
        <v>8.2100489999999997</v>
      </c>
      <c r="AS436" s="78">
        <v>9.0601739999999999</v>
      </c>
      <c r="AZ436" s="78">
        <v>15.44312</v>
      </c>
      <c r="BA436" s="78">
        <v>9.9724990000000006E-4</v>
      </c>
      <c r="BB436" s="78">
        <v>21.050529999999998</v>
      </c>
      <c r="BC436" s="78">
        <v>2.5811269999999999</v>
      </c>
      <c r="BD436" s="78">
        <v>9.428877</v>
      </c>
    </row>
    <row r="437" spans="1:56" x14ac:dyDescent="0.2">
      <c r="A437" s="78" t="s">
        <v>585</v>
      </c>
      <c r="B437" s="22">
        <v>31990</v>
      </c>
      <c r="C437" s="22"/>
      <c r="D437" s="22"/>
      <c r="E437" s="22">
        <v>31503</v>
      </c>
      <c r="F437" s="78" t="s">
        <v>569</v>
      </c>
      <c r="G437" s="78">
        <v>6.8756190000000004</v>
      </c>
      <c r="J437" s="78">
        <v>13.94215</v>
      </c>
      <c r="K437" s="78">
        <v>28.04147</v>
      </c>
      <c r="L437" s="78">
        <v>0.76773749999999996</v>
      </c>
      <c r="N437" s="78">
        <v>0.48466320000000002</v>
      </c>
      <c r="R437" s="78">
        <v>22.050070000000002</v>
      </c>
      <c r="S437" s="78">
        <v>18.065570000000001</v>
      </c>
      <c r="AE437" s="78">
        <v>1.107286</v>
      </c>
      <c r="AG437" s="78">
        <v>2.5492309999999998</v>
      </c>
      <c r="AH437" s="78">
        <v>1.199109</v>
      </c>
      <c r="AJ437" s="78">
        <v>39.697620000000001</v>
      </c>
      <c r="AK437" s="78">
        <v>2.0512670000000002</v>
      </c>
      <c r="AO437" s="78">
        <v>0.17382909999999999</v>
      </c>
      <c r="AQ437" s="78">
        <v>14.019080000000001</v>
      </c>
      <c r="AR437" s="78">
        <v>8.2930659999999996</v>
      </c>
      <c r="AS437" s="78">
        <v>9.2616859999999992</v>
      </c>
      <c r="AZ437" s="78">
        <v>15.544639999999999</v>
      </c>
      <c r="BA437" s="78">
        <v>1.0487929999999999E-3</v>
      </c>
      <c r="BB437" s="78">
        <v>21.255790000000001</v>
      </c>
      <c r="BC437" s="78">
        <v>2.5863559999999999</v>
      </c>
      <c r="BD437" s="78">
        <v>9.6601700000000008</v>
      </c>
    </row>
    <row r="438" spans="1:56" x14ac:dyDescent="0.2">
      <c r="A438" s="78" t="s">
        <v>586</v>
      </c>
      <c r="B438" s="22">
        <v>32021</v>
      </c>
      <c r="C438" s="22"/>
      <c r="D438" s="22"/>
      <c r="E438" s="22">
        <v>31533</v>
      </c>
      <c r="F438" s="78" t="s">
        <v>570</v>
      </c>
      <c r="G438" s="78">
        <v>6.9652760000000002</v>
      </c>
      <c r="J438" s="78">
        <v>13.8231</v>
      </c>
      <c r="K438" s="78">
        <v>28.319839999999999</v>
      </c>
      <c r="L438" s="78">
        <v>0.78693429999999998</v>
      </c>
      <c r="N438" s="78">
        <v>0.49438539999999997</v>
      </c>
      <c r="R438" s="78">
        <v>22.209810000000001</v>
      </c>
      <c r="S438" s="78">
        <v>18.076509999999999</v>
      </c>
      <c r="AE438" s="78">
        <v>1.1234489999999999</v>
      </c>
      <c r="AG438" s="78">
        <v>2.5912959999999998</v>
      </c>
      <c r="AH438" s="78">
        <v>1.187873</v>
      </c>
      <c r="AJ438" s="78">
        <v>39.934840000000001</v>
      </c>
      <c r="AK438" s="78">
        <v>2.0930789999999999</v>
      </c>
      <c r="AO438" s="78">
        <v>0.17477609999999999</v>
      </c>
      <c r="AQ438" s="78">
        <v>14.11022</v>
      </c>
      <c r="AR438" s="78">
        <v>8.3724679999999996</v>
      </c>
      <c r="AS438" s="78">
        <v>9.4644440000000003</v>
      </c>
      <c r="AZ438" s="78">
        <v>15.78364</v>
      </c>
      <c r="BA438" s="78">
        <v>1.091547E-3</v>
      </c>
      <c r="BB438" s="78">
        <v>21.480170000000001</v>
      </c>
      <c r="BC438" s="78">
        <v>2.6211220000000002</v>
      </c>
      <c r="BD438" s="78">
        <v>9.7860329999999998</v>
      </c>
    </row>
    <row r="439" spans="1:56" x14ac:dyDescent="0.2">
      <c r="A439" s="78" t="s">
        <v>587</v>
      </c>
      <c r="B439" s="22">
        <v>32051</v>
      </c>
      <c r="C439" s="22"/>
      <c r="D439" s="22"/>
      <c r="E439" s="22">
        <v>31564</v>
      </c>
      <c r="F439" s="78" t="s">
        <v>571</v>
      </c>
      <c r="G439" s="78">
        <v>7.0157090000000002</v>
      </c>
      <c r="J439" s="78">
        <v>13.85003</v>
      </c>
      <c r="K439" s="78">
        <v>28.567990000000002</v>
      </c>
      <c r="L439" s="78">
        <v>0.79486190000000001</v>
      </c>
      <c r="N439" s="78">
        <v>0.506934</v>
      </c>
      <c r="R439" s="78">
        <v>22.23123</v>
      </c>
      <c r="S439" s="78">
        <v>18.206710000000001</v>
      </c>
      <c r="AE439" s="78">
        <v>1.1397649999999999</v>
      </c>
      <c r="AG439" s="78">
        <v>2.6488930000000002</v>
      </c>
      <c r="AH439" s="78">
        <v>1.1753089999999999</v>
      </c>
      <c r="AJ439" s="78">
        <v>40.262039999999999</v>
      </c>
      <c r="AK439" s="78">
        <v>2.131275</v>
      </c>
      <c r="AO439" s="78">
        <v>0.17560829999999999</v>
      </c>
      <c r="AQ439" s="78">
        <v>14.19369</v>
      </c>
      <c r="AR439" s="78">
        <v>8.4474049999999998</v>
      </c>
      <c r="AS439" s="78">
        <v>9.6447730000000007</v>
      </c>
      <c r="AZ439" s="78">
        <v>16.009650000000001</v>
      </c>
      <c r="BA439" s="78">
        <v>1.141825E-3</v>
      </c>
      <c r="BB439" s="78">
        <v>21.648040000000002</v>
      </c>
      <c r="BC439" s="78">
        <v>2.6378050000000002</v>
      </c>
      <c r="BD439" s="78">
        <v>9.8475319999999993</v>
      </c>
    </row>
    <row r="440" spans="1:56" x14ac:dyDescent="0.2">
      <c r="A440" s="78" t="s">
        <v>588</v>
      </c>
      <c r="B440" s="22">
        <v>32082</v>
      </c>
      <c r="C440" s="22"/>
      <c r="D440" s="22"/>
      <c r="E440" s="22">
        <v>31594</v>
      </c>
      <c r="F440" s="78" t="s">
        <v>572</v>
      </c>
      <c r="G440" s="78">
        <v>7.0577360000000002</v>
      </c>
      <c r="J440" s="78">
        <v>13.949960000000001</v>
      </c>
      <c r="K440" s="78">
        <v>28.843810000000001</v>
      </c>
      <c r="L440" s="78">
        <v>0.81080399999999997</v>
      </c>
      <c r="N440" s="78">
        <v>0.51738320000000004</v>
      </c>
      <c r="R440" s="78">
        <v>22.201229999999999</v>
      </c>
      <c r="S440" s="78">
        <v>18.340669999999999</v>
      </c>
      <c r="AE440" s="78">
        <v>1.1542790000000001</v>
      </c>
      <c r="AG440" s="78">
        <v>2.719897</v>
      </c>
      <c r="AH440" s="78">
        <v>1.1847240000000001</v>
      </c>
      <c r="AJ440" s="78">
        <v>40.556519999999999</v>
      </c>
      <c r="AK440" s="78">
        <v>2.1712959999999999</v>
      </c>
      <c r="AO440" s="78">
        <v>0.176451</v>
      </c>
      <c r="AQ440" s="78">
        <v>14.223599999999999</v>
      </c>
      <c r="AR440" s="78">
        <v>8.5216960000000004</v>
      </c>
      <c r="AS440" s="78">
        <v>9.8305199999999999</v>
      </c>
      <c r="AZ440" s="78">
        <v>16.114740000000001</v>
      </c>
      <c r="BA440" s="78">
        <v>1.182233E-3</v>
      </c>
      <c r="BB440" s="78">
        <v>21.827529999999999</v>
      </c>
      <c r="BC440" s="78">
        <v>2.6528450000000001</v>
      </c>
      <c r="BD440" s="78">
        <v>9.9059139999999992</v>
      </c>
    </row>
    <row r="441" spans="1:56" x14ac:dyDescent="0.2">
      <c r="A441" s="78" t="s">
        <v>589</v>
      </c>
      <c r="B441" s="22">
        <v>32112</v>
      </c>
      <c r="C441" s="22"/>
      <c r="D441" s="22"/>
      <c r="E441" s="22">
        <v>31625</v>
      </c>
      <c r="F441" s="78" t="s">
        <v>573</v>
      </c>
      <c r="G441" s="78">
        <v>7.1053660000000001</v>
      </c>
      <c r="J441" s="78">
        <v>14.068390000000001</v>
      </c>
      <c r="K441" s="78">
        <v>29.002859999999998</v>
      </c>
      <c r="L441" s="78">
        <v>0.83013539999999997</v>
      </c>
      <c r="N441" s="78">
        <v>0.52539009999999997</v>
      </c>
      <c r="R441" s="78">
        <v>22.24606</v>
      </c>
      <c r="S441" s="78">
        <v>18.378270000000001</v>
      </c>
      <c r="AE441" s="78">
        <v>1.1677979999999999</v>
      </c>
      <c r="AG441" s="78">
        <v>2.7893080000000001</v>
      </c>
      <c r="AH441" s="78">
        <v>1.2197199999999999</v>
      </c>
      <c r="AJ441" s="78">
        <v>40.826459999999997</v>
      </c>
      <c r="AK441" s="78">
        <v>2.2118679999999999</v>
      </c>
      <c r="AO441" s="78">
        <v>0.1834797</v>
      </c>
      <c r="AQ441" s="78">
        <v>14.265840000000001</v>
      </c>
      <c r="AR441" s="78">
        <v>8.6121440000000007</v>
      </c>
      <c r="AS441" s="78">
        <v>10.0519</v>
      </c>
      <c r="AZ441" s="78">
        <v>16.319559999999999</v>
      </c>
      <c r="BA441" s="78">
        <v>1.2115540000000001E-3</v>
      </c>
      <c r="BB441" s="78">
        <v>21.992909999999998</v>
      </c>
      <c r="BC441" s="78">
        <v>2.6734279999999999</v>
      </c>
      <c r="BD441" s="78">
        <v>10.02725</v>
      </c>
    </row>
    <row r="442" spans="1:56" x14ac:dyDescent="0.2">
      <c r="A442" s="78" t="s">
        <v>590</v>
      </c>
      <c r="B442" s="22">
        <v>32143</v>
      </c>
      <c r="C442" s="22"/>
      <c r="D442" s="22"/>
      <c r="E442" s="22">
        <v>31656</v>
      </c>
      <c r="F442" s="78" t="s">
        <v>574</v>
      </c>
      <c r="G442" s="78">
        <v>7.1389880000000003</v>
      </c>
      <c r="J442" s="78">
        <v>14.165990000000001</v>
      </c>
      <c r="K442" s="78">
        <v>29.113779999999998</v>
      </c>
      <c r="L442" s="78">
        <v>0.851989</v>
      </c>
      <c r="N442" s="78">
        <v>0.53236550000000005</v>
      </c>
      <c r="R442" s="78">
        <v>22.332070000000002</v>
      </c>
      <c r="S442" s="78">
        <v>18.457830000000001</v>
      </c>
      <c r="AE442" s="78">
        <v>1.185065</v>
      </c>
      <c r="AG442" s="78">
        <v>2.8569070000000001</v>
      </c>
      <c r="AH442" s="78">
        <v>1.256799</v>
      </c>
      <c r="AJ442" s="78">
        <v>41.137300000000003</v>
      </c>
      <c r="AK442" s="78">
        <v>2.2575989999999999</v>
      </c>
      <c r="AO442" s="78">
        <v>0.19544329999999999</v>
      </c>
      <c r="AQ442" s="78">
        <v>14.26829</v>
      </c>
      <c r="AR442" s="78">
        <v>8.7212049999999994</v>
      </c>
      <c r="AS442" s="78">
        <v>10.309139999999999</v>
      </c>
      <c r="AZ442" s="78">
        <v>16.549659999999999</v>
      </c>
      <c r="BA442" s="78">
        <v>1.2372629999999999E-3</v>
      </c>
      <c r="BB442" s="78">
        <v>22.169910000000002</v>
      </c>
      <c r="BC442" s="78">
        <v>2.6944659999999998</v>
      </c>
      <c r="BD442" s="78">
        <v>10.227220000000001</v>
      </c>
    </row>
    <row r="443" spans="1:56" x14ac:dyDescent="0.2">
      <c r="A443" s="78" t="s">
        <v>591</v>
      </c>
      <c r="B443" s="22">
        <v>32174</v>
      </c>
      <c r="C443" s="22"/>
      <c r="D443" s="22"/>
      <c r="E443" s="22">
        <v>31686</v>
      </c>
      <c r="F443" s="78" t="s">
        <v>575</v>
      </c>
      <c r="G443" s="78">
        <v>7.1810150000000004</v>
      </c>
      <c r="J443" s="78">
        <v>14.355869999999999</v>
      </c>
      <c r="K443" s="78">
        <v>29.304390000000001</v>
      </c>
      <c r="L443" s="78">
        <v>0.87533479999999997</v>
      </c>
      <c r="N443" s="78">
        <v>0.54200599999999999</v>
      </c>
      <c r="R443" s="78">
        <v>22.47242</v>
      </c>
      <c r="S443" s="78">
        <v>18.571529999999999</v>
      </c>
      <c r="AE443" s="78">
        <v>1.2004109999999999</v>
      </c>
      <c r="AG443" s="78">
        <v>2.913519</v>
      </c>
      <c r="AH443" s="78">
        <v>1.2921009999999999</v>
      </c>
      <c r="AJ443" s="78">
        <v>41.366340000000001</v>
      </c>
      <c r="AK443" s="78">
        <v>2.3043749999999998</v>
      </c>
      <c r="AO443" s="78">
        <v>0.2092311</v>
      </c>
      <c r="AQ443" s="78">
        <v>14.358219999999999</v>
      </c>
      <c r="AR443" s="78">
        <v>8.8361000000000001</v>
      </c>
      <c r="AS443" s="78">
        <v>10.55264</v>
      </c>
      <c r="AZ443" s="78">
        <v>16.602540000000001</v>
      </c>
      <c r="BA443" s="78">
        <v>1.2723260000000001E-3</v>
      </c>
      <c r="BB443" s="78">
        <v>22.332789999999999</v>
      </c>
      <c r="BC443" s="78">
        <v>2.7186159999999999</v>
      </c>
      <c r="BD443" s="78">
        <v>10.486470000000001</v>
      </c>
    </row>
    <row r="444" spans="1:56" x14ac:dyDescent="0.2">
      <c r="A444" s="78" t="s">
        <v>592</v>
      </c>
      <c r="B444" s="22">
        <v>32203</v>
      </c>
      <c r="C444" s="22"/>
      <c r="D444" s="22"/>
      <c r="E444" s="22">
        <v>31717</v>
      </c>
      <c r="F444" s="78" t="s">
        <v>576</v>
      </c>
      <c r="G444" s="78">
        <v>7.2118349999999998</v>
      </c>
      <c r="J444" s="78">
        <v>14.54585</v>
      </c>
      <c r="K444" s="78">
        <v>29.477830000000001</v>
      </c>
      <c r="L444" s="78">
        <v>0.90162529999999996</v>
      </c>
      <c r="N444" s="78">
        <v>0.5543148</v>
      </c>
      <c r="R444" s="78">
        <v>22.554659999999998</v>
      </c>
      <c r="S444" s="78">
        <v>18.736640000000001</v>
      </c>
      <c r="AE444" s="78">
        <v>1.2161420000000001</v>
      </c>
      <c r="AG444" s="78">
        <v>2.9705499999999998</v>
      </c>
      <c r="AH444" s="78">
        <v>1.3214030000000001</v>
      </c>
      <c r="AJ444" s="78">
        <v>41.611739999999998</v>
      </c>
      <c r="AK444" s="78">
        <v>2.352932</v>
      </c>
      <c r="AO444" s="78">
        <v>0.22497349999999999</v>
      </c>
      <c r="AQ444" s="78">
        <v>14.5099</v>
      </c>
      <c r="AR444" s="78">
        <v>8.9498549999999994</v>
      </c>
      <c r="AS444" s="78">
        <v>10.84351</v>
      </c>
      <c r="AZ444" s="78">
        <v>16.658930000000002</v>
      </c>
      <c r="BA444" s="78">
        <v>1.3141380000000001E-3</v>
      </c>
      <c r="BB444" s="78">
        <v>22.448309999999999</v>
      </c>
      <c r="BC444" s="78">
        <v>2.7396539999999998</v>
      </c>
      <c r="BD444" s="78">
        <v>10.743930000000001</v>
      </c>
    </row>
    <row r="445" spans="1:56" x14ac:dyDescent="0.2">
      <c r="A445" s="78" t="s">
        <v>593</v>
      </c>
      <c r="B445" s="22">
        <v>32234</v>
      </c>
      <c r="C445" s="22"/>
      <c r="D445" s="22"/>
      <c r="E445" s="22">
        <v>31747</v>
      </c>
      <c r="F445" s="78" t="s">
        <v>577</v>
      </c>
      <c r="G445" s="78">
        <v>7.2538619999999998</v>
      </c>
      <c r="J445" s="78">
        <v>14.76731</v>
      </c>
      <c r="K445" s="78">
        <v>29.665959999999998</v>
      </c>
      <c r="L445" s="78">
        <v>0.92213780000000001</v>
      </c>
      <c r="N445" s="78">
        <v>0.5672933</v>
      </c>
      <c r="R445" s="78">
        <v>22.656310000000001</v>
      </c>
      <c r="S445" s="78">
        <v>19.139800000000001</v>
      </c>
      <c r="AE445" s="78">
        <v>1.2372620000000001</v>
      </c>
      <c r="AG445" s="78">
        <v>3.0528469999999999</v>
      </c>
      <c r="AH445" s="78">
        <v>1.35144</v>
      </c>
      <c r="AJ445" s="78">
        <v>42.037100000000002</v>
      </c>
      <c r="AK445" s="78">
        <v>2.4020380000000001</v>
      </c>
      <c r="AO445" s="78">
        <v>0.24056820000000001</v>
      </c>
      <c r="AQ445" s="78">
        <v>14.58352</v>
      </c>
      <c r="AR445" s="78">
        <v>9.0956969999999995</v>
      </c>
      <c r="AS445" s="78">
        <v>11.154999999999999</v>
      </c>
      <c r="AZ445" s="78">
        <v>16.959849999999999</v>
      </c>
      <c r="BA445" s="78">
        <v>1.356173E-3</v>
      </c>
      <c r="BB445" s="78">
        <v>22.670190000000002</v>
      </c>
      <c r="BC445" s="78">
        <v>2.750794</v>
      </c>
      <c r="BD445" s="78">
        <v>10.971170000000001</v>
      </c>
    </row>
    <row r="446" spans="1:56" x14ac:dyDescent="0.2">
      <c r="A446" s="78" t="s">
        <v>594</v>
      </c>
      <c r="B446" s="22">
        <v>32264</v>
      </c>
      <c r="C446" s="22"/>
      <c r="D446" s="22"/>
      <c r="E446" s="22">
        <v>31778</v>
      </c>
      <c r="F446" s="78" t="s">
        <v>578</v>
      </c>
      <c r="G446" s="78">
        <v>7.3435189999999997</v>
      </c>
      <c r="J446" s="78">
        <v>14.871169999999999</v>
      </c>
      <c r="K446" s="78">
        <v>29.87621</v>
      </c>
      <c r="L446" s="78">
        <v>0.94160719999999998</v>
      </c>
      <c r="N446" s="78">
        <v>0.57918499999999995</v>
      </c>
      <c r="R446" s="78">
        <v>22.63851</v>
      </c>
      <c r="S446" s="78">
        <v>19.34158</v>
      </c>
      <c r="AA446" s="78">
        <v>9.2233070000000001</v>
      </c>
      <c r="AE446" s="78">
        <v>1.260513</v>
      </c>
      <c r="AG446" s="78">
        <v>3.0978129999999999</v>
      </c>
      <c r="AH446" s="78">
        <v>1.4023429999999999</v>
      </c>
      <c r="AJ446" s="78">
        <v>42.356119999999997</v>
      </c>
      <c r="AK446" s="78">
        <v>2.4573999999999998</v>
      </c>
      <c r="AO446" s="78">
        <v>0.25666810000000001</v>
      </c>
      <c r="AQ446" s="78">
        <v>14.61435</v>
      </c>
      <c r="AR446" s="78">
        <v>9.2187160000000006</v>
      </c>
      <c r="AS446" s="78">
        <v>11.43599</v>
      </c>
      <c r="AZ446" s="78">
        <v>17.048020000000001</v>
      </c>
      <c r="BA446" s="78">
        <v>1.4050860000000001E-3</v>
      </c>
      <c r="BB446" s="78">
        <v>22.802320000000002</v>
      </c>
      <c r="BC446" s="78">
        <v>2.747471</v>
      </c>
      <c r="BD446" s="78">
        <v>11.234489999999999</v>
      </c>
    </row>
    <row r="447" spans="1:56" x14ac:dyDescent="0.2">
      <c r="A447" s="78" t="s">
        <v>595</v>
      </c>
      <c r="B447" s="22">
        <v>32295</v>
      </c>
      <c r="C447" s="22"/>
      <c r="D447" s="22"/>
      <c r="E447" s="22">
        <v>31809</v>
      </c>
      <c r="F447" s="78" t="s">
        <v>579</v>
      </c>
      <c r="G447" s="78">
        <v>7.42197</v>
      </c>
      <c r="J447" s="78">
        <v>15.09531</v>
      </c>
      <c r="K447" s="78">
        <v>30.03304</v>
      </c>
      <c r="L447" s="78">
        <v>0.96756620000000004</v>
      </c>
      <c r="N447" s="78">
        <v>0.59235349999999998</v>
      </c>
      <c r="R447" s="78">
        <v>22.561060000000001</v>
      </c>
      <c r="S447" s="78">
        <v>19.254519999999999</v>
      </c>
      <c r="AA447" s="78">
        <v>11.16492</v>
      </c>
      <c r="AE447" s="78">
        <v>1.280062</v>
      </c>
      <c r="AG447" s="78">
        <v>3.176628</v>
      </c>
      <c r="AH447" s="78">
        <v>1.45122</v>
      </c>
      <c r="AJ447" s="78">
        <v>42.666960000000003</v>
      </c>
      <c r="AK447" s="78">
        <v>2.513592</v>
      </c>
      <c r="AO447" s="78">
        <v>0.27509250000000002</v>
      </c>
      <c r="AQ447" s="78">
        <v>14.767390000000001</v>
      </c>
      <c r="AR447" s="78">
        <v>9.4600819999999999</v>
      </c>
      <c r="AS447" s="78">
        <v>11.650359999999999</v>
      </c>
      <c r="AZ447" s="78">
        <v>17.006620000000002</v>
      </c>
      <c r="BA447" s="78">
        <v>1.4460759999999999E-3</v>
      </c>
      <c r="BB447" s="78">
        <v>22.832239999999999</v>
      </c>
      <c r="BC447" s="78">
        <v>2.7651159999999999</v>
      </c>
      <c r="BD447" s="78">
        <v>11.52059</v>
      </c>
    </row>
    <row r="448" spans="1:56" x14ac:dyDescent="0.2">
      <c r="A448" s="78" t="s">
        <v>596</v>
      </c>
      <c r="B448" s="22">
        <v>32325</v>
      </c>
      <c r="C448" s="22"/>
      <c r="D448" s="22"/>
      <c r="E448" s="22">
        <v>31837</v>
      </c>
      <c r="F448" s="78" t="s">
        <v>580</v>
      </c>
      <c r="G448" s="78">
        <v>7.4555920000000002</v>
      </c>
      <c r="J448" s="78">
        <v>15.20393</v>
      </c>
      <c r="K448" s="78">
        <v>30.283809999999999</v>
      </c>
      <c r="L448" s="78">
        <v>0.99552770000000002</v>
      </c>
      <c r="N448" s="78">
        <v>0.60682309999999995</v>
      </c>
      <c r="R448" s="78">
        <v>22.762260000000001</v>
      </c>
      <c r="S448" s="78">
        <v>19.284579999999998</v>
      </c>
      <c r="AA448" s="78">
        <v>11.32877</v>
      </c>
      <c r="AE448" s="78">
        <v>1.295625</v>
      </c>
      <c r="AG448" s="78">
        <v>3.2946219999999999</v>
      </c>
      <c r="AH448" s="78">
        <v>1.4993650000000001</v>
      </c>
      <c r="AJ448" s="78">
        <v>43.116860000000003</v>
      </c>
      <c r="AK448" s="78">
        <v>2.593944</v>
      </c>
      <c r="AO448" s="78">
        <v>0.29686109999999999</v>
      </c>
      <c r="AQ448" s="78">
        <v>14.9351</v>
      </c>
      <c r="AR448" s="78">
        <v>9.5688849999999999</v>
      </c>
      <c r="AS448" s="78">
        <v>11.84412</v>
      </c>
      <c r="AZ448" s="78">
        <v>17.01118</v>
      </c>
      <c r="BA448" s="78">
        <v>1.4711139999999999E-3</v>
      </c>
      <c r="BB448" s="78">
        <v>22.883759999999999</v>
      </c>
      <c r="BC448" s="78">
        <v>2.8032569999999999</v>
      </c>
      <c r="BD448" s="78">
        <v>11.62466</v>
      </c>
    </row>
    <row r="449" spans="1:56" x14ac:dyDescent="0.2">
      <c r="A449" s="78" t="s">
        <v>597</v>
      </c>
      <c r="B449" s="22">
        <v>32356</v>
      </c>
      <c r="C449" s="22"/>
      <c r="D449" s="22"/>
      <c r="E449" s="22">
        <v>31868</v>
      </c>
      <c r="F449" s="78" t="s">
        <v>581</v>
      </c>
      <c r="G449" s="78">
        <v>7.4808079999999997</v>
      </c>
      <c r="J449" s="78">
        <v>15.35627</v>
      </c>
      <c r="K449" s="78">
        <v>30.570789999999999</v>
      </c>
      <c r="L449" s="78">
        <v>1.026427</v>
      </c>
      <c r="N449" s="78">
        <v>0.62358519999999995</v>
      </c>
      <c r="R449" s="78">
        <v>22.965699999999998</v>
      </c>
      <c r="S449" s="78">
        <v>19.394939999999998</v>
      </c>
      <c r="AA449" s="78">
        <v>11.512869999999999</v>
      </c>
      <c r="AE449" s="78">
        <v>1.311164</v>
      </c>
      <c r="AG449" s="78">
        <v>3.4011680000000002</v>
      </c>
      <c r="AH449" s="78">
        <v>1.557123</v>
      </c>
      <c r="AJ449" s="78">
        <v>43.583129999999997</v>
      </c>
      <c r="AK449" s="78">
        <v>2.6735980000000001</v>
      </c>
      <c r="AO449" s="78">
        <v>0.32165149999999998</v>
      </c>
      <c r="AQ449" s="78">
        <v>15.06556</v>
      </c>
      <c r="AR449" s="78">
        <v>9.7061150000000005</v>
      </c>
      <c r="AS449" s="78">
        <v>12.010300000000001</v>
      </c>
      <c r="AZ449" s="78">
        <v>17.094899999999999</v>
      </c>
      <c r="BA449" s="78">
        <v>1.515242E-3</v>
      </c>
      <c r="BB449" s="78">
        <v>23.0001</v>
      </c>
      <c r="BC449" s="78">
        <v>2.8433220000000001</v>
      </c>
      <c r="BD449" s="78">
        <v>11.53679</v>
      </c>
    </row>
    <row r="450" spans="1:56" x14ac:dyDescent="0.2">
      <c r="A450" s="78" t="s">
        <v>598</v>
      </c>
      <c r="B450" s="22">
        <v>32387</v>
      </c>
      <c r="C450" s="22"/>
      <c r="D450" s="22"/>
      <c r="E450" s="22">
        <v>31898</v>
      </c>
      <c r="F450" s="78" t="s">
        <v>582</v>
      </c>
      <c r="G450" s="78">
        <v>7.5620599999999998</v>
      </c>
      <c r="J450" s="78">
        <v>15.500400000000001</v>
      </c>
      <c r="K450" s="78">
        <v>30.75797</v>
      </c>
      <c r="L450" s="78">
        <v>1.0586629999999999</v>
      </c>
      <c r="N450" s="78">
        <v>0.64072810000000002</v>
      </c>
      <c r="R450" s="78">
        <v>23.049189999999999</v>
      </c>
      <c r="S450" s="78">
        <v>19.549499999999998</v>
      </c>
      <c r="AA450" s="78">
        <v>11.67343</v>
      </c>
      <c r="AE450" s="78">
        <v>1.3228200000000001</v>
      </c>
      <c r="AG450" s="78">
        <v>3.530192</v>
      </c>
      <c r="AH450" s="78">
        <v>1.6067370000000001</v>
      </c>
      <c r="AJ450" s="78">
        <v>44.000309999999999</v>
      </c>
      <c r="AK450" s="78">
        <v>2.7274509999999998</v>
      </c>
      <c r="AO450" s="78">
        <v>0.34854210000000002</v>
      </c>
      <c r="AQ450" s="78">
        <v>15.08597</v>
      </c>
      <c r="AR450" s="78">
        <v>9.8332560000000004</v>
      </c>
      <c r="AS450" s="78">
        <v>12.19604</v>
      </c>
      <c r="AZ450" s="78">
        <v>17.39414</v>
      </c>
      <c r="BA450" s="78">
        <v>1.5694389999999999E-3</v>
      </c>
      <c r="BB450" s="78">
        <v>23.043310000000002</v>
      </c>
      <c r="BC450" s="78">
        <v>2.8811650000000002</v>
      </c>
      <c r="BD450" s="78">
        <v>11.535729999999999</v>
      </c>
    </row>
    <row r="451" spans="1:56" x14ac:dyDescent="0.2">
      <c r="A451" s="78" t="s">
        <v>599</v>
      </c>
      <c r="B451" s="22">
        <v>32417</v>
      </c>
      <c r="C451" s="22"/>
      <c r="D451" s="22"/>
      <c r="E451" s="22">
        <v>31929</v>
      </c>
      <c r="F451" s="78" t="s">
        <v>583</v>
      </c>
      <c r="G451" s="78">
        <v>7.6629250000000004</v>
      </c>
      <c r="J451" s="78">
        <v>15.639609999999999</v>
      </c>
      <c r="K451" s="78">
        <v>30.994119999999999</v>
      </c>
      <c r="L451" s="78">
        <v>1.0923449999999999</v>
      </c>
      <c r="N451" s="78">
        <v>0.65332349999999995</v>
      </c>
      <c r="R451" s="78">
        <v>23.31146</v>
      </c>
      <c r="S451" s="78">
        <v>19.715399999999999</v>
      </c>
      <c r="AA451" s="78">
        <v>11.787990000000001</v>
      </c>
      <c r="AE451" s="78">
        <v>1.336125</v>
      </c>
      <c r="AG451" s="78">
        <v>3.6236000000000002</v>
      </c>
      <c r="AH451" s="78">
        <v>1.6488940000000001</v>
      </c>
      <c r="AJ451" s="78">
        <v>44.384770000000003</v>
      </c>
      <c r="AK451" s="78">
        <v>2.782616</v>
      </c>
      <c r="AO451" s="78">
        <v>0.37900729999999999</v>
      </c>
      <c r="AQ451" s="78">
        <v>15.16761</v>
      </c>
      <c r="AR451" s="78">
        <v>9.9560510000000004</v>
      </c>
      <c r="AS451" s="78">
        <v>12.4718</v>
      </c>
      <c r="AZ451" s="78">
        <v>17.543690000000002</v>
      </c>
      <c r="BA451" s="78">
        <v>1.6218000000000001E-3</v>
      </c>
      <c r="BB451" s="78">
        <v>23.05744</v>
      </c>
      <c r="BC451" s="78">
        <v>2.901853</v>
      </c>
      <c r="BD451" s="78">
        <v>11.681089999999999</v>
      </c>
    </row>
    <row r="452" spans="1:56" x14ac:dyDescent="0.2">
      <c r="A452" s="78" t="s">
        <v>600</v>
      </c>
      <c r="B452" s="22">
        <v>32448</v>
      </c>
      <c r="C452" s="22"/>
      <c r="D452" s="22"/>
      <c r="E452" s="22">
        <v>31959</v>
      </c>
      <c r="F452" s="78" t="s">
        <v>584</v>
      </c>
      <c r="G452" s="78">
        <v>7.7581860000000002</v>
      </c>
      <c r="J452" s="78">
        <v>15.736280000000001</v>
      </c>
      <c r="K452" s="78">
        <v>31.33548</v>
      </c>
      <c r="L452" s="78">
        <v>1.124549</v>
      </c>
      <c r="N452" s="78">
        <v>0.6667187</v>
      </c>
      <c r="R452" s="78">
        <v>23.432079999999999</v>
      </c>
      <c r="S452" s="78">
        <v>19.814579999999999</v>
      </c>
      <c r="AA452" s="78">
        <v>11.95055</v>
      </c>
      <c r="AE452" s="78">
        <v>1.355901</v>
      </c>
      <c r="AG452" s="78">
        <v>3.7496679999999998</v>
      </c>
      <c r="AH452" s="78">
        <v>1.683899</v>
      </c>
      <c r="AJ452" s="78">
        <v>44.793770000000002</v>
      </c>
      <c r="AK452" s="78">
        <v>2.8369420000000001</v>
      </c>
      <c r="AO452" s="78">
        <v>0.41305779999999997</v>
      </c>
      <c r="AQ452" s="78">
        <v>15.528180000000001</v>
      </c>
      <c r="AR452" s="78">
        <v>10.098850000000001</v>
      </c>
      <c r="AS452" s="78">
        <v>12.80997</v>
      </c>
      <c r="AZ452" s="78">
        <v>17.553699999999999</v>
      </c>
      <c r="BA452" s="78">
        <v>1.6950839999999999E-3</v>
      </c>
      <c r="BB452" s="78">
        <v>23.094010000000001</v>
      </c>
      <c r="BC452" s="78">
        <v>2.9456250000000002</v>
      </c>
      <c r="BD452" s="78">
        <v>11.77384</v>
      </c>
    </row>
    <row r="453" spans="1:56" x14ac:dyDescent="0.2">
      <c r="A453" s="78" t="s">
        <v>601</v>
      </c>
      <c r="B453" s="22">
        <v>32478</v>
      </c>
      <c r="C453" s="22"/>
      <c r="D453" s="22"/>
      <c r="E453" s="22">
        <v>31990</v>
      </c>
      <c r="F453" s="78" t="s">
        <v>585</v>
      </c>
      <c r="G453" s="78">
        <v>7.8478440000000003</v>
      </c>
      <c r="J453" s="78">
        <v>15.7781</v>
      </c>
      <c r="K453" s="78">
        <v>31.67595</v>
      </c>
      <c r="L453" s="78">
        <v>1.1516169999999999</v>
      </c>
      <c r="N453" s="78">
        <v>0.68277180000000004</v>
      </c>
      <c r="R453" s="78">
        <v>23.485340000000001</v>
      </c>
      <c r="S453" s="78">
        <v>19.86186</v>
      </c>
      <c r="AA453" s="78">
        <v>12.129720000000001</v>
      </c>
      <c r="AE453" s="78">
        <v>1.376741</v>
      </c>
      <c r="AG453" s="78">
        <v>3.8663180000000001</v>
      </c>
      <c r="AH453" s="78">
        <v>1.7019310000000001</v>
      </c>
      <c r="AJ453" s="78">
        <v>45.243670000000002</v>
      </c>
      <c r="AK453" s="78">
        <v>2.8952260000000001</v>
      </c>
      <c r="AO453" s="78">
        <v>0.44728990000000002</v>
      </c>
      <c r="AQ453" s="78">
        <v>15.73751</v>
      </c>
      <c r="AR453" s="78">
        <v>10.24954</v>
      </c>
      <c r="AS453" s="78">
        <v>13.123340000000001</v>
      </c>
      <c r="AZ453" s="78">
        <v>17.559139999999999</v>
      </c>
      <c r="BA453" s="78">
        <v>1.7721049999999999E-3</v>
      </c>
      <c r="BB453" s="78">
        <v>23.170459999999999</v>
      </c>
      <c r="BC453" s="78">
        <v>2.9775230000000001</v>
      </c>
      <c r="BD453" s="78">
        <v>11.84956</v>
      </c>
    </row>
    <row r="454" spans="1:56" x14ac:dyDescent="0.2">
      <c r="A454" s="78" t="s">
        <v>602</v>
      </c>
      <c r="B454" s="22">
        <v>32509</v>
      </c>
      <c r="C454" s="22"/>
      <c r="D454" s="22"/>
      <c r="E454" s="22">
        <v>32021</v>
      </c>
      <c r="F454" s="78" t="s">
        <v>586</v>
      </c>
      <c r="G454" s="78">
        <v>7.9262940000000004</v>
      </c>
      <c r="J454" s="78">
        <v>15.87105</v>
      </c>
      <c r="K454" s="78">
        <v>31.991599999999998</v>
      </c>
      <c r="L454" s="78">
        <v>1.1809149999999999</v>
      </c>
      <c r="N454" s="78">
        <v>0.7047715</v>
      </c>
      <c r="R454" s="78">
        <v>23.467099999999999</v>
      </c>
      <c r="S454" s="78">
        <v>19.966259999999998</v>
      </c>
      <c r="AA454" s="78">
        <v>12.213609999999999</v>
      </c>
      <c r="AE454" s="78">
        <v>1.397702</v>
      </c>
      <c r="AG454" s="78">
        <v>3.9245589999999999</v>
      </c>
      <c r="AH454" s="78">
        <v>1.7105900000000001</v>
      </c>
      <c r="AJ454" s="78">
        <v>45.701749999999997</v>
      </c>
      <c r="AK454" s="78">
        <v>2.9405739999999998</v>
      </c>
      <c r="AO454" s="78">
        <v>0.48135240000000001</v>
      </c>
      <c r="AQ454" s="78">
        <v>15.822839999999999</v>
      </c>
      <c r="AR454" s="78">
        <v>10.39531</v>
      </c>
      <c r="AS454" s="78">
        <v>13.25473</v>
      </c>
      <c r="AZ454" s="78">
        <v>17.62576</v>
      </c>
      <c r="BA454" s="78">
        <v>1.841465E-3</v>
      </c>
      <c r="BB454" s="78">
        <v>23.26437</v>
      </c>
      <c r="BC454" s="78">
        <v>3.0266289999999998</v>
      </c>
      <c r="BD454" s="78">
        <v>12.041930000000001</v>
      </c>
    </row>
    <row r="455" spans="1:56" x14ac:dyDescent="0.2">
      <c r="A455" s="78" t="s">
        <v>603</v>
      </c>
      <c r="B455" s="22">
        <v>32540</v>
      </c>
      <c r="C455" s="22"/>
      <c r="D455" s="22"/>
      <c r="E455" s="22">
        <v>32051</v>
      </c>
      <c r="F455" s="78" t="s">
        <v>587</v>
      </c>
      <c r="G455" s="78">
        <v>8.0159509999999994</v>
      </c>
      <c r="J455" s="78">
        <v>15.997859999999999</v>
      </c>
      <c r="K455" s="78">
        <v>32.330820000000003</v>
      </c>
      <c r="L455" s="78">
        <v>1.21286</v>
      </c>
      <c r="N455" s="78">
        <v>0.7230472</v>
      </c>
      <c r="R455" s="78">
        <v>23.462430000000001</v>
      </c>
      <c r="S455" s="78">
        <v>20.095079999999999</v>
      </c>
      <c r="AA455" s="78">
        <v>12.354990000000001</v>
      </c>
      <c r="AE455" s="78">
        <v>1.4171640000000001</v>
      </c>
      <c r="AG455" s="78">
        <v>3.9842249999999999</v>
      </c>
      <c r="AH455" s="78">
        <v>1.713417</v>
      </c>
      <c r="AJ455" s="78">
        <v>46.086210000000001</v>
      </c>
      <c r="AK455" s="78">
        <v>3.0095109999999998</v>
      </c>
      <c r="AO455" s="78">
        <v>0.51694059999999997</v>
      </c>
      <c r="AQ455" s="78">
        <v>16.16628</v>
      </c>
      <c r="AR455" s="78">
        <v>10.55536</v>
      </c>
      <c r="AS455" s="78">
        <v>13.49248</v>
      </c>
      <c r="AZ455" s="78">
        <v>17.724460000000001</v>
      </c>
      <c r="BA455" s="78">
        <v>1.9105540000000001E-3</v>
      </c>
      <c r="BB455" s="78">
        <v>23.39151</v>
      </c>
      <c r="BC455" s="78">
        <v>3.0926450000000001</v>
      </c>
      <c r="BD455" s="78">
        <v>12.340590000000001</v>
      </c>
    </row>
    <row r="456" spans="1:56" x14ac:dyDescent="0.2">
      <c r="A456" s="78" t="s">
        <v>604</v>
      </c>
      <c r="B456" s="22">
        <v>32568</v>
      </c>
      <c r="C456" s="22"/>
      <c r="D456" s="22"/>
      <c r="E456" s="22">
        <v>32082</v>
      </c>
      <c r="F456" s="78" t="s">
        <v>588</v>
      </c>
      <c r="G456" s="78">
        <v>8.12242</v>
      </c>
      <c r="J456" s="78">
        <v>15.83517</v>
      </c>
      <c r="K456" s="78">
        <v>32.670749999999998</v>
      </c>
      <c r="L456" s="78">
        <v>1.2460580000000001</v>
      </c>
      <c r="N456" s="78">
        <v>0.73018229999999995</v>
      </c>
      <c r="R456" s="78">
        <v>23.590489999999999</v>
      </c>
      <c r="S456" s="78">
        <v>20.2728</v>
      </c>
      <c r="AA456" s="78">
        <v>12.502610000000001</v>
      </c>
      <c r="AE456" s="78">
        <v>1.4329460000000001</v>
      </c>
      <c r="AG456" s="78">
        <v>4.0592259999999998</v>
      </c>
      <c r="AH456" s="78">
        <v>1.7369220000000001</v>
      </c>
      <c r="AJ456" s="78">
        <v>46.626089999999998</v>
      </c>
      <c r="AK456" s="78">
        <v>3.0854849999999998</v>
      </c>
      <c r="AO456" s="78">
        <v>0.54728719999999997</v>
      </c>
      <c r="AQ456" s="78">
        <v>16.619289999999999</v>
      </c>
      <c r="AR456" s="78">
        <v>10.6873</v>
      </c>
      <c r="AS456" s="78">
        <v>13.870240000000001</v>
      </c>
      <c r="AZ456" s="78">
        <v>17.85745</v>
      </c>
      <c r="BA456" s="78">
        <v>1.973561E-3</v>
      </c>
      <c r="BB456" s="78">
        <v>23.42558</v>
      </c>
      <c r="BC456" s="78">
        <v>3.1673879999999999</v>
      </c>
      <c r="BD456" s="78">
        <v>12.54499</v>
      </c>
    </row>
    <row r="457" spans="1:56" x14ac:dyDescent="0.2">
      <c r="A457" s="78" t="s">
        <v>605</v>
      </c>
      <c r="B457" s="22">
        <v>32599</v>
      </c>
      <c r="C457" s="22"/>
      <c r="D457" s="22"/>
      <c r="E457" s="22">
        <v>32112</v>
      </c>
      <c r="F457" s="78" t="s">
        <v>589</v>
      </c>
      <c r="G457" s="78">
        <v>8.1980690000000003</v>
      </c>
      <c r="J457" s="78">
        <v>15.964510000000001</v>
      </c>
      <c r="K457" s="78">
        <v>32.946309999999997</v>
      </c>
      <c r="L457" s="78">
        <v>1.2841009999999999</v>
      </c>
      <c r="N457" s="78">
        <v>0.7394136</v>
      </c>
      <c r="R457" s="78">
        <v>23.616599999999998</v>
      </c>
      <c r="S457" s="78">
        <v>20.67437</v>
      </c>
      <c r="AA457" s="78">
        <v>12.617470000000001</v>
      </c>
      <c r="AE457" s="78">
        <v>1.450064</v>
      </c>
      <c r="AG457" s="78">
        <v>4.1471200000000001</v>
      </c>
      <c r="AH457" s="78">
        <v>1.7695890000000001</v>
      </c>
      <c r="AJ457" s="78">
        <v>46.912390000000002</v>
      </c>
      <c r="AK457" s="78">
        <v>3.134233</v>
      </c>
      <c r="AO457" s="78">
        <v>0.57727530000000005</v>
      </c>
      <c r="AQ457" s="78">
        <v>16.859770000000001</v>
      </c>
      <c r="AR457" s="78">
        <v>10.82521</v>
      </c>
      <c r="AS457" s="78">
        <v>14.1494</v>
      </c>
      <c r="AZ457" s="78">
        <v>17.902080000000002</v>
      </c>
      <c r="BA457" s="78">
        <v>2.0808369999999999E-3</v>
      </c>
      <c r="BB457" s="78">
        <v>23.487909999999999</v>
      </c>
      <c r="BC457" s="78">
        <v>3.23169</v>
      </c>
      <c r="BD457" s="78">
        <v>12.686859999999999</v>
      </c>
    </row>
    <row r="458" spans="1:56" x14ac:dyDescent="0.2">
      <c r="A458" s="78" t="s">
        <v>606</v>
      </c>
      <c r="B458" s="22">
        <v>32629</v>
      </c>
      <c r="C458" s="22"/>
      <c r="D458" s="22"/>
      <c r="E458" s="22">
        <v>32143</v>
      </c>
      <c r="F458" s="78" t="s">
        <v>590</v>
      </c>
      <c r="G458" s="78">
        <v>8.2344919999999995</v>
      </c>
      <c r="J458" s="78">
        <v>16.020240000000001</v>
      </c>
      <c r="K458" s="78">
        <v>33.182459999999999</v>
      </c>
      <c r="L458" s="78">
        <v>1.3229880000000001</v>
      </c>
      <c r="N458" s="78">
        <v>0.75293770000000004</v>
      </c>
      <c r="R458" s="78">
        <v>23.644359999999999</v>
      </c>
      <c r="S458" s="78">
        <v>20.893339999999998</v>
      </c>
      <c r="AA458" s="78">
        <v>12.781700000000001</v>
      </c>
      <c r="AE458" s="78">
        <v>1.4701090000000001</v>
      </c>
      <c r="AG458" s="78">
        <v>4.2527189999999999</v>
      </c>
      <c r="AH458" s="78">
        <v>1.7855179999999999</v>
      </c>
      <c r="AJ458" s="78">
        <v>47.345930000000003</v>
      </c>
      <c r="AK458" s="78">
        <v>3.1903130000000002</v>
      </c>
      <c r="AO458" s="78">
        <v>0.61190860000000002</v>
      </c>
      <c r="AQ458" s="78">
        <v>17.290600000000001</v>
      </c>
      <c r="AR458" s="78">
        <v>10.99746</v>
      </c>
      <c r="AS458" s="78">
        <v>14.43501</v>
      </c>
      <c r="AZ458" s="78">
        <v>17.715530000000001</v>
      </c>
      <c r="BA458" s="78">
        <v>2.1847559999999999E-3</v>
      </c>
      <c r="BB458" s="78">
        <v>23.662420000000001</v>
      </c>
      <c r="BC458" s="78">
        <v>3.2706010000000001</v>
      </c>
      <c r="BD458" s="78">
        <v>12.772</v>
      </c>
    </row>
    <row r="459" spans="1:56" x14ac:dyDescent="0.2">
      <c r="A459" s="78" t="s">
        <v>607</v>
      </c>
      <c r="B459" s="22">
        <v>32660</v>
      </c>
      <c r="C459" s="22"/>
      <c r="D459" s="22"/>
      <c r="E459" s="22">
        <v>32174</v>
      </c>
      <c r="F459" s="78" t="s">
        <v>591</v>
      </c>
      <c r="G459" s="78">
        <v>8.2793209999999995</v>
      </c>
      <c r="J459" s="78">
        <v>16.107810000000001</v>
      </c>
      <c r="K459" s="78">
        <v>33.436300000000003</v>
      </c>
      <c r="L459" s="78">
        <v>1.3484590000000001</v>
      </c>
      <c r="N459" s="78">
        <v>0.76701980000000003</v>
      </c>
      <c r="R459" s="78">
        <v>23.622879999999999</v>
      </c>
      <c r="S459" s="78">
        <v>20.813510000000001</v>
      </c>
      <c r="AA459" s="78">
        <v>12.905609999999999</v>
      </c>
      <c r="AE459" s="78">
        <v>1.48905</v>
      </c>
      <c r="AG459" s="78">
        <v>4.3190770000000001</v>
      </c>
      <c r="AH459" s="78">
        <v>1.8116639999999999</v>
      </c>
      <c r="AJ459" s="78">
        <v>47.844909999999999</v>
      </c>
      <c r="AK459" s="78">
        <v>3.2603909999999998</v>
      </c>
      <c r="AO459" s="78">
        <v>0.65838719999999995</v>
      </c>
      <c r="AQ459" s="78">
        <v>17.576989999999999</v>
      </c>
      <c r="AR459" s="78">
        <v>11.139900000000001</v>
      </c>
      <c r="AS459" s="78">
        <v>14.63463</v>
      </c>
      <c r="AZ459" s="78">
        <v>17.64827</v>
      </c>
      <c r="BA459" s="78">
        <v>2.225725E-3</v>
      </c>
      <c r="BB459" s="78">
        <v>23.853560000000002</v>
      </c>
      <c r="BC459" s="78">
        <v>3.3298139999999998</v>
      </c>
      <c r="BD459" s="78">
        <v>12.89683</v>
      </c>
    </row>
    <row r="460" spans="1:56" x14ac:dyDescent="0.2">
      <c r="A460" s="78" t="s">
        <v>608</v>
      </c>
      <c r="B460" s="22">
        <v>32690</v>
      </c>
      <c r="C460" s="22"/>
      <c r="D460" s="22"/>
      <c r="E460" s="22">
        <v>32203</v>
      </c>
      <c r="F460" s="78" t="s">
        <v>592</v>
      </c>
      <c r="G460" s="78">
        <v>8.3549690000000005</v>
      </c>
      <c r="J460" s="78">
        <v>16.283470000000001</v>
      </c>
      <c r="K460" s="78">
        <v>33.643470000000001</v>
      </c>
      <c r="L460" s="78">
        <v>1.3774420000000001</v>
      </c>
      <c r="N460" s="78">
        <v>0.77851610000000004</v>
      </c>
      <c r="R460" s="78">
        <v>23.45168</v>
      </c>
      <c r="S460" s="78">
        <v>20.7864</v>
      </c>
      <c r="AA460" s="78">
        <v>13.085789999999999</v>
      </c>
      <c r="AE460" s="78">
        <v>1.505517</v>
      </c>
      <c r="AG460" s="78">
        <v>4.3969170000000002</v>
      </c>
      <c r="AH460" s="78">
        <v>1.8530420000000001</v>
      </c>
      <c r="AJ460" s="78">
        <v>48.196649999999998</v>
      </c>
      <c r="AK460" s="78">
        <v>3.3243170000000002</v>
      </c>
      <c r="AO460" s="78">
        <v>0.71710090000000004</v>
      </c>
      <c r="AQ460" s="78">
        <v>17.69511</v>
      </c>
      <c r="AR460" s="78">
        <v>11.29651</v>
      </c>
      <c r="AS460" s="78">
        <v>14.86172</v>
      </c>
      <c r="AZ460" s="78">
        <v>17.781610000000001</v>
      </c>
      <c r="BA460" s="78">
        <v>2.265637E-3</v>
      </c>
      <c r="BB460" s="78">
        <v>24.02225</v>
      </c>
      <c r="BC460" s="78">
        <v>3.4035600000000001</v>
      </c>
      <c r="BD460" s="78">
        <v>13.920680000000001</v>
      </c>
    </row>
    <row r="461" spans="1:56" x14ac:dyDescent="0.2">
      <c r="A461" s="78" t="s">
        <v>609</v>
      </c>
      <c r="B461" s="22">
        <v>32721</v>
      </c>
      <c r="C461" s="22"/>
      <c r="D461" s="22"/>
      <c r="E461" s="22">
        <v>32234</v>
      </c>
      <c r="F461" s="78" t="s">
        <v>593</v>
      </c>
      <c r="G461" s="78">
        <v>8.4446270000000005</v>
      </c>
      <c r="J461" s="78">
        <v>16.47195</v>
      </c>
      <c r="K461" s="78">
        <v>33.933160000000001</v>
      </c>
      <c r="L461" s="78">
        <v>1.4208160000000001</v>
      </c>
      <c r="N461" s="78">
        <v>0.7894871</v>
      </c>
      <c r="R461" s="78">
        <v>23.48208</v>
      </c>
      <c r="S461" s="78">
        <v>20.90091</v>
      </c>
      <c r="AA461" s="78">
        <v>13.252890000000001</v>
      </c>
      <c r="AE461" s="78">
        <v>1.522268</v>
      </c>
      <c r="AG461" s="78">
        <v>4.4508840000000003</v>
      </c>
      <c r="AH461" s="78">
        <v>1.8924190000000001</v>
      </c>
      <c r="AJ461" s="78">
        <v>48.564749999999997</v>
      </c>
      <c r="AK461" s="78">
        <v>3.399235</v>
      </c>
      <c r="AO461" s="78">
        <v>0.75984059999999998</v>
      </c>
      <c r="AQ461" s="78">
        <v>17.888470000000002</v>
      </c>
      <c r="AR461" s="78">
        <v>11.438499999999999</v>
      </c>
      <c r="AS461" s="78">
        <v>15.152100000000001</v>
      </c>
      <c r="AZ461" s="78">
        <v>17.82694</v>
      </c>
      <c r="BA461" s="78">
        <v>2.318184E-3</v>
      </c>
      <c r="BB461" s="78">
        <v>24.188459999999999</v>
      </c>
      <c r="BC461" s="78">
        <v>3.464925</v>
      </c>
      <c r="BD461" s="78">
        <v>14.69014</v>
      </c>
    </row>
    <row r="462" spans="1:56" x14ac:dyDescent="0.2">
      <c r="A462" s="78" t="s">
        <v>610</v>
      </c>
      <c r="B462" s="22">
        <v>32752</v>
      </c>
      <c r="C462" s="22"/>
      <c r="D462" s="22"/>
      <c r="E462" s="22">
        <v>32264</v>
      </c>
      <c r="F462" s="78" t="s">
        <v>594</v>
      </c>
      <c r="G462" s="78">
        <v>8.5258789999999998</v>
      </c>
      <c r="J462" s="78">
        <v>16.634329999999999</v>
      </c>
      <c r="K462" s="78">
        <v>34.292920000000002</v>
      </c>
      <c r="L462" s="78">
        <v>1.4644239999999999</v>
      </c>
      <c r="N462" s="78">
        <v>0.80476809999999999</v>
      </c>
      <c r="R462" s="78">
        <v>23.74325</v>
      </c>
      <c r="S462" s="78">
        <v>21.105260000000001</v>
      </c>
      <c r="AA462" s="78">
        <v>13.349769999999999</v>
      </c>
      <c r="AE462" s="78">
        <v>1.542621</v>
      </c>
      <c r="AG462" s="78">
        <v>4.491276</v>
      </c>
      <c r="AH462" s="78">
        <v>1.918558</v>
      </c>
      <c r="AJ462" s="78">
        <v>49.071910000000003</v>
      </c>
      <c r="AK462" s="78">
        <v>3.4864700000000002</v>
      </c>
      <c r="AO462" s="78">
        <v>0.79069009999999995</v>
      </c>
      <c r="AQ462" s="78">
        <v>17.91864</v>
      </c>
      <c r="AR462" s="78">
        <v>11.56433</v>
      </c>
      <c r="AS462" s="78">
        <v>15.49793</v>
      </c>
      <c r="AZ462" s="78">
        <v>17.87968</v>
      </c>
      <c r="BA462" s="78">
        <v>2.42129E-3</v>
      </c>
      <c r="BB462" s="78">
        <v>24.31561</v>
      </c>
      <c r="BC462" s="78">
        <v>3.5214629999999998</v>
      </c>
      <c r="BD462" s="78">
        <v>14.541650000000001</v>
      </c>
    </row>
    <row r="463" spans="1:56" x14ac:dyDescent="0.2">
      <c r="A463" s="78" t="s">
        <v>611</v>
      </c>
      <c r="B463" s="22">
        <v>32782</v>
      </c>
      <c r="C463" s="22"/>
      <c r="D463" s="22"/>
      <c r="E463" s="22">
        <v>32295</v>
      </c>
      <c r="F463" s="78" t="s">
        <v>595</v>
      </c>
      <c r="G463" s="78">
        <v>8.6323480000000004</v>
      </c>
      <c r="J463" s="78">
        <v>16.900510000000001</v>
      </c>
      <c r="K463" s="78">
        <v>34.411610000000003</v>
      </c>
      <c r="L463" s="78">
        <v>1.496286</v>
      </c>
      <c r="N463" s="78">
        <v>0.82608700000000002</v>
      </c>
      <c r="R463" s="78">
        <v>24.005240000000001</v>
      </c>
      <c r="S463" s="78">
        <v>21.274159999999998</v>
      </c>
      <c r="AA463" s="78">
        <v>13.54964</v>
      </c>
      <c r="AE463" s="78">
        <v>1.5480430000000001</v>
      </c>
      <c r="AG463" s="78">
        <v>4.6117270000000001</v>
      </c>
      <c r="AH463" s="78">
        <v>1.947271</v>
      </c>
      <c r="AJ463" s="78">
        <v>49.440010000000001</v>
      </c>
      <c r="AK463" s="78">
        <v>3.5651410000000001</v>
      </c>
      <c r="AO463" s="78">
        <v>0.81497450000000005</v>
      </c>
      <c r="AQ463" s="78">
        <v>17.970020000000002</v>
      </c>
      <c r="AR463" s="78">
        <v>11.682729999999999</v>
      </c>
      <c r="AS463" s="78">
        <v>15.85116</v>
      </c>
      <c r="AZ463" s="78">
        <v>18.026399999999999</v>
      </c>
      <c r="BA463" s="78">
        <v>2.5133680000000002E-3</v>
      </c>
      <c r="BB463" s="78">
        <v>24.41865</v>
      </c>
      <c r="BC463" s="78">
        <v>3.60182</v>
      </c>
      <c r="BD463" s="78">
        <v>14.633620000000001</v>
      </c>
    </row>
    <row r="464" spans="1:56" x14ac:dyDescent="0.2">
      <c r="A464" s="78" t="s">
        <v>612</v>
      </c>
      <c r="B464" s="22">
        <v>32813</v>
      </c>
      <c r="C464" s="22"/>
      <c r="D464" s="22"/>
      <c r="E464" s="22">
        <v>32325</v>
      </c>
      <c r="F464" s="78" t="s">
        <v>596</v>
      </c>
      <c r="G464" s="78">
        <v>8.7276089999999993</v>
      </c>
      <c r="J464" s="78">
        <v>17.096689999999999</v>
      </c>
      <c r="K464" s="78">
        <v>34.607439999999997</v>
      </c>
      <c r="L464" s="78">
        <v>1.5242389999999999</v>
      </c>
      <c r="N464" s="78">
        <v>0.84206119999999995</v>
      </c>
      <c r="R464" s="78">
        <v>24.337869999999999</v>
      </c>
      <c r="S464" s="78">
        <v>21.45646</v>
      </c>
      <c r="AA464" s="78">
        <v>13.82039</v>
      </c>
      <c r="AE464" s="78">
        <v>1.580273</v>
      </c>
      <c r="AG464" s="78">
        <v>4.7395690000000004</v>
      </c>
      <c r="AH464" s="78">
        <v>1.990802</v>
      </c>
      <c r="AJ464" s="78">
        <v>49.824480000000001</v>
      </c>
      <c r="AK464" s="78">
        <v>3.6444179999999999</v>
      </c>
      <c r="AO464" s="78">
        <v>0.82427660000000003</v>
      </c>
      <c r="AQ464" s="78">
        <v>17.95637</v>
      </c>
      <c r="AR464" s="78">
        <v>11.780419999999999</v>
      </c>
      <c r="AS464" s="78">
        <v>16.21564</v>
      </c>
      <c r="AZ464" s="78">
        <v>18.16947</v>
      </c>
      <c r="BA464" s="78">
        <v>2.597631E-3</v>
      </c>
      <c r="BB464" s="78">
        <v>24.491779999999999</v>
      </c>
      <c r="BC464" s="78">
        <v>3.6716129999999998</v>
      </c>
      <c r="BD464" s="78">
        <v>14.767950000000001</v>
      </c>
    </row>
    <row r="465" spans="1:56" x14ac:dyDescent="0.2">
      <c r="A465" s="78" t="s">
        <v>613</v>
      </c>
      <c r="B465" s="22">
        <v>32843</v>
      </c>
      <c r="C465" s="22"/>
      <c r="D465" s="22"/>
      <c r="E465" s="22">
        <v>32356</v>
      </c>
      <c r="F465" s="78" t="s">
        <v>597</v>
      </c>
      <c r="G465" s="78">
        <v>8.8032579999999996</v>
      </c>
      <c r="J465" s="78">
        <v>17.373519999999999</v>
      </c>
      <c r="K465" s="78">
        <v>34.874899999999997</v>
      </c>
      <c r="L465" s="78">
        <v>1.5645739999999999</v>
      </c>
      <c r="N465" s="78">
        <v>0.85643449999999999</v>
      </c>
      <c r="R465" s="78">
        <v>24.46678</v>
      </c>
      <c r="S465" s="78">
        <v>21.538799999999998</v>
      </c>
      <c r="AA465" s="78">
        <v>14.05585</v>
      </c>
      <c r="AE465" s="78">
        <v>1.624457</v>
      </c>
      <c r="AG465" s="78">
        <v>4.8208960000000003</v>
      </c>
      <c r="AH465" s="78">
        <v>2.0344169999999999</v>
      </c>
      <c r="AJ465" s="78">
        <v>50.258020000000002</v>
      </c>
      <c r="AK465" s="78">
        <v>3.7299730000000002</v>
      </c>
      <c r="AO465" s="78">
        <v>0.82943670000000003</v>
      </c>
      <c r="AQ465" s="78">
        <v>17.837029999999999</v>
      </c>
      <c r="AR465" s="78">
        <v>11.874919999999999</v>
      </c>
      <c r="AS465" s="78">
        <v>16.477139999999999</v>
      </c>
      <c r="AZ465" s="78">
        <v>18.275269999999999</v>
      </c>
      <c r="BA465" s="78">
        <v>2.7363639999999998E-3</v>
      </c>
      <c r="BB465" s="78">
        <v>24.531669999999998</v>
      </c>
      <c r="BC465" s="78">
        <v>3.7501159999999998</v>
      </c>
      <c r="BD465" s="78">
        <v>14.78829</v>
      </c>
    </row>
    <row r="466" spans="1:56" x14ac:dyDescent="0.2">
      <c r="A466" s="78" t="s">
        <v>614</v>
      </c>
      <c r="B466" s="22">
        <v>32874</v>
      </c>
      <c r="C466" s="22"/>
      <c r="D466" s="22"/>
      <c r="E466" s="22">
        <v>32387</v>
      </c>
      <c r="F466" s="78" t="s">
        <v>598</v>
      </c>
      <c r="G466" s="78">
        <v>8.9181319999999999</v>
      </c>
      <c r="J466" s="78">
        <v>17.491540000000001</v>
      </c>
      <c r="K466" s="78">
        <v>34.949669999999998</v>
      </c>
      <c r="L466" s="78">
        <v>1.604468</v>
      </c>
      <c r="N466" s="78">
        <v>0.87432109999999996</v>
      </c>
      <c r="R466" s="78">
        <v>24.498989999999999</v>
      </c>
      <c r="S466" s="78">
        <v>21.58034</v>
      </c>
      <c r="AA466" s="78">
        <v>14.26276</v>
      </c>
      <c r="AE466" s="78">
        <v>1.635664</v>
      </c>
      <c r="AG466" s="78">
        <v>4.9425920000000003</v>
      </c>
      <c r="AH466" s="78">
        <v>2.0662039999999999</v>
      </c>
      <c r="AJ466" s="78">
        <v>50.62612</v>
      </c>
      <c r="AK466" s="78">
        <v>3.8150629999999999</v>
      </c>
      <c r="AO466" s="78">
        <v>0.8445106</v>
      </c>
      <c r="AQ466" s="78">
        <v>17.842420000000001</v>
      </c>
      <c r="AR466" s="78">
        <v>11.972329999999999</v>
      </c>
      <c r="AS466" s="78">
        <v>16.89142</v>
      </c>
      <c r="AZ466" s="78">
        <v>18.354700000000001</v>
      </c>
      <c r="BA466" s="78">
        <v>2.8882970000000002E-3</v>
      </c>
      <c r="BB466" s="78">
        <v>24.572389999999999</v>
      </c>
      <c r="BC466" s="78">
        <v>3.8497439999999998</v>
      </c>
      <c r="BD466" s="78">
        <v>14.668950000000001</v>
      </c>
    </row>
    <row r="467" spans="1:56" x14ac:dyDescent="0.2">
      <c r="A467" s="78" t="s">
        <v>615</v>
      </c>
      <c r="B467" s="22">
        <v>32905</v>
      </c>
      <c r="C467" s="22"/>
      <c r="D467" s="22"/>
      <c r="E467" s="22">
        <v>32417</v>
      </c>
      <c r="F467" s="78" t="s">
        <v>599</v>
      </c>
      <c r="G467" s="78">
        <v>9.0890409999999999</v>
      </c>
      <c r="J467" s="78">
        <v>17.591719999999999</v>
      </c>
      <c r="K467" s="78">
        <v>34.960380000000001</v>
      </c>
      <c r="L467" s="78">
        <v>1.63967</v>
      </c>
      <c r="N467" s="78">
        <v>0.88776960000000005</v>
      </c>
      <c r="R467" s="78">
        <v>24.56776</v>
      </c>
      <c r="S467" s="78">
        <v>21.757100000000001</v>
      </c>
      <c r="AA467" s="78">
        <v>14.426399999999999</v>
      </c>
      <c r="AE467" s="78">
        <v>1.650658</v>
      </c>
      <c r="AG467" s="78">
        <v>5.047574</v>
      </c>
      <c r="AH467" s="78">
        <v>2.0524269999999998</v>
      </c>
      <c r="AJ467" s="78">
        <v>51.07602</v>
      </c>
      <c r="AK467" s="78">
        <v>3.900852</v>
      </c>
      <c r="AO467" s="78">
        <v>0.85708740000000005</v>
      </c>
      <c r="AQ467" s="78">
        <v>17.927910000000001</v>
      </c>
      <c r="AR467" s="78">
        <v>12.074859999999999</v>
      </c>
      <c r="AS467" s="78">
        <v>17.106829999999999</v>
      </c>
      <c r="AZ467" s="78">
        <v>18.47636</v>
      </c>
      <c r="BA467" s="78">
        <v>3.0372070000000001E-3</v>
      </c>
      <c r="BB467" s="78">
        <v>24.642189999999999</v>
      </c>
      <c r="BC467" s="78">
        <v>3.93323</v>
      </c>
      <c r="BD467" s="78">
        <v>14.74822</v>
      </c>
    </row>
    <row r="468" spans="1:56" x14ac:dyDescent="0.2">
      <c r="A468" s="78" t="s">
        <v>616</v>
      </c>
      <c r="B468" s="22">
        <v>32933</v>
      </c>
      <c r="C468" s="22"/>
      <c r="D468" s="22"/>
      <c r="E468" s="22">
        <v>32448</v>
      </c>
      <c r="F468" s="78" t="s">
        <v>600</v>
      </c>
      <c r="G468" s="78">
        <v>9.2767619999999997</v>
      </c>
      <c r="J468" s="78">
        <v>17.74691</v>
      </c>
      <c r="K468" s="78">
        <v>35.023809999999997</v>
      </c>
      <c r="L468" s="78">
        <v>1.660002</v>
      </c>
      <c r="N468" s="78">
        <v>0.91095809999999999</v>
      </c>
      <c r="R468" s="78">
        <v>24.49643</v>
      </c>
      <c r="S468" s="78">
        <v>21.981850000000001</v>
      </c>
      <c r="AA468" s="78">
        <v>14.54294</v>
      </c>
      <c r="AE468" s="78">
        <v>1.6726179999999999</v>
      </c>
      <c r="AG468" s="78">
        <v>5.072921</v>
      </c>
      <c r="AH468" s="78">
        <v>2.0031289999999999</v>
      </c>
      <c r="AJ468" s="78">
        <v>51.444119999999998</v>
      </c>
      <c r="AK468" s="78">
        <v>3.9720409999999999</v>
      </c>
      <c r="AO468" s="78">
        <v>0.87176670000000001</v>
      </c>
      <c r="AQ468" s="78">
        <v>17.715890000000002</v>
      </c>
      <c r="AR468" s="78">
        <v>12.18871</v>
      </c>
      <c r="AS468" s="78">
        <v>17.111969999999999</v>
      </c>
      <c r="AZ468" s="78">
        <v>18.621220000000001</v>
      </c>
      <c r="BA468" s="78">
        <v>3.2215870000000001E-3</v>
      </c>
      <c r="BB468" s="78">
        <v>24.766020000000001</v>
      </c>
      <c r="BC468" s="78">
        <v>3.9942099999999998</v>
      </c>
      <c r="BD468" s="78">
        <v>14.782500000000001</v>
      </c>
    </row>
    <row r="469" spans="1:56" x14ac:dyDescent="0.2">
      <c r="A469" s="78" t="s">
        <v>617</v>
      </c>
      <c r="B469" s="22">
        <v>32964</v>
      </c>
      <c r="C469" s="22"/>
      <c r="D469" s="22"/>
      <c r="E469" s="22">
        <v>32478</v>
      </c>
      <c r="F469" s="78" t="s">
        <v>601</v>
      </c>
      <c r="G469" s="78">
        <v>9.4756900000000002</v>
      </c>
      <c r="J469" s="78">
        <v>17.853560000000002</v>
      </c>
      <c r="K469" s="78">
        <v>35.013959999999997</v>
      </c>
      <c r="L469" s="78">
        <v>1.69486</v>
      </c>
      <c r="N469" s="78">
        <v>0.92834369999999999</v>
      </c>
      <c r="R469" s="78">
        <v>24.754909999999999</v>
      </c>
      <c r="S469" s="78">
        <v>22.407800000000002</v>
      </c>
      <c r="AA469" s="78">
        <v>14.72137</v>
      </c>
      <c r="AE469" s="78">
        <v>1.723676</v>
      </c>
      <c r="AG469" s="78">
        <v>5.1422619999999997</v>
      </c>
      <c r="AH469" s="78">
        <v>1.969198</v>
      </c>
      <c r="AJ469" s="78">
        <v>51.844940000000001</v>
      </c>
      <c r="AK469" s="78">
        <v>4.0364760000000004</v>
      </c>
      <c r="AO469" s="78">
        <v>0.8925168</v>
      </c>
      <c r="AQ469" s="78">
        <v>17.663530000000002</v>
      </c>
      <c r="AR469" s="78">
        <v>12.2995</v>
      </c>
      <c r="AS469" s="78">
        <v>17.413440000000001</v>
      </c>
      <c r="AZ469" s="78">
        <v>18.621690000000001</v>
      </c>
      <c r="BA469" s="78">
        <v>3.396151E-3</v>
      </c>
      <c r="BB469" s="78">
        <v>24.8325</v>
      </c>
      <c r="BC469" s="78">
        <v>4.0720489999999998</v>
      </c>
      <c r="BD469" s="78">
        <v>14.667949999999999</v>
      </c>
    </row>
    <row r="470" spans="1:56" x14ac:dyDescent="0.2">
      <c r="A470" s="78" t="s">
        <v>618</v>
      </c>
      <c r="B470" s="22">
        <v>32994</v>
      </c>
      <c r="C470" s="22"/>
      <c r="D470" s="22"/>
      <c r="E470" s="22">
        <v>32509</v>
      </c>
      <c r="F470" s="78" t="s">
        <v>602</v>
      </c>
      <c r="G470" s="78">
        <v>9.702636</v>
      </c>
      <c r="J470" s="78">
        <v>18.020430000000001</v>
      </c>
      <c r="K470" s="78">
        <v>35.175400000000003</v>
      </c>
      <c r="L470" s="78">
        <v>1.7563550000000001</v>
      </c>
      <c r="N470" s="78">
        <v>0.93876459999999995</v>
      </c>
      <c r="R470" s="78">
        <v>22.493860000000002</v>
      </c>
      <c r="S470" s="78">
        <v>22.649329999999999</v>
      </c>
      <c r="AA470" s="78">
        <v>14.93174</v>
      </c>
      <c r="AE470" s="78">
        <v>1.7515529999999999</v>
      </c>
      <c r="AG470" s="78">
        <v>5.2484330000000003</v>
      </c>
      <c r="AH470" s="78">
        <v>2.0198960000000001</v>
      </c>
      <c r="AJ470" s="78">
        <v>51.984000000000002</v>
      </c>
      <c r="AK470" s="78">
        <v>4.0932649999999997</v>
      </c>
      <c r="AO470" s="78">
        <v>0.92196089999999997</v>
      </c>
      <c r="AQ470" s="78">
        <v>17.902159999999999</v>
      </c>
      <c r="AR470" s="78">
        <v>12.390169999999999</v>
      </c>
      <c r="AS470" s="78">
        <v>17.798159999999999</v>
      </c>
      <c r="AZ470" s="78">
        <v>18.618169999999999</v>
      </c>
      <c r="BA470" s="78">
        <v>3.5030590000000002E-3</v>
      </c>
      <c r="BB470" s="78">
        <v>24.86158</v>
      </c>
      <c r="BC470" s="78">
        <v>4.1573890000000002</v>
      </c>
      <c r="BD470" s="78">
        <v>14.772550000000001</v>
      </c>
    </row>
    <row r="471" spans="1:56" x14ac:dyDescent="0.2">
      <c r="A471" s="78" t="s">
        <v>619</v>
      </c>
      <c r="B471" s="22">
        <v>33025</v>
      </c>
      <c r="C471" s="22"/>
      <c r="D471" s="22"/>
      <c r="E471" s="22">
        <v>32540</v>
      </c>
      <c r="F471" s="78" t="s">
        <v>603</v>
      </c>
      <c r="G471" s="78">
        <v>9.918374</v>
      </c>
      <c r="J471" s="78">
        <v>18.117819999999998</v>
      </c>
      <c r="K471" s="78">
        <v>35.558950000000003</v>
      </c>
      <c r="L471" s="78">
        <v>1.8103929999999999</v>
      </c>
      <c r="N471" s="78">
        <v>0.96034870000000006</v>
      </c>
      <c r="R471" s="78">
        <v>20.399349999999998</v>
      </c>
      <c r="S471" s="78">
        <v>22.59151</v>
      </c>
      <c r="AA471" s="78">
        <v>15.156169999999999</v>
      </c>
      <c r="AE471" s="78">
        <v>1.747706</v>
      </c>
      <c r="AG471" s="78">
        <v>5.3573430000000002</v>
      </c>
      <c r="AH471" s="78">
        <v>2.1213549999999999</v>
      </c>
      <c r="AJ471" s="78">
        <v>52.769280000000002</v>
      </c>
      <c r="AK471" s="78">
        <v>4.161708</v>
      </c>
      <c r="AO471" s="78">
        <v>0.95659510000000003</v>
      </c>
      <c r="AQ471" s="78">
        <v>17.946960000000001</v>
      </c>
      <c r="AR471" s="78">
        <v>12.503310000000001</v>
      </c>
      <c r="AS471" s="78">
        <v>18.13383</v>
      </c>
      <c r="AZ471" s="78">
        <v>18.91497</v>
      </c>
      <c r="BA471" s="78">
        <v>3.6850989999999998E-3</v>
      </c>
      <c r="BB471" s="78">
        <v>24.865739999999999</v>
      </c>
      <c r="BC471" s="78">
        <v>4.2308029999999999</v>
      </c>
      <c r="BD471" s="78">
        <v>15.021800000000001</v>
      </c>
    </row>
    <row r="472" spans="1:56" x14ac:dyDescent="0.2">
      <c r="A472" s="78" t="s">
        <v>620</v>
      </c>
      <c r="B472" s="22">
        <v>33055</v>
      </c>
      <c r="C472" s="22"/>
      <c r="D472" s="22"/>
      <c r="E472" s="22">
        <v>32568</v>
      </c>
      <c r="F472" s="78" t="s">
        <v>604</v>
      </c>
      <c r="G472" s="78">
        <v>10.1145</v>
      </c>
      <c r="J472" s="78">
        <v>18.394960000000001</v>
      </c>
      <c r="K472" s="78">
        <v>35.844790000000003</v>
      </c>
      <c r="L472" s="78">
        <v>1.8653729999999999</v>
      </c>
      <c r="N472" s="78">
        <v>0.98575559999999995</v>
      </c>
      <c r="R472" s="78">
        <v>20.568580000000001</v>
      </c>
      <c r="S472" s="78">
        <v>22.672840000000001</v>
      </c>
      <c r="AA472" s="78">
        <v>15.408060000000001</v>
      </c>
      <c r="AE472" s="78">
        <v>1.769631</v>
      </c>
      <c r="AG472" s="78">
        <v>5.4304800000000002</v>
      </c>
      <c r="AH472" s="78">
        <v>2.1909519999999998</v>
      </c>
      <c r="AJ472" s="78">
        <v>53.186459999999997</v>
      </c>
      <c r="AK472" s="78">
        <v>4.2502420000000001</v>
      </c>
      <c r="AO472" s="78">
        <v>0.9809871</v>
      </c>
      <c r="AQ472" s="78">
        <v>17.97729</v>
      </c>
      <c r="AR472" s="78">
        <v>12.62397</v>
      </c>
      <c r="AS472" s="78">
        <v>18.423069999999999</v>
      </c>
      <c r="AZ472" s="78">
        <v>18.965060000000001</v>
      </c>
      <c r="BA472" s="78">
        <v>3.8936700000000001E-3</v>
      </c>
      <c r="BB472" s="78">
        <v>24.928059999999999</v>
      </c>
      <c r="BC472" s="78">
        <v>4.3130129999999998</v>
      </c>
      <c r="BD472" s="78">
        <v>15.24085</v>
      </c>
    </row>
    <row r="473" spans="1:56" x14ac:dyDescent="0.2">
      <c r="A473" s="78" t="s">
        <v>621</v>
      </c>
      <c r="B473" s="22">
        <v>33086</v>
      </c>
      <c r="C473" s="22"/>
      <c r="D473" s="22"/>
      <c r="E473" s="22">
        <v>32599</v>
      </c>
      <c r="F473" s="78" t="s">
        <v>605</v>
      </c>
      <c r="G473" s="78">
        <v>10.296620000000001</v>
      </c>
      <c r="J473" s="78">
        <v>18.529520000000002</v>
      </c>
      <c r="K473" s="78">
        <v>36.015540000000001</v>
      </c>
      <c r="L473" s="78">
        <v>1.917063</v>
      </c>
      <c r="N473" s="78">
        <v>1.004367</v>
      </c>
      <c r="R473" s="78">
        <v>20.105239999999998</v>
      </c>
      <c r="S473" s="78">
        <v>22.841809999999999</v>
      </c>
      <c r="AA473" s="78">
        <v>15.59632</v>
      </c>
      <c r="AE473" s="78">
        <v>1.8009390000000001</v>
      </c>
      <c r="AG473" s="78">
        <v>5.5635459999999997</v>
      </c>
      <c r="AH473" s="78">
        <v>2.2503540000000002</v>
      </c>
      <c r="AJ473" s="78">
        <v>53.480939999999997</v>
      </c>
      <c r="AK473" s="78">
        <v>4.3267959999999999</v>
      </c>
      <c r="AO473" s="78">
        <v>1.0207930000000001</v>
      </c>
      <c r="AQ473" s="78">
        <v>18.20759</v>
      </c>
      <c r="AR473" s="78">
        <v>12.731120000000001</v>
      </c>
      <c r="AS473" s="78">
        <v>18.70654</v>
      </c>
      <c r="AZ473" s="78">
        <v>18.957920000000001</v>
      </c>
      <c r="BA473" s="78">
        <v>4.0532179999999999E-3</v>
      </c>
      <c r="BB473" s="78">
        <v>24.980419999999999</v>
      </c>
      <c r="BC473" s="78">
        <v>4.3506640000000001</v>
      </c>
      <c r="BD473" s="78">
        <v>15.21931</v>
      </c>
    </row>
    <row r="474" spans="1:56" x14ac:dyDescent="0.2">
      <c r="A474" s="78" t="s">
        <v>622</v>
      </c>
      <c r="B474" s="22">
        <v>33117</v>
      </c>
      <c r="C474" s="22"/>
      <c r="D474" s="22"/>
      <c r="E474" s="22">
        <v>32629</v>
      </c>
      <c r="F474" s="78" t="s">
        <v>606</v>
      </c>
      <c r="G474" s="78">
        <v>10.45632</v>
      </c>
      <c r="J474" s="78">
        <v>18.761369999999999</v>
      </c>
      <c r="K474" s="78">
        <v>36.225059999999999</v>
      </c>
      <c r="L474" s="78">
        <v>1.973503</v>
      </c>
      <c r="N474" s="78">
        <v>1.035285</v>
      </c>
      <c r="R474" s="78">
        <v>19.842410000000001</v>
      </c>
      <c r="S474" s="78">
        <v>23.012129999999999</v>
      </c>
      <c r="AA474" s="78">
        <v>15.783899999999999</v>
      </c>
      <c r="AE474" s="78">
        <v>1.829601</v>
      </c>
      <c r="AG474" s="78">
        <v>5.6692270000000002</v>
      </c>
      <c r="AH474" s="78">
        <v>2.3058209999999999</v>
      </c>
      <c r="AJ474" s="78">
        <v>53.750889999999998</v>
      </c>
      <c r="AK474" s="78">
        <v>4.4076469999999999</v>
      </c>
      <c r="AO474" s="78">
        <v>1.056403</v>
      </c>
      <c r="AQ474" s="78">
        <v>18.62574</v>
      </c>
      <c r="AR474" s="78">
        <v>12.836650000000001</v>
      </c>
      <c r="AS474" s="78">
        <v>19.06005</v>
      </c>
      <c r="AZ474" s="78">
        <v>19.103459999999998</v>
      </c>
      <c r="BA474" s="78">
        <v>4.1983289999999998E-3</v>
      </c>
      <c r="BB474" s="78">
        <v>25.026959999999999</v>
      </c>
      <c r="BC474" s="78">
        <v>4.421157</v>
      </c>
      <c r="BD474" s="78">
        <v>15.25783</v>
      </c>
    </row>
    <row r="475" spans="1:56" x14ac:dyDescent="0.2">
      <c r="A475" s="78" t="s">
        <v>623</v>
      </c>
      <c r="B475" s="22">
        <v>33147</v>
      </c>
      <c r="C475" s="22"/>
      <c r="D475" s="22"/>
      <c r="E475" s="22">
        <v>32660</v>
      </c>
      <c r="F475" s="78" t="s">
        <v>607</v>
      </c>
      <c r="G475" s="78">
        <v>10.666460000000001</v>
      </c>
      <c r="J475" s="78">
        <v>18.964479999999998</v>
      </c>
      <c r="K475" s="78">
        <v>36.498179999999998</v>
      </c>
      <c r="L475" s="78">
        <v>2.0527540000000002</v>
      </c>
      <c r="N475" s="78">
        <v>1.075283</v>
      </c>
      <c r="R475" s="78">
        <v>20.021529999999998</v>
      </c>
      <c r="S475" s="78">
        <v>23.220369999999999</v>
      </c>
      <c r="AA475" s="78">
        <v>16.19059</v>
      </c>
      <c r="AE475" s="78">
        <v>1.857993</v>
      </c>
      <c r="AG475" s="78">
        <v>5.7609769999999996</v>
      </c>
      <c r="AH475" s="78">
        <v>2.348957</v>
      </c>
      <c r="AJ475" s="78">
        <v>54.208970000000001</v>
      </c>
      <c r="AK475" s="78">
        <v>4.4972589999999997</v>
      </c>
      <c r="AO475" s="78">
        <v>1.0925130000000001</v>
      </c>
      <c r="AQ475" s="78">
        <v>18.836919999999999</v>
      </c>
      <c r="AR475" s="78">
        <v>12.989800000000001</v>
      </c>
      <c r="AS475" s="78">
        <v>19.379580000000001</v>
      </c>
      <c r="AZ475" s="78">
        <v>19.16779</v>
      </c>
      <c r="BA475" s="78">
        <v>4.343258E-3</v>
      </c>
      <c r="BB475" s="78">
        <v>25.162410000000001</v>
      </c>
      <c r="BC475" s="78">
        <v>4.5477340000000002</v>
      </c>
      <c r="BD475" s="78">
        <v>15.42736</v>
      </c>
    </row>
    <row r="476" spans="1:56" x14ac:dyDescent="0.2">
      <c r="A476" s="78" t="s">
        <v>624</v>
      </c>
      <c r="B476" s="22">
        <v>33178</v>
      </c>
      <c r="C476" s="22"/>
      <c r="D476" s="22"/>
      <c r="E476" s="22">
        <v>32690</v>
      </c>
      <c r="F476" s="78" t="s">
        <v>608</v>
      </c>
      <c r="G476" s="78">
        <v>10.898999999999999</v>
      </c>
      <c r="J476" s="78">
        <v>19.103439999999999</v>
      </c>
      <c r="K476" s="78">
        <v>36.617989999999999</v>
      </c>
      <c r="L476" s="78">
        <v>2.1213980000000001</v>
      </c>
      <c r="N476" s="78">
        <v>1.109588</v>
      </c>
      <c r="R476" s="78">
        <v>20.135819999999999</v>
      </c>
      <c r="S476" s="78">
        <v>23.493189999999998</v>
      </c>
      <c r="AA476" s="78">
        <v>16.515989999999999</v>
      </c>
      <c r="AE476" s="78">
        <v>1.8845000000000001</v>
      </c>
      <c r="AG476" s="78">
        <v>5.8543019999999997</v>
      </c>
      <c r="AH476" s="78">
        <v>2.3833190000000002</v>
      </c>
      <c r="AJ476" s="78">
        <v>54.683410000000002</v>
      </c>
      <c r="AK476" s="78">
        <v>4.5947139999999997</v>
      </c>
      <c r="AO476" s="78">
        <v>1.1575040000000001</v>
      </c>
      <c r="AQ476" s="78">
        <v>18.847290000000001</v>
      </c>
      <c r="AR476" s="78">
        <v>13.17666</v>
      </c>
      <c r="AS476" s="78">
        <v>19.612349999999999</v>
      </c>
      <c r="AZ476" s="78">
        <v>19.359380000000002</v>
      </c>
      <c r="BA476" s="78">
        <v>4.514189E-3</v>
      </c>
      <c r="BB476" s="78">
        <v>25.366009999999999</v>
      </c>
      <c r="BC476" s="78">
        <v>4.634595</v>
      </c>
      <c r="BD476" s="78">
        <v>15.61483</v>
      </c>
    </row>
    <row r="477" spans="1:56" x14ac:dyDescent="0.2">
      <c r="A477" s="78" t="s">
        <v>625</v>
      </c>
      <c r="B477" s="22">
        <v>33208</v>
      </c>
      <c r="C477" s="22"/>
      <c r="D477" s="22"/>
      <c r="E477" s="22">
        <v>32721</v>
      </c>
      <c r="F477" s="78" t="s">
        <v>609</v>
      </c>
      <c r="G477" s="78">
        <v>11.09793</v>
      </c>
      <c r="J477" s="78">
        <v>19.32986</v>
      </c>
      <c r="K477" s="78">
        <v>36.731879999999997</v>
      </c>
      <c r="L477" s="78">
        <v>2.1745459999999999</v>
      </c>
      <c r="N477" s="78">
        <v>1.1482060000000001</v>
      </c>
      <c r="R477" s="78">
        <v>19.959379999999999</v>
      </c>
      <c r="S477" s="78">
        <v>23.584969999999998</v>
      </c>
      <c r="AA477" s="78">
        <v>16.713789999999999</v>
      </c>
      <c r="AE477" s="78">
        <v>1.912364</v>
      </c>
      <c r="AG477" s="78">
        <v>5.9401970000000004</v>
      </c>
      <c r="AH477" s="78">
        <v>2.4047390000000002</v>
      </c>
      <c r="AJ477" s="78">
        <v>55.125129999999999</v>
      </c>
      <c r="AK477" s="78">
        <v>4.6832370000000001</v>
      </c>
      <c r="AO477" s="78">
        <v>1.2087559999999999</v>
      </c>
      <c r="AQ477" s="78">
        <v>19.066690000000001</v>
      </c>
      <c r="AR477" s="78">
        <v>13.3383</v>
      </c>
      <c r="AS477" s="78">
        <v>19.93411</v>
      </c>
      <c r="AZ477" s="78">
        <v>19.533750000000001</v>
      </c>
      <c r="BA477" s="78">
        <v>4.6810630000000001E-3</v>
      </c>
      <c r="BB477" s="78">
        <v>25.548839999999998</v>
      </c>
      <c r="BC477" s="78">
        <v>4.7194989999999999</v>
      </c>
      <c r="BD477" s="78">
        <v>15.77112</v>
      </c>
    </row>
    <row r="478" spans="1:56" x14ac:dyDescent="0.2">
      <c r="A478" s="78" t="s">
        <v>626</v>
      </c>
      <c r="B478" s="22">
        <v>33239</v>
      </c>
      <c r="C478" s="22"/>
      <c r="D478" s="22"/>
      <c r="E478" s="22">
        <v>32752</v>
      </c>
      <c r="F478" s="78" t="s">
        <v>610</v>
      </c>
      <c r="G478" s="78">
        <v>11.2072</v>
      </c>
      <c r="J478" s="78">
        <v>19.499009999999998</v>
      </c>
      <c r="K478" s="78">
        <v>36.891730000000003</v>
      </c>
      <c r="L478" s="78">
        <v>2.242032</v>
      </c>
      <c r="N478" s="78">
        <v>1.1707780000000001</v>
      </c>
      <c r="R478" s="78">
        <v>20.146339999999999</v>
      </c>
      <c r="S478" s="78">
        <v>23.63899</v>
      </c>
      <c r="AA478" s="78">
        <v>16.97448</v>
      </c>
      <c r="AE478" s="78">
        <v>1.942242</v>
      </c>
      <c r="AG478" s="78">
        <v>6.058738</v>
      </c>
      <c r="AH478" s="78">
        <v>2.4521519999999999</v>
      </c>
      <c r="AJ478" s="78">
        <v>55.50141</v>
      </c>
      <c r="AK478" s="78">
        <v>4.7683840000000002</v>
      </c>
      <c r="AO478" s="78">
        <v>1.2418659999999999</v>
      </c>
      <c r="AQ478" s="78">
        <v>19.178000000000001</v>
      </c>
      <c r="AR478" s="78">
        <v>13.47997</v>
      </c>
      <c r="AS478" s="78">
        <v>20.25807</v>
      </c>
      <c r="AZ478" s="78">
        <v>19.676100000000002</v>
      </c>
      <c r="BA478" s="78">
        <v>4.8784129999999998E-3</v>
      </c>
      <c r="BB478" s="78">
        <v>25.699249999999999</v>
      </c>
      <c r="BC478" s="78">
        <v>4.7779780000000001</v>
      </c>
      <c r="BD478" s="78">
        <v>15.96184</v>
      </c>
    </row>
    <row r="479" spans="1:56" x14ac:dyDescent="0.2">
      <c r="A479" s="78" t="s">
        <v>627</v>
      </c>
      <c r="B479" s="22">
        <v>33270</v>
      </c>
      <c r="C479" s="22"/>
      <c r="D479" s="22"/>
      <c r="E479" s="22">
        <v>32782</v>
      </c>
      <c r="F479" s="78" t="s">
        <v>611</v>
      </c>
      <c r="G479" s="78">
        <v>11.26324</v>
      </c>
      <c r="J479" s="78">
        <v>19.677199999999999</v>
      </c>
      <c r="K479" s="78">
        <v>36.97316</v>
      </c>
      <c r="L479" s="78">
        <v>2.306187</v>
      </c>
      <c r="N479" s="78">
        <v>1.1830449999999999</v>
      </c>
      <c r="R479" s="78">
        <v>20.293939999999999</v>
      </c>
      <c r="S479" s="78">
        <v>23.793320000000001</v>
      </c>
      <c r="AA479" s="78">
        <v>17.228629999999999</v>
      </c>
      <c r="AE479" s="78">
        <v>1.9758100000000001</v>
      </c>
      <c r="AG479" s="78">
        <v>6.1803249999999998</v>
      </c>
      <c r="AH479" s="78">
        <v>2.5008360000000001</v>
      </c>
      <c r="AJ479" s="78">
        <v>55.918590000000002</v>
      </c>
      <c r="AK479" s="78">
        <v>4.8588430000000002</v>
      </c>
      <c r="AO479" s="78">
        <v>1.2817689999999999</v>
      </c>
      <c r="AQ479" s="78">
        <v>19.18657</v>
      </c>
      <c r="AR479" s="78">
        <v>13.64134</v>
      </c>
      <c r="AS479" s="78">
        <v>20.599170000000001</v>
      </c>
      <c r="AZ479" s="78">
        <v>19.82582</v>
      </c>
      <c r="BA479" s="78">
        <v>5.1654800000000001E-3</v>
      </c>
      <c r="BB479" s="78">
        <v>25.87875</v>
      </c>
      <c r="BC479" s="78">
        <v>4.8611849999999999</v>
      </c>
      <c r="BD479" s="78">
        <v>16.051690000000001</v>
      </c>
    </row>
    <row r="480" spans="1:56" x14ac:dyDescent="0.2">
      <c r="A480" s="78" t="s">
        <v>628</v>
      </c>
      <c r="B480" s="22">
        <v>33298</v>
      </c>
      <c r="C480" s="22"/>
      <c r="D480" s="22"/>
      <c r="E480" s="22">
        <v>32813</v>
      </c>
      <c r="F480" s="78" t="s">
        <v>612</v>
      </c>
      <c r="G480" s="78">
        <v>11.358499999999999</v>
      </c>
      <c r="J480" s="78">
        <v>19.951550000000001</v>
      </c>
      <c r="K480" s="78">
        <v>37.04495</v>
      </c>
      <c r="L480" s="78">
        <v>2.3671850000000001</v>
      </c>
      <c r="N480" s="78">
        <v>1.2084299999999999</v>
      </c>
      <c r="R480" s="78">
        <v>20.405830000000002</v>
      </c>
      <c r="S480" s="78">
        <v>23.990780000000001</v>
      </c>
      <c r="AA480" s="78">
        <v>17.438089999999999</v>
      </c>
      <c r="AE480" s="78">
        <v>2.0081039999999999</v>
      </c>
      <c r="AG480" s="78">
        <v>6.34579</v>
      </c>
      <c r="AH480" s="78">
        <v>2.5290979999999998</v>
      </c>
      <c r="AJ480" s="78">
        <v>56.466650000000001</v>
      </c>
      <c r="AK480" s="78">
        <v>5.005185</v>
      </c>
      <c r="AO480" s="78">
        <v>1.324292</v>
      </c>
      <c r="AQ480" s="78">
        <v>19.34149</v>
      </c>
      <c r="AR480" s="78">
        <v>13.80878</v>
      </c>
      <c r="AS480" s="78">
        <v>21.10622</v>
      </c>
      <c r="AZ480" s="78">
        <v>19.982109999999999</v>
      </c>
      <c r="BA480" s="78">
        <v>5.4665959999999998E-3</v>
      </c>
      <c r="BB480" s="78">
        <v>26.038309999999999</v>
      </c>
      <c r="BC480" s="78">
        <v>4.9517189999999998</v>
      </c>
      <c r="BD480" s="78">
        <v>16.016850000000002</v>
      </c>
    </row>
    <row r="481" spans="1:56" x14ac:dyDescent="0.2">
      <c r="A481" s="78" t="s">
        <v>629</v>
      </c>
      <c r="B481" s="22">
        <v>33329</v>
      </c>
      <c r="C481" s="22"/>
      <c r="D481" s="22"/>
      <c r="E481" s="22">
        <v>32843</v>
      </c>
      <c r="F481" s="78" t="s">
        <v>613</v>
      </c>
      <c r="G481" s="78">
        <v>11.45096</v>
      </c>
      <c r="J481" s="78">
        <v>20.16629</v>
      </c>
      <c r="K481" s="78">
        <v>37.080930000000002</v>
      </c>
      <c r="L481" s="78">
        <v>2.4600209999999998</v>
      </c>
      <c r="N481" s="78">
        <v>1.2357659999999999</v>
      </c>
      <c r="R481" s="78">
        <v>20.756830000000001</v>
      </c>
      <c r="S481" s="78">
        <v>24.60379</v>
      </c>
      <c r="AA481" s="78">
        <v>17.654710000000001</v>
      </c>
      <c r="AE481" s="78">
        <v>2.0355829999999999</v>
      </c>
      <c r="AG481" s="78">
        <v>6.499479</v>
      </c>
      <c r="AH481" s="78">
        <v>2.5559500000000002</v>
      </c>
      <c r="AJ481" s="78">
        <v>57.390990000000002</v>
      </c>
      <c r="AK481" s="78">
        <v>5.1940309999999998</v>
      </c>
      <c r="AO481" s="78">
        <v>1.3714200000000001</v>
      </c>
      <c r="AQ481" s="78">
        <v>19.374580000000002</v>
      </c>
      <c r="AR481" s="78">
        <v>13.98649</v>
      </c>
      <c r="AS481" s="78">
        <v>21.614550000000001</v>
      </c>
      <c r="AZ481" s="78">
        <v>20.237169999999999</v>
      </c>
      <c r="BA481" s="78">
        <v>5.6285399999999996E-3</v>
      </c>
      <c r="BB481" s="78">
        <v>26.197859999999999</v>
      </c>
      <c r="BC481" s="78">
        <v>5.0061590000000002</v>
      </c>
      <c r="BD481" s="78">
        <v>15.899179999999999</v>
      </c>
    </row>
    <row r="482" spans="1:56" x14ac:dyDescent="0.2">
      <c r="A482" s="78" t="s">
        <v>630</v>
      </c>
      <c r="B482" s="22">
        <v>33359</v>
      </c>
      <c r="C482" s="22"/>
      <c r="D482" s="22"/>
      <c r="E482" s="22">
        <v>32874</v>
      </c>
      <c r="F482" s="78" t="s">
        <v>614</v>
      </c>
      <c r="G482" s="78">
        <v>11.551819999999999</v>
      </c>
      <c r="J482" s="78">
        <v>20.33032</v>
      </c>
      <c r="K482" s="78">
        <v>37.055540000000001</v>
      </c>
      <c r="L482" s="78">
        <v>2.5370059999999999</v>
      </c>
      <c r="N482" s="78">
        <v>1.261037</v>
      </c>
      <c r="P482" s="78">
        <v>8.7069340000000004</v>
      </c>
      <c r="R482" s="78">
        <v>20.81559</v>
      </c>
      <c r="S482" s="78">
        <v>24.982330000000001</v>
      </c>
      <c r="AA482" s="78">
        <v>17.937169999999998</v>
      </c>
      <c r="AC482" s="78">
        <v>3.7221700000000002</v>
      </c>
      <c r="AE482" s="78">
        <v>2.062484</v>
      </c>
      <c r="AG482" s="78">
        <v>6.5896689999999998</v>
      </c>
      <c r="AH482" s="78">
        <v>2.5866120000000001</v>
      </c>
      <c r="AJ482" s="78">
        <v>57.971769999999999</v>
      </c>
      <c r="AK482" s="78">
        <v>5.31759</v>
      </c>
      <c r="AO482" s="78">
        <v>1.4106080000000001</v>
      </c>
      <c r="AQ482" s="78">
        <v>19.35483</v>
      </c>
      <c r="AR482" s="78">
        <v>14.15293</v>
      </c>
      <c r="AS482" s="78">
        <v>22.004629999999999</v>
      </c>
      <c r="AT482" s="78">
        <v>0.93334419999999996</v>
      </c>
      <c r="AZ482" s="78">
        <v>20.594480000000001</v>
      </c>
      <c r="BA482" s="78">
        <v>5.9321160000000003E-3</v>
      </c>
      <c r="BB482" s="78">
        <v>26.316700000000001</v>
      </c>
      <c r="BC482" s="78">
        <v>5.1141459999999999</v>
      </c>
      <c r="BD482" s="78">
        <v>15.91531</v>
      </c>
    </row>
    <row r="483" spans="1:56" x14ac:dyDescent="0.2">
      <c r="A483" s="78" t="s">
        <v>631</v>
      </c>
      <c r="B483" s="22">
        <v>33390</v>
      </c>
      <c r="C483" s="22"/>
      <c r="D483" s="22"/>
      <c r="E483" s="22">
        <v>32905</v>
      </c>
      <c r="F483" s="78" t="s">
        <v>615</v>
      </c>
      <c r="G483" s="78">
        <v>11.6751</v>
      </c>
      <c r="J483" s="78">
        <v>20.44772</v>
      </c>
      <c r="K483" s="78">
        <v>37.026310000000002</v>
      </c>
      <c r="L483" s="78">
        <v>2.602846</v>
      </c>
      <c r="M483" s="78">
        <v>0.93645199999999995</v>
      </c>
      <c r="N483" s="78">
        <v>1.2977339999999999</v>
      </c>
      <c r="P483" s="78">
        <v>9.0293460000000003</v>
      </c>
      <c r="R483" s="78">
        <v>20.74436</v>
      </c>
      <c r="S483" s="78">
        <v>24.888449999999999</v>
      </c>
      <c r="AA483" s="78">
        <v>18.135560000000002</v>
      </c>
      <c r="AC483" s="78">
        <v>3.8476240000000002</v>
      </c>
      <c r="AD483" s="78">
        <v>1.361583</v>
      </c>
      <c r="AE483" s="78">
        <v>2.0892629999999999</v>
      </c>
      <c r="AG483" s="78">
        <v>6.7121849999999998</v>
      </c>
      <c r="AH483" s="78">
        <v>2.6327050000000001</v>
      </c>
      <c r="AJ483" s="78">
        <v>59.08426</v>
      </c>
      <c r="AK483" s="78">
        <v>5.4034219999999999</v>
      </c>
      <c r="AO483" s="78">
        <v>1.4441170000000001</v>
      </c>
      <c r="AQ483" s="78">
        <v>19.457270000000001</v>
      </c>
      <c r="AR483" s="78">
        <v>14.306179999999999</v>
      </c>
      <c r="AS483" s="78">
        <v>22.300650000000001</v>
      </c>
      <c r="AT483" s="78">
        <v>0.98194320000000002</v>
      </c>
      <c r="AZ483" s="78">
        <v>20.969709999999999</v>
      </c>
      <c r="BA483" s="78">
        <v>6.2074419999999996E-3</v>
      </c>
      <c r="BB483" s="78">
        <v>26.419740000000001</v>
      </c>
      <c r="BC483" s="78">
        <v>5.1838170000000003</v>
      </c>
      <c r="BD483" s="78">
        <v>15.971679999999999</v>
      </c>
    </row>
    <row r="484" spans="1:56" x14ac:dyDescent="0.2">
      <c r="A484" s="78" t="s">
        <v>632</v>
      </c>
      <c r="B484" s="22">
        <v>33420</v>
      </c>
      <c r="C484" s="22"/>
      <c r="D484" s="22"/>
      <c r="E484" s="22">
        <v>32933</v>
      </c>
      <c r="F484" s="78" t="s">
        <v>616</v>
      </c>
      <c r="G484" s="78">
        <v>11.79838</v>
      </c>
      <c r="J484" s="78">
        <v>20.537410000000001</v>
      </c>
      <c r="K484" s="78">
        <v>36.960299999999997</v>
      </c>
      <c r="L484" s="78">
        <v>2.6981169999999999</v>
      </c>
      <c r="M484" s="78">
        <v>0.9548662</v>
      </c>
      <c r="N484" s="78">
        <v>1.334219</v>
      </c>
      <c r="P484" s="78">
        <v>9.3517569999999992</v>
      </c>
      <c r="R484" s="78">
        <v>21.077670000000001</v>
      </c>
      <c r="S484" s="78">
        <v>24.885619999999999</v>
      </c>
      <c r="AA484" s="78">
        <v>18.362960000000001</v>
      </c>
      <c r="AC484" s="78">
        <v>3.9738859999999998</v>
      </c>
      <c r="AD484" s="78">
        <v>1.438037</v>
      </c>
      <c r="AE484" s="78">
        <v>2.1189179999999999</v>
      </c>
      <c r="AG484" s="78">
        <v>6.892989</v>
      </c>
      <c r="AH484" s="78">
        <v>2.696224</v>
      </c>
      <c r="AJ484" s="78">
        <v>59.468719999999998</v>
      </c>
      <c r="AK484" s="78">
        <v>5.5074319999999997</v>
      </c>
      <c r="AO484" s="78">
        <v>1.4908920000000001</v>
      </c>
      <c r="AQ484" s="78">
        <v>19.654890000000002</v>
      </c>
      <c r="AR484" s="78">
        <v>14.41892</v>
      </c>
      <c r="AS484" s="78">
        <v>22.692810000000001</v>
      </c>
      <c r="AT484" s="78">
        <v>1.0600339999999999</v>
      </c>
      <c r="AZ484" s="78">
        <v>20.98198</v>
      </c>
      <c r="BA484" s="78">
        <v>6.3378280000000002E-3</v>
      </c>
      <c r="BB484" s="78">
        <v>26.51032</v>
      </c>
      <c r="BC484" s="78">
        <v>5.2075829999999996</v>
      </c>
      <c r="BD484" s="78">
        <v>15.994020000000001</v>
      </c>
    </row>
    <row r="485" spans="1:56" x14ac:dyDescent="0.2">
      <c r="A485" s="78" t="s">
        <v>633</v>
      </c>
      <c r="B485" s="22">
        <v>33451</v>
      </c>
      <c r="C485" s="22"/>
      <c r="D485" s="22"/>
      <c r="E485" s="22">
        <v>32964</v>
      </c>
      <c r="F485" s="78" t="s">
        <v>617</v>
      </c>
      <c r="G485" s="78">
        <v>11.930070000000001</v>
      </c>
      <c r="J485" s="78">
        <v>20.73095</v>
      </c>
      <c r="K485" s="78">
        <v>36.868209999999998</v>
      </c>
      <c r="L485" s="78">
        <v>2.7852779999999999</v>
      </c>
      <c r="M485" s="78">
        <v>0.97430539999999999</v>
      </c>
      <c r="N485" s="78">
        <v>1.3675949999999999</v>
      </c>
      <c r="P485" s="78">
        <v>9.6741700000000002</v>
      </c>
      <c r="R485" s="78">
        <v>21.33813</v>
      </c>
      <c r="S485" s="78">
        <v>24.96603</v>
      </c>
      <c r="AA485" s="78">
        <v>18.582419999999999</v>
      </c>
      <c r="AC485" s="78">
        <v>4.1009549999999999</v>
      </c>
      <c r="AD485" s="78">
        <v>1.5416000000000001</v>
      </c>
      <c r="AE485" s="78">
        <v>2.1554389999999999</v>
      </c>
      <c r="AG485" s="78">
        <v>6.972162</v>
      </c>
      <c r="AH485" s="78">
        <v>2.7793389999999998</v>
      </c>
      <c r="AJ485" s="78">
        <v>60.51576</v>
      </c>
      <c r="AK485" s="78">
        <v>5.6195630000000003</v>
      </c>
      <c r="AO485" s="78">
        <v>1.536594</v>
      </c>
      <c r="AQ485" s="78">
        <v>19.74269</v>
      </c>
      <c r="AR485" s="78">
        <v>14.57812</v>
      </c>
      <c r="AS485" s="78">
        <v>23.004000000000001</v>
      </c>
      <c r="AT485" s="78">
        <v>1.145556</v>
      </c>
      <c r="AZ485" s="78">
        <v>20.86262</v>
      </c>
      <c r="BA485" s="78">
        <v>6.641788E-3</v>
      </c>
      <c r="BB485" s="78">
        <v>26.605889999999999</v>
      </c>
      <c r="BC485" s="78">
        <v>5.2698749999999999</v>
      </c>
      <c r="BD485" s="78">
        <v>16.253869999999999</v>
      </c>
    </row>
    <row r="486" spans="1:56" x14ac:dyDescent="0.2">
      <c r="A486" s="78" t="s">
        <v>634</v>
      </c>
      <c r="B486" s="22">
        <v>33482</v>
      </c>
      <c r="C486" s="22"/>
      <c r="D486" s="22"/>
      <c r="E486" s="22">
        <v>32994</v>
      </c>
      <c r="F486" s="78" t="s">
        <v>618</v>
      </c>
      <c r="G486" s="78">
        <v>12.03093</v>
      </c>
      <c r="J486" s="78">
        <v>20.897570000000002</v>
      </c>
      <c r="K486" s="78">
        <v>36.823970000000003</v>
      </c>
      <c r="L486" s="78">
        <v>2.8680180000000002</v>
      </c>
      <c r="M486" s="78">
        <v>0.99507999999999996</v>
      </c>
      <c r="N486" s="78">
        <v>1.3861490000000001</v>
      </c>
      <c r="P486" s="78">
        <v>9.9965810000000008</v>
      </c>
      <c r="R486" s="78">
        <v>21.33511</v>
      </c>
      <c r="S486" s="78">
        <v>25.09027</v>
      </c>
      <c r="AA486" s="78">
        <v>18.714919999999999</v>
      </c>
      <c r="AC486" s="78">
        <v>4.2288329999999998</v>
      </c>
      <c r="AD486" s="78">
        <v>1.569356</v>
      </c>
      <c r="AE486" s="78">
        <v>2.18222</v>
      </c>
      <c r="AG486" s="78">
        <v>7.0557309999999998</v>
      </c>
      <c r="AH486" s="78">
        <v>2.8515220000000001</v>
      </c>
      <c r="AJ486" s="78">
        <v>60.818420000000003</v>
      </c>
      <c r="AK486" s="78">
        <v>5.7463540000000002</v>
      </c>
      <c r="AO486" s="78">
        <v>1.583569</v>
      </c>
      <c r="AQ486" s="78">
        <v>19.84506</v>
      </c>
      <c r="AR486" s="78">
        <v>14.66709</v>
      </c>
      <c r="AS486" s="78">
        <v>23.34441</v>
      </c>
      <c r="AT486" s="78">
        <v>1.2294750000000001</v>
      </c>
      <c r="AZ486" s="78">
        <v>20.910520000000002</v>
      </c>
      <c r="BA486" s="78">
        <v>6.914669E-3</v>
      </c>
      <c r="BB486" s="78">
        <v>26.597580000000001</v>
      </c>
      <c r="BC486" s="78">
        <v>5.336678</v>
      </c>
      <c r="BD486" s="78">
        <v>16.442959999999999</v>
      </c>
    </row>
    <row r="487" spans="1:56" x14ac:dyDescent="0.2">
      <c r="A487" s="78" t="s">
        <v>635</v>
      </c>
      <c r="B487" s="22">
        <v>33512</v>
      </c>
      <c r="C487" s="22"/>
      <c r="D487" s="22"/>
      <c r="E487" s="22">
        <v>33025</v>
      </c>
      <c r="F487" s="78" t="s">
        <v>619</v>
      </c>
      <c r="G487" s="78">
        <v>12.095370000000001</v>
      </c>
      <c r="J487" s="78">
        <v>20.970410000000001</v>
      </c>
      <c r="K487" s="78">
        <v>36.881059999999998</v>
      </c>
      <c r="L487" s="78">
        <v>2.9513370000000001</v>
      </c>
      <c r="M487" s="78">
        <v>1.0166360000000001</v>
      </c>
      <c r="N487" s="78">
        <v>1.405189</v>
      </c>
      <c r="P487" s="78">
        <v>10.318989999999999</v>
      </c>
      <c r="R487" s="78">
        <v>21.431889999999999</v>
      </c>
      <c r="S487" s="78">
        <v>25.71133</v>
      </c>
      <c r="AA487" s="78">
        <v>18.877379999999999</v>
      </c>
      <c r="AC487" s="78">
        <v>4.3572480000000002</v>
      </c>
      <c r="AD487" s="78">
        <v>1.5906020000000001</v>
      </c>
      <c r="AE487" s="78">
        <v>2.1985839999999999</v>
      </c>
      <c r="AG487" s="78">
        <v>7.1662749999999997</v>
      </c>
      <c r="AH487" s="78">
        <v>2.9159869999999999</v>
      </c>
      <c r="AJ487" s="78">
        <v>60.990200000000002</v>
      </c>
      <c r="AK487" s="78">
        <v>5.8631380000000002</v>
      </c>
      <c r="AO487" s="78">
        <v>1.640134</v>
      </c>
      <c r="AQ487" s="78">
        <v>20.153639999999999</v>
      </c>
      <c r="AR487" s="78">
        <v>14.78477</v>
      </c>
      <c r="AS487" s="78">
        <v>23.737169999999999</v>
      </c>
      <c r="AT487" s="78">
        <v>1.3215349999999999</v>
      </c>
      <c r="AZ487" s="78">
        <v>20.92306</v>
      </c>
      <c r="BA487" s="78">
        <v>7.1770810000000001E-3</v>
      </c>
      <c r="BB487" s="78">
        <v>26.70645</v>
      </c>
      <c r="BC487" s="78">
        <v>5.3611250000000004</v>
      </c>
      <c r="BD487" s="78">
        <v>16.340250000000001</v>
      </c>
    </row>
    <row r="488" spans="1:56" x14ac:dyDescent="0.2">
      <c r="A488" s="78" t="s">
        <v>636</v>
      </c>
      <c r="B488" s="22">
        <v>33543</v>
      </c>
      <c r="C488" s="22"/>
      <c r="D488" s="22"/>
      <c r="E488" s="22">
        <v>33055</v>
      </c>
      <c r="F488" s="78" t="s">
        <v>620</v>
      </c>
      <c r="G488" s="78">
        <v>12.145810000000001</v>
      </c>
      <c r="J488" s="78">
        <v>21.12011</v>
      </c>
      <c r="K488" s="78">
        <v>36.917250000000003</v>
      </c>
      <c r="L488" s="78">
        <v>3.0325229999999999</v>
      </c>
      <c r="M488" s="78">
        <v>1.0424720000000001</v>
      </c>
      <c r="N488" s="78">
        <v>1.446048</v>
      </c>
      <c r="P488" s="78">
        <v>10.64141</v>
      </c>
      <c r="R488" s="78">
        <v>21.472270000000002</v>
      </c>
      <c r="S488" s="78">
        <v>26.363710000000001</v>
      </c>
      <c r="AA488" s="78">
        <v>18.984999999999999</v>
      </c>
      <c r="AC488" s="78">
        <v>4.486472</v>
      </c>
      <c r="AD488" s="78">
        <v>1.648504</v>
      </c>
      <c r="AE488" s="78">
        <v>2.2220580000000001</v>
      </c>
      <c r="AG488" s="78">
        <v>7.2120040000000003</v>
      </c>
      <c r="AH488" s="78">
        <v>2.9754119999999999</v>
      </c>
      <c r="AJ488" s="78">
        <v>61.333759999999998</v>
      </c>
      <c r="AK488" s="78">
        <v>5.9690149999999997</v>
      </c>
      <c r="AO488" s="78">
        <v>1.6984250000000001</v>
      </c>
      <c r="AQ488" s="78">
        <v>20.327190000000002</v>
      </c>
      <c r="AR488" s="78">
        <v>14.9054</v>
      </c>
      <c r="AS488" s="78">
        <v>23.93937</v>
      </c>
      <c r="AT488" s="78">
        <v>1.430828</v>
      </c>
      <c r="AZ488" s="78">
        <v>20.970040000000001</v>
      </c>
      <c r="BA488" s="78">
        <v>7.4785509999999999E-3</v>
      </c>
      <c r="BB488" s="78">
        <v>26.796189999999999</v>
      </c>
      <c r="BC488" s="78">
        <v>5.3737870000000001</v>
      </c>
      <c r="BD488" s="78">
        <v>16.145720000000001</v>
      </c>
    </row>
    <row r="489" spans="1:56" x14ac:dyDescent="0.2">
      <c r="A489" s="78" t="s">
        <v>637</v>
      </c>
      <c r="B489" s="22">
        <v>33573</v>
      </c>
      <c r="C489" s="22"/>
      <c r="D489" s="22"/>
      <c r="E489" s="22">
        <v>33086</v>
      </c>
      <c r="F489" s="78" t="s">
        <v>621</v>
      </c>
      <c r="G489" s="78">
        <v>12.21585</v>
      </c>
      <c r="J489" s="78">
        <v>21.253589999999999</v>
      </c>
      <c r="K489" s="78">
        <v>37.037309999999998</v>
      </c>
      <c r="L489" s="78">
        <v>3.1232540000000002</v>
      </c>
      <c r="M489" s="78">
        <v>1.0689</v>
      </c>
      <c r="N489" s="78">
        <v>1.485598</v>
      </c>
      <c r="P489" s="78">
        <v>10.96382</v>
      </c>
      <c r="R489" s="78">
        <v>21.49126</v>
      </c>
      <c r="S489" s="78">
        <v>26.383140000000001</v>
      </c>
      <c r="AA489" s="78">
        <v>19.07302</v>
      </c>
      <c r="AC489" s="78">
        <v>4.6165029999999998</v>
      </c>
      <c r="AD489" s="78">
        <v>1.686617</v>
      </c>
      <c r="AE489" s="78">
        <v>2.2411949999999998</v>
      </c>
      <c r="AG489" s="78">
        <v>7.2770619999999999</v>
      </c>
      <c r="AH489" s="78">
        <v>3.048524</v>
      </c>
      <c r="AJ489" s="78">
        <v>61.660960000000003</v>
      </c>
      <c r="AK489" s="78">
        <v>6.0804299999999998</v>
      </c>
      <c r="AO489" s="78">
        <v>1.755306</v>
      </c>
      <c r="AQ489" s="78">
        <v>20.36525</v>
      </c>
      <c r="AR489" s="78">
        <v>15.0335</v>
      </c>
      <c r="AS489" s="78">
        <v>24.067450000000001</v>
      </c>
      <c r="AT489" s="78">
        <v>1.5523450000000001</v>
      </c>
      <c r="AZ489" s="78">
        <v>21.043379999999999</v>
      </c>
      <c r="BA489" s="78">
        <v>7.7048309999999997E-3</v>
      </c>
      <c r="BB489" s="78">
        <v>26.94162</v>
      </c>
      <c r="BC489" s="78">
        <v>5.4045129999999997</v>
      </c>
      <c r="BD489" s="78">
        <v>16.33568</v>
      </c>
    </row>
    <row r="490" spans="1:56" x14ac:dyDescent="0.2">
      <c r="A490" s="78" t="s">
        <v>638</v>
      </c>
      <c r="B490" s="22">
        <v>33604</v>
      </c>
      <c r="C490" s="22"/>
      <c r="D490" s="22"/>
      <c r="E490" s="22">
        <v>33117</v>
      </c>
      <c r="F490" s="78" t="s">
        <v>622</v>
      </c>
      <c r="G490" s="78">
        <v>12.34754</v>
      </c>
      <c r="J490" s="78">
        <v>21.395130000000002</v>
      </c>
      <c r="K490" s="78">
        <v>37.40493</v>
      </c>
      <c r="L490" s="78">
        <v>3.2175859999999998</v>
      </c>
      <c r="M490" s="78">
        <v>1.0925389999999999</v>
      </c>
      <c r="N490" s="78">
        <v>1.5280640000000001</v>
      </c>
      <c r="P490" s="78">
        <v>11.28623</v>
      </c>
      <c r="R490" s="78">
        <v>21.800519999999999</v>
      </c>
      <c r="S490" s="78">
        <v>26.532959999999999</v>
      </c>
      <c r="AA490" s="78">
        <v>19.253219999999999</v>
      </c>
      <c r="AC490" s="78">
        <v>4.7473409999999996</v>
      </c>
      <c r="AD490" s="78">
        <v>1.7304710000000001</v>
      </c>
      <c r="AE490" s="78">
        <v>2.266864</v>
      </c>
      <c r="AG490" s="78">
        <v>7.382695</v>
      </c>
      <c r="AH490" s="78">
        <v>3.1087600000000002</v>
      </c>
      <c r="AJ490" s="78">
        <v>62.053600000000003</v>
      </c>
      <c r="AK490" s="78">
        <v>6.193816</v>
      </c>
      <c r="AO490" s="78">
        <v>1.804872</v>
      </c>
      <c r="AQ490" s="78">
        <v>20.402259999999998</v>
      </c>
      <c r="AR490" s="78">
        <v>15.158670000000001</v>
      </c>
      <c r="AS490" s="78">
        <v>24.239139999999999</v>
      </c>
      <c r="AT490" s="78">
        <v>1.6609989999999999</v>
      </c>
      <c r="AZ490" s="78">
        <v>21.17764</v>
      </c>
      <c r="BA490" s="78">
        <v>7.8693540000000003E-3</v>
      </c>
      <c r="BB490" s="78">
        <v>27.046330000000001</v>
      </c>
      <c r="BC490" s="78">
        <v>5.4030959999999997</v>
      </c>
      <c r="BD490" s="78">
        <v>16.744630000000001</v>
      </c>
    </row>
    <row r="491" spans="1:56" x14ac:dyDescent="0.2">
      <c r="A491" s="78" t="s">
        <v>639</v>
      </c>
      <c r="B491" s="22">
        <v>33635</v>
      </c>
      <c r="C491" s="22"/>
      <c r="D491" s="22"/>
      <c r="E491" s="22">
        <v>33147</v>
      </c>
      <c r="F491" s="78" t="s">
        <v>623</v>
      </c>
      <c r="G491" s="78">
        <v>12.456810000000001</v>
      </c>
      <c r="J491" s="78">
        <v>21.514240000000001</v>
      </c>
      <c r="K491" s="78">
        <v>37.585940000000001</v>
      </c>
      <c r="L491" s="78">
        <v>3.3251780000000002</v>
      </c>
      <c r="M491" s="78">
        <v>1.118628</v>
      </c>
      <c r="N491" s="78">
        <v>1.569293</v>
      </c>
      <c r="P491" s="78">
        <v>11.608639999999999</v>
      </c>
      <c r="R491" s="78">
        <v>21.998899999999999</v>
      </c>
      <c r="S491" s="78">
        <v>26.76388</v>
      </c>
      <c r="AA491" s="78">
        <v>19.381979999999999</v>
      </c>
      <c r="AC491" s="78">
        <v>4.879257</v>
      </c>
      <c r="AD491" s="78">
        <v>1.7668470000000001</v>
      </c>
      <c r="AE491" s="78">
        <v>2.2957779999999999</v>
      </c>
      <c r="AG491" s="78">
        <v>7.4952889999999996</v>
      </c>
      <c r="AH491" s="78">
        <v>3.1430319999999998</v>
      </c>
      <c r="AJ491" s="78">
        <v>62.348080000000003</v>
      </c>
      <c r="AK491" s="78">
        <v>6.3237300000000003</v>
      </c>
      <c r="AO491" s="78">
        <v>1.8619600000000001</v>
      </c>
      <c r="AQ491" s="78">
        <v>20.325880000000002</v>
      </c>
      <c r="AR491" s="78">
        <v>15.258929999999999</v>
      </c>
      <c r="AS491" s="78">
        <v>24.435649999999999</v>
      </c>
      <c r="AT491" s="78">
        <v>1.746254</v>
      </c>
      <c r="AZ491" s="78">
        <v>21.243960000000001</v>
      </c>
      <c r="BA491" s="78">
        <v>8.0552850000000006E-3</v>
      </c>
      <c r="BB491" s="78">
        <v>27.08539</v>
      </c>
      <c r="BC491" s="78">
        <v>5.4109309999999997</v>
      </c>
      <c r="BD491" s="78">
        <v>16.855039999999999</v>
      </c>
    </row>
    <row r="492" spans="1:56" x14ac:dyDescent="0.2">
      <c r="A492" s="78" t="s">
        <v>640</v>
      </c>
      <c r="B492" s="22">
        <v>33664</v>
      </c>
      <c r="C492" s="22"/>
      <c r="D492" s="22"/>
      <c r="E492" s="22">
        <v>33178</v>
      </c>
      <c r="F492" s="78" t="s">
        <v>624</v>
      </c>
      <c r="G492" s="78">
        <v>12.56047</v>
      </c>
      <c r="J492" s="78">
        <v>21.634170000000001</v>
      </c>
      <c r="K492" s="78">
        <v>37.585180000000001</v>
      </c>
      <c r="L492" s="78">
        <v>3.4412259999999999</v>
      </c>
      <c r="M492" s="78">
        <v>1.144827</v>
      </c>
      <c r="N492" s="78">
        <v>1.595764</v>
      </c>
      <c r="P492" s="78">
        <v>11.931050000000001</v>
      </c>
      <c r="R492" s="78">
        <v>22.113800000000001</v>
      </c>
      <c r="S492" s="78">
        <v>26.911950000000001</v>
      </c>
      <c r="AA492" s="78">
        <v>19.50461</v>
      </c>
      <c r="AC492" s="78">
        <v>5.0119800000000003</v>
      </c>
      <c r="AD492" s="78">
        <v>1.810111</v>
      </c>
      <c r="AE492" s="78">
        <v>2.324341</v>
      </c>
      <c r="AG492" s="78">
        <v>7.5852339999999998</v>
      </c>
      <c r="AH492" s="78">
        <v>3.194356</v>
      </c>
      <c r="AJ492" s="78">
        <v>62.020879999999998</v>
      </c>
      <c r="AK492" s="78">
        <v>6.4964750000000002</v>
      </c>
      <c r="AO492" s="78">
        <v>1.934631</v>
      </c>
      <c r="AQ492" s="78">
        <v>20.252369999999999</v>
      </c>
      <c r="AR492" s="78">
        <v>15.342079999999999</v>
      </c>
      <c r="AS492" s="78">
        <v>24.723800000000001</v>
      </c>
      <c r="AT492" s="78">
        <v>1.834122</v>
      </c>
      <c r="AZ492" s="78">
        <v>21.37452</v>
      </c>
      <c r="BA492" s="78">
        <v>8.3247319999999996E-3</v>
      </c>
      <c r="BB492" s="78">
        <v>27.11281</v>
      </c>
      <c r="BC492" s="78">
        <v>5.5230800000000002</v>
      </c>
      <c r="BD492" s="78">
        <v>16.945049999999998</v>
      </c>
    </row>
    <row r="493" spans="1:56" x14ac:dyDescent="0.2">
      <c r="A493" s="78" t="s">
        <v>641</v>
      </c>
      <c r="B493" s="22">
        <v>33695</v>
      </c>
      <c r="C493" s="22"/>
      <c r="D493" s="22"/>
      <c r="E493" s="22">
        <v>33208</v>
      </c>
      <c r="F493" s="78" t="s">
        <v>625</v>
      </c>
      <c r="G493" s="78">
        <v>12.67535</v>
      </c>
      <c r="J493" s="78">
        <v>21.798660000000002</v>
      </c>
      <c r="K493" s="78">
        <v>37.797870000000003</v>
      </c>
      <c r="L493" s="78">
        <v>3.5538639999999999</v>
      </c>
      <c r="M493" s="78">
        <v>1.1692610000000001</v>
      </c>
      <c r="N493" s="78">
        <v>1.6266750000000001</v>
      </c>
      <c r="P493" s="78">
        <v>12.25346</v>
      </c>
      <c r="R493" s="78">
        <v>22.467179999999999</v>
      </c>
      <c r="S493" s="78">
        <v>27.563089999999999</v>
      </c>
      <c r="AA493" s="78">
        <v>19.600860000000001</v>
      </c>
      <c r="AC493" s="78">
        <v>5.1609220000000002</v>
      </c>
      <c r="AD493" s="78">
        <v>1.8692219999999999</v>
      </c>
      <c r="AE493" s="78">
        <v>2.3549009999999999</v>
      </c>
      <c r="AG493" s="78">
        <v>7.566935</v>
      </c>
      <c r="AH493" s="78">
        <v>3.2797830000000001</v>
      </c>
      <c r="AJ493" s="78">
        <v>62.233559999999997</v>
      </c>
      <c r="AK493" s="78">
        <v>6.6511420000000001</v>
      </c>
      <c r="AO493" s="78">
        <v>1.994534</v>
      </c>
      <c r="AQ493" s="78">
        <v>20.2807</v>
      </c>
      <c r="AR493" s="78">
        <v>15.47034</v>
      </c>
      <c r="AS493" s="78">
        <v>24.972010000000001</v>
      </c>
      <c r="AT493" s="78">
        <v>1.8695870000000001</v>
      </c>
      <c r="AZ493" s="78">
        <v>22.132480000000001</v>
      </c>
      <c r="BA493" s="78">
        <v>8.5953149999999992E-3</v>
      </c>
      <c r="BB493" s="78">
        <v>27.18927</v>
      </c>
      <c r="BC493" s="78">
        <v>5.6293009999999999</v>
      </c>
      <c r="BD493" s="78">
        <v>17.40953</v>
      </c>
    </row>
    <row r="494" spans="1:56" x14ac:dyDescent="0.2">
      <c r="A494" s="78" t="s">
        <v>642</v>
      </c>
      <c r="B494" s="22">
        <v>33725</v>
      </c>
      <c r="C494" s="22"/>
      <c r="D494" s="22"/>
      <c r="E494" s="22">
        <v>33239</v>
      </c>
      <c r="F494" s="78" t="s">
        <v>626</v>
      </c>
      <c r="G494" s="78">
        <v>12.66694</v>
      </c>
      <c r="J494" s="78">
        <v>21.951779999999999</v>
      </c>
      <c r="K494" s="78">
        <v>37.901000000000003</v>
      </c>
      <c r="L494" s="78">
        <v>3.6558950000000001</v>
      </c>
      <c r="M494" s="78">
        <v>1.1943550000000001</v>
      </c>
      <c r="N494" s="78">
        <v>1.6580269999999999</v>
      </c>
      <c r="P494" s="78">
        <v>12.57588</v>
      </c>
      <c r="R494" s="78">
        <v>22.48048</v>
      </c>
      <c r="S494" s="78">
        <v>27.904990000000002</v>
      </c>
      <c r="AA494" s="78">
        <v>19.65831</v>
      </c>
      <c r="AC494" s="78">
        <v>5.2765599999999999</v>
      </c>
      <c r="AD494" s="78">
        <v>1.9134230000000001</v>
      </c>
      <c r="AE494" s="78">
        <v>2.378565</v>
      </c>
      <c r="AG494" s="78">
        <v>7.50345</v>
      </c>
      <c r="AH494" s="78">
        <v>3.43899</v>
      </c>
      <c r="AJ494" s="78">
        <v>62.364440000000002</v>
      </c>
      <c r="AK494" s="78">
        <v>6.7629049999999999</v>
      </c>
      <c r="AO494" s="78">
        <v>2.032381</v>
      </c>
      <c r="AQ494" s="78">
        <v>20.418240000000001</v>
      </c>
      <c r="AR494" s="78">
        <v>15.578060000000001</v>
      </c>
      <c r="AS494" s="78">
        <v>25.2622</v>
      </c>
      <c r="AT494" s="78">
        <v>1.884344</v>
      </c>
      <c r="AZ494" s="78">
        <v>22.449639999999999</v>
      </c>
      <c r="BA494" s="78">
        <v>8.8005930000000007E-3</v>
      </c>
      <c r="BB494" s="78">
        <v>27.321400000000001</v>
      </c>
      <c r="BC494" s="78">
        <v>5.6672320000000003</v>
      </c>
      <c r="BD494" s="78">
        <v>17.55264</v>
      </c>
    </row>
    <row r="495" spans="1:56" x14ac:dyDescent="0.2">
      <c r="A495" s="78" t="s">
        <v>643</v>
      </c>
      <c r="B495" s="22">
        <v>33756</v>
      </c>
      <c r="C495" s="22"/>
      <c r="D495" s="22"/>
      <c r="E495" s="22">
        <v>33270</v>
      </c>
      <c r="F495" s="78" t="s">
        <v>627</v>
      </c>
      <c r="G495" s="78">
        <v>12.602499999999999</v>
      </c>
      <c r="J495" s="78">
        <v>22.082730000000002</v>
      </c>
      <c r="K495" s="78">
        <v>37.828360000000004</v>
      </c>
      <c r="L495" s="78">
        <v>3.7475550000000002</v>
      </c>
      <c r="M495" s="78">
        <v>1.2193989999999999</v>
      </c>
      <c r="N495" s="78">
        <v>1.6803300000000001</v>
      </c>
      <c r="P495" s="78">
        <v>12.898289999999999</v>
      </c>
      <c r="R495" s="78">
        <v>21.870100000000001</v>
      </c>
      <c r="S495" s="78">
        <v>27.756319999999999</v>
      </c>
      <c r="AA495" s="78">
        <v>19.723590000000002</v>
      </c>
      <c r="AC495" s="78">
        <v>5.3713030000000002</v>
      </c>
      <c r="AD495" s="78">
        <v>1.9345460000000001</v>
      </c>
      <c r="AE495" s="78">
        <v>2.411737</v>
      </c>
      <c r="AG495" s="78">
        <v>7.5832940000000004</v>
      </c>
      <c r="AH495" s="78">
        <v>3.565928</v>
      </c>
      <c r="AJ495" s="78">
        <v>62.511679999999998</v>
      </c>
      <c r="AK495" s="78">
        <v>6.8895150000000003</v>
      </c>
      <c r="AO495" s="78">
        <v>2.0790639999999998</v>
      </c>
      <c r="AQ495" s="78">
        <v>20.603829999999999</v>
      </c>
      <c r="AR495" s="78">
        <v>15.67456</v>
      </c>
      <c r="AS495" s="78">
        <v>25.782360000000001</v>
      </c>
      <c r="AT495" s="78">
        <v>1.948898</v>
      </c>
      <c r="AZ495" s="78">
        <v>22.394079999999999</v>
      </c>
      <c r="BA495" s="78">
        <v>9.1025659999999994E-3</v>
      </c>
      <c r="BB495" s="78">
        <v>27.461010000000002</v>
      </c>
      <c r="BC495" s="78">
        <v>5.836951</v>
      </c>
      <c r="BD495" s="78">
        <v>17.264890000000001</v>
      </c>
    </row>
    <row r="496" spans="1:56" x14ac:dyDescent="0.2">
      <c r="A496" s="78" t="s">
        <v>644</v>
      </c>
      <c r="B496" s="22">
        <v>33786</v>
      </c>
      <c r="C496" s="22"/>
      <c r="D496" s="22"/>
      <c r="E496" s="22">
        <v>33298</v>
      </c>
      <c r="F496" s="78" t="s">
        <v>628</v>
      </c>
      <c r="G496" s="78">
        <v>12.622109999999999</v>
      </c>
      <c r="J496" s="78">
        <v>22.206330000000001</v>
      </c>
      <c r="K496" s="78">
        <v>37.839469999999999</v>
      </c>
      <c r="L496" s="78">
        <v>3.833224</v>
      </c>
      <c r="M496" s="78">
        <v>1.2433989999999999</v>
      </c>
      <c r="N496" s="78">
        <v>1.7006699999999999</v>
      </c>
      <c r="P496" s="78">
        <v>13.220700000000001</v>
      </c>
      <c r="R496" s="78">
        <v>21.949529999999999</v>
      </c>
      <c r="S496" s="78">
        <v>27.85303</v>
      </c>
      <c r="AA496" s="78">
        <v>19.79823</v>
      </c>
      <c r="AC496" s="78">
        <v>5.4888019999999997</v>
      </c>
      <c r="AD496" s="78">
        <v>1.911813</v>
      </c>
      <c r="AE496" s="78">
        <v>2.4459559999999998</v>
      </c>
      <c r="AG496" s="78">
        <v>7.7351729999999996</v>
      </c>
      <c r="AH496" s="78">
        <v>3.6330260000000001</v>
      </c>
      <c r="AJ496" s="78">
        <v>62.626199999999997</v>
      </c>
      <c r="AK496" s="78">
        <v>7.0256069999999999</v>
      </c>
      <c r="AO496" s="78">
        <v>2.1425429999999999</v>
      </c>
      <c r="AQ496" s="78">
        <v>20.75665</v>
      </c>
      <c r="AR496" s="78">
        <v>15.793369999999999</v>
      </c>
      <c r="AS496" s="78">
        <v>26.579560000000001</v>
      </c>
      <c r="AT496" s="78">
        <v>2.0321850000000001</v>
      </c>
      <c r="AZ496" s="78">
        <v>22.752790000000001</v>
      </c>
      <c r="BA496" s="78">
        <v>9.4667569999999993E-3</v>
      </c>
      <c r="BB496" s="78">
        <v>27.605609999999999</v>
      </c>
      <c r="BC496" s="78">
        <v>5.9754889999999996</v>
      </c>
      <c r="BD496" s="78">
        <v>17.17398</v>
      </c>
    </row>
    <row r="497" spans="1:56" x14ac:dyDescent="0.2">
      <c r="A497" s="78" t="s">
        <v>645</v>
      </c>
      <c r="B497" s="22">
        <v>33817</v>
      </c>
      <c r="C497" s="22"/>
      <c r="D497" s="22"/>
      <c r="E497" s="22">
        <v>33329</v>
      </c>
      <c r="F497" s="78" t="s">
        <v>629</v>
      </c>
      <c r="G497" s="78">
        <v>12.650130000000001</v>
      </c>
      <c r="J497" s="78">
        <v>22.28584</v>
      </c>
      <c r="K497" s="78">
        <v>37.874319999999997</v>
      </c>
      <c r="L497" s="78">
        <v>3.9229980000000002</v>
      </c>
      <c r="M497" s="78">
        <v>1.2641929999999999</v>
      </c>
      <c r="N497" s="78">
        <v>1.7343459999999999</v>
      </c>
      <c r="P497" s="78">
        <v>13.54311</v>
      </c>
      <c r="R497" s="78">
        <v>22.598089999999999</v>
      </c>
      <c r="S497" s="78">
        <v>27.95298</v>
      </c>
      <c r="AA497" s="78">
        <v>19.91029</v>
      </c>
      <c r="AC497" s="78">
        <v>5.5985849999999999</v>
      </c>
      <c r="AD497" s="78">
        <v>1.918892</v>
      </c>
      <c r="AE497" s="78">
        <v>2.474186</v>
      </c>
      <c r="AG497" s="78">
        <v>7.8424610000000001</v>
      </c>
      <c r="AH497" s="78">
        <v>3.6953559999999999</v>
      </c>
      <c r="AJ497" s="78">
        <v>62.822519999999997</v>
      </c>
      <c r="AK497" s="78">
        <v>7.1488829999999997</v>
      </c>
      <c r="AO497" s="78">
        <v>2.2046230000000002</v>
      </c>
      <c r="AQ497" s="78">
        <v>20.899229999999999</v>
      </c>
      <c r="AR497" s="78">
        <v>15.90788</v>
      </c>
      <c r="AS497" s="78">
        <v>27.26435</v>
      </c>
      <c r="AT497" s="78">
        <v>2.1214309999999998</v>
      </c>
      <c r="AZ497" s="78">
        <v>22.855250000000002</v>
      </c>
      <c r="BA497" s="78">
        <v>9.9143400000000007E-3</v>
      </c>
      <c r="BB497" s="78">
        <v>27.69286</v>
      </c>
      <c r="BC497" s="78">
        <v>6.0036440000000004</v>
      </c>
      <c r="BD497" s="78">
        <v>17.19172</v>
      </c>
    </row>
    <row r="498" spans="1:56" x14ac:dyDescent="0.2">
      <c r="A498" s="78" t="s">
        <v>646</v>
      </c>
      <c r="B498" s="22">
        <v>33848</v>
      </c>
      <c r="C498" s="22"/>
      <c r="D498" s="22"/>
      <c r="E498" s="22">
        <v>33359</v>
      </c>
      <c r="F498" s="78" t="s">
        <v>630</v>
      </c>
      <c r="G498" s="78">
        <v>12.700559999999999</v>
      </c>
      <c r="J498" s="78">
        <v>22.43544</v>
      </c>
      <c r="K498" s="78">
        <v>37.962649999999996</v>
      </c>
      <c r="L498" s="78">
        <v>4.0167809999999999</v>
      </c>
      <c r="M498" s="78">
        <v>1.2866820000000001</v>
      </c>
      <c r="N498" s="78">
        <v>1.782152</v>
      </c>
      <c r="P498" s="78">
        <v>13.86552</v>
      </c>
      <c r="R498" s="78">
        <v>23.105840000000001</v>
      </c>
      <c r="S498" s="78">
        <v>28.032550000000001</v>
      </c>
      <c r="AA498" s="78">
        <v>19.98442</v>
      </c>
      <c r="AC498" s="78">
        <v>5.7560010000000004</v>
      </c>
      <c r="AD498" s="78">
        <v>1.973093</v>
      </c>
      <c r="AE498" s="78">
        <v>2.5132680000000001</v>
      </c>
      <c r="AG498" s="78">
        <v>7.9305139999999996</v>
      </c>
      <c r="AH498" s="78">
        <v>3.7600769999999999</v>
      </c>
      <c r="AJ498" s="78">
        <v>62.969760000000001</v>
      </c>
      <c r="AK498" s="78">
        <v>7.2541589999999996</v>
      </c>
      <c r="AO498" s="78">
        <v>2.2702420000000001</v>
      </c>
      <c r="AQ498" s="78">
        <v>20.945029999999999</v>
      </c>
      <c r="AR498" s="78">
        <v>16.025649999999999</v>
      </c>
      <c r="AS498" s="78">
        <v>27.658259999999999</v>
      </c>
      <c r="AT498" s="78">
        <v>2.2411340000000002</v>
      </c>
      <c r="AZ498" s="78">
        <v>23.025770000000001</v>
      </c>
      <c r="BA498" s="78">
        <v>1.043846E-2</v>
      </c>
      <c r="BB498" s="78">
        <v>27.780950000000001</v>
      </c>
      <c r="BC498" s="78">
        <v>6.1171569999999997</v>
      </c>
      <c r="BD498" s="78">
        <v>17.291260000000001</v>
      </c>
    </row>
    <row r="499" spans="1:56" x14ac:dyDescent="0.2">
      <c r="A499" s="78" t="s">
        <v>647</v>
      </c>
      <c r="B499" s="22">
        <v>33878</v>
      </c>
      <c r="C499" s="22"/>
      <c r="D499" s="22"/>
      <c r="E499" s="22">
        <v>33390</v>
      </c>
      <c r="F499" s="78" t="s">
        <v>631</v>
      </c>
      <c r="G499" s="78">
        <v>12.77061</v>
      </c>
      <c r="J499" s="78">
        <v>22.414449999999999</v>
      </c>
      <c r="K499" s="78">
        <v>38.07423</v>
      </c>
      <c r="L499" s="78">
        <v>4.1197249999999999</v>
      </c>
      <c r="M499" s="78">
        <v>1.3140259999999999</v>
      </c>
      <c r="N499" s="78">
        <v>1.8116049999999999</v>
      </c>
      <c r="P499" s="78">
        <v>14.187939999999999</v>
      </c>
      <c r="R499" s="78">
        <v>23.30735</v>
      </c>
      <c r="S499" s="78">
        <v>28.24823</v>
      </c>
      <c r="AA499" s="78">
        <v>20.024260000000002</v>
      </c>
      <c r="AC499" s="78">
        <v>5.8971400000000003</v>
      </c>
      <c r="AD499" s="78">
        <v>2.0169410000000001</v>
      </c>
      <c r="AE499" s="78">
        <v>2.5430869999999999</v>
      </c>
      <c r="AG499" s="78">
        <v>7.9881609999999998</v>
      </c>
      <c r="AH499" s="78">
        <v>3.7922229999999999</v>
      </c>
      <c r="AJ499" s="78">
        <v>63.108820000000001</v>
      </c>
      <c r="AK499" s="78">
        <v>7.3659270000000001</v>
      </c>
      <c r="AO499" s="78">
        <v>2.320424</v>
      </c>
      <c r="AQ499" s="78">
        <v>20.91187</v>
      </c>
      <c r="AR499" s="78">
        <v>16.123370000000001</v>
      </c>
      <c r="AS499" s="78">
        <v>28.092510000000001</v>
      </c>
      <c r="AT499" s="78">
        <v>2.3699910000000002</v>
      </c>
      <c r="AZ499" s="78">
        <v>23.38599</v>
      </c>
      <c r="BA499" s="78">
        <v>1.0954719999999999E-2</v>
      </c>
      <c r="BB499" s="78">
        <v>27.85491</v>
      </c>
      <c r="BC499" s="78">
        <v>6.1958700000000002</v>
      </c>
      <c r="BD499" s="78">
        <v>17.558129999999998</v>
      </c>
    </row>
    <row r="500" spans="1:56" x14ac:dyDescent="0.2">
      <c r="A500" s="78" t="s">
        <v>648</v>
      </c>
      <c r="B500" s="22">
        <v>33909</v>
      </c>
      <c r="C500" s="22"/>
      <c r="D500" s="22"/>
      <c r="E500" s="22">
        <v>33420</v>
      </c>
      <c r="F500" s="78" t="s">
        <v>632</v>
      </c>
      <c r="G500" s="78">
        <v>12.80983</v>
      </c>
      <c r="J500" s="78">
        <v>22.392330000000001</v>
      </c>
      <c r="K500" s="78">
        <v>38.182850000000002</v>
      </c>
      <c r="L500" s="78">
        <v>4.247941</v>
      </c>
      <c r="M500" s="78">
        <v>1.3421339999999999</v>
      </c>
      <c r="N500" s="78">
        <v>1.8159639999999999</v>
      </c>
      <c r="P500" s="78">
        <v>14.510350000000001</v>
      </c>
      <c r="R500" s="78">
        <v>23.865220000000001</v>
      </c>
      <c r="S500" s="78">
        <v>28.465890000000002</v>
      </c>
      <c r="AA500" s="78">
        <v>20.034829999999999</v>
      </c>
      <c r="AC500" s="78">
        <v>6.0104389999999999</v>
      </c>
      <c r="AD500" s="78">
        <v>2.0911140000000001</v>
      </c>
      <c r="AE500" s="78">
        <v>2.5621580000000002</v>
      </c>
      <c r="AG500" s="78">
        <v>8.0678640000000001</v>
      </c>
      <c r="AH500" s="78">
        <v>3.7831860000000002</v>
      </c>
      <c r="AJ500" s="78">
        <v>63.337859999999999</v>
      </c>
      <c r="AK500" s="78">
        <v>7.5036670000000001</v>
      </c>
      <c r="AO500" s="78">
        <v>2.363013</v>
      </c>
      <c r="AQ500" s="78">
        <v>21.007059999999999</v>
      </c>
      <c r="AR500" s="78">
        <v>16.208349999999999</v>
      </c>
      <c r="AS500" s="78">
        <v>28.48021</v>
      </c>
      <c r="AT500" s="78">
        <v>2.4447350000000001</v>
      </c>
      <c r="AZ500" s="78">
        <v>23.62144</v>
      </c>
      <c r="BA500" s="78">
        <v>1.144188E-2</v>
      </c>
      <c r="BB500" s="78">
        <v>27.889810000000001</v>
      </c>
      <c r="BC500" s="78">
        <v>6.173241</v>
      </c>
      <c r="BD500" s="78">
        <v>17.61871</v>
      </c>
    </row>
    <row r="501" spans="1:56" x14ac:dyDescent="0.2">
      <c r="A501" s="78" t="s">
        <v>649</v>
      </c>
      <c r="B501" s="22">
        <v>33939</v>
      </c>
      <c r="C501" s="22"/>
      <c r="D501" s="22"/>
      <c r="E501" s="22">
        <v>33451</v>
      </c>
      <c r="F501" s="78" t="s">
        <v>633</v>
      </c>
      <c r="G501" s="78">
        <v>12.84906</v>
      </c>
      <c r="J501" s="78">
        <v>22.349060000000001</v>
      </c>
      <c r="K501" s="78">
        <v>38.287909999999997</v>
      </c>
      <c r="L501" s="78">
        <v>4.3920300000000001</v>
      </c>
      <c r="M501" s="78">
        <v>1.3714770000000001</v>
      </c>
      <c r="N501" s="78">
        <v>1.818802</v>
      </c>
      <c r="P501" s="78">
        <v>14.83276</v>
      </c>
      <c r="R501" s="78">
        <v>24.350809999999999</v>
      </c>
      <c r="S501" s="78">
        <v>28.50018</v>
      </c>
      <c r="AA501" s="78">
        <v>20.046880000000002</v>
      </c>
      <c r="AC501" s="78">
        <v>6.1357879999999998</v>
      </c>
      <c r="AD501" s="78">
        <v>2.120657</v>
      </c>
      <c r="AE501" s="78">
        <v>2.5930089999999999</v>
      </c>
      <c r="AG501" s="78">
        <v>8.1895330000000008</v>
      </c>
      <c r="AH501" s="78">
        <v>3.848878</v>
      </c>
      <c r="AJ501" s="78">
        <v>63.329680000000003</v>
      </c>
      <c r="AK501" s="78">
        <v>7.6640240000000004</v>
      </c>
      <c r="AO501" s="78">
        <v>2.4197340000000001</v>
      </c>
      <c r="AQ501" s="78">
        <v>21.127870000000001</v>
      </c>
      <c r="AR501" s="78">
        <v>16.28013</v>
      </c>
      <c r="AS501" s="78">
        <v>29.050940000000001</v>
      </c>
      <c r="AT501" s="78">
        <v>2.504953</v>
      </c>
      <c r="AZ501" s="78">
        <v>23.581440000000001</v>
      </c>
      <c r="BA501" s="78">
        <v>1.2009479999999999E-2</v>
      </c>
      <c r="BB501" s="78">
        <v>27.880669999999999</v>
      </c>
      <c r="BC501" s="78">
        <v>6.1736610000000001</v>
      </c>
      <c r="BD501" s="78">
        <v>17.485700000000001</v>
      </c>
    </row>
    <row r="502" spans="1:56" x14ac:dyDescent="0.2">
      <c r="A502" s="78" t="s">
        <v>650</v>
      </c>
      <c r="B502" s="22">
        <v>33970</v>
      </c>
      <c r="C502" s="22"/>
      <c r="D502" s="22"/>
      <c r="E502" s="22">
        <v>33482</v>
      </c>
      <c r="F502" s="78" t="s">
        <v>634</v>
      </c>
      <c r="G502" s="78">
        <v>12.9079</v>
      </c>
      <c r="J502" s="78">
        <v>22.47344</v>
      </c>
      <c r="K502" s="78">
        <v>38.335129999999999</v>
      </c>
      <c r="L502" s="78">
        <v>4.5385350000000004</v>
      </c>
      <c r="M502" s="78">
        <v>1.4016500000000001</v>
      </c>
      <c r="N502" s="78">
        <v>1.875208</v>
      </c>
      <c r="P502" s="78">
        <v>15.15517</v>
      </c>
      <c r="R502" s="78">
        <v>24.15785</v>
      </c>
      <c r="S502" s="78">
        <v>28.620259999999998</v>
      </c>
      <c r="AA502" s="78">
        <v>20.08502</v>
      </c>
      <c r="AC502" s="78">
        <v>6.2669930000000003</v>
      </c>
      <c r="AD502" s="78">
        <v>2.1149969999999998</v>
      </c>
      <c r="AE502" s="78">
        <v>2.6313149999999998</v>
      </c>
      <c r="AG502" s="78">
        <v>8.2879909999999999</v>
      </c>
      <c r="AH502" s="78">
        <v>3.8764159999999999</v>
      </c>
      <c r="AJ502" s="78">
        <v>63.501460000000002</v>
      </c>
      <c r="AK502" s="78">
        <v>7.8149879999999996</v>
      </c>
      <c r="AO502" s="78">
        <v>2.4425729999999999</v>
      </c>
      <c r="AQ502" s="78">
        <v>21.836290000000002</v>
      </c>
      <c r="AR502" s="78">
        <v>16.37032</v>
      </c>
      <c r="AS502" s="78">
        <v>29.766999999999999</v>
      </c>
      <c r="AT502" s="78">
        <v>2.5810650000000002</v>
      </c>
      <c r="AZ502" s="78">
        <v>23.65626</v>
      </c>
      <c r="BA502" s="78">
        <v>1.2811889999999999E-2</v>
      </c>
      <c r="BB502" s="78">
        <v>27.879840000000002</v>
      </c>
      <c r="BC502" s="78">
        <v>6.2244450000000002</v>
      </c>
      <c r="BD502" s="78">
        <v>17.52026</v>
      </c>
    </row>
    <row r="503" spans="1:56" x14ac:dyDescent="0.2">
      <c r="A503" s="78" t="s">
        <v>651</v>
      </c>
      <c r="B503" s="22">
        <v>34001</v>
      </c>
      <c r="C503" s="22"/>
      <c r="D503" s="22"/>
      <c r="E503" s="22">
        <v>33512</v>
      </c>
      <c r="F503" s="78" t="s">
        <v>635</v>
      </c>
      <c r="G503" s="78">
        <v>12.933109999999999</v>
      </c>
      <c r="J503" s="78">
        <v>22.6356</v>
      </c>
      <c r="K503" s="78">
        <v>38.435850000000002</v>
      </c>
      <c r="L503" s="78">
        <v>4.6717259999999996</v>
      </c>
      <c r="M503" s="78">
        <v>1.424415</v>
      </c>
      <c r="N503" s="78">
        <v>1.975306</v>
      </c>
      <c r="P503" s="78">
        <v>15.47758</v>
      </c>
      <c r="R503" s="78">
        <v>24.299399999999999</v>
      </c>
      <c r="S503" s="78">
        <v>28.778780000000001</v>
      </c>
      <c r="AA503" s="78">
        <v>20.11431</v>
      </c>
      <c r="AC503" s="78">
        <v>6.4158220000000004</v>
      </c>
      <c r="AD503" s="78">
        <v>2.1496710000000001</v>
      </c>
      <c r="AE503" s="78">
        <v>2.6805129999999999</v>
      </c>
      <c r="AG503" s="78">
        <v>8.3538130000000006</v>
      </c>
      <c r="AH503" s="78">
        <v>3.8719480000000002</v>
      </c>
      <c r="AJ503" s="78">
        <v>63.640520000000002</v>
      </c>
      <c r="AK503" s="78">
        <v>7.8998720000000002</v>
      </c>
      <c r="AO503" s="78">
        <v>2.4829539999999999</v>
      </c>
      <c r="AQ503" s="78">
        <v>22.327570000000001</v>
      </c>
      <c r="AR503" s="78">
        <v>16.482279999999999</v>
      </c>
      <c r="AS503" s="78">
        <v>30.272449999999999</v>
      </c>
      <c r="AT503" s="78">
        <v>2.6501649999999999</v>
      </c>
      <c r="AZ503" s="78">
        <v>23.82929</v>
      </c>
      <c r="BA503" s="78">
        <v>1.367489E-2</v>
      </c>
      <c r="BB503" s="78">
        <v>27.92306</v>
      </c>
      <c r="BC503" s="78">
        <v>6.2510440000000003</v>
      </c>
      <c r="BD503" s="78">
        <v>17.72756</v>
      </c>
    </row>
    <row r="504" spans="1:56" x14ac:dyDescent="0.2">
      <c r="A504" s="78" t="s">
        <v>652</v>
      </c>
      <c r="B504" s="22">
        <v>34029</v>
      </c>
      <c r="C504" s="22"/>
      <c r="D504" s="22"/>
      <c r="E504" s="22">
        <v>33543</v>
      </c>
      <c r="F504" s="78" t="s">
        <v>636</v>
      </c>
      <c r="G504" s="78">
        <v>12.9107</v>
      </c>
      <c r="J504" s="78">
        <v>22.705449999999999</v>
      </c>
      <c r="K504" s="78">
        <v>38.481499999999997</v>
      </c>
      <c r="L504" s="78">
        <v>4.8068600000000004</v>
      </c>
      <c r="M504" s="78">
        <v>1.4476119999999999</v>
      </c>
      <c r="N504" s="78">
        <v>2.068149</v>
      </c>
      <c r="P504" s="78">
        <v>15.8</v>
      </c>
      <c r="R504" s="78">
        <v>24.51388</v>
      </c>
      <c r="S504" s="78">
        <v>29.000219999999999</v>
      </c>
      <c r="AA504" s="78">
        <v>20.13505</v>
      </c>
      <c r="AC504" s="78">
        <v>6.6080439999999996</v>
      </c>
      <c r="AD504" s="78">
        <v>2.1783399999999999</v>
      </c>
      <c r="AE504" s="78">
        <v>2.7432720000000002</v>
      </c>
      <c r="AG504" s="78">
        <v>8.4124440000000007</v>
      </c>
      <c r="AH504" s="78">
        <v>4.015701</v>
      </c>
      <c r="AJ504" s="78">
        <v>63.61598</v>
      </c>
      <c r="AK504" s="78">
        <v>8.0358029999999996</v>
      </c>
      <c r="AO504" s="78">
        <v>2.5610930000000001</v>
      </c>
      <c r="AQ504" s="78">
        <v>22.294560000000001</v>
      </c>
      <c r="AR504" s="78">
        <v>16.58681</v>
      </c>
      <c r="AS504" s="78">
        <v>30.50873</v>
      </c>
      <c r="AT504" s="78">
        <v>2.7098589999999998</v>
      </c>
      <c r="AZ504" s="78">
        <v>23.837679999999999</v>
      </c>
      <c r="BA504" s="78">
        <v>1.4439850000000001E-2</v>
      </c>
      <c r="BB504" s="78">
        <v>27.967929999999999</v>
      </c>
      <c r="BC504" s="78">
        <v>6.326346</v>
      </c>
      <c r="BD504" s="78">
        <v>17.820460000000001</v>
      </c>
    </row>
    <row r="505" spans="1:56" x14ac:dyDescent="0.2">
      <c r="A505" s="78" t="s">
        <v>653</v>
      </c>
      <c r="B505" s="22">
        <v>34060</v>
      </c>
      <c r="C505" s="22"/>
      <c r="D505" s="22"/>
      <c r="E505" s="22">
        <v>33573</v>
      </c>
      <c r="F505" s="78" t="s">
        <v>637</v>
      </c>
      <c r="G505" s="78">
        <v>12.941520000000001</v>
      </c>
      <c r="J505" s="78">
        <v>22.814060000000001</v>
      </c>
      <c r="K505" s="78">
        <v>38.656370000000003</v>
      </c>
      <c r="L505" s="78">
        <v>4.9330280000000002</v>
      </c>
      <c r="M505" s="78">
        <v>1.478785</v>
      </c>
      <c r="N505" s="78">
        <v>2.1489470000000002</v>
      </c>
      <c r="P505" s="78">
        <v>16.227080000000001</v>
      </c>
      <c r="R505" s="78">
        <v>24.313690000000001</v>
      </c>
      <c r="S505" s="78">
        <v>29.69997</v>
      </c>
      <c r="AA505" s="78">
        <v>20.183420000000002</v>
      </c>
      <c r="AC505" s="78">
        <v>6.9231939999999996</v>
      </c>
      <c r="AD505" s="78">
        <v>2.204942</v>
      </c>
      <c r="AE505" s="78">
        <v>2.792468</v>
      </c>
      <c r="AG505" s="78">
        <v>8.5005670000000002</v>
      </c>
      <c r="AH505" s="78">
        <v>4.4766959999999996</v>
      </c>
      <c r="AJ505" s="78">
        <v>63.61598</v>
      </c>
      <c r="AK505" s="78">
        <v>8.2431859999999997</v>
      </c>
      <c r="AO505" s="78">
        <v>2.5930849999999999</v>
      </c>
      <c r="AQ505" s="78">
        <v>22.62472</v>
      </c>
      <c r="AR505" s="78">
        <v>16.687850000000001</v>
      </c>
      <c r="AS505" s="78">
        <v>30.549579999999999</v>
      </c>
      <c r="AT505" s="78">
        <v>2.5939399999999999</v>
      </c>
      <c r="AZ505" s="78">
        <v>23.77412</v>
      </c>
      <c r="BA505" s="78">
        <v>1.517167E-2</v>
      </c>
      <c r="BB505" s="78">
        <v>28.023610000000001</v>
      </c>
      <c r="BC505" s="78">
        <v>6.3643999999999998</v>
      </c>
      <c r="BD505" s="78">
        <v>17.900459999999999</v>
      </c>
    </row>
    <row r="506" spans="1:56" x14ac:dyDescent="0.2">
      <c r="A506" s="78" t="s">
        <v>654</v>
      </c>
      <c r="B506" s="22">
        <v>34090</v>
      </c>
      <c r="C506" s="22"/>
      <c r="D506" s="22"/>
      <c r="E506" s="22">
        <v>33604</v>
      </c>
      <c r="F506" s="78" t="s">
        <v>638</v>
      </c>
      <c r="G506" s="78">
        <v>12.98915</v>
      </c>
      <c r="J506" s="78">
        <v>22.909120000000001</v>
      </c>
      <c r="K506" s="78">
        <v>38.666420000000002</v>
      </c>
      <c r="L506" s="78">
        <v>5.0564840000000002</v>
      </c>
      <c r="M506" s="78">
        <v>1.512678</v>
      </c>
      <c r="N506" s="78">
        <v>2.2325119999999998</v>
      </c>
      <c r="P506" s="78">
        <v>13.807090000000001</v>
      </c>
      <c r="R506" s="78">
        <v>24.751930000000002</v>
      </c>
      <c r="S506" s="78">
        <v>29.966660000000001</v>
      </c>
      <c r="AA506" s="78">
        <v>20.294609999999999</v>
      </c>
      <c r="AC506" s="78">
        <v>7.2248330000000003</v>
      </c>
      <c r="AD506" s="78">
        <v>2.2394340000000001</v>
      </c>
      <c r="AE506" s="78">
        <v>2.8313839999999999</v>
      </c>
      <c r="AG506" s="78">
        <v>8.5752950000000006</v>
      </c>
      <c r="AH506" s="78">
        <v>4.9660010000000003</v>
      </c>
      <c r="AJ506" s="78">
        <v>63.624160000000003</v>
      </c>
      <c r="AK506" s="78">
        <v>8.3662130000000001</v>
      </c>
      <c r="AO506" s="78">
        <v>2.5999509999999999</v>
      </c>
      <c r="AQ506" s="78">
        <v>22.762979999999999</v>
      </c>
      <c r="AR506" s="78">
        <v>16.79748</v>
      </c>
      <c r="AS506" s="78">
        <v>30.199549999999999</v>
      </c>
      <c r="AT506" s="78">
        <v>2.5321470000000001</v>
      </c>
      <c r="AZ506" s="78">
        <v>23.559830000000002</v>
      </c>
      <c r="BA506" s="78">
        <v>1.598432E-2</v>
      </c>
      <c r="BB506" s="78">
        <v>28.098400000000002</v>
      </c>
      <c r="BC506" s="78">
        <v>6.3959130000000002</v>
      </c>
      <c r="BD506" s="78">
        <v>18.219360000000002</v>
      </c>
    </row>
    <row r="507" spans="1:56" x14ac:dyDescent="0.2">
      <c r="A507" s="78" t="s">
        <v>655</v>
      </c>
      <c r="B507" s="22">
        <v>34121</v>
      </c>
      <c r="C507" s="22"/>
      <c r="D507" s="22"/>
      <c r="E507" s="22">
        <v>33635</v>
      </c>
      <c r="F507" s="78" t="s">
        <v>639</v>
      </c>
      <c r="G507" s="78">
        <v>13.019970000000001</v>
      </c>
      <c r="J507" s="78">
        <v>23.019860000000001</v>
      </c>
      <c r="K507" s="78">
        <v>38.536169999999998</v>
      </c>
      <c r="L507" s="78">
        <v>5.2003839999999997</v>
      </c>
      <c r="M507" s="78">
        <v>1.547107</v>
      </c>
      <c r="N507" s="78">
        <v>2.3069839999999999</v>
      </c>
      <c r="P507" s="78">
        <v>14.289669999999999</v>
      </c>
      <c r="R507" s="78">
        <v>25.58785</v>
      </c>
      <c r="S507" s="78">
        <v>29.742349999999998</v>
      </c>
      <c r="AA507" s="78">
        <v>20.415150000000001</v>
      </c>
      <c r="AC507" s="78">
        <v>7.3722750000000001</v>
      </c>
      <c r="AD507" s="78">
        <v>2.2638760000000002</v>
      </c>
      <c r="AE507" s="78">
        <v>2.8772419999999999</v>
      </c>
      <c r="AG507" s="78">
        <v>8.5989190000000004</v>
      </c>
      <c r="AH507" s="78">
        <v>5.2174519999999998</v>
      </c>
      <c r="AJ507" s="78">
        <v>63.542360000000002</v>
      </c>
      <c r="AK507" s="78">
        <v>8.4747780000000006</v>
      </c>
      <c r="AO507" s="78">
        <v>2.6356130000000002</v>
      </c>
      <c r="AQ507" s="78">
        <v>22.869039999999998</v>
      </c>
      <c r="AR507" s="78">
        <v>16.9101</v>
      </c>
      <c r="AS507" s="78">
        <v>30.075849999999999</v>
      </c>
      <c r="AT507" s="78">
        <v>2.6963509999999999</v>
      </c>
      <c r="AZ507" s="78">
        <v>23.38128</v>
      </c>
      <c r="BA507" s="78">
        <v>1.6845280000000001E-2</v>
      </c>
      <c r="BB507" s="78">
        <v>28.254629999999999</v>
      </c>
      <c r="BC507" s="78">
        <v>6.5251479999999997</v>
      </c>
      <c r="BD507" s="78">
        <v>18.509699999999999</v>
      </c>
    </row>
    <row r="508" spans="1:56" x14ac:dyDescent="0.2">
      <c r="A508" s="78" t="s">
        <v>656</v>
      </c>
      <c r="B508" s="22">
        <v>34151</v>
      </c>
      <c r="C508" s="22"/>
      <c r="D508" s="22"/>
      <c r="E508" s="22">
        <v>33664</v>
      </c>
      <c r="F508" s="78" t="s">
        <v>640</v>
      </c>
      <c r="G508" s="78">
        <v>13.008760000000001</v>
      </c>
      <c r="J508" s="78">
        <v>23.202390000000001</v>
      </c>
      <c r="K508" s="78">
        <v>38.566110000000002</v>
      </c>
      <c r="L508" s="78">
        <v>5.3162969999999996</v>
      </c>
      <c r="M508" s="78">
        <v>1.5778810000000001</v>
      </c>
      <c r="N508" s="78">
        <v>2.3857780000000002</v>
      </c>
      <c r="P508" s="78">
        <v>14.458349999999999</v>
      </c>
      <c r="R508" s="78">
        <v>25.730869999999999</v>
      </c>
      <c r="S508" s="78">
        <v>29.861000000000001</v>
      </c>
      <c r="AA508" s="78">
        <v>20.49091</v>
      </c>
      <c r="AC508" s="78">
        <v>7.5088220000000003</v>
      </c>
      <c r="AD508" s="78">
        <v>2.3056640000000002</v>
      </c>
      <c r="AE508" s="78">
        <v>2.9165830000000001</v>
      </c>
      <c r="AG508" s="78">
        <v>8.6020590000000006</v>
      </c>
      <c r="AH508" s="78">
        <v>5.3729829999999996</v>
      </c>
      <c r="AJ508" s="78">
        <v>63.730499999999999</v>
      </c>
      <c r="AK508" s="78">
        <v>8.624682</v>
      </c>
      <c r="AO508" s="78">
        <v>2.6708150000000002</v>
      </c>
      <c r="AQ508" s="78">
        <v>22.80292</v>
      </c>
      <c r="AR508" s="78">
        <v>17.000019999999999</v>
      </c>
      <c r="AS508" s="78">
        <v>30.299099999999999</v>
      </c>
      <c r="AT508" s="78">
        <v>2.820824</v>
      </c>
      <c r="AZ508" s="78">
        <v>23.476800000000001</v>
      </c>
      <c r="BA508" s="78">
        <v>1.7848039999999999E-2</v>
      </c>
      <c r="BB508" s="78">
        <v>28.287040000000001</v>
      </c>
      <c r="BC508" s="78">
        <v>6.534084</v>
      </c>
      <c r="BD508" s="78">
        <v>18.828569999999999</v>
      </c>
    </row>
    <row r="509" spans="1:56" x14ac:dyDescent="0.2">
      <c r="A509" s="78" t="s">
        <v>657</v>
      </c>
      <c r="B509" s="22">
        <v>34182</v>
      </c>
      <c r="C509" s="22"/>
      <c r="D509" s="22"/>
      <c r="E509" s="22">
        <v>33695</v>
      </c>
      <c r="F509" s="78" t="s">
        <v>641</v>
      </c>
      <c r="G509" s="78">
        <v>13.031169999999999</v>
      </c>
      <c r="J509" s="78">
        <v>23.210139999999999</v>
      </c>
      <c r="K509" s="78">
        <v>38.68985</v>
      </c>
      <c r="L509" s="78">
        <v>5.4222080000000004</v>
      </c>
      <c r="M509" s="78">
        <v>1.622136</v>
      </c>
      <c r="N509" s="78">
        <v>2.4709840000000001</v>
      </c>
      <c r="P509" s="78">
        <v>14.503819999999999</v>
      </c>
      <c r="R509" s="78">
        <v>25.866589999999999</v>
      </c>
      <c r="S509" s="78">
        <v>30.09694</v>
      </c>
      <c r="AA509" s="78">
        <v>20.539390000000001</v>
      </c>
      <c r="AC509" s="78">
        <v>7.7581420000000003</v>
      </c>
      <c r="AD509" s="78">
        <v>2.370161</v>
      </c>
      <c r="AE509" s="78">
        <v>2.947616</v>
      </c>
      <c r="AG509" s="78">
        <v>8.6370719999999999</v>
      </c>
      <c r="AH509" s="78">
        <v>5.5313809999999997</v>
      </c>
      <c r="AJ509" s="78">
        <v>63.61598</v>
      </c>
      <c r="AK509" s="78">
        <v>8.7784309999999994</v>
      </c>
      <c r="AO509" s="78">
        <v>2.7015570000000002</v>
      </c>
      <c r="AQ509" s="78">
        <v>22.74905</v>
      </c>
      <c r="AR509" s="78">
        <v>17.049890000000001</v>
      </c>
      <c r="AS509" s="78">
        <v>30.432359999999999</v>
      </c>
      <c r="AT509" s="78">
        <v>2.9170379999999998</v>
      </c>
      <c r="AZ509" s="78">
        <v>23.6404</v>
      </c>
      <c r="BA509" s="78">
        <v>1.884715E-2</v>
      </c>
      <c r="BB509" s="78">
        <v>28.252140000000001</v>
      </c>
      <c r="BC509" s="78">
        <v>6.5785200000000001</v>
      </c>
      <c r="BD509" s="78">
        <v>18.95553</v>
      </c>
    </row>
    <row r="510" spans="1:56" x14ac:dyDescent="0.2">
      <c r="A510" s="78" t="s">
        <v>658</v>
      </c>
      <c r="B510" s="22">
        <v>34213</v>
      </c>
      <c r="C510" s="22"/>
      <c r="D510" s="22"/>
      <c r="E510" s="22">
        <v>33725</v>
      </c>
      <c r="F510" s="78" t="s">
        <v>642</v>
      </c>
      <c r="G510" s="78">
        <v>13.12083</v>
      </c>
      <c r="J510" s="78">
        <v>23.248760000000001</v>
      </c>
      <c r="K510" s="78">
        <v>38.92315</v>
      </c>
      <c r="L510" s="78">
        <v>5.5343260000000001</v>
      </c>
      <c r="M510" s="78">
        <v>1.6690940000000001</v>
      </c>
      <c r="N510" s="78">
        <v>2.5371990000000002</v>
      </c>
      <c r="P510" s="78">
        <v>14.694509999999999</v>
      </c>
      <c r="R510" s="78">
        <v>26.030999999999999</v>
      </c>
      <c r="S510" s="78">
        <v>30.376840000000001</v>
      </c>
      <c r="AA510" s="78">
        <v>20.502389999999998</v>
      </c>
      <c r="AC510" s="78">
        <v>7.9519690000000001</v>
      </c>
      <c r="AD510" s="78">
        <v>2.439597</v>
      </c>
      <c r="AE510" s="78">
        <v>2.9936050000000001</v>
      </c>
      <c r="AG510" s="78">
        <v>8.6876320000000007</v>
      </c>
      <c r="AH510" s="78">
        <v>5.6272710000000004</v>
      </c>
      <c r="AJ510" s="78">
        <v>63.452379999999998</v>
      </c>
      <c r="AK510" s="78">
        <v>8.9106470000000009</v>
      </c>
      <c r="AO510" s="78">
        <v>2.7458550000000002</v>
      </c>
      <c r="AQ510" s="78">
        <v>23.04223</v>
      </c>
      <c r="AR510" s="78">
        <v>17.109539999999999</v>
      </c>
      <c r="AS510" s="78">
        <v>30.757100000000001</v>
      </c>
      <c r="AT510" s="78">
        <v>3.0081380000000002</v>
      </c>
      <c r="AZ510" s="78">
        <v>23.741009999999999</v>
      </c>
      <c r="BA510" s="78">
        <v>1.9876049999999999E-2</v>
      </c>
      <c r="BB510" s="78">
        <v>28.242999999999999</v>
      </c>
      <c r="BC510" s="78">
        <v>6.6181999999999999</v>
      </c>
      <c r="BD510" s="78">
        <v>18.839980000000001</v>
      </c>
    </row>
    <row r="511" spans="1:56" x14ac:dyDescent="0.2">
      <c r="A511" s="78" t="s">
        <v>659</v>
      </c>
      <c r="B511" s="22">
        <v>34243</v>
      </c>
      <c r="C511" s="22"/>
      <c r="D511" s="22"/>
      <c r="E511" s="22">
        <v>33756</v>
      </c>
      <c r="F511" s="78" t="s">
        <v>643</v>
      </c>
      <c r="G511" s="78">
        <v>13.16006</v>
      </c>
      <c r="J511" s="78">
        <v>23.3764</v>
      </c>
      <c r="K511" s="78">
        <v>39.037089999999999</v>
      </c>
      <c r="L511" s="78">
        <v>5.667751</v>
      </c>
      <c r="M511" s="78">
        <v>1.7037340000000001</v>
      </c>
      <c r="N511" s="78">
        <v>2.613029</v>
      </c>
      <c r="P511" s="78">
        <v>14.85439</v>
      </c>
      <c r="R511" s="78">
        <v>26.06194</v>
      </c>
      <c r="S511" s="78">
        <v>30.599250000000001</v>
      </c>
      <c r="AA511" s="78">
        <v>20.50648</v>
      </c>
      <c r="AC511" s="78">
        <v>8.1183399999999999</v>
      </c>
      <c r="AD511" s="78">
        <v>2.4836779999999998</v>
      </c>
      <c r="AE511" s="78">
        <v>3.0442390000000001</v>
      </c>
      <c r="AG511" s="78">
        <v>8.6664919999999999</v>
      </c>
      <c r="AH511" s="78">
        <v>5.6561370000000002</v>
      </c>
      <c r="AJ511" s="78">
        <v>63.526000000000003</v>
      </c>
      <c r="AK511" s="78">
        <v>9.0418570000000003</v>
      </c>
      <c r="AO511" s="78">
        <v>2.7752029999999999</v>
      </c>
      <c r="AQ511" s="78">
        <v>23.176380000000002</v>
      </c>
      <c r="AR511" s="78">
        <v>17.16854</v>
      </c>
      <c r="AS511" s="78">
        <v>31.111160000000002</v>
      </c>
      <c r="AT511" s="78">
        <v>3.1025860000000001</v>
      </c>
      <c r="AZ511" s="78">
        <v>23.779630000000001</v>
      </c>
      <c r="BA511" s="78">
        <v>2.1021379999999999E-2</v>
      </c>
      <c r="BB511" s="78">
        <v>28.19979</v>
      </c>
      <c r="BC511" s="78">
        <v>6.5891359999999999</v>
      </c>
      <c r="BD511" s="78">
        <v>18.70082</v>
      </c>
    </row>
    <row r="512" spans="1:56" x14ac:dyDescent="0.2">
      <c r="A512" s="78" t="s">
        <v>660</v>
      </c>
      <c r="B512" s="22">
        <v>34274</v>
      </c>
      <c r="C512" s="22"/>
      <c r="D512" s="22"/>
      <c r="E512" s="22">
        <v>33786</v>
      </c>
      <c r="F512" s="78" t="s">
        <v>644</v>
      </c>
      <c r="G512" s="78">
        <v>13.216089999999999</v>
      </c>
      <c r="J512" s="78">
        <v>23.545960000000001</v>
      </c>
      <c r="K512" s="78">
        <v>39.05744</v>
      </c>
      <c r="L512" s="78">
        <v>5.8190609999999996</v>
      </c>
      <c r="M512" s="78">
        <v>1.736459</v>
      </c>
      <c r="N512" s="78">
        <v>2.6685150000000002</v>
      </c>
      <c r="P512" s="78">
        <v>15.27683</v>
      </c>
      <c r="R512" s="78">
        <v>26.045850000000002</v>
      </c>
      <c r="S512" s="78">
        <v>30.727779999999999</v>
      </c>
      <c r="AA512" s="78">
        <v>20.5871</v>
      </c>
      <c r="AC512" s="78">
        <v>8.3246479999999998</v>
      </c>
      <c r="AD512" s="78">
        <v>2.5039669999999998</v>
      </c>
      <c r="AE512" s="78">
        <v>3.0877189999999999</v>
      </c>
      <c r="AG512" s="78">
        <v>8.7673199999999998</v>
      </c>
      <c r="AH512" s="78">
        <v>5.7269290000000002</v>
      </c>
      <c r="AJ512" s="78">
        <v>63.403300000000002</v>
      </c>
      <c r="AK512" s="78">
        <v>9.1741150000000005</v>
      </c>
      <c r="AO512" s="78">
        <v>2.8342550000000002</v>
      </c>
      <c r="AQ512" s="78">
        <v>23.311499999999999</v>
      </c>
      <c r="AR512" s="78">
        <v>17.246359999999999</v>
      </c>
      <c r="AS512" s="78">
        <v>31.4787</v>
      </c>
      <c r="AT512" s="78">
        <v>3.2138779999999998</v>
      </c>
      <c r="AZ512" s="78">
        <v>23.737220000000001</v>
      </c>
      <c r="BA512" s="78">
        <v>2.2092669999999998E-2</v>
      </c>
      <c r="BB512" s="78">
        <v>28.203939999999999</v>
      </c>
      <c r="BC512" s="78">
        <v>6.6828700000000003</v>
      </c>
      <c r="BD512" s="78">
        <v>18.680050000000001</v>
      </c>
    </row>
    <row r="513" spans="1:56" x14ac:dyDescent="0.2">
      <c r="A513" s="78" t="s">
        <v>661</v>
      </c>
      <c r="B513" s="22">
        <v>34304</v>
      </c>
      <c r="C513" s="22"/>
      <c r="D513" s="22"/>
      <c r="E513" s="22">
        <v>33817</v>
      </c>
      <c r="F513" s="78" t="s">
        <v>645</v>
      </c>
      <c r="G513" s="78">
        <v>13.32536</v>
      </c>
      <c r="J513" s="78">
        <v>23.640499999999999</v>
      </c>
      <c r="K513" s="78">
        <v>39.07546</v>
      </c>
      <c r="L513" s="78">
        <v>5.9341340000000002</v>
      </c>
      <c r="M513" s="78">
        <v>1.7719860000000001</v>
      </c>
      <c r="N513" s="78">
        <v>2.6828219999999998</v>
      </c>
      <c r="P513" s="78">
        <v>15.94716</v>
      </c>
      <c r="R513" s="78">
        <v>26.199670000000001</v>
      </c>
      <c r="S513" s="78">
        <v>30.761369999999999</v>
      </c>
      <c r="AA513" s="78">
        <v>20.613109999999999</v>
      </c>
      <c r="AC513" s="78">
        <v>8.5173400000000008</v>
      </c>
      <c r="AD513" s="78">
        <v>2.5297999999999998</v>
      </c>
      <c r="AE513" s="78">
        <v>3.1252580000000001</v>
      </c>
      <c r="AG513" s="78">
        <v>8.7941029999999998</v>
      </c>
      <c r="AH513" s="78">
        <v>5.8038290000000003</v>
      </c>
      <c r="AJ513" s="78">
        <v>63.427840000000003</v>
      </c>
      <c r="AK513" s="78">
        <v>9.3111569999999997</v>
      </c>
      <c r="AO513" s="78">
        <v>2.8772850000000001</v>
      </c>
      <c r="AQ513" s="78">
        <v>23.542079999999999</v>
      </c>
      <c r="AR513" s="78">
        <v>17.335809999999999</v>
      </c>
      <c r="AS513" s="78">
        <v>31.79176</v>
      </c>
      <c r="AT513" s="78">
        <v>3.300713</v>
      </c>
      <c r="AZ513" s="78">
        <v>23.717759999999998</v>
      </c>
      <c r="BA513" s="78">
        <v>2.3238660000000001E-2</v>
      </c>
      <c r="BB513" s="78">
        <v>28.24466</v>
      </c>
      <c r="BC513" s="78">
        <v>6.7405970000000002</v>
      </c>
      <c r="BD513" s="78">
        <v>18.764019999999999</v>
      </c>
    </row>
    <row r="514" spans="1:56" x14ac:dyDescent="0.2">
      <c r="A514" s="78" t="s">
        <v>662</v>
      </c>
      <c r="B514" s="22">
        <v>34335</v>
      </c>
      <c r="C514" s="22"/>
      <c r="D514" s="22"/>
      <c r="E514" s="22">
        <v>33848</v>
      </c>
      <c r="F514" s="78" t="s">
        <v>646</v>
      </c>
      <c r="G514" s="78">
        <v>13.381399999999999</v>
      </c>
      <c r="J514" s="78">
        <v>23.72203</v>
      </c>
      <c r="K514" s="78">
        <v>39.164909999999999</v>
      </c>
      <c r="L514" s="78">
        <v>6.021388</v>
      </c>
      <c r="M514" s="78">
        <v>1.8116410000000001</v>
      </c>
      <c r="N514" s="78">
        <v>2.7379739999999999</v>
      </c>
      <c r="P514" s="78">
        <v>16.152519999999999</v>
      </c>
      <c r="R514" s="78">
        <v>26.22879</v>
      </c>
      <c r="S514" s="78">
        <v>30.96744</v>
      </c>
      <c r="AA514" s="78">
        <v>20.6982</v>
      </c>
      <c r="AC514" s="78">
        <v>8.6854250000000004</v>
      </c>
      <c r="AD514" s="78">
        <v>2.5665960000000001</v>
      </c>
      <c r="AE514" s="78">
        <v>3.1447579999999999</v>
      </c>
      <c r="AG514" s="78">
        <v>8.7220040000000001</v>
      </c>
      <c r="AH514" s="78">
        <v>6.0183039999999997</v>
      </c>
      <c r="AJ514" s="78">
        <v>63.3215</v>
      </c>
      <c r="AK514" s="78">
        <v>9.4929109999999994</v>
      </c>
      <c r="AO514" s="78">
        <v>2.899365</v>
      </c>
      <c r="AQ514" s="78">
        <v>23.659230000000001</v>
      </c>
      <c r="AR514" s="78">
        <v>17.424430000000001</v>
      </c>
      <c r="AS514" s="78">
        <v>31.940339999999999</v>
      </c>
      <c r="AT514" s="78">
        <v>3.398825</v>
      </c>
      <c r="AZ514" s="78">
        <v>23.268229999999999</v>
      </c>
      <c r="BA514" s="78">
        <v>2.4398059999999999E-2</v>
      </c>
      <c r="BB514" s="78">
        <v>28.340229999999998</v>
      </c>
      <c r="BC514" s="78">
        <v>6.7789830000000002</v>
      </c>
      <c r="BD514" s="78">
        <v>18.82891</v>
      </c>
    </row>
    <row r="515" spans="1:56" x14ac:dyDescent="0.2">
      <c r="A515" s="78" t="s">
        <v>663</v>
      </c>
      <c r="B515" s="22">
        <v>34366</v>
      </c>
      <c r="C515" s="22"/>
      <c r="D515" s="22"/>
      <c r="E515" s="22">
        <v>33878</v>
      </c>
      <c r="F515" s="78" t="s">
        <v>647</v>
      </c>
      <c r="G515" s="78">
        <v>13.3786</v>
      </c>
      <c r="J515" s="78">
        <v>23.86336</v>
      </c>
      <c r="K515" s="78">
        <v>39.143790000000003</v>
      </c>
      <c r="L515" s="78">
        <v>6.1159420000000004</v>
      </c>
      <c r="M515" s="78">
        <v>1.8544339999999999</v>
      </c>
      <c r="N515" s="78">
        <v>2.8266689999999999</v>
      </c>
      <c r="P515" s="78">
        <v>16.239059999999998</v>
      </c>
      <c r="R515" s="78">
        <v>26.234310000000001</v>
      </c>
      <c r="S515" s="78">
        <v>31.196110000000001</v>
      </c>
      <c r="AA515" s="78">
        <v>20.911670000000001</v>
      </c>
      <c r="AC515" s="78">
        <v>8.8045919999999995</v>
      </c>
      <c r="AD515" s="78">
        <v>2.6182650000000001</v>
      </c>
      <c r="AE515" s="78">
        <v>3.1816110000000002</v>
      </c>
      <c r="AG515" s="78">
        <v>8.7521350000000009</v>
      </c>
      <c r="AH515" s="78">
        <v>6.0891590000000004</v>
      </c>
      <c r="AJ515" s="78">
        <v>63.370579999999997</v>
      </c>
      <c r="AK515" s="78">
        <v>9.6737210000000005</v>
      </c>
      <c r="AO515" s="78">
        <v>2.9604349999999999</v>
      </c>
      <c r="AQ515" s="78">
        <v>23.761500000000002</v>
      </c>
      <c r="AR515" s="78">
        <v>17.540780000000002</v>
      </c>
      <c r="AS515" s="78">
        <v>32.153799999999997</v>
      </c>
      <c r="AT515" s="78">
        <v>3.5446900000000001</v>
      </c>
      <c r="AZ515" s="78">
        <v>22.821120000000001</v>
      </c>
      <c r="BA515" s="78">
        <v>2.5307360000000001E-2</v>
      </c>
      <c r="BB515" s="78">
        <v>28.45242</v>
      </c>
      <c r="BC515" s="78">
        <v>6.8253779999999997</v>
      </c>
      <c r="BD515" s="78">
        <v>18.919080000000001</v>
      </c>
    </row>
    <row r="516" spans="1:56" x14ac:dyDescent="0.2">
      <c r="A516" s="78" t="s">
        <v>664</v>
      </c>
      <c r="B516" s="22">
        <v>34394</v>
      </c>
      <c r="C516" s="22"/>
      <c r="D516" s="22"/>
      <c r="E516" s="22">
        <v>33909</v>
      </c>
      <c r="F516" s="78" t="s">
        <v>648</v>
      </c>
      <c r="G516" s="78">
        <v>13.41502</v>
      </c>
      <c r="J516" s="78">
        <v>24.098320000000001</v>
      </c>
      <c r="K516" s="78">
        <v>39.240859999999998</v>
      </c>
      <c r="L516" s="78">
        <v>6.2275869999999998</v>
      </c>
      <c r="M516" s="78">
        <v>1.8987270000000001</v>
      </c>
      <c r="N516" s="78">
        <v>2.8952</v>
      </c>
      <c r="P516" s="78">
        <v>16.557359999999999</v>
      </c>
      <c r="R516" s="78">
        <v>26.391439999999999</v>
      </c>
      <c r="S516" s="78">
        <v>31.398350000000001</v>
      </c>
      <c r="AA516" s="78">
        <v>21.025269999999999</v>
      </c>
      <c r="AC516" s="78">
        <v>8.9262949999999996</v>
      </c>
      <c r="AD516" s="78">
        <v>2.6740460000000001</v>
      </c>
      <c r="AE516" s="78">
        <v>3.22471</v>
      </c>
      <c r="AG516" s="78">
        <v>8.7772430000000004</v>
      </c>
      <c r="AH516" s="78">
        <v>6.0902729999999998</v>
      </c>
      <c r="AJ516" s="78">
        <v>63.411479999999997</v>
      </c>
      <c r="AK516" s="78">
        <v>9.8409119999999994</v>
      </c>
      <c r="AO516" s="78">
        <v>3.0216080000000001</v>
      </c>
      <c r="AQ516" s="78">
        <v>23.900549999999999</v>
      </c>
      <c r="AR516" s="78">
        <v>17.63719</v>
      </c>
      <c r="AS516" s="78">
        <v>32.346440000000001</v>
      </c>
      <c r="AT516" s="78">
        <v>3.6862439999999999</v>
      </c>
      <c r="AZ516" s="78">
        <v>23.385390000000001</v>
      </c>
      <c r="BA516" s="78">
        <v>2.6120540000000001E-2</v>
      </c>
      <c r="BB516" s="78">
        <v>28.47485</v>
      </c>
      <c r="BC516" s="78">
        <v>6.8878969999999997</v>
      </c>
      <c r="BD516" s="78">
        <v>19.087779999999999</v>
      </c>
    </row>
    <row r="517" spans="1:56" x14ac:dyDescent="0.2">
      <c r="A517" s="78" t="s">
        <v>665</v>
      </c>
      <c r="B517" s="22">
        <v>34425</v>
      </c>
      <c r="C517" s="22"/>
      <c r="D517" s="22"/>
      <c r="E517" s="22">
        <v>33939</v>
      </c>
      <c r="F517" s="78" t="s">
        <v>649</v>
      </c>
      <c r="G517" s="78">
        <v>13.476660000000001</v>
      </c>
      <c r="J517" s="78">
        <v>24.105550000000001</v>
      </c>
      <c r="K517" s="78">
        <v>39.495759999999997</v>
      </c>
      <c r="L517" s="78">
        <v>6.335655</v>
      </c>
      <c r="M517" s="78">
        <v>1.940652</v>
      </c>
      <c r="N517" s="78">
        <v>2.9874000000000001</v>
      </c>
      <c r="P517" s="78">
        <v>16.860990000000001</v>
      </c>
      <c r="R517" s="78">
        <v>25.960509999999999</v>
      </c>
      <c r="S517" s="78">
        <v>31.979769999999998</v>
      </c>
      <c r="AA517" s="78">
        <v>20.982019999999999</v>
      </c>
      <c r="AC517" s="78">
        <v>9.0201989999999999</v>
      </c>
      <c r="AD517" s="78">
        <v>2.6902780000000002</v>
      </c>
      <c r="AE517" s="78">
        <v>3.2464029999999999</v>
      </c>
      <c r="AG517" s="78">
        <v>8.8291419999999992</v>
      </c>
      <c r="AH517" s="78">
        <v>6.2458039999999997</v>
      </c>
      <c r="AJ517" s="78">
        <v>63.542360000000002</v>
      </c>
      <c r="AK517" s="78">
        <v>10.0116</v>
      </c>
      <c r="AO517" s="78">
        <v>3.0699070000000002</v>
      </c>
      <c r="AQ517" s="78">
        <v>24.386769999999999</v>
      </c>
      <c r="AR517" s="78">
        <v>17.713830000000002</v>
      </c>
      <c r="AS517" s="78">
        <v>32.567749999999997</v>
      </c>
      <c r="AT517" s="78">
        <v>3.804427</v>
      </c>
      <c r="AZ517" s="78">
        <v>24.26369</v>
      </c>
      <c r="BA517" s="78">
        <v>2.703784E-2</v>
      </c>
      <c r="BB517" s="78">
        <v>28.459890000000001</v>
      </c>
      <c r="BC517" s="78">
        <v>6.9169960000000001</v>
      </c>
      <c r="BD517" s="78">
        <v>19.085059999999999</v>
      </c>
    </row>
    <row r="518" spans="1:56" x14ac:dyDescent="0.2">
      <c r="A518" s="78" t="s">
        <v>666</v>
      </c>
      <c r="B518" s="22">
        <v>34455</v>
      </c>
      <c r="C518" s="22"/>
      <c r="D518" s="22"/>
      <c r="E518" s="22">
        <v>33970</v>
      </c>
      <c r="F518" s="78" t="s">
        <v>650</v>
      </c>
      <c r="G518" s="78">
        <v>13.56071</v>
      </c>
      <c r="J518" s="78">
        <v>24.18113</v>
      </c>
      <c r="K518" s="78">
        <v>39.581339999999997</v>
      </c>
      <c r="L518" s="78">
        <v>6.5013509999999997</v>
      </c>
      <c r="M518" s="78">
        <v>2.0748989999999998</v>
      </c>
      <c r="N518" s="78">
        <v>3.0645259999999999</v>
      </c>
      <c r="P518" s="78">
        <v>16.913789999999999</v>
      </c>
      <c r="R518" s="78">
        <v>25.64733</v>
      </c>
      <c r="S518" s="78">
        <v>32.211370000000002</v>
      </c>
      <c r="AA518" s="78">
        <v>20.956510000000002</v>
      </c>
      <c r="AC518" s="78">
        <v>9.1391760000000009</v>
      </c>
      <c r="AD518" s="78">
        <v>2.701066</v>
      </c>
      <c r="AE518" s="78">
        <v>3.2751809999999999</v>
      </c>
      <c r="AG518" s="78">
        <v>8.8546080000000007</v>
      </c>
      <c r="AH518" s="78">
        <v>6.4339459999999997</v>
      </c>
      <c r="AJ518" s="78">
        <v>63.583260000000003</v>
      </c>
      <c r="AK518" s="78">
        <v>10.18838</v>
      </c>
      <c r="AO518" s="78">
        <v>3.1439659999999998</v>
      </c>
      <c r="AQ518" s="78">
        <v>24.625769999999999</v>
      </c>
      <c r="AR518" s="78">
        <v>17.794429999999998</v>
      </c>
      <c r="AS518" s="78">
        <v>32.860010000000003</v>
      </c>
      <c r="AT518" s="78">
        <v>3.9336389999999999</v>
      </c>
      <c r="AZ518" s="78">
        <v>24.695360000000001</v>
      </c>
      <c r="BA518" s="78">
        <v>2.8211670000000001E-2</v>
      </c>
      <c r="BB518" s="78">
        <v>28.413360000000001</v>
      </c>
      <c r="BC518" s="78">
        <v>6.841939</v>
      </c>
      <c r="BD518" s="78">
        <v>18.969629999999999</v>
      </c>
    </row>
    <row r="519" spans="1:56" x14ac:dyDescent="0.2">
      <c r="A519" s="78" t="s">
        <v>667</v>
      </c>
      <c r="B519" s="22">
        <v>34486</v>
      </c>
      <c r="C519" s="22"/>
      <c r="D519" s="22"/>
      <c r="E519" s="22">
        <v>34001</v>
      </c>
      <c r="F519" s="78" t="s">
        <v>651</v>
      </c>
      <c r="G519" s="78">
        <v>13.661580000000001</v>
      </c>
      <c r="J519" s="78">
        <v>24.317399999999999</v>
      </c>
      <c r="K519" s="78">
        <v>39.666359999999997</v>
      </c>
      <c r="L519" s="78">
        <v>6.633216</v>
      </c>
      <c r="M519" s="78">
        <v>2.211827</v>
      </c>
      <c r="N519" s="78">
        <v>3.1341939999999999</v>
      </c>
      <c r="P519" s="78">
        <v>16.699639999999999</v>
      </c>
      <c r="R519" s="78">
        <v>25.91966</v>
      </c>
      <c r="S519" s="78">
        <v>32.077010000000001</v>
      </c>
      <c r="AA519" s="78">
        <v>21.027360000000002</v>
      </c>
      <c r="AC519" s="78">
        <v>9.3076419999999995</v>
      </c>
      <c r="AD519" s="78">
        <v>2.7532459999999999</v>
      </c>
      <c r="AE519" s="78">
        <v>3.3063750000000001</v>
      </c>
      <c r="AG519" s="78">
        <v>8.8758140000000001</v>
      </c>
      <c r="AH519" s="78">
        <v>6.5981889999999996</v>
      </c>
      <c r="AJ519" s="78">
        <v>63.722320000000003</v>
      </c>
      <c r="AK519" s="78">
        <v>10.35079</v>
      </c>
      <c r="AO519" s="78">
        <v>3.2257859999999998</v>
      </c>
      <c r="AQ519" s="78">
        <v>24.450520000000001</v>
      </c>
      <c r="AR519" s="78">
        <v>17.87424</v>
      </c>
      <c r="AS519" s="78">
        <v>33.161709999999999</v>
      </c>
      <c r="AT519" s="78">
        <v>4.0632380000000001</v>
      </c>
      <c r="AZ519" s="78">
        <v>24.899329999999999</v>
      </c>
      <c r="BA519" s="78">
        <v>2.9485419999999998E-2</v>
      </c>
      <c r="BB519" s="78">
        <v>28.375129999999999</v>
      </c>
      <c r="BC519" s="78">
        <v>6.8438629999999998</v>
      </c>
      <c r="BD519" s="78">
        <v>19.03575</v>
      </c>
    </row>
    <row r="520" spans="1:56" x14ac:dyDescent="0.2">
      <c r="A520" s="78" t="s">
        <v>668</v>
      </c>
      <c r="B520" s="22">
        <v>34516</v>
      </c>
      <c r="C520" s="22"/>
      <c r="D520" s="22"/>
      <c r="E520" s="22">
        <v>34029</v>
      </c>
      <c r="F520" s="78" t="s">
        <v>652</v>
      </c>
      <c r="G520" s="78">
        <v>13.73443</v>
      </c>
      <c r="J520" s="78">
        <v>24.41769</v>
      </c>
      <c r="K520" s="78">
        <v>39.951819999999998</v>
      </c>
      <c r="L520" s="78">
        <v>6.6805099999999999</v>
      </c>
      <c r="M520" s="78">
        <v>2.256151</v>
      </c>
      <c r="N520" s="78">
        <v>3.220094</v>
      </c>
      <c r="P520" s="78">
        <v>16.572030000000002</v>
      </c>
      <c r="R520" s="78">
        <v>26.23442</v>
      </c>
      <c r="S520" s="78">
        <v>32.296100000000003</v>
      </c>
      <c r="AA520" s="78">
        <v>21.102679999999999</v>
      </c>
      <c r="AC520" s="78">
        <v>9.4346569999999996</v>
      </c>
      <c r="AD520" s="78">
        <v>2.8186309999999999</v>
      </c>
      <c r="AE520" s="78">
        <v>3.3424680000000002</v>
      </c>
      <c r="AG520" s="78">
        <v>8.8600410000000007</v>
      </c>
      <c r="AH520" s="78">
        <v>6.674175</v>
      </c>
      <c r="AJ520" s="78">
        <v>63.61598</v>
      </c>
      <c r="AK520" s="78">
        <v>10.502789999999999</v>
      </c>
      <c r="AO520" s="78">
        <v>3.2831890000000001</v>
      </c>
      <c r="AQ520" s="78">
        <v>24.392980000000001</v>
      </c>
      <c r="AR520" s="78">
        <v>17.931460000000001</v>
      </c>
      <c r="AS520" s="78">
        <v>33.32414</v>
      </c>
      <c r="AT520" s="78">
        <v>4.1759430000000002</v>
      </c>
      <c r="AZ520" s="78">
        <v>24.89593</v>
      </c>
      <c r="BA520" s="78">
        <v>3.076164E-2</v>
      </c>
      <c r="BB520" s="78">
        <v>28.351859999999999</v>
      </c>
      <c r="BC520" s="78">
        <v>6.8727</v>
      </c>
      <c r="BD520" s="78">
        <v>19.031610000000001</v>
      </c>
    </row>
    <row r="521" spans="1:56" x14ac:dyDescent="0.2">
      <c r="A521" s="78" t="s">
        <v>669</v>
      </c>
      <c r="B521" s="22">
        <v>34547</v>
      </c>
      <c r="C521" s="22"/>
      <c r="D521" s="22"/>
      <c r="E521" s="22">
        <v>34060</v>
      </c>
      <c r="F521" s="78" t="s">
        <v>653</v>
      </c>
      <c r="G521" s="78">
        <v>13.770849999999999</v>
      </c>
      <c r="J521" s="78">
        <v>24.410609999999998</v>
      </c>
      <c r="K521" s="78">
        <v>40.151499999999999</v>
      </c>
      <c r="L521" s="78">
        <v>6.8223070000000003</v>
      </c>
      <c r="M521" s="78">
        <v>2.2918440000000002</v>
      </c>
      <c r="N521" s="78">
        <v>3.2930489999999999</v>
      </c>
      <c r="P521" s="78">
        <v>16.79645</v>
      </c>
      <c r="R521" s="78">
        <v>26.637869999999999</v>
      </c>
      <c r="S521" s="78">
        <v>32.510750000000002</v>
      </c>
      <c r="AA521" s="78">
        <v>21.116959999999999</v>
      </c>
      <c r="AC521" s="78">
        <v>9.5639590000000005</v>
      </c>
      <c r="AD521" s="78">
        <v>2.8443019999999999</v>
      </c>
      <c r="AE521" s="78">
        <v>3.4112360000000002</v>
      </c>
      <c r="AG521" s="78">
        <v>8.8622940000000003</v>
      </c>
      <c r="AH521" s="78">
        <v>6.7575719999999997</v>
      </c>
      <c r="AJ521" s="78">
        <v>63.86956</v>
      </c>
      <c r="AK521" s="78">
        <v>10.64273</v>
      </c>
      <c r="AO521" s="78">
        <v>3.3579020000000002</v>
      </c>
      <c r="AQ521" s="78">
        <v>24.429600000000001</v>
      </c>
      <c r="AR521" s="78">
        <v>18.010929999999998</v>
      </c>
      <c r="AS521" s="78">
        <v>33.375639999999997</v>
      </c>
      <c r="AT521" s="78">
        <v>4.2821689999999997</v>
      </c>
      <c r="AZ521" s="78">
        <v>24.80884</v>
      </c>
      <c r="BA521" s="78">
        <v>3.19184E-2</v>
      </c>
      <c r="BB521" s="78">
        <v>28.34854</v>
      </c>
      <c r="BC521" s="78">
        <v>6.8723330000000002</v>
      </c>
      <c r="BD521" s="78">
        <v>19.11148</v>
      </c>
    </row>
    <row r="522" spans="1:56" x14ac:dyDescent="0.2">
      <c r="A522" s="78" t="s">
        <v>670</v>
      </c>
      <c r="B522" s="22">
        <v>34578</v>
      </c>
      <c r="C522" s="22"/>
      <c r="D522" s="22"/>
      <c r="E522" s="22">
        <v>34090</v>
      </c>
      <c r="F522" s="78" t="s">
        <v>654</v>
      </c>
      <c r="G522" s="78">
        <v>13.798870000000001</v>
      </c>
      <c r="J522" s="78">
        <v>24.44012</v>
      </c>
      <c r="K522" s="78">
        <v>40.094329999999999</v>
      </c>
      <c r="L522" s="78">
        <v>6.9980359999999999</v>
      </c>
      <c r="M522" s="78">
        <v>2.3300290000000001</v>
      </c>
      <c r="N522" s="78">
        <v>3.3887350000000001</v>
      </c>
      <c r="P522" s="78">
        <v>17.111809999999998</v>
      </c>
      <c r="R522" s="78">
        <v>26.933820000000001</v>
      </c>
      <c r="S522" s="78">
        <v>32.645150000000001</v>
      </c>
      <c r="AA522" s="78">
        <v>21.13156</v>
      </c>
      <c r="AC522" s="78">
        <v>9.6800280000000001</v>
      </c>
      <c r="AD522" s="78">
        <v>2.8436840000000001</v>
      </c>
      <c r="AE522" s="78">
        <v>3.466968</v>
      </c>
      <c r="AG522" s="78">
        <v>8.8698619999999995</v>
      </c>
      <c r="AH522" s="78">
        <v>6.8540299999999998</v>
      </c>
      <c r="AJ522" s="78">
        <v>64.139499999999998</v>
      </c>
      <c r="AK522" s="78">
        <v>10.79194</v>
      </c>
      <c r="AO522" s="78">
        <v>3.436906</v>
      </c>
      <c r="AQ522" s="78">
        <v>24.536840000000002</v>
      </c>
      <c r="AR522" s="78">
        <v>18.1645</v>
      </c>
      <c r="AS522" s="78">
        <v>33.447870000000002</v>
      </c>
      <c r="AT522" s="78">
        <v>4.3750109999999998</v>
      </c>
      <c r="AZ522" s="78">
        <v>24.957339999999999</v>
      </c>
      <c r="BA522" s="78">
        <v>3.336132E-2</v>
      </c>
      <c r="BB522" s="78">
        <v>28.56128</v>
      </c>
      <c r="BC522" s="78">
        <v>6.8792580000000001</v>
      </c>
      <c r="BD522" s="78">
        <v>19.345469999999999</v>
      </c>
    </row>
    <row r="523" spans="1:56" x14ac:dyDescent="0.2">
      <c r="A523" s="78" t="s">
        <v>671</v>
      </c>
      <c r="B523" s="22">
        <v>34608</v>
      </c>
      <c r="C523" s="22"/>
      <c r="D523" s="22"/>
      <c r="E523" s="22">
        <v>34121</v>
      </c>
      <c r="F523" s="78" t="s">
        <v>655</v>
      </c>
      <c r="G523" s="78">
        <v>13.91094</v>
      </c>
      <c r="J523" s="78">
        <v>24.483599999999999</v>
      </c>
      <c r="K523" s="78">
        <v>40.124160000000003</v>
      </c>
      <c r="L523" s="78">
        <v>7.1274459999999999</v>
      </c>
      <c r="M523" s="78">
        <v>2.376665</v>
      </c>
      <c r="N523" s="78">
        <v>3.5128409999999999</v>
      </c>
      <c r="P523" s="78">
        <v>17.386099999999999</v>
      </c>
      <c r="R523" s="78">
        <v>27.165199999999999</v>
      </c>
      <c r="S523" s="78">
        <v>32.806049999999999</v>
      </c>
      <c r="AA523" s="78">
        <v>21.203019999999999</v>
      </c>
      <c r="AC523" s="78">
        <v>9.7477450000000001</v>
      </c>
      <c r="AD523" s="78">
        <v>2.875759</v>
      </c>
      <c r="AE523" s="78">
        <v>3.4904850000000001</v>
      </c>
      <c r="AG523" s="78">
        <v>8.9374520000000004</v>
      </c>
      <c r="AH523" s="78">
        <v>6.9467910000000002</v>
      </c>
      <c r="AJ523" s="78">
        <v>64.278559999999999</v>
      </c>
      <c r="AK523" s="78">
        <v>10.969390000000001</v>
      </c>
      <c r="AO523" s="78">
        <v>3.5201470000000001</v>
      </c>
      <c r="AQ523" s="78">
        <v>24.64669</v>
      </c>
      <c r="AR523" s="78">
        <v>18.258150000000001</v>
      </c>
      <c r="AS523" s="78">
        <v>33.573779999999999</v>
      </c>
      <c r="AT523" s="78">
        <v>4.4648269999999997</v>
      </c>
      <c r="AZ523" s="78">
        <v>25.059539999999998</v>
      </c>
      <c r="BA523" s="78">
        <v>3.4268470000000002E-2</v>
      </c>
      <c r="BB523" s="78">
        <v>28.60699</v>
      </c>
      <c r="BC523" s="78">
        <v>6.8539180000000002</v>
      </c>
      <c r="BD523" s="78">
        <v>19.53069</v>
      </c>
    </row>
    <row r="524" spans="1:56" x14ac:dyDescent="0.2">
      <c r="A524" s="78" t="s">
        <v>672</v>
      </c>
      <c r="B524" s="22">
        <v>34639</v>
      </c>
      <c r="C524" s="22"/>
      <c r="D524" s="22"/>
      <c r="E524" s="22">
        <v>34151</v>
      </c>
      <c r="F524" s="78" t="s">
        <v>656</v>
      </c>
      <c r="G524" s="78">
        <v>14.02862</v>
      </c>
      <c r="J524" s="78">
        <v>24.552199999999999</v>
      </c>
      <c r="K524" s="78">
        <v>40.385809999999999</v>
      </c>
      <c r="L524" s="78">
        <v>7.2623480000000002</v>
      </c>
      <c r="M524" s="78">
        <v>2.38158</v>
      </c>
      <c r="N524" s="78">
        <v>3.6732019999999999</v>
      </c>
      <c r="P524" s="78">
        <v>17.82321</v>
      </c>
      <c r="R524" s="78">
        <v>27.432179999999999</v>
      </c>
      <c r="S524" s="78">
        <v>32.840850000000003</v>
      </c>
      <c r="AA524" s="78">
        <v>21.342780000000001</v>
      </c>
      <c r="AC524" s="78">
        <v>9.8813870000000001</v>
      </c>
      <c r="AD524" s="78">
        <v>2.9305599999999998</v>
      </c>
      <c r="AE524" s="78">
        <v>3.5269520000000001</v>
      </c>
      <c r="AG524" s="78">
        <v>9.1413860000000007</v>
      </c>
      <c r="AH524" s="78">
        <v>7.0444100000000001</v>
      </c>
      <c r="AJ524" s="78">
        <v>64.270390000000006</v>
      </c>
      <c r="AK524" s="78">
        <v>11.158300000000001</v>
      </c>
      <c r="AO524" s="78">
        <v>3.5986069999999999</v>
      </c>
      <c r="AQ524" s="78">
        <v>24.748699999999999</v>
      </c>
      <c r="AR524" s="78">
        <v>18.333880000000001</v>
      </c>
      <c r="AS524" s="78">
        <v>33.854509999999998</v>
      </c>
      <c r="AT524" s="78">
        <v>4.55884</v>
      </c>
      <c r="AZ524" s="78">
        <v>25.214449999999999</v>
      </c>
      <c r="BA524" s="78">
        <v>3.4972660000000003E-2</v>
      </c>
      <c r="BB524" s="78">
        <v>28.603660000000001</v>
      </c>
      <c r="BC524" s="78">
        <v>6.8486539999999998</v>
      </c>
      <c r="BD524" s="78">
        <v>19.99483</v>
      </c>
    </row>
    <row r="525" spans="1:56" x14ac:dyDescent="0.2">
      <c r="A525" s="78" t="s">
        <v>673</v>
      </c>
      <c r="B525" s="22">
        <v>34669</v>
      </c>
      <c r="C525" s="22"/>
      <c r="D525" s="22"/>
      <c r="E525" s="22">
        <v>34182</v>
      </c>
      <c r="F525" s="78" t="s">
        <v>657</v>
      </c>
      <c r="G525" s="78">
        <v>14.03702</v>
      </c>
      <c r="J525" s="78">
        <v>24.55509</v>
      </c>
      <c r="K525" s="78">
        <v>40.666370000000001</v>
      </c>
      <c r="L525" s="78">
        <v>7.3911259999999999</v>
      </c>
      <c r="M525" s="78">
        <v>2.391276</v>
      </c>
      <c r="N525" s="78">
        <v>3.8210000000000002</v>
      </c>
      <c r="P525" s="78">
        <v>18.26032</v>
      </c>
      <c r="R525" s="78">
        <v>27.758019999999998</v>
      </c>
      <c r="S525" s="78">
        <v>32.803669999999997</v>
      </c>
      <c r="AA525" s="78">
        <v>21.457190000000001</v>
      </c>
      <c r="AC525" s="78">
        <v>9.9948490000000003</v>
      </c>
      <c r="AD525" s="78">
        <v>3.0095429999999999</v>
      </c>
      <c r="AE525" s="78">
        <v>3.577121</v>
      </c>
      <c r="AG525" s="78">
        <v>9.2204060000000005</v>
      </c>
      <c r="AH525" s="78">
        <v>7.1994670000000003</v>
      </c>
      <c r="AJ525" s="78">
        <v>64.409450000000007</v>
      </c>
      <c r="AK525" s="78">
        <v>11.37093</v>
      </c>
      <c r="AO525" s="78">
        <v>3.6528209999999999</v>
      </c>
      <c r="AQ525" s="78">
        <v>24.801010000000002</v>
      </c>
      <c r="AR525" s="78">
        <v>18.430019999999999</v>
      </c>
      <c r="AS525" s="78">
        <v>34.048220000000001</v>
      </c>
      <c r="AT525" s="78">
        <v>4.695856</v>
      </c>
      <c r="AZ525" s="78">
        <v>25.46311</v>
      </c>
      <c r="BA525" s="78">
        <v>3.6485389999999999E-2</v>
      </c>
      <c r="BB525" s="78">
        <v>28.634409999999999</v>
      </c>
      <c r="BC525" s="78">
        <v>6.9498730000000002</v>
      </c>
      <c r="BD525" s="78">
        <v>20.284859999999998</v>
      </c>
    </row>
    <row r="526" spans="1:56" x14ac:dyDescent="0.2">
      <c r="A526" s="78" t="s">
        <v>674</v>
      </c>
      <c r="B526" s="22">
        <v>34700</v>
      </c>
      <c r="C526" s="22"/>
      <c r="D526" s="22"/>
      <c r="E526" s="22">
        <v>34213</v>
      </c>
      <c r="F526" s="78" t="s">
        <v>658</v>
      </c>
      <c r="G526" s="78">
        <v>14.07344</v>
      </c>
      <c r="J526" s="78">
        <v>24.659109999999998</v>
      </c>
      <c r="K526" s="78">
        <v>40.81391</v>
      </c>
      <c r="L526" s="78">
        <v>7.5305799999999996</v>
      </c>
      <c r="M526" s="78">
        <v>2.44537</v>
      </c>
      <c r="N526" s="78">
        <v>3.926342</v>
      </c>
      <c r="P526" s="78">
        <v>18.452470000000002</v>
      </c>
      <c r="R526" s="78">
        <v>28.198830000000001</v>
      </c>
      <c r="S526" s="78">
        <v>32.843910000000001</v>
      </c>
      <c r="AA526" s="78">
        <v>21.505970000000001</v>
      </c>
      <c r="AC526" s="78">
        <v>10.092750000000001</v>
      </c>
      <c r="AD526" s="78">
        <v>3.087968</v>
      </c>
      <c r="AE526" s="78">
        <v>3.6154679999999999</v>
      </c>
      <c r="AG526" s="78">
        <v>9.144838</v>
      </c>
      <c r="AH526" s="78">
        <v>7.3944619999999999</v>
      </c>
      <c r="AJ526" s="78">
        <v>64.409450000000007</v>
      </c>
      <c r="AK526" s="78">
        <v>11.490550000000001</v>
      </c>
      <c r="AO526" s="78">
        <v>3.7144849999999998</v>
      </c>
      <c r="AQ526" s="78">
        <v>24.782699999999998</v>
      </c>
      <c r="AR526" s="78">
        <v>18.525790000000001</v>
      </c>
      <c r="AS526" s="78">
        <v>34.265839999999997</v>
      </c>
      <c r="AT526" s="78">
        <v>4.8211300000000001</v>
      </c>
      <c r="AZ526" s="78">
        <v>25.51521</v>
      </c>
      <c r="BA526" s="78">
        <v>3.8001630000000002E-2</v>
      </c>
      <c r="BB526" s="78">
        <v>28.68843</v>
      </c>
      <c r="BC526" s="78">
        <v>7.0829029999999999</v>
      </c>
      <c r="BD526" s="78">
        <v>20.162970000000001</v>
      </c>
    </row>
    <row r="527" spans="1:56" x14ac:dyDescent="0.2">
      <c r="A527" s="78" t="s">
        <v>675</v>
      </c>
      <c r="B527" s="22">
        <v>34731</v>
      </c>
      <c r="C527" s="22"/>
      <c r="D527" s="22"/>
      <c r="E527" s="22">
        <v>34243</v>
      </c>
      <c r="F527" s="78" t="s">
        <v>659</v>
      </c>
      <c r="G527" s="78">
        <v>14.165900000000001</v>
      </c>
      <c r="J527" s="78">
        <v>24.766580000000001</v>
      </c>
      <c r="K527" s="78">
        <v>41.065170000000002</v>
      </c>
      <c r="L527" s="78">
        <v>7.692958</v>
      </c>
      <c r="M527" s="78">
        <v>2.5238160000000001</v>
      </c>
      <c r="N527" s="78">
        <v>4.0408039999999996</v>
      </c>
      <c r="P527" s="78">
        <v>18.544879999999999</v>
      </c>
      <c r="R527" s="78">
        <v>28.641649999999998</v>
      </c>
      <c r="S527" s="78">
        <v>33.021439999999998</v>
      </c>
      <c r="AA527" s="78">
        <v>21.60697</v>
      </c>
      <c r="AC527" s="78">
        <v>10.192019999999999</v>
      </c>
      <c r="AD527" s="78">
        <v>3.1384219999999998</v>
      </c>
      <c r="AE527" s="78">
        <v>3.646096</v>
      </c>
      <c r="AG527" s="78">
        <v>9.119567</v>
      </c>
      <c r="AH527" s="78">
        <v>7.6005349999999998</v>
      </c>
      <c r="AJ527" s="78">
        <v>64.523960000000002</v>
      </c>
      <c r="AK527" s="78">
        <v>11.59745</v>
      </c>
      <c r="AO527" s="78">
        <v>3.7696540000000001</v>
      </c>
      <c r="AQ527" s="78">
        <v>24.725159999999999</v>
      </c>
      <c r="AR527" s="78">
        <v>18.626339999999999</v>
      </c>
      <c r="AS527" s="78">
        <v>34.701210000000003</v>
      </c>
      <c r="AT527" s="78">
        <v>4.9300139999999999</v>
      </c>
      <c r="AZ527" s="78">
        <v>25.64697</v>
      </c>
      <c r="BA527" s="78">
        <v>3.966008E-2</v>
      </c>
      <c r="BB527" s="78">
        <v>28.725819999999999</v>
      </c>
      <c r="BC527" s="78">
        <v>7.1561769999999996</v>
      </c>
      <c r="BD527" s="78">
        <v>20.183530000000001</v>
      </c>
    </row>
    <row r="528" spans="1:56" x14ac:dyDescent="0.2">
      <c r="A528" s="78" t="s">
        <v>676</v>
      </c>
      <c r="B528" s="22">
        <v>34759</v>
      </c>
      <c r="C528" s="22"/>
      <c r="D528" s="22"/>
      <c r="E528" s="22">
        <v>34274</v>
      </c>
      <c r="F528" s="78" t="s">
        <v>660</v>
      </c>
      <c r="G528" s="78">
        <v>14.23315</v>
      </c>
      <c r="J528" s="78">
        <v>24.736750000000001</v>
      </c>
      <c r="K528" s="78">
        <v>41.366849999999999</v>
      </c>
      <c r="L528" s="78">
        <v>7.8292469999999996</v>
      </c>
      <c r="M528" s="78">
        <v>2.6057260000000002</v>
      </c>
      <c r="N528" s="78">
        <v>4.1812620000000003</v>
      </c>
      <c r="P528" s="78">
        <v>18.844110000000001</v>
      </c>
      <c r="R528" s="78">
        <v>28.92183</v>
      </c>
      <c r="S528" s="78">
        <v>33.293520000000001</v>
      </c>
      <c r="AA528" s="78">
        <v>21.771070000000002</v>
      </c>
      <c r="AC528" s="78">
        <v>10.26221</v>
      </c>
      <c r="AD528" s="78">
        <v>3.1904819999999998</v>
      </c>
      <c r="AE528" s="78">
        <v>3.6980019999999998</v>
      </c>
      <c r="AG528" s="78">
        <v>9.1799730000000004</v>
      </c>
      <c r="AH528" s="78">
        <v>7.8374629999999996</v>
      </c>
      <c r="AJ528" s="78">
        <v>64.466710000000006</v>
      </c>
      <c r="AK528" s="78">
        <v>11.75766</v>
      </c>
      <c r="AO528" s="78">
        <v>3.7834349999999999</v>
      </c>
      <c r="AQ528" s="78">
        <v>24.701619999999998</v>
      </c>
      <c r="AR528" s="78">
        <v>18.730360000000001</v>
      </c>
      <c r="AS528" s="78">
        <v>35.170360000000002</v>
      </c>
      <c r="AT528" s="78">
        <v>5.0539290000000001</v>
      </c>
      <c r="AZ528" s="78">
        <v>25.733750000000001</v>
      </c>
      <c r="BA528" s="78">
        <v>4.1683159999999997E-2</v>
      </c>
      <c r="BB528" s="78">
        <v>28.83718</v>
      </c>
      <c r="BC528" s="78">
        <v>7.2548430000000002</v>
      </c>
      <c r="BD528" s="78">
        <v>20.315190000000001</v>
      </c>
    </row>
    <row r="529" spans="1:56" x14ac:dyDescent="0.2">
      <c r="A529" s="78" t="s">
        <v>677</v>
      </c>
      <c r="B529" s="22">
        <v>34790</v>
      </c>
      <c r="C529" s="22"/>
      <c r="D529" s="22"/>
      <c r="E529" s="22">
        <v>34304</v>
      </c>
      <c r="F529" s="78" t="s">
        <v>661</v>
      </c>
      <c r="G529" s="78">
        <v>14.294790000000001</v>
      </c>
      <c r="J529" s="78">
        <v>24.79899</v>
      </c>
      <c r="K529" s="78">
        <v>41.530169999999998</v>
      </c>
      <c r="L529" s="78">
        <v>7.9719230000000003</v>
      </c>
      <c r="M529" s="78">
        <v>2.6642000000000001</v>
      </c>
      <c r="N529" s="78">
        <v>4.3162010000000004</v>
      </c>
      <c r="P529" s="78">
        <v>19.364830000000001</v>
      </c>
      <c r="R529" s="78">
        <v>29.07011</v>
      </c>
      <c r="S529" s="78">
        <v>33.942790000000002</v>
      </c>
      <c r="AA529" s="78">
        <v>21.94078</v>
      </c>
      <c r="AC529" s="78">
        <v>10.39161</v>
      </c>
      <c r="AD529" s="78">
        <v>3.2480310000000001</v>
      </c>
      <c r="AE529" s="78">
        <v>3.765539</v>
      </c>
      <c r="AG529" s="78">
        <v>9.3121139999999993</v>
      </c>
      <c r="AH529" s="78">
        <v>8.0931390000000007</v>
      </c>
      <c r="AJ529" s="78">
        <v>64.540319999999994</v>
      </c>
      <c r="AK529" s="78">
        <v>11.91662</v>
      </c>
      <c r="AO529" s="78">
        <v>3.8447789999999999</v>
      </c>
      <c r="AQ529" s="78">
        <v>24.631</v>
      </c>
      <c r="AR529" s="78">
        <v>18.834140000000001</v>
      </c>
      <c r="AS529" s="78">
        <v>35.475529999999999</v>
      </c>
      <c r="AT529" s="78">
        <v>5.1805729999999999</v>
      </c>
      <c r="AZ529" s="78">
        <v>25.710450000000002</v>
      </c>
      <c r="BA529" s="78">
        <v>4.34639E-2</v>
      </c>
      <c r="BB529" s="78">
        <v>28.873740000000002</v>
      </c>
      <c r="BC529" s="78">
        <v>7.3593669999999998</v>
      </c>
      <c r="BD529" s="78">
        <v>20.450620000000001</v>
      </c>
    </row>
    <row r="530" spans="1:56" x14ac:dyDescent="0.2">
      <c r="A530" s="78" t="s">
        <v>678</v>
      </c>
      <c r="B530" s="22">
        <v>34820</v>
      </c>
      <c r="C530" s="22"/>
      <c r="D530" s="22"/>
      <c r="E530" s="22">
        <v>34335</v>
      </c>
      <c r="F530" s="78" t="s">
        <v>662</v>
      </c>
      <c r="G530" s="78">
        <v>14.40686</v>
      </c>
      <c r="J530" s="78">
        <v>24.964469999999999</v>
      </c>
      <c r="K530" s="78">
        <v>41.77111</v>
      </c>
      <c r="L530" s="78">
        <v>8.1173020000000005</v>
      </c>
      <c r="M530" s="78">
        <v>2.7207409999999999</v>
      </c>
      <c r="N530" s="78">
        <v>4.4667260000000004</v>
      </c>
      <c r="P530" s="78">
        <v>19.844480000000001</v>
      </c>
      <c r="R530" s="78">
        <v>29.661819999999999</v>
      </c>
      <c r="S530" s="78">
        <v>34.274850000000001</v>
      </c>
      <c r="AA530" s="78">
        <v>22.062840000000001</v>
      </c>
      <c r="AC530" s="78">
        <v>10.51924</v>
      </c>
      <c r="AD530" s="78">
        <v>3.3062930000000001</v>
      </c>
      <c r="AE530" s="78">
        <v>3.8364060000000002</v>
      </c>
      <c r="AG530" s="78">
        <v>9.3960030000000003</v>
      </c>
      <c r="AH530" s="78">
        <v>8.2784180000000003</v>
      </c>
      <c r="AJ530" s="78">
        <v>64.613950000000003</v>
      </c>
      <c r="AK530" s="78">
        <v>12.14748</v>
      </c>
      <c r="AO530" s="78">
        <v>3.9418500000000001</v>
      </c>
      <c r="AQ530" s="78">
        <v>24.659770000000002</v>
      </c>
      <c r="AR530" s="78">
        <v>18.96902</v>
      </c>
      <c r="AS530" s="78">
        <v>35.975999999999999</v>
      </c>
      <c r="AT530" s="78">
        <v>5.3217800000000004</v>
      </c>
      <c r="AZ530" s="78">
        <v>25.929020000000001</v>
      </c>
      <c r="BA530" s="78">
        <v>4.6387730000000002E-2</v>
      </c>
      <c r="BB530" s="78">
        <v>28.87707</v>
      </c>
      <c r="BC530" s="78">
        <v>7.4240029999999999</v>
      </c>
      <c r="BD530" s="78">
        <v>20.239560000000001</v>
      </c>
    </row>
    <row r="531" spans="1:56" x14ac:dyDescent="0.2">
      <c r="A531" s="78" t="s">
        <v>679</v>
      </c>
      <c r="B531" s="22">
        <v>34851</v>
      </c>
      <c r="C531" s="22"/>
      <c r="D531" s="22"/>
      <c r="E531" s="22">
        <v>34366</v>
      </c>
      <c r="F531" s="78" t="s">
        <v>663</v>
      </c>
      <c r="G531" s="78">
        <v>14.52453</v>
      </c>
      <c r="J531" s="78">
        <v>24.93309</v>
      </c>
      <c r="K531" s="78">
        <v>42.172809999999998</v>
      </c>
      <c r="L531" s="78">
        <v>8.2458559999999999</v>
      </c>
      <c r="M531" s="78">
        <v>2.778686</v>
      </c>
      <c r="N531" s="78">
        <v>4.6189479999999996</v>
      </c>
      <c r="P531" s="78">
        <v>20.21705</v>
      </c>
      <c r="R531" s="78">
        <v>30.098510000000001</v>
      </c>
      <c r="S531" s="78">
        <v>34.090969999999999</v>
      </c>
      <c r="AA531" s="78">
        <v>22.182020000000001</v>
      </c>
      <c r="AC531" s="78">
        <v>10.610939999999999</v>
      </c>
      <c r="AD531" s="78">
        <v>3.404782</v>
      </c>
      <c r="AE531" s="78">
        <v>3.9058869999999999</v>
      </c>
      <c r="AG531" s="78">
        <v>9.3836060000000003</v>
      </c>
      <c r="AH531" s="78">
        <v>8.4714019999999994</v>
      </c>
      <c r="AJ531" s="78">
        <v>64.70393</v>
      </c>
      <c r="AK531" s="78">
        <v>12.40753</v>
      </c>
      <c r="AO531" s="78">
        <v>4.0437349999999999</v>
      </c>
      <c r="AQ531" s="78">
        <v>24.69116</v>
      </c>
      <c r="AR531" s="78">
        <v>19.094889999999999</v>
      </c>
      <c r="AS531" s="78">
        <v>36.376669999999997</v>
      </c>
      <c r="AT531" s="78">
        <v>5.4794770000000002</v>
      </c>
      <c r="AZ531" s="78">
        <v>26.186679999999999</v>
      </c>
      <c r="BA531" s="78">
        <v>5.0325700000000001E-2</v>
      </c>
      <c r="BB531" s="78">
        <v>28.883710000000001</v>
      </c>
      <c r="BC531" s="78">
        <v>7.548603</v>
      </c>
      <c r="BD531" s="78">
        <v>20.242840000000001</v>
      </c>
    </row>
    <row r="532" spans="1:56" x14ac:dyDescent="0.2">
      <c r="A532" s="78" t="s">
        <v>680</v>
      </c>
      <c r="B532" s="22">
        <v>34881</v>
      </c>
      <c r="C532" s="22"/>
      <c r="D532" s="22"/>
      <c r="E532" s="22">
        <v>34394</v>
      </c>
      <c r="F532" s="78" t="s">
        <v>664</v>
      </c>
      <c r="G532" s="78">
        <v>14.64781</v>
      </c>
      <c r="J532" s="78">
        <v>24.92435</v>
      </c>
      <c r="K532" s="78">
        <v>42.385800000000003</v>
      </c>
      <c r="L532" s="78">
        <v>8.3717600000000001</v>
      </c>
      <c r="M532" s="78">
        <v>2.8359519999999998</v>
      </c>
      <c r="N532" s="78">
        <v>4.7413720000000001</v>
      </c>
      <c r="P532" s="78">
        <v>20.495740000000001</v>
      </c>
      <c r="R532" s="78">
        <v>29.87989</v>
      </c>
      <c r="S532" s="78">
        <v>34.150689999999997</v>
      </c>
      <c r="AA532" s="78">
        <v>22.327580000000001</v>
      </c>
      <c r="AC532" s="78">
        <v>10.724819999999999</v>
      </c>
      <c r="AD532" s="78">
        <v>3.4592839999999998</v>
      </c>
      <c r="AE532" s="78">
        <v>3.9607969999999999</v>
      </c>
      <c r="AG532" s="78">
        <v>9.5026779999999995</v>
      </c>
      <c r="AH532" s="78">
        <v>8.8256639999999997</v>
      </c>
      <c r="AJ532" s="78">
        <v>64.867519999999999</v>
      </c>
      <c r="AK532" s="78">
        <v>12.638529999999999</v>
      </c>
      <c r="AO532" s="78">
        <v>4.1237750000000002</v>
      </c>
      <c r="AQ532" s="78">
        <v>24.95533</v>
      </c>
      <c r="AR532" s="78">
        <v>19.218399999999999</v>
      </c>
      <c r="AS532" s="78">
        <v>36.514659999999999</v>
      </c>
      <c r="AT532" s="78">
        <v>5.6239970000000001</v>
      </c>
      <c r="AZ532" s="78">
        <v>26.31109</v>
      </c>
      <c r="BA532" s="78">
        <v>5.3286800000000002E-2</v>
      </c>
      <c r="BB532" s="78">
        <v>28.920280000000002</v>
      </c>
      <c r="BC532" s="78">
        <v>7.6900089999999999</v>
      </c>
      <c r="BD532" s="78">
        <v>20.844249999999999</v>
      </c>
    </row>
    <row r="533" spans="1:56" x14ac:dyDescent="0.2">
      <c r="A533" s="78" t="s">
        <v>681</v>
      </c>
      <c r="B533" s="22">
        <v>34912</v>
      </c>
      <c r="C533" s="22"/>
      <c r="D533" s="22"/>
      <c r="E533" s="22">
        <v>34425</v>
      </c>
      <c r="F533" s="78" t="s">
        <v>665</v>
      </c>
      <c r="G533" s="78">
        <v>14.7879</v>
      </c>
      <c r="J533" s="78">
        <v>25.145710000000001</v>
      </c>
      <c r="K533" s="78">
        <v>42.433750000000003</v>
      </c>
      <c r="L533" s="78">
        <v>8.4602140000000006</v>
      </c>
      <c r="M533" s="78">
        <v>2.928112</v>
      </c>
      <c r="N533" s="78">
        <v>4.8789179999999996</v>
      </c>
      <c r="P533" s="78">
        <v>20.800840000000001</v>
      </c>
      <c r="R533" s="78">
        <v>29.78154</v>
      </c>
      <c r="S533" s="78">
        <v>34.268279999999997</v>
      </c>
      <c r="AA533" s="78">
        <v>22.365159999999999</v>
      </c>
      <c r="AC533" s="78">
        <v>10.8917</v>
      </c>
      <c r="AD533" s="78">
        <v>3.4767450000000002</v>
      </c>
      <c r="AE533" s="78">
        <v>4.026421</v>
      </c>
      <c r="AG533" s="78">
        <v>9.5465699999999991</v>
      </c>
      <c r="AH533" s="78">
        <v>9.0162359999999993</v>
      </c>
      <c r="AJ533" s="78">
        <v>65.170190000000005</v>
      </c>
      <c r="AK533" s="78">
        <v>12.89873</v>
      </c>
      <c r="AO533" s="78">
        <v>4.0729930000000003</v>
      </c>
      <c r="AQ533" s="78">
        <v>25.19858</v>
      </c>
      <c r="AR533" s="78">
        <v>19.359210000000001</v>
      </c>
      <c r="AS533" s="78">
        <v>36.920769999999997</v>
      </c>
      <c r="AT533" s="78">
        <v>5.7291150000000002</v>
      </c>
      <c r="AZ533" s="78">
        <v>26.487829999999999</v>
      </c>
      <c r="BA533" s="78">
        <v>6.0671280000000001E-2</v>
      </c>
      <c r="BB533" s="78">
        <v>28.930250000000001</v>
      </c>
      <c r="BC533" s="78">
        <v>7.7549409999999996</v>
      </c>
      <c r="BD533" s="78">
        <v>21.061910000000001</v>
      </c>
    </row>
    <row r="534" spans="1:56" x14ac:dyDescent="0.2">
      <c r="A534" s="78" t="s">
        <v>682</v>
      </c>
      <c r="B534" s="22">
        <v>34943</v>
      </c>
      <c r="C534" s="22"/>
      <c r="D534" s="22"/>
      <c r="E534" s="22">
        <v>34455</v>
      </c>
      <c r="F534" s="78" t="s">
        <v>666</v>
      </c>
      <c r="G534" s="78">
        <v>14.899979999999999</v>
      </c>
      <c r="J534" s="78">
        <v>25.235969999999998</v>
      </c>
      <c r="K534" s="78">
        <v>42.50515</v>
      </c>
      <c r="L534" s="78">
        <v>8.5526339999999994</v>
      </c>
      <c r="M534" s="78">
        <v>3.023266</v>
      </c>
      <c r="N534" s="78">
        <v>5.0577870000000003</v>
      </c>
      <c r="P534" s="78">
        <v>21.243819999999999</v>
      </c>
      <c r="R534" s="78">
        <v>29.627040000000001</v>
      </c>
      <c r="S534" s="78">
        <v>34.293660000000003</v>
      </c>
      <c r="AA534" s="78">
        <v>22.438179999999999</v>
      </c>
      <c r="AC534" s="78">
        <v>11.04298</v>
      </c>
      <c r="AD534" s="78">
        <v>3.5182129999999998</v>
      </c>
      <c r="AE534" s="78">
        <v>4.0932440000000003</v>
      </c>
      <c r="AG534" s="78">
        <v>9.4370550000000009</v>
      </c>
      <c r="AH534" s="78">
        <v>9.0766650000000002</v>
      </c>
      <c r="AJ534" s="78">
        <v>65.227450000000005</v>
      </c>
      <c r="AK534" s="78">
        <v>13.190340000000001</v>
      </c>
      <c r="AO534" s="78">
        <v>4.0540779999999996</v>
      </c>
      <c r="AQ534" s="78">
        <v>25.24043</v>
      </c>
      <c r="AR534" s="78">
        <v>19.52918</v>
      </c>
      <c r="AS534" s="78">
        <v>37.328769999999999</v>
      </c>
      <c r="AT534" s="78">
        <v>5.8538550000000003</v>
      </c>
      <c r="AZ534" s="78">
        <v>26.579789999999999</v>
      </c>
      <c r="BA534" s="78">
        <v>6.9393330000000003E-2</v>
      </c>
      <c r="BB534" s="78">
        <v>29.0092</v>
      </c>
      <c r="BC534" s="78">
        <v>7.8661810000000001</v>
      </c>
      <c r="BD534" s="78">
        <v>21.030080000000002</v>
      </c>
    </row>
    <row r="535" spans="1:56" x14ac:dyDescent="0.2">
      <c r="A535" s="78" t="s">
        <v>683</v>
      </c>
      <c r="B535" s="22">
        <v>34973</v>
      </c>
      <c r="C535" s="22"/>
      <c r="D535" s="22"/>
      <c r="E535" s="22">
        <v>34486</v>
      </c>
      <c r="F535" s="78" t="s">
        <v>667</v>
      </c>
      <c r="G535" s="78">
        <v>14.98123</v>
      </c>
      <c r="J535" s="78">
        <v>25.43205</v>
      </c>
      <c r="K535" s="78">
        <v>42.574869999999997</v>
      </c>
      <c r="L535" s="78">
        <v>8.6530269999999998</v>
      </c>
      <c r="M535" s="78">
        <v>3.0832489999999999</v>
      </c>
      <c r="N535" s="78">
        <v>5.203945</v>
      </c>
      <c r="P535" s="78">
        <v>21.53424</v>
      </c>
      <c r="R535" s="78">
        <v>29.34226</v>
      </c>
      <c r="S535" s="78">
        <v>34.359279999999998</v>
      </c>
      <c r="AA535" s="78">
        <v>22.5228</v>
      </c>
      <c r="AC535" s="78">
        <v>11.185029999999999</v>
      </c>
      <c r="AD535" s="78">
        <v>3.5402550000000002</v>
      </c>
      <c r="AE535" s="78">
        <v>4.1420640000000004</v>
      </c>
      <c r="AG535" s="78">
        <v>9.4331720000000008</v>
      </c>
      <c r="AH535" s="78">
        <v>9.3180809999999994</v>
      </c>
      <c r="AJ535" s="78">
        <v>65.268349999999998</v>
      </c>
      <c r="AK535" s="78">
        <v>13.452819999999999</v>
      </c>
      <c r="AO535" s="78">
        <v>4.1373990000000003</v>
      </c>
      <c r="AQ535" s="78">
        <v>25.4863</v>
      </c>
      <c r="AR535" s="78">
        <v>19.6571</v>
      </c>
      <c r="AS535" s="78">
        <v>37.533410000000003</v>
      </c>
      <c r="AT535" s="78">
        <v>6.0199699999999998</v>
      </c>
      <c r="AZ535" s="78">
        <v>26.621500000000001</v>
      </c>
      <c r="BA535" s="78">
        <v>7.6277419999999999E-2</v>
      </c>
      <c r="BB535" s="78">
        <v>28.915289999999999</v>
      </c>
      <c r="BC535" s="78">
        <v>7.9182249999999996</v>
      </c>
      <c r="BD535" s="78">
        <v>21.170169999999999</v>
      </c>
    </row>
    <row r="536" spans="1:56" x14ac:dyDescent="0.2">
      <c r="A536" s="78" t="s">
        <v>684</v>
      </c>
      <c r="B536" s="22">
        <v>35004</v>
      </c>
      <c r="C536" s="22"/>
      <c r="D536" s="22"/>
      <c r="E536" s="22">
        <v>34516</v>
      </c>
      <c r="F536" s="78" t="s">
        <v>668</v>
      </c>
      <c r="G536" s="78">
        <v>15.042870000000001</v>
      </c>
      <c r="J536" s="78">
        <v>25.62828</v>
      </c>
      <c r="K536" s="78">
        <v>42.575290000000003</v>
      </c>
      <c r="L536" s="78">
        <v>8.7713590000000003</v>
      </c>
      <c r="M536" s="78">
        <v>3.1742729999999999</v>
      </c>
      <c r="N536" s="78">
        <v>5.3474459999999997</v>
      </c>
      <c r="P536" s="78">
        <v>21.773330000000001</v>
      </c>
      <c r="R536" s="78">
        <v>29.297630000000002</v>
      </c>
      <c r="S536" s="78">
        <v>34.436349999999997</v>
      </c>
      <c r="AA536" s="78">
        <v>22.52909</v>
      </c>
      <c r="AC536" s="78">
        <v>11.274979999999999</v>
      </c>
      <c r="AD536" s="78">
        <v>3.5727790000000001</v>
      </c>
      <c r="AE536" s="78">
        <v>4.2087019999999997</v>
      </c>
      <c r="AG536" s="78">
        <v>9.4494129999999998</v>
      </c>
      <c r="AH536" s="78">
        <v>9.5530639999999991</v>
      </c>
      <c r="AJ536" s="78">
        <v>65.595550000000003</v>
      </c>
      <c r="AK536" s="78">
        <v>13.668620000000001</v>
      </c>
      <c r="AO536" s="78">
        <v>4.2235100000000001</v>
      </c>
      <c r="AQ536" s="78">
        <v>25.601379999999999</v>
      </c>
      <c r="AR536" s="78">
        <v>19.86225</v>
      </c>
      <c r="AS536" s="78">
        <v>37.697780000000002</v>
      </c>
      <c r="AT536" s="78">
        <v>6.2077369999999998</v>
      </c>
      <c r="AZ536" s="78">
        <v>26.768190000000001</v>
      </c>
      <c r="BA536" s="78">
        <v>8.4234260000000005E-2</v>
      </c>
      <c r="BB536" s="78">
        <v>28.987590000000001</v>
      </c>
      <c r="BC536" s="78">
        <v>7.9541269999999997</v>
      </c>
      <c r="BD536" s="78">
        <v>21.27758</v>
      </c>
    </row>
    <row r="537" spans="1:56" x14ac:dyDescent="0.2">
      <c r="A537" s="78" t="s">
        <v>685</v>
      </c>
      <c r="B537" s="22">
        <v>35034</v>
      </c>
      <c r="C537" s="22"/>
      <c r="D537" s="22"/>
      <c r="E537" s="22">
        <v>34547</v>
      </c>
      <c r="F537" s="78" t="s">
        <v>669</v>
      </c>
      <c r="G537" s="78">
        <v>15.14373</v>
      </c>
      <c r="I537" s="78">
        <v>2.7317640000000001</v>
      </c>
      <c r="J537" s="78">
        <v>25.813089999999999</v>
      </c>
      <c r="K537" s="78">
        <v>42.526179999999997</v>
      </c>
      <c r="L537" s="78">
        <v>8.9358909999999998</v>
      </c>
      <c r="M537" s="78">
        <v>3.2724489999999999</v>
      </c>
      <c r="N537" s="78">
        <v>5.5275340000000002</v>
      </c>
      <c r="P537" s="78">
        <v>22.00949</v>
      </c>
      <c r="R537" s="78">
        <v>29.14133</v>
      </c>
      <c r="S537" s="78">
        <v>34.32076</v>
      </c>
      <c r="AA537" s="78">
        <v>22.58616</v>
      </c>
      <c r="AC537" s="78">
        <v>11.39024</v>
      </c>
      <c r="AD537" s="78">
        <v>3.630134</v>
      </c>
      <c r="AE537" s="78">
        <v>4.2644570000000002</v>
      </c>
      <c r="AG537" s="78">
        <v>9.4517380000000006</v>
      </c>
      <c r="AH537" s="78">
        <v>9.7298109999999998</v>
      </c>
      <c r="AJ537" s="78">
        <v>65.710070000000002</v>
      </c>
      <c r="AK537" s="78">
        <v>13.882479999999999</v>
      </c>
      <c r="AO537" s="78">
        <v>4.3273770000000003</v>
      </c>
      <c r="AQ537" s="78">
        <v>25.60661</v>
      </c>
      <c r="AR537" s="78">
        <v>19.994</v>
      </c>
      <c r="AS537" s="78">
        <v>38.01585</v>
      </c>
      <c r="AT537" s="78">
        <v>6.384131</v>
      </c>
      <c r="AZ537" s="78">
        <v>26.577300000000001</v>
      </c>
      <c r="BA537" s="78">
        <v>8.9666839999999998E-2</v>
      </c>
      <c r="BB537" s="78">
        <v>28.966819999999998</v>
      </c>
      <c r="BC537" s="78">
        <v>8.0623059999999995</v>
      </c>
      <c r="BD537" s="78">
        <v>21.376139999999999</v>
      </c>
    </row>
    <row r="538" spans="1:56" x14ac:dyDescent="0.2">
      <c r="A538" s="78" t="s">
        <v>686</v>
      </c>
      <c r="B538" s="22">
        <v>35065</v>
      </c>
      <c r="C538" s="22"/>
      <c r="D538" s="22"/>
      <c r="E538" s="22">
        <v>34578</v>
      </c>
      <c r="F538" s="78" t="s">
        <v>670</v>
      </c>
      <c r="G538" s="78">
        <v>15.199769999999999</v>
      </c>
      <c r="I538" s="78">
        <v>2.8742239999999999</v>
      </c>
      <c r="J538" s="78">
        <v>25.89425</v>
      </c>
      <c r="K538" s="78">
        <v>42.633499999999998</v>
      </c>
      <c r="L538" s="78">
        <v>9.1100069999999995</v>
      </c>
      <c r="M538" s="78">
        <v>3.345148</v>
      </c>
      <c r="N538" s="78">
        <v>5.7086519999999998</v>
      </c>
      <c r="P538" s="78">
        <v>22.16497</v>
      </c>
      <c r="R538" s="78">
        <v>28.79664</v>
      </c>
      <c r="S538" s="78">
        <v>34.196730000000002</v>
      </c>
      <c r="AA538" s="78">
        <v>22.700849999999999</v>
      </c>
      <c r="AC538" s="78">
        <v>11.53687</v>
      </c>
      <c r="AD538" s="78">
        <v>3.6994410000000002</v>
      </c>
      <c r="AE538" s="78">
        <v>4.3374370000000004</v>
      </c>
      <c r="AG538" s="78">
        <v>9.4861170000000001</v>
      </c>
      <c r="AH538" s="78">
        <v>9.8720979999999994</v>
      </c>
      <c r="AJ538" s="78">
        <v>65.980009999999993</v>
      </c>
      <c r="AK538" s="78">
        <v>14.134880000000001</v>
      </c>
      <c r="AO538" s="78">
        <v>4.4377129999999996</v>
      </c>
      <c r="AQ538" s="78">
        <v>25.75047</v>
      </c>
      <c r="AR538" s="78">
        <v>20.133839999999999</v>
      </c>
      <c r="AS538" s="78">
        <v>38.318710000000003</v>
      </c>
      <c r="AT538" s="78">
        <v>6.5525130000000003</v>
      </c>
      <c r="AZ538" s="78">
        <v>26.411470000000001</v>
      </c>
      <c r="BA538" s="78">
        <v>9.4376740000000001E-2</v>
      </c>
      <c r="BB538" s="78">
        <v>28.970140000000001</v>
      </c>
      <c r="BC538" s="78">
        <v>8.1087019999999992</v>
      </c>
      <c r="BD538" s="78">
        <v>21.478860000000001</v>
      </c>
    </row>
    <row r="539" spans="1:56" x14ac:dyDescent="0.2">
      <c r="A539" s="78" t="s">
        <v>687</v>
      </c>
      <c r="B539" s="22">
        <v>35096</v>
      </c>
      <c r="C539" s="22"/>
      <c r="D539" s="22"/>
      <c r="E539" s="22">
        <v>34608</v>
      </c>
      <c r="F539" s="78" t="s">
        <v>671</v>
      </c>
      <c r="G539" s="78">
        <v>15.297829999999999</v>
      </c>
      <c r="I539" s="78">
        <v>3.0114260000000002</v>
      </c>
      <c r="J539" s="78">
        <v>25.91845</v>
      </c>
      <c r="K539" s="78">
        <v>42.772930000000002</v>
      </c>
      <c r="L539" s="78">
        <v>9.3456550000000007</v>
      </c>
      <c r="M539" s="78">
        <v>3.424112</v>
      </c>
      <c r="N539" s="78">
        <v>5.8748620000000003</v>
      </c>
      <c r="P539" s="78">
        <v>22.387930000000001</v>
      </c>
      <c r="R539" s="78">
        <v>28.595549999999999</v>
      </c>
      <c r="S539" s="78">
        <v>34.254849999999998</v>
      </c>
      <c r="AA539" s="78">
        <v>22.770849999999999</v>
      </c>
      <c r="AC539" s="78">
        <v>11.666359999999999</v>
      </c>
      <c r="AD539" s="78">
        <v>3.7572809999999999</v>
      </c>
      <c r="AE539" s="78">
        <v>4.4350310000000004</v>
      </c>
      <c r="AG539" s="78">
        <v>9.5300139999999995</v>
      </c>
      <c r="AH539" s="78">
        <v>10.014699999999999</v>
      </c>
      <c r="AJ539" s="78">
        <v>66.102710000000002</v>
      </c>
      <c r="AK539" s="78">
        <v>14.356210000000001</v>
      </c>
      <c r="AO539" s="78">
        <v>4.5150569999999997</v>
      </c>
      <c r="AQ539" s="78">
        <v>25.784469999999999</v>
      </c>
      <c r="AR539" s="78">
        <v>20.26332</v>
      </c>
      <c r="AS539" s="78">
        <v>38.630920000000003</v>
      </c>
      <c r="AT539" s="78">
        <v>6.6675269999999998</v>
      </c>
      <c r="AZ539" s="78">
        <v>26.429069999999999</v>
      </c>
      <c r="BA539" s="78">
        <v>9.9946640000000003E-2</v>
      </c>
      <c r="BB539" s="78">
        <v>28.955179999999999</v>
      </c>
      <c r="BC539" s="78">
        <v>8.1924329999999994</v>
      </c>
      <c r="BD539" s="78">
        <v>21.58343</v>
      </c>
    </row>
    <row r="540" spans="1:56" x14ac:dyDescent="0.2">
      <c r="A540" s="78" t="s">
        <v>688</v>
      </c>
      <c r="B540" s="22">
        <v>35125</v>
      </c>
      <c r="C540" s="22"/>
      <c r="D540" s="22"/>
      <c r="E540" s="22">
        <v>34639</v>
      </c>
      <c r="F540" s="78" t="s">
        <v>672</v>
      </c>
      <c r="G540" s="78">
        <v>15.491160000000001</v>
      </c>
      <c r="I540" s="78">
        <v>3.1323880000000002</v>
      </c>
      <c r="J540" s="78">
        <v>25.977329999999998</v>
      </c>
      <c r="K540" s="78">
        <v>42.91948</v>
      </c>
      <c r="L540" s="78">
        <v>9.5224620000000009</v>
      </c>
      <c r="M540" s="78">
        <v>3.5063430000000002</v>
      </c>
      <c r="N540" s="78">
        <v>6.0164119999999999</v>
      </c>
      <c r="P540" s="78">
        <v>22.798639999999999</v>
      </c>
      <c r="R540" s="78">
        <v>28.52394</v>
      </c>
      <c r="S540" s="78">
        <v>34.418239999999997</v>
      </c>
      <c r="AA540" s="78">
        <v>22.872</v>
      </c>
      <c r="AC540" s="78">
        <v>11.868370000000001</v>
      </c>
      <c r="AD540" s="78">
        <v>3.8145720000000001</v>
      </c>
      <c r="AE540" s="78">
        <v>4.4990300000000003</v>
      </c>
      <c r="AG540" s="78">
        <v>9.5598620000000007</v>
      </c>
      <c r="AH540" s="78">
        <v>10.160159999999999</v>
      </c>
      <c r="AJ540" s="78">
        <v>66.192689999999999</v>
      </c>
      <c r="AK540" s="78">
        <v>14.59548</v>
      </c>
      <c r="AO540" s="78">
        <v>4.5395719999999997</v>
      </c>
      <c r="AQ540" s="78">
        <v>25.81063</v>
      </c>
      <c r="AR540" s="78">
        <v>20.38137</v>
      </c>
      <c r="AS540" s="78">
        <v>39.055590000000002</v>
      </c>
      <c r="AT540" s="78">
        <v>6.8154539999999999</v>
      </c>
      <c r="AZ540" s="78">
        <v>26.356909999999999</v>
      </c>
      <c r="BA540" s="78">
        <v>0.10478170000000001</v>
      </c>
      <c r="BB540" s="78">
        <v>28.979279999999999</v>
      </c>
      <c r="BC540" s="78">
        <v>8.3062959999999997</v>
      </c>
      <c r="BD540" s="78">
        <v>21.716989999999999</v>
      </c>
    </row>
    <row r="541" spans="1:56" x14ac:dyDescent="0.2">
      <c r="A541" s="78" t="s">
        <v>689</v>
      </c>
      <c r="B541" s="22">
        <v>35156</v>
      </c>
      <c r="C541" s="22"/>
      <c r="D541" s="22"/>
      <c r="E541" s="22">
        <v>34669</v>
      </c>
      <c r="F541" s="78" t="s">
        <v>673</v>
      </c>
      <c r="G541" s="78">
        <v>15.65366</v>
      </c>
      <c r="I541" s="78">
        <v>3.2620939999999998</v>
      </c>
      <c r="J541" s="78">
        <v>26.064900000000002</v>
      </c>
      <c r="K541" s="78">
        <v>43.118499999999997</v>
      </c>
      <c r="L541" s="78">
        <v>9.6140500000000007</v>
      </c>
      <c r="M541" s="78">
        <v>3.5833159999999999</v>
      </c>
      <c r="N541" s="78">
        <v>6.1686180000000004</v>
      </c>
      <c r="P541" s="78">
        <v>23.407360000000001</v>
      </c>
      <c r="R541" s="78">
        <v>28.355129999999999</v>
      </c>
      <c r="S541" s="78">
        <v>34.872599999999998</v>
      </c>
      <c r="AA541" s="78">
        <v>23.011669999999999</v>
      </c>
      <c r="AC541" s="78">
        <v>11.90056</v>
      </c>
      <c r="AD541" s="78">
        <v>3.8939080000000001</v>
      </c>
      <c r="AE541" s="78">
        <v>4.5489280000000001</v>
      </c>
      <c r="AG541" s="78">
        <v>9.5906749999999992</v>
      </c>
      <c r="AH541" s="78">
        <v>10.202</v>
      </c>
      <c r="AJ541" s="78">
        <v>66.380830000000003</v>
      </c>
      <c r="AK541" s="78">
        <v>14.898809999999999</v>
      </c>
      <c r="AO541" s="78">
        <v>4.6431180000000003</v>
      </c>
      <c r="AQ541" s="78">
        <v>25.857710000000001</v>
      </c>
      <c r="AR541" s="78">
        <v>20.50366</v>
      </c>
      <c r="AS541" s="78">
        <v>39.224960000000003</v>
      </c>
      <c r="AT541" s="78">
        <v>7.102392</v>
      </c>
      <c r="AZ541" s="78">
        <v>26.158709999999999</v>
      </c>
      <c r="BA541" s="78">
        <v>0.10853019999999999</v>
      </c>
      <c r="BB541" s="78">
        <v>28.972629999999999</v>
      </c>
      <c r="BC541" s="78">
        <v>8.4396409999999999</v>
      </c>
      <c r="BD541" s="78">
        <v>22.034890000000001</v>
      </c>
    </row>
    <row r="542" spans="1:56" x14ac:dyDescent="0.2">
      <c r="A542" s="78" t="s">
        <v>690</v>
      </c>
      <c r="B542" s="22">
        <v>35186</v>
      </c>
      <c r="C542" s="22"/>
      <c r="D542" s="22"/>
      <c r="E542" s="22">
        <v>34700</v>
      </c>
      <c r="F542" s="78" t="s">
        <v>674</v>
      </c>
      <c r="G542" s="78">
        <v>15.7209</v>
      </c>
      <c r="I542" s="78">
        <v>3.4005679999999998</v>
      </c>
      <c r="J542" s="78">
        <v>26.136289999999999</v>
      </c>
      <c r="K542" s="78">
        <v>43.105409999999999</v>
      </c>
      <c r="L542" s="78">
        <v>9.7487390000000005</v>
      </c>
      <c r="M542" s="78">
        <v>3.6783809999999999</v>
      </c>
      <c r="N542" s="78">
        <v>6.3178190000000001</v>
      </c>
      <c r="P542" s="78">
        <v>23.840070000000001</v>
      </c>
      <c r="R542" s="78">
        <v>28.153120000000001</v>
      </c>
      <c r="S542" s="78">
        <v>35.044730000000001</v>
      </c>
      <c r="AA542" s="78">
        <v>23.107710000000001</v>
      </c>
      <c r="AC542" s="78">
        <v>11.92529</v>
      </c>
      <c r="AD542" s="78">
        <v>3.986418</v>
      </c>
      <c r="AE542" s="78">
        <v>4.5854850000000003</v>
      </c>
      <c r="AG542" s="78">
        <v>9.5859780000000008</v>
      </c>
      <c r="AH542" s="78">
        <v>10.212820000000001</v>
      </c>
      <c r="AJ542" s="78">
        <v>66.577150000000003</v>
      </c>
      <c r="AK542" s="78">
        <v>15.01891</v>
      </c>
      <c r="AO542" s="78">
        <v>4.7504860000000004</v>
      </c>
      <c r="AQ542" s="78">
        <v>25.776620000000001</v>
      </c>
      <c r="AR542" s="78">
        <v>20.665479999999999</v>
      </c>
      <c r="AS542" s="78">
        <v>39.356859999999998</v>
      </c>
      <c r="AT542" s="78">
        <v>7.2961150000000004</v>
      </c>
      <c r="AZ542" s="78">
        <v>26.106159999999999</v>
      </c>
      <c r="BA542" s="78">
        <v>0.1140564</v>
      </c>
      <c r="BB542" s="78">
        <v>29.022490000000001</v>
      </c>
      <c r="BC542" s="78">
        <v>8.473846</v>
      </c>
      <c r="BD542" s="78">
        <v>22.39903</v>
      </c>
    </row>
    <row r="543" spans="1:56" x14ac:dyDescent="0.2">
      <c r="A543" s="78" t="s">
        <v>691</v>
      </c>
      <c r="B543" s="22">
        <v>35217</v>
      </c>
      <c r="C543" s="22"/>
      <c r="D543" s="22"/>
      <c r="E543" s="22">
        <v>34731</v>
      </c>
      <c r="F543" s="78" t="s">
        <v>675</v>
      </c>
      <c r="G543" s="78">
        <v>15.751720000000001</v>
      </c>
      <c r="I543" s="78">
        <v>3.5300159999999998</v>
      </c>
      <c r="J543" s="78">
        <v>26.137840000000001</v>
      </c>
      <c r="K543" s="78">
        <v>42.970100000000002</v>
      </c>
      <c r="L543" s="78">
        <v>9.8978289999999998</v>
      </c>
      <c r="M543" s="78">
        <v>3.7752780000000001</v>
      </c>
      <c r="N543" s="78">
        <v>6.4645339999999996</v>
      </c>
      <c r="P543" s="78">
        <v>24.071829999999999</v>
      </c>
      <c r="R543" s="78">
        <v>28.16104</v>
      </c>
      <c r="S543" s="78">
        <v>34.907179999999997</v>
      </c>
      <c r="AA543" s="78">
        <v>23.25348</v>
      </c>
      <c r="AC543" s="78">
        <v>12.092829999999999</v>
      </c>
      <c r="AD543" s="78">
        <v>4.0859040000000002</v>
      </c>
      <c r="AE543" s="78">
        <v>4.628234</v>
      </c>
      <c r="AG543" s="78">
        <v>9.5870809999999995</v>
      </c>
      <c r="AH543" s="78">
        <v>10.36238</v>
      </c>
      <c r="AJ543" s="78">
        <v>66.879810000000006</v>
      </c>
      <c r="AK543" s="78">
        <v>15.09808</v>
      </c>
      <c r="AO543" s="78">
        <v>4.7645799999999996</v>
      </c>
      <c r="AQ543" s="78">
        <v>25.889099999999999</v>
      </c>
      <c r="AR543" s="78">
        <v>20.759709999999998</v>
      </c>
      <c r="AS543" s="78">
        <v>39.606990000000003</v>
      </c>
      <c r="AT543" s="78">
        <v>7.4335019999999998</v>
      </c>
      <c r="AZ543" s="78">
        <v>26.249880000000001</v>
      </c>
      <c r="BA543" s="78">
        <v>0.12274889999999999</v>
      </c>
      <c r="BB543" s="78">
        <v>29.001719999999999</v>
      </c>
      <c r="BC543" s="78">
        <v>8.4363360000000007</v>
      </c>
      <c r="BD543" s="78">
        <v>22.744009999999999</v>
      </c>
    </row>
    <row r="544" spans="1:56" x14ac:dyDescent="0.2">
      <c r="A544" s="78" t="s">
        <v>692</v>
      </c>
      <c r="B544" s="22">
        <v>35247</v>
      </c>
      <c r="C544" s="22"/>
      <c r="D544" s="22"/>
      <c r="E544" s="22">
        <v>34759</v>
      </c>
      <c r="F544" s="78" t="s">
        <v>676</v>
      </c>
      <c r="G544" s="78">
        <v>15.880610000000001</v>
      </c>
      <c r="I544" s="78">
        <v>3.600063</v>
      </c>
      <c r="J544" s="78">
        <v>26.292200000000001</v>
      </c>
      <c r="K544" s="78">
        <v>42.867060000000002</v>
      </c>
      <c r="L544" s="78">
        <v>10.07043</v>
      </c>
      <c r="M544" s="78">
        <v>3.8527969999999998</v>
      </c>
      <c r="N544" s="78">
        <v>6.6570499999999999</v>
      </c>
      <c r="P544" s="78">
        <v>24.200900000000001</v>
      </c>
      <c r="R544" s="78">
        <v>28.357839999999999</v>
      </c>
      <c r="S544" s="78">
        <v>34.939770000000003</v>
      </c>
      <c r="AA544" s="78">
        <v>23.531279999999999</v>
      </c>
      <c r="AC544" s="78">
        <v>12.265829999999999</v>
      </c>
      <c r="AD544" s="78">
        <v>4.1774100000000001</v>
      </c>
      <c r="AE544" s="78">
        <v>4.7640459999999996</v>
      </c>
      <c r="AG544" s="78">
        <v>9.6154109999999999</v>
      </c>
      <c r="AH544" s="78">
        <v>10.5807</v>
      </c>
      <c r="AJ544" s="78">
        <v>67.027050000000003</v>
      </c>
      <c r="AK544" s="78">
        <v>15.32363</v>
      </c>
      <c r="AO544" s="78">
        <v>4.8502970000000003</v>
      </c>
      <c r="AQ544" s="78">
        <v>26.07742</v>
      </c>
      <c r="AR544" s="78">
        <v>20.89686</v>
      </c>
      <c r="AS544" s="78">
        <v>40.006950000000003</v>
      </c>
      <c r="AT544" s="78">
        <v>7.674423</v>
      </c>
      <c r="AZ544" s="78">
        <v>26.236940000000001</v>
      </c>
      <c r="BA544" s="78">
        <v>0.13175700000000001</v>
      </c>
      <c r="BB544" s="78">
        <v>29.011690000000002</v>
      </c>
      <c r="BC544" s="78">
        <v>8.5486070000000005</v>
      </c>
      <c r="BD544" s="78">
        <v>22.994129999999998</v>
      </c>
    </row>
    <row r="545" spans="1:56" x14ac:dyDescent="0.2">
      <c r="A545" s="78" t="s">
        <v>693</v>
      </c>
      <c r="B545" s="22">
        <v>35278</v>
      </c>
      <c r="C545" s="22"/>
      <c r="D545" s="22"/>
      <c r="E545" s="22">
        <v>34790</v>
      </c>
      <c r="F545" s="78" t="s">
        <v>677</v>
      </c>
      <c r="G545" s="78">
        <v>16.01229</v>
      </c>
      <c r="I545" s="78">
        <v>3.6446830000000001</v>
      </c>
      <c r="J545" s="78">
        <v>26.430330000000001</v>
      </c>
      <c r="K545" s="78">
        <v>42.785220000000002</v>
      </c>
      <c r="L545" s="78">
        <v>10.24099</v>
      </c>
      <c r="M545" s="78">
        <v>3.93343</v>
      </c>
      <c r="N545" s="78">
        <v>6.8564429999999996</v>
      </c>
      <c r="P545" s="78">
        <v>24.372520000000002</v>
      </c>
      <c r="R545" s="78">
        <v>28.481760000000001</v>
      </c>
      <c r="S545" s="78">
        <v>34.999920000000003</v>
      </c>
      <c r="AA545" s="78">
        <v>23.72336</v>
      </c>
      <c r="AC545" s="78">
        <v>12.41145</v>
      </c>
      <c r="AD545" s="78">
        <v>4.2381219999999997</v>
      </c>
      <c r="AE545" s="78">
        <v>4.8220980000000004</v>
      </c>
      <c r="AG545" s="78">
        <v>9.5972179999999998</v>
      </c>
      <c r="AH545" s="78">
        <v>10.79768</v>
      </c>
      <c r="AJ545" s="78">
        <v>67.108850000000004</v>
      </c>
      <c r="AK545" s="78">
        <v>15.54006</v>
      </c>
      <c r="AO545" s="78">
        <v>4.8952710000000002</v>
      </c>
      <c r="AQ545" s="78">
        <v>26.289280000000002</v>
      </c>
      <c r="AR545" s="78">
        <v>21.038150000000002</v>
      </c>
      <c r="AS545" s="78">
        <v>40.596490000000003</v>
      </c>
      <c r="AT545" s="78">
        <v>7.9607210000000004</v>
      </c>
      <c r="AZ545" s="78">
        <v>26.317920000000001</v>
      </c>
      <c r="BA545" s="78">
        <v>0.1401493</v>
      </c>
      <c r="BB545" s="78">
        <v>29.079000000000001</v>
      </c>
      <c r="BC545" s="78">
        <v>8.7833450000000006</v>
      </c>
      <c r="BD545" s="78">
        <v>23.112739999999999</v>
      </c>
    </row>
    <row r="546" spans="1:56" x14ac:dyDescent="0.2">
      <c r="A546" s="78" t="s">
        <v>694</v>
      </c>
      <c r="B546" s="22">
        <v>35309</v>
      </c>
      <c r="C546" s="22"/>
      <c r="D546" s="22"/>
      <c r="E546" s="22">
        <v>34820</v>
      </c>
      <c r="F546" s="78" t="s">
        <v>678</v>
      </c>
      <c r="G546" s="78">
        <v>16.099150000000002</v>
      </c>
      <c r="I546" s="78">
        <v>3.7328229999999998</v>
      </c>
      <c r="J546" s="78">
        <v>26.57368</v>
      </c>
      <c r="K546" s="78">
        <v>43.010339999999999</v>
      </c>
      <c r="L546" s="78">
        <v>10.437239999999999</v>
      </c>
      <c r="M546" s="78">
        <v>4.0144710000000003</v>
      </c>
      <c r="N546" s="78">
        <v>7.0309569999999999</v>
      </c>
      <c r="P546" s="78">
        <v>24.818429999999999</v>
      </c>
      <c r="R546" s="78">
        <v>28.563580000000002</v>
      </c>
      <c r="S546" s="78">
        <v>35.149459999999998</v>
      </c>
      <c r="AA546" s="78">
        <v>23.822620000000001</v>
      </c>
      <c r="AC546" s="78">
        <v>12.525410000000001</v>
      </c>
      <c r="AD546" s="78">
        <v>4.2917769999999997</v>
      </c>
      <c r="AE546" s="78">
        <v>4.8060609999999997</v>
      </c>
      <c r="AG546" s="78">
        <v>9.6011299999999995</v>
      </c>
      <c r="AH546" s="78">
        <v>11.028689999999999</v>
      </c>
      <c r="AJ546" s="78">
        <v>67.207009999999997</v>
      </c>
      <c r="AK546" s="78">
        <v>15.76341</v>
      </c>
      <c r="AO546" s="78">
        <v>4.9103539999999999</v>
      </c>
      <c r="AQ546" s="78">
        <v>26.50376</v>
      </c>
      <c r="AR546" s="78">
        <v>21.208839999999999</v>
      </c>
      <c r="AS546" s="78">
        <v>41.174219999999998</v>
      </c>
      <c r="AT546" s="78">
        <v>8.1785770000000007</v>
      </c>
      <c r="AZ546" s="78">
        <v>26.349270000000001</v>
      </c>
      <c r="BA546" s="78">
        <v>0.1481249</v>
      </c>
      <c r="BB546" s="78">
        <v>29.286760000000001</v>
      </c>
      <c r="BC546" s="78">
        <v>9.0452250000000003</v>
      </c>
      <c r="BD546" s="78">
        <v>23.23631</v>
      </c>
    </row>
    <row r="547" spans="1:56" x14ac:dyDescent="0.2">
      <c r="A547" s="78" t="s">
        <v>695</v>
      </c>
      <c r="B547" s="22">
        <v>35339</v>
      </c>
      <c r="C547" s="22"/>
      <c r="D547" s="22"/>
      <c r="E547" s="22">
        <v>34851</v>
      </c>
      <c r="F547" s="78" t="s">
        <v>679</v>
      </c>
      <c r="G547" s="78">
        <v>16.14678</v>
      </c>
      <c r="I547" s="78">
        <v>3.8230469999999999</v>
      </c>
      <c r="J547" s="78">
        <v>26.729489999999998</v>
      </c>
      <c r="K547" s="78">
        <v>43.280709999999999</v>
      </c>
      <c r="L547" s="78">
        <v>10.65419</v>
      </c>
      <c r="M547" s="78">
        <v>4.0908709999999999</v>
      </c>
      <c r="N547" s="78">
        <v>7.1972759999999996</v>
      </c>
      <c r="P547" s="78">
        <v>25.095659999999999</v>
      </c>
      <c r="R547" s="78">
        <v>28.711449999999999</v>
      </c>
      <c r="S547" s="78">
        <v>35.337069999999997</v>
      </c>
      <c r="AA547" s="78">
        <v>23.996690000000001</v>
      </c>
      <c r="AC547" s="78">
        <v>12.70839</v>
      </c>
      <c r="AD547" s="78">
        <v>4.3839170000000003</v>
      </c>
      <c r="AE547" s="78">
        <v>4.858943</v>
      </c>
      <c r="AG547" s="78">
        <v>9.6584219999999998</v>
      </c>
      <c r="AH547" s="78">
        <v>11.218540000000001</v>
      </c>
      <c r="AJ547" s="78">
        <v>67.321529999999996</v>
      </c>
      <c r="AK547" s="78">
        <v>16.0016</v>
      </c>
      <c r="AO547" s="78">
        <v>4.9884909999999998</v>
      </c>
      <c r="AQ547" s="78">
        <v>26.597919999999998</v>
      </c>
      <c r="AR547" s="78">
        <v>21.396100000000001</v>
      </c>
      <c r="AS547" s="78">
        <v>41.740859999999998</v>
      </c>
      <c r="AT547" s="78">
        <v>8.3526570000000007</v>
      </c>
      <c r="AZ547" s="78">
        <v>26.434719999999999</v>
      </c>
      <c r="BA547" s="78">
        <v>0.1557636</v>
      </c>
      <c r="BB547" s="78">
        <v>29.49202</v>
      </c>
      <c r="BC547" s="78">
        <v>9.2210999999999999</v>
      </c>
      <c r="BD547" s="78">
        <v>23.375209999999999</v>
      </c>
    </row>
    <row r="548" spans="1:56" x14ac:dyDescent="0.2">
      <c r="A548" s="78" t="s">
        <v>696</v>
      </c>
      <c r="B548" s="22">
        <v>35370</v>
      </c>
      <c r="C548" s="22"/>
      <c r="D548" s="22"/>
      <c r="E548" s="22">
        <v>34881</v>
      </c>
      <c r="F548" s="78" t="s">
        <v>680</v>
      </c>
      <c r="G548" s="78">
        <v>16.20842</v>
      </c>
      <c r="I548" s="78">
        <v>3.9662130000000002</v>
      </c>
      <c r="J548" s="78">
        <v>26.905100000000001</v>
      </c>
      <c r="K548" s="78">
        <v>43.417050000000003</v>
      </c>
      <c r="L548" s="78">
        <v>10.765319999999999</v>
      </c>
      <c r="M548" s="78">
        <v>4.1815199999999999</v>
      </c>
      <c r="N548" s="78">
        <v>7.3301730000000003</v>
      </c>
      <c r="P548" s="78">
        <v>25.56504</v>
      </c>
      <c r="R548" s="78">
        <v>28.763870000000001</v>
      </c>
      <c r="S548" s="78">
        <v>35.415120000000002</v>
      </c>
      <c r="AA548" s="78">
        <v>24.23396</v>
      </c>
      <c r="AC548" s="78">
        <v>12.91949</v>
      </c>
      <c r="AD548" s="78">
        <v>4.4956670000000001</v>
      </c>
      <c r="AE548" s="78">
        <v>4.9044109999999996</v>
      </c>
      <c r="AG548" s="78">
        <v>9.6600660000000005</v>
      </c>
      <c r="AH548" s="78">
        <v>11.43182</v>
      </c>
      <c r="AJ548" s="78">
        <v>67.378789999999995</v>
      </c>
      <c r="AK548" s="78">
        <v>16.243040000000001</v>
      </c>
      <c r="AO548" s="78">
        <v>5.0323890000000002</v>
      </c>
      <c r="AQ548" s="78">
        <v>26.66854</v>
      </c>
      <c r="AR548" s="78">
        <v>21.56635</v>
      </c>
      <c r="AS548" s="78">
        <v>42.285899999999998</v>
      </c>
      <c r="AT548" s="78">
        <v>8.5765589999999996</v>
      </c>
      <c r="AV548" s="78">
        <v>0.46616489999999999</v>
      </c>
      <c r="AZ548" s="78">
        <v>26.577839999999998</v>
      </c>
      <c r="BA548" s="78">
        <v>0.16421640000000001</v>
      </c>
      <c r="BB548" s="78">
        <v>29.645759999999999</v>
      </c>
      <c r="BC548" s="78">
        <v>9.3085740000000001</v>
      </c>
      <c r="BD548" s="78">
        <v>23.45288</v>
      </c>
    </row>
    <row r="549" spans="1:56" x14ac:dyDescent="0.2">
      <c r="A549" s="78" t="s">
        <v>697</v>
      </c>
      <c r="B549" s="22">
        <v>35400</v>
      </c>
      <c r="C549" s="22"/>
      <c r="D549" s="22"/>
      <c r="E549" s="22">
        <v>34912</v>
      </c>
      <c r="F549" s="78" t="s">
        <v>681</v>
      </c>
      <c r="G549" s="78">
        <v>16.3401</v>
      </c>
      <c r="I549" s="78">
        <v>4.1725919999999999</v>
      </c>
      <c r="J549" s="78">
        <v>27.041419999999999</v>
      </c>
      <c r="K549" s="78">
        <v>43.678550000000001</v>
      </c>
      <c r="L549" s="78">
        <v>10.885479999999999</v>
      </c>
      <c r="M549" s="78">
        <v>4.2771710000000001</v>
      </c>
      <c r="N549" s="78">
        <v>7.436007</v>
      </c>
      <c r="P549" s="78">
        <v>26.591809999999999</v>
      </c>
      <c r="R549" s="78">
        <v>28.750430000000001</v>
      </c>
      <c r="S549" s="78">
        <v>35.395220000000002</v>
      </c>
      <c r="AA549" s="78">
        <v>24.526489999999999</v>
      </c>
      <c r="AC549" s="78">
        <v>13.09751</v>
      </c>
      <c r="AD549" s="78">
        <v>4.6014739999999996</v>
      </c>
      <c r="AE549" s="78">
        <v>4.962574</v>
      </c>
      <c r="AG549" s="78">
        <v>9.6869189999999996</v>
      </c>
      <c r="AH549" s="78">
        <v>11.62739</v>
      </c>
      <c r="AJ549" s="78">
        <v>67.558750000000003</v>
      </c>
      <c r="AK549" s="78">
        <v>16.481680000000001</v>
      </c>
      <c r="AO549" s="78">
        <v>5.095764</v>
      </c>
      <c r="AQ549" s="78">
        <v>26.843789999999998</v>
      </c>
      <c r="AR549" s="78">
        <v>21.767910000000001</v>
      </c>
      <c r="AS549" s="78">
        <v>42.652569999999997</v>
      </c>
      <c r="AT549" s="78">
        <v>8.8151329999999994</v>
      </c>
      <c r="AV549" s="78">
        <v>0.48436190000000001</v>
      </c>
      <c r="AZ549" s="78">
        <v>26.749559999999999</v>
      </c>
      <c r="BA549" s="78">
        <v>0.17261840000000001</v>
      </c>
      <c r="BB549" s="78">
        <v>29.82526</v>
      </c>
      <c r="BC549" s="78">
        <v>9.3388620000000007</v>
      </c>
      <c r="BD549" s="78">
        <v>23.559380000000001</v>
      </c>
    </row>
    <row r="550" spans="1:56" x14ac:dyDescent="0.2">
      <c r="A550" s="78" t="s">
        <v>698</v>
      </c>
      <c r="B550" s="22">
        <v>35431</v>
      </c>
      <c r="C550" s="22"/>
      <c r="D550" s="22"/>
      <c r="E550" s="22">
        <v>34943</v>
      </c>
      <c r="F550" s="78" t="s">
        <v>682</v>
      </c>
      <c r="G550" s="78">
        <v>16.508209999999998</v>
      </c>
      <c r="I550" s="78">
        <v>4.3213819999999998</v>
      </c>
      <c r="J550" s="78">
        <v>27.169730000000001</v>
      </c>
      <c r="K550" s="78">
        <v>43.914180000000002</v>
      </c>
      <c r="L550" s="78">
        <v>11.11331</v>
      </c>
      <c r="M550" s="78">
        <v>4.363658</v>
      </c>
      <c r="N550" s="78">
        <v>7.6394739999999999</v>
      </c>
      <c r="P550" s="78">
        <v>27.185870000000001</v>
      </c>
      <c r="R550" s="78">
        <v>28.822469999999999</v>
      </c>
      <c r="S550" s="78">
        <v>35.515749999999997</v>
      </c>
      <c r="AA550" s="78">
        <v>24.73658</v>
      </c>
      <c r="AC550" s="78">
        <v>13.349600000000001</v>
      </c>
      <c r="AD550" s="78">
        <v>4.6945490000000003</v>
      </c>
      <c r="AE550" s="78">
        <v>5.0374030000000003</v>
      </c>
      <c r="AG550" s="78">
        <v>9.764265</v>
      </c>
      <c r="AH550" s="78">
        <v>11.83056</v>
      </c>
      <c r="AJ550" s="78">
        <v>67.804150000000007</v>
      </c>
      <c r="AK550" s="78">
        <v>16.75093</v>
      </c>
      <c r="AO550" s="78">
        <v>5.1860290000000004</v>
      </c>
      <c r="AQ550" s="78">
        <v>26.877790000000001</v>
      </c>
      <c r="AR550" s="78">
        <v>21.944749999999999</v>
      </c>
      <c r="AS550" s="78">
        <v>43.09883</v>
      </c>
      <c r="AT550" s="78">
        <v>9.0373180000000009</v>
      </c>
      <c r="AV550" s="78">
        <v>0.51494879999999998</v>
      </c>
      <c r="AZ550" s="78">
        <v>26.986969999999999</v>
      </c>
      <c r="BA550" s="78">
        <v>0.1798101</v>
      </c>
      <c r="BB550" s="78">
        <v>29.93412</v>
      </c>
      <c r="BC550" s="78">
        <v>9.3875480000000007</v>
      </c>
      <c r="BD550" s="78">
        <v>23.868220000000001</v>
      </c>
    </row>
    <row r="551" spans="1:56" x14ac:dyDescent="0.2">
      <c r="A551" s="78" t="s">
        <v>699</v>
      </c>
      <c r="B551" s="22">
        <v>35462</v>
      </c>
      <c r="C551" s="22"/>
      <c r="D551" s="22"/>
      <c r="E551" s="22">
        <v>34973</v>
      </c>
      <c r="F551" s="78" t="s">
        <v>683</v>
      </c>
      <c r="G551" s="78">
        <v>16.684719999999999</v>
      </c>
      <c r="I551" s="78">
        <v>4.4398030000000004</v>
      </c>
      <c r="J551" s="78">
        <v>27.15934</v>
      </c>
      <c r="K551" s="78">
        <v>44.095390000000002</v>
      </c>
      <c r="L551" s="78">
        <v>11.24747</v>
      </c>
      <c r="M551" s="78">
        <v>4.4516429999999998</v>
      </c>
      <c r="N551" s="78">
        <v>7.9107649999999996</v>
      </c>
      <c r="P551" s="78">
        <v>27.51003</v>
      </c>
      <c r="R551" s="78">
        <v>28.954260000000001</v>
      </c>
      <c r="S551" s="78">
        <v>35.658589999999997</v>
      </c>
      <c r="AA551" s="78">
        <v>24.938700000000001</v>
      </c>
      <c r="AC551" s="78">
        <v>13.5932</v>
      </c>
      <c r="AD551" s="78">
        <v>4.7883610000000001</v>
      </c>
      <c r="AE551" s="78">
        <v>5.1109</v>
      </c>
      <c r="AG551" s="78">
        <v>9.7709700000000002</v>
      </c>
      <c r="AH551" s="78">
        <v>12.04128</v>
      </c>
      <c r="AJ551" s="78">
        <v>67.885949999999994</v>
      </c>
      <c r="AK551" s="78">
        <v>17.050429999999999</v>
      </c>
      <c r="AO551" s="78">
        <v>5.2947189999999997</v>
      </c>
      <c r="AQ551" s="78">
        <v>27.345980000000001</v>
      </c>
      <c r="AR551" s="78">
        <v>22.103950000000001</v>
      </c>
      <c r="AS551" s="78">
        <v>43.671349999999997</v>
      </c>
      <c r="AT551" s="78">
        <v>9.2489600000000003</v>
      </c>
      <c r="AV551" s="78">
        <v>0.5366938</v>
      </c>
      <c r="AZ551" s="78">
        <v>27.17811</v>
      </c>
      <c r="BA551" s="78">
        <v>0.18631890000000001</v>
      </c>
      <c r="BB551" s="78">
        <v>30.028030000000001</v>
      </c>
      <c r="BC551" s="78">
        <v>9.4263019999999997</v>
      </c>
      <c r="BD551" s="78">
        <v>24.20768</v>
      </c>
    </row>
    <row r="552" spans="1:56" x14ac:dyDescent="0.2">
      <c r="A552" s="78" t="s">
        <v>700</v>
      </c>
      <c r="B552" s="22">
        <v>35490</v>
      </c>
      <c r="C552" s="22"/>
      <c r="D552" s="22"/>
      <c r="E552" s="22">
        <v>35004</v>
      </c>
      <c r="F552" s="78" t="s">
        <v>684</v>
      </c>
      <c r="G552" s="78">
        <v>16.833220000000001</v>
      </c>
      <c r="I552" s="78">
        <v>4.6010340000000003</v>
      </c>
      <c r="J552" s="78">
        <v>27.388860000000001</v>
      </c>
      <c r="K552" s="78">
        <v>44.255839999999999</v>
      </c>
      <c r="L552" s="78">
        <v>11.393269999999999</v>
      </c>
      <c r="M552" s="78">
        <v>4.5414770000000004</v>
      </c>
      <c r="N552" s="78">
        <v>8.0128819999999994</v>
      </c>
      <c r="P552" s="78">
        <v>28.04542</v>
      </c>
      <c r="R552" s="78">
        <v>29.033149999999999</v>
      </c>
      <c r="S552" s="78">
        <v>35.878909999999998</v>
      </c>
      <c r="AA552" s="78">
        <v>25.138719999999999</v>
      </c>
      <c r="AC552" s="78">
        <v>13.78581</v>
      </c>
      <c r="AD552" s="78">
        <v>4.8931630000000004</v>
      </c>
      <c r="AE552" s="78">
        <v>5.1588339999999997</v>
      </c>
      <c r="AG552" s="78">
        <v>9.7271359999999998</v>
      </c>
      <c r="AH552" s="78">
        <v>12.26816</v>
      </c>
      <c r="AJ552" s="78">
        <v>68.311310000000006</v>
      </c>
      <c r="AK552" s="78">
        <v>17.375820000000001</v>
      </c>
      <c r="AO552" s="78">
        <v>5.448874</v>
      </c>
      <c r="AQ552" s="78">
        <v>27.924019999999999</v>
      </c>
      <c r="AR552" s="78">
        <v>22.32019</v>
      </c>
      <c r="AS552" s="78">
        <v>44.079529999999998</v>
      </c>
      <c r="AT552" s="78">
        <v>9.4988620000000008</v>
      </c>
      <c r="AV552" s="78">
        <v>0.54758830000000003</v>
      </c>
      <c r="AZ552" s="78">
        <v>27.28294</v>
      </c>
      <c r="BA552" s="78">
        <v>0.19800509999999999</v>
      </c>
      <c r="BB552" s="78">
        <v>30.082039999999999</v>
      </c>
      <c r="BC552" s="78">
        <v>9.4402570000000008</v>
      </c>
      <c r="BD552" s="78">
        <v>24.564869999999999</v>
      </c>
    </row>
    <row r="553" spans="1:56" x14ac:dyDescent="0.2">
      <c r="A553" s="78" t="s">
        <v>701</v>
      </c>
      <c r="B553" s="22">
        <v>35521</v>
      </c>
      <c r="C553" s="22"/>
      <c r="D553" s="22"/>
      <c r="E553" s="22">
        <v>35034</v>
      </c>
      <c r="F553" s="78" t="s">
        <v>685</v>
      </c>
      <c r="G553" s="78">
        <v>17.02374</v>
      </c>
      <c r="I553" s="78">
        <v>4.7751409999999996</v>
      </c>
      <c r="J553" s="78">
        <v>27.456689999999998</v>
      </c>
      <c r="K553" s="78">
        <v>44.411639999999998</v>
      </c>
      <c r="L553" s="78">
        <v>11.58544</v>
      </c>
      <c r="M553" s="78">
        <v>4.6306219999999998</v>
      </c>
      <c r="N553" s="78">
        <v>8.0399670000000008</v>
      </c>
      <c r="P553" s="78">
        <v>28.831630000000001</v>
      </c>
      <c r="R553" s="78">
        <v>29.111550000000001</v>
      </c>
      <c r="S553" s="78">
        <v>36.596429999999998</v>
      </c>
      <c r="AA553" s="78">
        <v>25.62246</v>
      </c>
      <c r="AC553" s="78">
        <v>14.04984</v>
      </c>
      <c r="AD553" s="78">
        <v>4.9875309999999997</v>
      </c>
      <c r="AE553" s="78">
        <v>5.2063990000000002</v>
      </c>
      <c r="AG553" s="78">
        <v>9.7691750000000006</v>
      </c>
      <c r="AH553" s="78">
        <v>12.48645</v>
      </c>
      <c r="AJ553" s="78">
        <v>68.483090000000004</v>
      </c>
      <c r="AK553" s="78">
        <v>17.62312</v>
      </c>
      <c r="AO553" s="78">
        <v>5.5995200000000001</v>
      </c>
      <c r="AQ553" s="78">
        <v>28.11232</v>
      </c>
      <c r="AR553" s="78">
        <v>22.569880000000001</v>
      </c>
      <c r="AS553" s="78">
        <v>44.578449999999997</v>
      </c>
      <c r="AT553" s="78">
        <v>9.7202669999999998</v>
      </c>
      <c r="AV553" s="78">
        <v>0.54272240000000005</v>
      </c>
      <c r="AZ553" s="78">
        <v>27.32328</v>
      </c>
      <c r="BA553" s="78">
        <v>0.21450359999999999</v>
      </c>
      <c r="BB553" s="78">
        <v>30.161819999999999</v>
      </c>
      <c r="BC553" s="78">
        <v>9.6382709999999996</v>
      </c>
      <c r="BD553" s="78">
        <v>24.831969999999998</v>
      </c>
    </row>
    <row r="554" spans="1:56" x14ac:dyDescent="0.2">
      <c r="A554" s="78" t="s">
        <v>702</v>
      </c>
      <c r="B554" s="22">
        <v>35551</v>
      </c>
      <c r="C554" s="22"/>
      <c r="D554" s="22"/>
      <c r="E554" s="22">
        <v>35065</v>
      </c>
      <c r="F554" s="78" t="s">
        <v>686</v>
      </c>
      <c r="G554" s="78">
        <v>17.175039999999999</v>
      </c>
      <c r="I554" s="78">
        <v>4.9012260000000003</v>
      </c>
      <c r="J554" s="78">
        <v>27.61694</v>
      </c>
      <c r="K554" s="78">
        <v>44.81156</v>
      </c>
      <c r="L554" s="78">
        <v>11.74377</v>
      </c>
      <c r="M554" s="78">
        <v>4.7383680000000004</v>
      </c>
      <c r="N554" s="78">
        <v>8.1397259999999996</v>
      </c>
      <c r="P554" s="78">
        <v>29.2394</v>
      </c>
      <c r="R554" s="78">
        <v>29.414339999999999</v>
      </c>
      <c r="S554" s="78">
        <v>36.989989999999999</v>
      </c>
      <c r="AA554" s="78">
        <v>26.427990000000001</v>
      </c>
      <c r="AC554" s="78">
        <v>14.33198</v>
      </c>
      <c r="AD554" s="78">
        <v>5.0670659999999996</v>
      </c>
      <c r="AE554" s="78">
        <v>5.2735399999999997</v>
      </c>
      <c r="AG554" s="78">
        <v>9.8997779999999995</v>
      </c>
      <c r="AH554" s="78">
        <v>12.672650000000001</v>
      </c>
      <c r="AJ554" s="78">
        <v>68.613979999999998</v>
      </c>
      <c r="AK554" s="78">
        <v>17.785299999999999</v>
      </c>
      <c r="AO554" s="78">
        <v>5.7420580000000001</v>
      </c>
      <c r="AQ554" s="78">
        <v>28.489719999999998</v>
      </c>
      <c r="AR554" s="78">
        <v>22.86373</v>
      </c>
      <c r="AS554" s="78">
        <v>44.962690000000002</v>
      </c>
      <c r="AT554" s="78">
        <v>9.9701240000000002</v>
      </c>
      <c r="AV554" s="78">
        <v>0.57274060000000004</v>
      </c>
      <c r="AZ554" s="78">
        <v>27.482589999999998</v>
      </c>
      <c r="BA554" s="78">
        <v>0.23135729999999999</v>
      </c>
      <c r="BB554" s="78">
        <v>30.314730000000001</v>
      </c>
      <c r="BC554" s="78">
        <v>9.8611880000000003</v>
      </c>
      <c r="BD554" s="78">
        <v>24.920079999999999</v>
      </c>
    </row>
    <row r="555" spans="1:56" x14ac:dyDescent="0.2">
      <c r="A555" s="78" t="s">
        <v>703</v>
      </c>
      <c r="B555" s="22">
        <v>35582</v>
      </c>
      <c r="C555" s="22"/>
      <c r="D555" s="22"/>
      <c r="E555" s="22">
        <v>35096</v>
      </c>
      <c r="F555" s="78" t="s">
        <v>687</v>
      </c>
      <c r="G555" s="78">
        <v>17.264700000000001</v>
      </c>
      <c r="I555" s="78">
        <v>4.9977530000000003</v>
      </c>
      <c r="J555" s="78">
        <v>27.869730000000001</v>
      </c>
      <c r="K555" s="78">
        <v>45.235210000000002</v>
      </c>
      <c r="L555" s="78">
        <v>11.944610000000001</v>
      </c>
      <c r="M555" s="78">
        <v>4.8477940000000004</v>
      </c>
      <c r="N555" s="78">
        <v>8.303293</v>
      </c>
      <c r="P555" s="78">
        <v>29.352340000000002</v>
      </c>
      <c r="R555" s="78">
        <v>29.775680000000001</v>
      </c>
      <c r="S555" s="78">
        <v>36.8917</v>
      </c>
      <c r="AA555" s="78">
        <v>26.922450000000001</v>
      </c>
      <c r="AC555" s="78">
        <v>14.65207</v>
      </c>
      <c r="AD555" s="78">
        <v>5.1789579999999997</v>
      </c>
      <c r="AE555" s="78">
        <v>5.3375640000000004</v>
      </c>
      <c r="AG555" s="78">
        <v>9.9731439999999996</v>
      </c>
      <c r="AH555" s="78">
        <v>12.90934</v>
      </c>
      <c r="AJ555" s="78">
        <v>68.736670000000004</v>
      </c>
      <c r="AK555" s="78">
        <v>18.060839999999999</v>
      </c>
      <c r="AO555" s="78">
        <v>5.8719219999999996</v>
      </c>
      <c r="AQ555" s="78">
        <v>29.013649999999998</v>
      </c>
      <c r="AR555" s="78">
        <v>23.073329999999999</v>
      </c>
      <c r="AS555" s="78">
        <v>45.315570000000001</v>
      </c>
      <c r="AT555" s="78">
        <v>10.26811</v>
      </c>
      <c r="AV555" s="78">
        <v>0.61227719999999997</v>
      </c>
      <c r="AZ555" s="78">
        <v>27.821729999999999</v>
      </c>
      <c r="BA555" s="78">
        <v>0.2465764</v>
      </c>
      <c r="BB555" s="78">
        <v>30.430240000000001</v>
      </c>
      <c r="BC555" s="78">
        <v>10.032220000000001</v>
      </c>
      <c r="BD555" s="78">
        <v>25.05894</v>
      </c>
    </row>
    <row r="556" spans="1:56" x14ac:dyDescent="0.2">
      <c r="A556" s="78" t="s">
        <v>704</v>
      </c>
      <c r="B556" s="22">
        <v>35612</v>
      </c>
      <c r="C556" s="22"/>
      <c r="D556" s="22"/>
      <c r="E556" s="22">
        <v>35125</v>
      </c>
      <c r="F556" s="78" t="s">
        <v>688</v>
      </c>
      <c r="G556" s="78">
        <v>17.37116</v>
      </c>
      <c r="I556" s="78">
        <v>5.1134630000000003</v>
      </c>
      <c r="J556" s="78">
        <v>27.915479999999999</v>
      </c>
      <c r="K556" s="78">
        <v>45.628189999999996</v>
      </c>
      <c r="L556" s="78">
        <v>12.154019999999999</v>
      </c>
      <c r="M556" s="78">
        <v>4.9389089999999998</v>
      </c>
      <c r="N556" s="78">
        <v>8.4988639999999993</v>
      </c>
      <c r="P556" s="78">
        <v>29.506360000000001</v>
      </c>
      <c r="R556" s="78">
        <v>29.878440000000001</v>
      </c>
      <c r="S556" s="78">
        <v>37.007420000000003</v>
      </c>
      <c r="AA556" s="78">
        <v>27.127330000000001</v>
      </c>
      <c r="AC556" s="78">
        <v>14.9353</v>
      </c>
      <c r="AD556" s="78">
        <v>5.3326719999999996</v>
      </c>
      <c r="AE556" s="78">
        <v>5.4449699999999996</v>
      </c>
      <c r="AG556" s="78">
        <v>10.02459</v>
      </c>
      <c r="AH556" s="78">
        <v>13.18844</v>
      </c>
      <c r="AJ556" s="78">
        <v>69.055689999999998</v>
      </c>
      <c r="AK556" s="78">
        <v>18.405270000000002</v>
      </c>
      <c r="AO556" s="78">
        <v>6.0121159999999998</v>
      </c>
      <c r="AQ556" s="78">
        <v>29.455369999999998</v>
      </c>
      <c r="AR556" s="78">
        <v>23.301359999999999</v>
      </c>
      <c r="AS556" s="78">
        <v>46.106580000000001</v>
      </c>
      <c r="AT556" s="78">
        <v>10.512370000000001</v>
      </c>
      <c r="AV556" s="78">
        <v>0.6243107</v>
      </c>
      <c r="AZ556" s="78">
        <v>28.344580000000001</v>
      </c>
      <c r="BA556" s="78">
        <v>0.2598142</v>
      </c>
      <c r="BB556" s="78">
        <v>30.639659999999999</v>
      </c>
      <c r="BC556" s="78">
        <v>10.251810000000001</v>
      </c>
      <c r="BD556" s="78">
        <v>25.356300000000001</v>
      </c>
    </row>
    <row r="557" spans="1:56" x14ac:dyDescent="0.2">
      <c r="A557" s="78" t="s">
        <v>705</v>
      </c>
      <c r="B557" s="22">
        <v>35643</v>
      </c>
      <c r="C557" s="22"/>
      <c r="D557" s="22"/>
      <c r="E557" s="22">
        <v>35156</v>
      </c>
      <c r="F557" s="78" t="s">
        <v>689</v>
      </c>
      <c r="G557" s="78">
        <v>17.466419999999999</v>
      </c>
      <c r="I557" s="78">
        <v>5.2296930000000001</v>
      </c>
      <c r="J557" s="78">
        <v>27.99147</v>
      </c>
      <c r="K557" s="78">
        <v>45.992159999999998</v>
      </c>
      <c r="L557" s="78">
        <v>12.33966</v>
      </c>
      <c r="M557" s="78">
        <v>5.0442210000000003</v>
      </c>
      <c r="N557" s="78">
        <v>8.6686490000000003</v>
      </c>
      <c r="P557" s="78">
        <v>29.647169999999999</v>
      </c>
      <c r="R557" s="78">
        <v>30.31906</v>
      </c>
      <c r="S557" s="78">
        <v>37.121200000000002</v>
      </c>
      <c r="AA557" s="78">
        <v>27.37819</v>
      </c>
      <c r="AC557" s="78">
        <v>15.16907</v>
      </c>
      <c r="AD557" s="78">
        <v>5.4750490000000003</v>
      </c>
      <c r="AE557" s="78">
        <v>5.5321530000000001</v>
      </c>
      <c r="AG557" s="78">
        <v>10.10721</v>
      </c>
      <c r="AH557" s="78">
        <v>13.471579999999999</v>
      </c>
      <c r="AJ557" s="78">
        <v>69.08023</v>
      </c>
      <c r="AK557" s="78">
        <v>18.68413</v>
      </c>
      <c r="AO557" s="78">
        <v>6.1900649999999997</v>
      </c>
      <c r="AQ557" s="78">
        <v>29.574490000000001</v>
      </c>
      <c r="AR557" s="78">
        <v>23.498860000000001</v>
      </c>
      <c r="AS557" s="78">
        <v>46.79316</v>
      </c>
      <c r="AT557" s="78">
        <v>10.789249999999999</v>
      </c>
      <c r="AV557" s="78">
        <v>0.64108419999999999</v>
      </c>
      <c r="AZ557" s="78">
        <v>28.800809999999998</v>
      </c>
      <c r="BA557" s="78">
        <v>0.27779740000000003</v>
      </c>
      <c r="BB557" s="78">
        <v>30.729410000000001</v>
      </c>
      <c r="BC557" s="78">
        <v>10.39616</v>
      </c>
      <c r="BD557" s="78">
        <v>25.687650000000001</v>
      </c>
    </row>
    <row r="558" spans="1:56" x14ac:dyDescent="0.2">
      <c r="A558" s="78" t="s">
        <v>706</v>
      </c>
      <c r="B558" s="22">
        <v>35674</v>
      </c>
      <c r="C558" s="22"/>
      <c r="D558" s="22"/>
      <c r="E558" s="22">
        <v>35186</v>
      </c>
      <c r="F558" s="78" t="s">
        <v>690</v>
      </c>
      <c r="G558" s="78">
        <v>17.519659999999998</v>
      </c>
      <c r="I558" s="78">
        <v>5.3508149999999999</v>
      </c>
      <c r="J558" s="78">
        <v>28.201820000000001</v>
      </c>
      <c r="K558" s="78">
        <v>46.116160000000001</v>
      </c>
      <c r="L558" s="78">
        <v>12.48433</v>
      </c>
      <c r="M558" s="78">
        <v>5.1499490000000003</v>
      </c>
      <c r="N558" s="78">
        <v>8.8119449999999997</v>
      </c>
      <c r="P558" s="78">
        <v>30.176690000000001</v>
      </c>
      <c r="R558" s="78">
        <v>30.546600000000002</v>
      </c>
      <c r="S558" s="78">
        <v>37.192419999999998</v>
      </c>
      <c r="AA558" s="78">
        <v>27.53238</v>
      </c>
      <c r="AC558" s="78">
        <v>15.45139</v>
      </c>
      <c r="AD558" s="78">
        <v>5.5892200000000001</v>
      </c>
      <c r="AE558" s="78">
        <v>5.5611610000000002</v>
      </c>
      <c r="AG558" s="78">
        <v>10.17305</v>
      </c>
      <c r="AH558" s="78">
        <v>13.83053</v>
      </c>
      <c r="AJ558" s="78">
        <v>69.366529999999997</v>
      </c>
      <c r="AK558" s="78">
        <v>18.919039999999999</v>
      </c>
      <c r="AO558" s="78">
        <v>6.3591490000000004</v>
      </c>
      <c r="AQ558" s="78">
        <v>29.557849999999998</v>
      </c>
      <c r="AR558" s="78">
        <v>23.71518</v>
      </c>
      <c r="AS558" s="78">
        <v>47.483699999999999</v>
      </c>
      <c r="AT558" s="78">
        <v>11.041359999999999</v>
      </c>
      <c r="AV558" s="78">
        <v>0.65710449999999998</v>
      </c>
      <c r="AZ558" s="78">
        <v>29.154820000000001</v>
      </c>
      <c r="BA558" s="78">
        <v>0.29900349999999998</v>
      </c>
      <c r="BB558" s="78">
        <v>30.827470000000002</v>
      </c>
      <c r="BC558" s="78">
        <v>10.514900000000001</v>
      </c>
      <c r="BD558" s="78">
        <v>26.29074</v>
      </c>
    </row>
    <row r="559" spans="1:56" x14ac:dyDescent="0.2">
      <c r="A559" s="78" t="s">
        <v>707</v>
      </c>
      <c r="B559" s="22">
        <v>35704</v>
      </c>
      <c r="C559" s="22"/>
      <c r="D559" s="22"/>
      <c r="E559" s="22">
        <v>35217</v>
      </c>
      <c r="F559" s="78" t="s">
        <v>691</v>
      </c>
      <c r="G559" s="78">
        <v>17.614920000000001</v>
      </c>
      <c r="I559" s="78">
        <v>5.4455179999999999</v>
      </c>
      <c r="J559" s="78">
        <v>28.2821</v>
      </c>
      <c r="K559" s="78">
        <v>46.310369999999999</v>
      </c>
      <c r="L559" s="78">
        <v>12.66634</v>
      </c>
      <c r="M559" s="78">
        <v>5.2376079999999998</v>
      </c>
      <c r="N559" s="78">
        <v>8.9650200000000009</v>
      </c>
      <c r="P559" s="78">
        <v>30.445119999999999</v>
      </c>
      <c r="R559" s="78">
        <v>30.509650000000001</v>
      </c>
      <c r="S559" s="78">
        <v>37.311869999999999</v>
      </c>
      <c r="AA559" s="78">
        <v>27.785260000000001</v>
      </c>
      <c r="AC559" s="78">
        <v>15.73596</v>
      </c>
      <c r="AD559" s="78">
        <v>5.6912859999999998</v>
      </c>
      <c r="AE559" s="78">
        <v>5.6311540000000004</v>
      </c>
      <c r="AG559" s="78">
        <v>10.18427</v>
      </c>
      <c r="AH559" s="78">
        <v>14.187799999999999</v>
      </c>
      <c r="AJ559" s="78">
        <v>69.677379999999999</v>
      </c>
      <c r="AK559" s="78">
        <v>19.128769999999999</v>
      </c>
      <c r="AO559" s="78">
        <v>6.4807800000000002</v>
      </c>
      <c r="AQ559" s="78">
        <v>29.52497</v>
      </c>
      <c r="AR559" s="78">
        <v>23.91018</v>
      </c>
      <c r="AS559" s="78">
        <v>48.288980000000002</v>
      </c>
      <c r="AT559" s="78">
        <v>11.21425</v>
      </c>
      <c r="AV559" s="78">
        <v>0.66896420000000001</v>
      </c>
      <c r="AZ559" s="78">
        <v>29.319859999999998</v>
      </c>
      <c r="BA559" s="78">
        <v>0.3173686</v>
      </c>
      <c r="BB559" s="78">
        <v>30.934670000000001</v>
      </c>
      <c r="BC559" s="78">
        <v>10.79649</v>
      </c>
      <c r="BD559" s="78">
        <v>26.82611</v>
      </c>
    </row>
    <row r="560" spans="1:56" x14ac:dyDescent="0.2">
      <c r="A560" s="78" t="s">
        <v>708</v>
      </c>
      <c r="B560" s="22">
        <v>35735</v>
      </c>
      <c r="C560" s="22"/>
      <c r="D560" s="22"/>
      <c r="E560" s="22">
        <v>35247</v>
      </c>
      <c r="F560" s="78" t="s">
        <v>692</v>
      </c>
      <c r="G560" s="78">
        <v>17.805440000000001</v>
      </c>
      <c r="I560" s="78">
        <v>5.5335570000000001</v>
      </c>
      <c r="J560" s="78">
        <v>28.297090000000001</v>
      </c>
      <c r="K560" s="78">
        <v>46.590969999999999</v>
      </c>
      <c r="L560" s="78">
        <v>12.92787</v>
      </c>
      <c r="M560" s="78">
        <v>5.3331809999999997</v>
      </c>
      <c r="N560" s="78">
        <v>9.1676719999999996</v>
      </c>
      <c r="P560" s="78">
        <v>30.525790000000001</v>
      </c>
      <c r="R560" s="78">
        <v>30.51793</v>
      </c>
      <c r="S560" s="78">
        <v>37.344479999999997</v>
      </c>
      <c r="AA560" s="78">
        <v>28.168959999999998</v>
      </c>
      <c r="AC560" s="78">
        <v>15.982139999999999</v>
      </c>
      <c r="AD560" s="78">
        <v>5.784675</v>
      </c>
      <c r="AE560" s="78">
        <v>5.7131319999999999</v>
      </c>
      <c r="AG560" s="78">
        <v>10.178179999999999</v>
      </c>
      <c r="AH560" s="78">
        <v>14.434200000000001</v>
      </c>
      <c r="AJ560" s="78">
        <v>69.81644</v>
      </c>
      <c r="AK560" s="78">
        <v>19.339880000000001</v>
      </c>
      <c r="AO560" s="78">
        <v>6.6082710000000002</v>
      </c>
      <c r="AQ560" s="78">
        <v>29.6206</v>
      </c>
      <c r="AR560" s="78">
        <v>24.10201</v>
      </c>
      <c r="AS560" s="78">
        <v>48.62912</v>
      </c>
      <c r="AT560" s="78">
        <v>11.396470000000001</v>
      </c>
      <c r="AV560" s="78">
        <v>0.69686479999999995</v>
      </c>
      <c r="AZ560" s="78">
        <v>29.480550000000001</v>
      </c>
      <c r="BA560" s="78">
        <v>0.33368170000000003</v>
      </c>
      <c r="BB560" s="78">
        <v>31.056830000000001</v>
      </c>
      <c r="BC560" s="78">
        <v>11.03579</v>
      </c>
      <c r="BD560" s="78">
        <v>26.85933</v>
      </c>
    </row>
    <row r="561" spans="1:56" x14ac:dyDescent="0.2">
      <c r="A561" s="78" t="s">
        <v>709</v>
      </c>
      <c r="B561" s="22">
        <v>35765</v>
      </c>
      <c r="C561" s="22"/>
      <c r="D561" s="22"/>
      <c r="E561" s="22">
        <v>35278</v>
      </c>
      <c r="F561" s="78" t="s">
        <v>693</v>
      </c>
      <c r="G561" s="78">
        <v>17.951139999999999</v>
      </c>
      <c r="I561" s="78">
        <v>5.6372390000000001</v>
      </c>
      <c r="J561" s="78">
        <v>28.3827</v>
      </c>
      <c r="K561" s="78">
        <v>46.769150000000003</v>
      </c>
      <c r="L561" s="78">
        <v>13.24098</v>
      </c>
      <c r="M561" s="78">
        <v>5.4333809999999998</v>
      </c>
      <c r="N561" s="78">
        <v>9.3711660000000006</v>
      </c>
      <c r="P561" s="78">
        <v>30.657800000000002</v>
      </c>
      <c r="R561" s="78">
        <v>30.89207</v>
      </c>
      <c r="S561" s="78">
        <v>37.300080000000001</v>
      </c>
      <c r="AA561" s="78">
        <v>28.413250000000001</v>
      </c>
      <c r="AC561" s="78">
        <v>16.271699999999999</v>
      </c>
      <c r="AD561" s="78">
        <v>5.8484850000000002</v>
      </c>
      <c r="AE561" s="78">
        <v>5.774502</v>
      </c>
      <c r="AG561" s="78">
        <v>10.22822</v>
      </c>
      <c r="AH561" s="78">
        <v>14.75103</v>
      </c>
      <c r="AJ561" s="78">
        <v>69.963679999999997</v>
      </c>
      <c r="AK561" s="78">
        <v>19.641490000000001</v>
      </c>
      <c r="AO561" s="78">
        <v>6.7460430000000002</v>
      </c>
      <c r="AQ561" s="78">
        <v>29.611000000000001</v>
      </c>
      <c r="AR561" s="78">
        <v>24.293679999999998</v>
      </c>
      <c r="AS561" s="78">
        <v>48.843609999999998</v>
      </c>
      <c r="AT561" s="78">
        <v>11.574909999999999</v>
      </c>
      <c r="AV561" s="78">
        <v>0.73592329999999995</v>
      </c>
      <c r="AZ561" s="78">
        <v>29.683129999999998</v>
      </c>
      <c r="BA561" s="78">
        <v>0.35790739999999999</v>
      </c>
      <c r="BB561" s="78">
        <v>31.114170000000001</v>
      </c>
      <c r="BC561" s="78">
        <v>11.124650000000001</v>
      </c>
      <c r="BD561" s="78">
        <v>26.84695</v>
      </c>
    </row>
    <row r="562" spans="1:56" x14ac:dyDescent="0.2">
      <c r="A562" s="78" t="s">
        <v>710</v>
      </c>
      <c r="B562" s="22">
        <v>35796</v>
      </c>
      <c r="C562" s="22"/>
      <c r="D562" s="22"/>
      <c r="E562" s="22">
        <v>35309</v>
      </c>
      <c r="F562" s="78" t="s">
        <v>694</v>
      </c>
      <c r="G562" s="78">
        <v>17.967949999999998</v>
      </c>
      <c r="I562" s="78">
        <v>5.741098</v>
      </c>
      <c r="J562" s="78">
        <v>28.395980000000002</v>
      </c>
      <c r="K562" s="78">
        <v>47.043109999999999</v>
      </c>
      <c r="L562" s="78">
        <v>13.435309999999999</v>
      </c>
      <c r="M562" s="78">
        <v>5.5293789999999996</v>
      </c>
      <c r="N562" s="78">
        <v>9.5706790000000002</v>
      </c>
      <c r="P562" s="78">
        <v>30.500859999999999</v>
      </c>
      <c r="R562" s="78">
        <v>31.412089999999999</v>
      </c>
      <c r="S562" s="78">
        <v>37.396900000000002</v>
      </c>
      <c r="AA562" s="78">
        <v>28.661159999999999</v>
      </c>
      <c r="AC562" s="78">
        <v>16.535060000000001</v>
      </c>
      <c r="AD562" s="78">
        <v>5.9237630000000001</v>
      </c>
      <c r="AE562" s="78">
        <v>5.8429630000000001</v>
      </c>
      <c r="AG562" s="78">
        <v>10.28307</v>
      </c>
      <c r="AH562" s="78">
        <v>15.046250000000001</v>
      </c>
      <c r="AJ562" s="78">
        <v>70.11909</v>
      </c>
      <c r="AK562" s="78">
        <v>19.891649999999998</v>
      </c>
      <c r="AO562" s="78">
        <v>6.8997070000000003</v>
      </c>
      <c r="AQ562" s="78">
        <v>29.538810000000002</v>
      </c>
      <c r="AR562" s="78">
        <v>24.509779999999999</v>
      </c>
      <c r="AS562" s="78">
        <v>49.399070000000002</v>
      </c>
      <c r="AT562" s="78">
        <v>11.78214</v>
      </c>
      <c r="AV562" s="78">
        <v>0.75476259999999995</v>
      </c>
      <c r="AZ562" s="78">
        <v>29.863569999999999</v>
      </c>
      <c r="BA562" s="78">
        <v>0.38776620000000001</v>
      </c>
      <c r="BB562" s="78">
        <v>31.19228</v>
      </c>
      <c r="BC562" s="78">
        <v>11.20199</v>
      </c>
      <c r="BD562" s="78">
        <v>27.00853</v>
      </c>
    </row>
    <row r="563" spans="1:56" x14ac:dyDescent="0.2">
      <c r="A563" s="78" t="s">
        <v>711</v>
      </c>
      <c r="B563" s="22">
        <v>35827</v>
      </c>
      <c r="C563" s="22"/>
      <c r="D563" s="22"/>
      <c r="E563" s="22">
        <v>35339</v>
      </c>
      <c r="F563" s="78" t="s">
        <v>695</v>
      </c>
      <c r="G563" s="78">
        <v>18.124849999999999</v>
      </c>
      <c r="I563" s="78">
        <v>5.8361980000000004</v>
      </c>
      <c r="J563" s="78">
        <v>28.63383</v>
      </c>
      <c r="K563" s="78">
        <v>47.304029999999997</v>
      </c>
      <c r="L563" s="78">
        <v>13.558070000000001</v>
      </c>
      <c r="M563" s="78">
        <v>5.6121280000000002</v>
      </c>
      <c r="N563" s="78">
        <v>9.7491459999999996</v>
      </c>
      <c r="P563" s="78">
        <v>30.436319999999998</v>
      </c>
      <c r="R563" s="78">
        <v>31.686579999999999</v>
      </c>
      <c r="S563" s="78">
        <v>37.463740000000001</v>
      </c>
      <c r="AA563" s="78">
        <v>28.871130000000001</v>
      </c>
      <c r="AC563" s="78">
        <v>16.776979999999998</v>
      </c>
      <c r="AD563" s="78">
        <v>6.0778270000000001</v>
      </c>
      <c r="AE563" s="78">
        <v>5.8979059999999999</v>
      </c>
      <c r="AG563" s="78">
        <v>10.278890000000001</v>
      </c>
      <c r="AH563" s="78">
        <v>15.27591</v>
      </c>
      <c r="AJ563" s="78">
        <v>70.389039999999994</v>
      </c>
      <c r="AK563" s="78">
        <v>20.068059999999999</v>
      </c>
      <c r="AO563" s="78">
        <v>7.0808710000000001</v>
      </c>
      <c r="AQ563" s="78">
        <v>29.73864</v>
      </c>
      <c r="AR563" s="78">
        <v>24.765529999999998</v>
      </c>
      <c r="AS563" s="78">
        <v>50.005659999999999</v>
      </c>
      <c r="AT563" s="78">
        <v>12.01356</v>
      </c>
      <c r="AV563" s="78">
        <v>0.76608589999999999</v>
      </c>
      <c r="AZ563" s="78">
        <v>29.992439999999998</v>
      </c>
      <c r="BA563" s="78">
        <v>0.4158096</v>
      </c>
      <c r="BB563" s="78">
        <v>31.336880000000001</v>
      </c>
      <c r="BC563" s="78">
        <v>11.314629999999999</v>
      </c>
      <c r="BD563" s="78">
        <v>27.667269999999998</v>
      </c>
    </row>
    <row r="564" spans="1:56" x14ac:dyDescent="0.2">
      <c r="A564" s="78" t="s">
        <v>712</v>
      </c>
      <c r="B564" s="22">
        <v>35855</v>
      </c>
      <c r="C564" s="22"/>
      <c r="D564" s="22"/>
      <c r="E564" s="22">
        <v>35370</v>
      </c>
      <c r="F564" s="78" t="s">
        <v>696</v>
      </c>
      <c r="G564" s="78">
        <v>18.407830000000001</v>
      </c>
      <c r="I564" s="78">
        <v>5.9565060000000001</v>
      </c>
      <c r="J564" s="78">
        <v>28.721609999999998</v>
      </c>
      <c r="K564" s="78">
        <v>47.554020000000001</v>
      </c>
      <c r="L564" s="78">
        <v>13.70026</v>
      </c>
      <c r="M564" s="78">
        <v>5.6922379999999997</v>
      </c>
      <c r="N564" s="78">
        <v>9.8531060000000004</v>
      </c>
      <c r="P564" s="78">
        <v>30.845559999999999</v>
      </c>
      <c r="R564" s="78">
        <v>32.003050000000002</v>
      </c>
      <c r="S564" s="78">
        <v>37.578679999999999</v>
      </c>
      <c r="AA564" s="78">
        <v>29.273679999999999</v>
      </c>
      <c r="AC564" s="78">
        <v>17.052520000000001</v>
      </c>
      <c r="AD564" s="78">
        <v>6.2793299999999999</v>
      </c>
      <c r="AE564" s="78">
        <v>5.9623629999999999</v>
      </c>
      <c r="AG564" s="78">
        <v>10.316739999999999</v>
      </c>
      <c r="AH564" s="78">
        <v>15.507999999999999</v>
      </c>
      <c r="AJ564" s="78">
        <v>70.470830000000007</v>
      </c>
      <c r="AK564" s="78">
        <v>20.380769999999998</v>
      </c>
      <c r="AO564" s="78">
        <v>7.2047720000000002</v>
      </c>
      <c r="AQ564" s="78">
        <v>29.896439999999998</v>
      </c>
      <c r="AR564" s="78">
        <v>25.020160000000001</v>
      </c>
      <c r="AS564" s="78">
        <v>50.443129999999996</v>
      </c>
      <c r="AT564" s="78">
        <v>12.23526</v>
      </c>
      <c r="AV564" s="78">
        <v>0.77156309999999995</v>
      </c>
      <c r="AZ564" s="78">
        <v>30.188980000000001</v>
      </c>
      <c r="BA564" s="78">
        <v>0.4461176</v>
      </c>
      <c r="BB564" s="78">
        <v>31.495609999999999</v>
      </c>
      <c r="BC564" s="78">
        <v>11.34333</v>
      </c>
      <c r="BD564" s="78">
        <v>27.926069999999999</v>
      </c>
    </row>
    <row r="565" spans="1:56" x14ac:dyDescent="0.2">
      <c r="A565" s="78" t="s">
        <v>713</v>
      </c>
      <c r="B565" s="22">
        <v>35886</v>
      </c>
      <c r="C565" s="22"/>
      <c r="D565" s="22"/>
      <c r="E565" s="22">
        <v>35400</v>
      </c>
      <c r="F565" s="78" t="s">
        <v>697</v>
      </c>
      <c r="G565" s="78">
        <v>18.56193</v>
      </c>
      <c r="I565" s="78">
        <v>6.1134599999999999</v>
      </c>
      <c r="J565" s="78">
        <v>28.847899999999999</v>
      </c>
      <c r="K565" s="78">
        <v>47.650019999999998</v>
      </c>
      <c r="L565" s="78">
        <v>13.79819</v>
      </c>
      <c r="M565" s="78">
        <v>5.7847710000000001</v>
      </c>
      <c r="N565" s="78">
        <v>10.16216</v>
      </c>
      <c r="P565" s="78">
        <v>31.36627</v>
      </c>
      <c r="R565" s="78">
        <v>32.139409999999998</v>
      </c>
      <c r="S565" s="78">
        <v>38.142499999999998</v>
      </c>
      <c r="AA565" s="78">
        <v>29.539210000000001</v>
      </c>
      <c r="AC565" s="78">
        <v>17.272179999999999</v>
      </c>
      <c r="AD565" s="78">
        <v>6.4573999999999998</v>
      </c>
      <c r="AE565" s="78">
        <v>6.0500059999999998</v>
      </c>
      <c r="AG565" s="78">
        <v>10.45908</v>
      </c>
      <c r="AH565" s="78">
        <v>15.748239999999999</v>
      </c>
      <c r="AJ565" s="78">
        <v>70.503559999999993</v>
      </c>
      <c r="AK565" s="78">
        <v>20.667470000000002</v>
      </c>
      <c r="AO565" s="78">
        <v>7.3265510000000003</v>
      </c>
      <c r="AQ565" s="78">
        <v>29.972580000000001</v>
      </c>
      <c r="AR565" s="78">
        <v>25.285530000000001</v>
      </c>
      <c r="AS565" s="78">
        <v>51.045740000000002</v>
      </c>
      <c r="AT565" s="78">
        <v>12.518050000000001</v>
      </c>
      <c r="AV565" s="78">
        <v>0.75366509999999998</v>
      </c>
      <c r="AZ565" s="78">
        <v>30.455780000000001</v>
      </c>
      <c r="BA565" s="78">
        <v>0.48232740000000002</v>
      </c>
      <c r="BB565" s="78">
        <v>31.665130000000001</v>
      </c>
      <c r="BC565" s="78">
        <v>11.37834</v>
      </c>
      <c r="BD565" s="78">
        <v>27.625800000000002</v>
      </c>
    </row>
    <row r="566" spans="1:56" x14ac:dyDescent="0.2">
      <c r="A566" s="78" t="s">
        <v>714</v>
      </c>
      <c r="B566" s="22">
        <v>35916</v>
      </c>
      <c r="C566" s="22"/>
      <c r="D566" s="22"/>
      <c r="E566" s="22">
        <v>35431</v>
      </c>
      <c r="F566" s="78" t="s">
        <v>698</v>
      </c>
      <c r="G566" s="78">
        <v>18.671199999999999</v>
      </c>
      <c r="I566" s="78">
        <v>6.2823710000000004</v>
      </c>
      <c r="J566" s="78">
        <v>28.903780000000001</v>
      </c>
      <c r="K566" s="78">
        <v>47.946779999999997</v>
      </c>
      <c r="L566" s="78">
        <v>14.00836</v>
      </c>
      <c r="M566" s="78">
        <v>5.8894380000000002</v>
      </c>
      <c r="N566" s="78">
        <v>10.4795</v>
      </c>
      <c r="P566" s="78">
        <v>31.335470000000001</v>
      </c>
      <c r="R566" s="78">
        <v>32.441670000000002</v>
      </c>
      <c r="S566" s="78">
        <v>38.397350000000003</v>
      </c>
      <c r="AA566" s="78">
        <v>29.826540000000001</v>
      </c>
      <c r="AC566" s="78">
        <v>17.443809999999999</v>
      </c>
      <c r="AD566" s="78">
        <v>6.5985310000000004</v>
      </c>
      <c r="AE566" s="78">
        <v>6.157489</v>
      </c>
      <c r="AG566" s="78">
        <v>10.50854</v>
      </c>
      <c r="AH566" s="78">
        <v>16.079930000000001</v>
      </c>
      <c r="AJ566" s="78">
        <v>70.642619999999994</v>
      </c>
      <c r="AK566" s="78">
        <v>20.894850000000002</v>
      </c>
      <c r="AO566" s="78">
        <v>7.4799470000000001</v>
      </c>
      <c r="AQ566" s="78">
        <v>29.940149999999999</v>
      </c>
      <c r="AR566" s="78">
        <v>25.530390000000001</v>
      </c>
      <c r="AS566" s="78">
        <v>51.722209999999997</v>
      </c>
      <c r="AT566" s="78">
        <v>12.782819999999999</v>
      </c>
      <c r="AV566" s="78">
        <v>0.76408240000000005</v>
      </c>
      <c r="AZ566" s="78">
        <v>30.090509999999998</v>
      </c>
      <c r="BA566" s="78">
        <v>0.51646510000000001</v>
      </c>
      <c r="BB566" s="78">
        <v>31.78314</v>
      </c>
      <c r="BC566" s="78">
        <v>11.65893</v>
      </c>
      <c r="BD566" s="78">
        <v>27.73085</v>
      </c>
    </row>
    <row r="567" spans="1:56" x14ac:dyDescent="0.2">
      <c r="A567" s="78" t="s">
        <v>715</v>
      </c>
      <c r="B567" s="22">
        <v>35947</v>
      </c>
      <c r="C567" s="22"/>
      <c r="D567" s="22"/>
      <c r="E567" s="22">
        <v>35462</v>
      </c>
      <c r="F567" s="78" t="s">
        <v>699</v>
      </c>
      <c r="G567" s="78">
        <v>18.800080000000001</v>
      </c>
      <c r="I567" s="78">
        <v>6.4103909999999997</v>
      </c>
      <c r="J567" s="78">
        <v>29.158429999999999</v>
      </c>
      <c r="K567" s="78">
        <v>48.591160000000002</v>
      </c>
      <c r="L567" s="78">
        <v>14.286989999999999</v>
      </c>
      <c r="M567" s="78">
        <v>5.9912609999999997</v>
      </c>
      <c r="N567" s="78">
        <v>10.58291</v>
      </c>
      <c r="P567" s="78">
        <v>31.166789999999999</v>
      </c>
      <c r="R567" s="78">
        <v>32.743859999999998</v>
      </c>
      <c r="S567" s="78">
        <v>38.253869999999999</v>
      </c>
      <c r="AA567" s="78">
        <v>30.313749999999999</v>
      </c>
      <c r="AC567" s="78">
        <v>17.611219999999999</v>
      </c>
      <c r="AD567" s="78">
        <v>6.7187809999999999</v>
      </c>
      <c r="AE567" s="78">
        <v>6.2608360000000003</v>
      </c>
      <c r="AG567" s="78">
        <v>10.577529999999999</v>
      </c>
      <c r="AH567" s="78">
        <v>16.417459999999998</v>
      </c>
      <c r="AJ567" s="78">
        <v>70.691699999999997</v>
      </c>
      <c r="AK567" s="78">
        <v>21.186979999999998</v>
      </c>
      <c r="AO567" s="78">
        <v>7.6452879999999999</v>
      </c>
      <c r="AQ567" s="78">
        <v>29.692319999999999</v>
      </c>
      <c r="AR567" s="78">
        <v>25.720569999999999</v>
      </c>
      <c r="AS567" s="78">
        <v>52.272089999999999</v>
      </c>
      <c r="AT567" s="78">
        <v>12.98265</v>
      </c>
      <c r="AV567" s="78">
        <v>0.79335730000000004</v>
      </c>
      <c r="AZ567" s="78">
        <v>29.954509999999999</v>
      </c>
      <c r="BA567" s="78">
        <v>0.54562250000000001</v>
      </c>
      <c r="BB567" s="78">
        <v>31.880369999999999</v>
      </c>
      <c r="BC567" s="78">
        <v>11.869630000000001</v>
      </c>
      <c r="BD567" s="78">
        <v>27.850629999999999</v>
      </c>
    </row>
    <row r="568" spans="1:56" x14ac:dyDescent="0.2">
      <c r="A568" s="78" t="s">
        <v>716</v>
      </c>
      <c r="B568" s="22">
        <v>35977</v>
      </c>
      <c r="C568" s="22"/>
      <c r="D568" s="22"/>
      <c r="E568" s="22">
        <v>35490</v>
      </c>
      <c r="F568" s="78" t="s">
        <v>700</v>
      </c>
      <c r="G568" s="78">
        <v>18.914960000000001</v>
      </c>
      <c r="I568" s="78">
        <v>6.5010349999999999</v>
      </c>
      <c r="J568" s="78">
        <v>29.416340000000002</v>
      </c>
      <c r="K568" s="78">
        <v>48.652090000000001</v>
      </c>
      <c r="L568" s="78">
        <v>14.492509999999999</v>
      </c>
      <c r="M568" s="78">
        <v>6.0801540000000003</v>
      </c>
      <c r="N568" s="78">
        <v>10.711320000000001</v>
      </c>
      <c r="P568" s="78">
        <v>31.204930000000001</v>
      </c>
      <c r="R568" s="78">
        <v>32.877389999999998</v>
      </c>
      <c r="S568" s="78">
        <v>38.341079999999998</v>
      </c>
      <c r="AA568" s="78">
        <v>30.546710000000001</v>
      </c>
      <c r="AC568" s="78">
        <v>17.76651</v>
      </c>
      <c r="AD568" s="78">
        <v>6.8245240000000003</v>
      </c>
      <c r="AE568" s="78">
        <v>6.3541819999999998</v>
      </c>
      <c r="AG568" s="78">
        <v>10.644740000000001</v>
      </c>
      <c r="AH568" s="78">
        <v>16.659749999999999</v>
      </c>
      <c r="AJ568" s="78">
        <v>70.912559999999999</v>
      </c>
      <c r="AK568" s="78">
        <v>21.406359999999999</v>
      </c>
      <c r="AO568" s="78">
        <v>7.8433020000000004</v>
      </c>
      <c r="AQ568" s="78">
        <v>29.59722</v>
      </c>
      <c r="AR568" s="78">
        <v>25.929690000000001</v>
      </c>
      <c r="AS568" s="78">
        <v>52.821159999999999</v>
      </c>
      <c r="AT568" s="78">
        <v>13.225680000000001</v>
      </c>
      <c r="AV568" s="78">
        <v>0.80612700000000004</v>
      </c>
      <c r="AZ568" s="78">
        <v>30.344799999999999</v>
      </c>
      <c r="BA568" s="78">
        <v>0.57675379999999998</v>
      </c>
      <c r="BB568" s="78">
        <v>32.004190000000001</v>
      </c>
      <c r="BC568" s="78">
        <v>12.018219999999999</v>
      </c>
      <c r="BD568" s="78">
        <v>27.8828</v>
      </c>
    </row>
    <row r="569" spans="1:56" x14ac:dyDescent="0.2">
      <c r="A569" s="78" t="s">
        <v>717</v>
      </c>
      <c r="B569" s="22">
        <v>36008</v>
      </c>
      <c r="C569" s="22"/>
      <c r="D569" s="22"/>
      <c r="E569" s="22">
        <v>35521</v>
      </c>
      <c r="F569" s="78" t="s">
        <v>701</v>
      </c>
      <c r="G569" s="78">
        <v>19.02983</v>
      </c>
      <c r="I569" s="78">
        <v>6.6011509999999998</v>
      </c>
      <c r="J569" s="78">
        <v>29.383510000000001</v>
      </c>
      <c r="K569" s="78">
        <v>48.605910000000002</v>
      </c>
      <c r="L569" s="78">
        <v>14.739129999999999</v>
      </c>
      <c r="M569" s="78">
        <v>6.1760910000000004</v>
      </c>
      <c r="N569" s="78">
        <v>10.919119999999999</v>
      </c>
      <c r="P569" s="78">
        <v>31.31494</v>
      </c>
      <c r="R569" s="78">
        <v>32.83972</v>
      </c>
      <c r="S569" s="78">
        <v>38.420940000000002</v>
      </c>
      <c r="AA569" s="78">
        <v>30.65005</v>
      </c>
      <c r="AC569" s="78">
        <v>17.9419</v>
      </c>
      <c r="AD569" s="78">
        <v>6.9138440000000001</v>
      </c>
      <c r="AE569" s="78">
        <v>6.4292199999999999</v>
      </c>
      <c r="AG569" s="78">
        <v>10.74691</v>
      </c>
      <c r="AH569" s="78">
        <v>16.859079999999999</v>
      </c>
      <c r="AJ569" s="78">
        <v>71.337919999999997</v>
      </c>
      <c r="AK569" s="78">
        <v>21.609400000000001</v>
      </c>
      <c r="AO569" s="78">
        <v>8.0594649999999994</v>
      </c>
      <c r="AQ569" s="78">
        <v>29.692630000000001</v>
      </c>
      <c r="AR569" s="78">
        <v>26.13503</v>
      </c>
      <c r="AS569" s="78">
        <v>53.369079999999997</v>
      </c>
      <c r="AT569" s="78">
        <v>13.53003</v>
      </c>
      <c r="AV569" s="78">
        <v>0.82383810000000002</v>
      </c>
      <c r="AZ569" s="78">
        <v>30.320620000000002</v>
      </c>
      <c r="BA569" s="78">
        <v>0.60668900000000003</v>
      </c>
      <c r="BB569" s="78">
        <v>32.137149999999998</v>
      </c>
      <c r="BC569" s="78">
        <v>12.156599999999999</v>
      </c>
      <c r="BD569" s="78">
        <v>28.16994</v>
      </c>
    </row>
    <row r="570" spans="1:56" x14ac:dyDescent="0.2">
      <c r="A570" s="78" t="s">
        <v>718</v>
      </c>
      <c r="B570" s="22">
        <v>36039</v>
      </c>
      <c r="C570" s="22"/>
      <c r="D570" s="22"/>
      <c r="E570" s="22">
        <v>35551</v>
      </c>
      <c r="F570" s="78" t="s">
        <v>702</v>
      </c>
      <c r="G570" s="78">
        <v>19.178329999999999</v>
      </c>
      <c r="I570" s="78">
        <v>6.7010969999999999</v>
      </c>
      <c r="J570" s="78">
        <v>29.395659999999999</v>
      </c>
      <c r="K570" s="78">
        <v>48.882199999999997</v>
      </c>
      <c r="L570" s="78">
        <v>15.015549999999999</v>
      </c>
      <c r="M570" s="78">
        <v>6.2711110000000003</v>
      </c>
      <c r="N570" s="78">
        <v>11.11711</v>
      </c>
      <c r="P570" s="78">
        <v>31.879660000000001</v>
      </c>
      <c r="R570" s="78">
        <v>32.832700000000003</v>
      </c>
      <c r="S570" s="78">
        <v>38.61497</v>
      </c>
      <c r="AA570" s="78">
        <v>30.798310000000001</v>
      </c>
      <c r="AC570" s="78">
        <v>18.258990000000001</v>
      </c>
      <c r="AD570" s="78">
        <v>6.994459</v>
      </c>
      <c r="AE570" s="78">
        <v>6.4952529999999999</v>
      </c>
      <c r="AG570" s="78">
        <v>10.865259999999999</v>
      </c>
      <c r="AH570" s="78">
        <v>17.070060000000002</v>
      </c>
      <c r="AJ570" s="78">
        <v>71.452439999999996</v>
      </c>
      <c r="AK570" s="78">
        <v>21.91797</v>
      </c>
      <c r="AO570" s="78">
        <v>8.2531909999999993</v>
      </c>
      <c r="AQ570" s="78">
        <v>29.81617</v>
      </c>
      <c r="AR570" s="78">
        <v>26.313690000000001</v>
      </c>
      <c r="AS570" s="78">
        <v>54.074010000000001</v>
      </c>
      <c r="AT570" s="78">
        <v>13.86675</v>
      </c>
      <c r="AV570" s="78">
        <v>0.84790679999999996</v>
      </c>
      <c r="AZ570" s="78">
        <v>30.320709999999998</v>
      </c>
      <c r="BA570" s="78">
        <v>0.63428779999999996</v>
      </c>
      <c r="BB570" s="78">
        <v>32.236040000000003</v>
      </c>
      <c r="BC570" s="78">
        <v>12.23977</v>
      </c>
      <c r="BD570" s="78">
        <v>28.37377</v>
      </c>
    </row>
    <row r="571" spans="1:56" x14ac:dyDescent="0.2">
      <c r="A571" s="78" t="s">
        <v>719</v>
      </c>
      <c r="B571" s="22">
        <v>36069</v>
      </c>
      <c r="C571" s="22"/>
      <c r="D571" s="22"/>
      <c r="E571" s="22">
        <v>35582</v>
      </c>
      <c r="F571" s="78" t="s">
        <v>703</v>
      </c>
      <c r="G571" s="78">
        <v>19.293199999999999</v>
      </c>
      <c r="I571" s="78">
        <v>6.8143729999999998</v>
      </c>
      <c r="J571" s="78">
        <v>29.454339999999998</v>
      </c>
      <c r="K571" s="78">
        <v>49.003549999999997</v>
      </c>
      <c r="L571" s="78">
        <v>15.239409999999999</v>
      </c>
      <c r="M571" s="78">
        <v>6.3502159999999996</v>
      </c>
      <c r="N571" s="78">
        <v>11.355589999999999</v>
      </c>
      <c r="P571" s="78">
        <v>32.171550000000003</v>
      </c>
      <c r="R571" s="78">
        <v>33.109729999999999</v>
      </c>
      <c r="S571" s="78">
        <v>38.911409999999997</v>
      </c>
      <c r="AA571" s="78">
        <v>31.35866</v>
      </c>
      <c r="AC571" s="78">
        <v>18.56129</v>
      </c>
      <c r="AD571" s="78">
        <v>7.1046630000000004</v>
      </c>
      <c r="AE571" s="78">
        <v>6.5919040000000004</v>
      </c>
      <c r="AG571" s="78">
        <v>10.840210000000001</v>
      </c>
      <c r="AH571" s="78">
        <v>17.446470000000001</v>
      </c>
      <c r="AJ571" s="78">
        <v>71.722380000000001</v>
      </c>
      <c r="AK571" s="78">
        <v>22.214359999999999</v>
      </c>
      <c r="AO571" s="78">
        <v>8.4665090000000003</v>
      </c>
      <c r="AQ571" s="78">
        <v>30.058420000000002</v>
      </c>
      <c r="AR571" s="78">
        <v>26.563140000000001</v>
      </c>
      <c r="AS571" s="78">
        <v>54.785139999999998</v>
      </c>
      <c r="AT571" s="78">
        <v>14.18745</v>
      </c>
      <c r="AV571" s="78">
        <v>0.86507979999999995</v>
      </c>
      <c r="AZ571" s="78">
        <v>30.601150000000001</v>
      </c>
      <c r="BA571" s="78">
        <v>0.66787410000000003</v>
      </c>
      <c r="BB571" s="78">
        <v>32.37482</v>
      </c>
      <c r="BC571" s="78">
        <v>12.398160000000001</v>
      </c>
      <c r="BD571" s="78">
        <v>28.39077</v>
      </c>
    </row>
    <row r="572" spans="1:56" x14ac:dyDescent="0.2">
      <c r="A572" s="78" t="s">
        <v>720</v>
      </c>
      <c r="B572" s="22">
        <v>36100</v>
      </c>
      <c r="C572" s="22"/>
      <c r="D572" s="22"/>
      <c r="E572" s="22">
        <v>35612</v>
      </c>
      <c r="F572" s="78" t="s">
        <v>704</v>
      </c>
      <c r="G572" s="78">
        <v>19.366040000000002</v>
      </c>
      <c r="I572" s="78">
        <v>6.9251050000000003</v>
      </c>
      <c r="J572" s="78">
        <v>29.422599999999999</v>
      </c>
      <c r="K572" s="78">
        <v>49.007989999999999</v>
      </c>
      <c r="L572" s="78">
        <v>15.44487</v>
      </c>
      <c r="M572" s="78">
        <v>6.4171880000000003</v>
      </c>
      <c r="N572" s="78">
        <v>11.65414</v>
      </c>
      <c r="P572" s="78">
        <v>32.39011</v>
      </c>
      <c r="R572" s="78">
        <v>33.480930000000001</v>
      </c>
      <c r="S572" s="78">
        <v>39.032859999999999</v>
      </c>
      <c r="AA572" s="78">
        <v>32.033929999999998</v>
      </c>
      <c r="AC572" s="78">
        <v>18.89883</v>
      </c>
      <c r="AD572" s="78">
        <v>7.2202109999999999</v>
      </c>
      <c r="AE572" s="78">
        <v>6.6735530000000001</v>
      </c>
      <c r="AG572" s="78">
        <v>10.925420000000001</v>
      </c>
      <c r="AH572" s="78">
        <v>17.726400000000002</v>
      </c>
      <c r="AJ572" s="78">
        <v>71.967780000000005</v>
      </c>
      <c r="AK572" s="78">
        <v>22.481000000000002</v>
      </c>
      <c r="AO572" s="78">
        <v>8.6778980000000008</v>
      </c>
      <c r="AQ572" s="78">
        <v>30.358219999999999</v>
      </c>
      <c r="AR572" s="78">
        <v>26.834589999999999</v>
      </c>
      <c r="AS572" s="78">
        <v>55.434750000000001</v>
      </c>
      <c r="AT572" s="78">
        <v>14.56986</v>
      </c>
      <c r="AV572" s="78">
        <v>0.89667949999999996</v>
      </c>
      <c r="AZ572" s="78">
        <v>30.65915</v>
      </c>
      <c r="BA572" s="78">
        <v>0.71290620000000005</v>
      </c>
      <c r="BB572" s="78">
        <v>32.524410000000003</v>
      </c>
      <c r="BC572" s="78">
        <v>12.54763</v>
      </c>
      <c r="BD572" s="78">
        <v>28.59347</v>
      </c>
    </row>
    <row r="573" spans="1:56" x14ac:dyDescent="0.2">
      <c r="A573" s="78" t="s">
        <v>721</v>
      </c>
      <c r="B573" s="22">
        <v>36130</v>
      </c>
      <c r="C573" s="22"/>
      <c r="D573" s="22"/>
      <c r="E573" s="22">
        <v>35643</v>
      </c>
      <c r="F573" s="78" t="s">
        <v>705</v>
      </c>
      <c r="G573" s="78">
        <v>19.43329</v>
      </c>
      <c r="I573" s="78">
        <v>7.033722</v>
      </c>
      <c r="J573" s="78">
        <v>29.65926</v>
      </c>
      <c r="K573" s="78">
        <v>48.9846</v>
      </c>
      <c r="L573" s="78">
        <v>15.574210000000001</v>
      </c>
      <c r="M573" s="78">
        <v>6.4940800000000003</v>
      </c>
      <c r="N573" s="78">
        <v>11.86852</v>
      </c>
      <c r="P573" s="78">
        <v>32.941630000000004</v>
      </c>
      <c r="R573" s="78">
        <v>33.546439999999997</v>
      </c>
      <c r="S573" s="78">
        <v>38.951569999999997</v>
      </c>
      <c r="AA573" s="78">
        <v>32.396900000000002</v>
      </c>
      <c r="AC573" s="78">
        <v>19.21565</v>
      </c>
      <c r="AD573" s="78">
        <v>7.3800850000000002</v>
      </c>
      <c r="AE573" s="78">
        <v>6.733028</v>
      </c>
      <c r="AG573" s="78">
        <v>11.015650000000001</v>
      </c>
      <c r="AH573" s="78">
        <v>17.87726</v>
      </c>
      <c r="AJ573" s="78">
        <v>72.204999999999998</v>
      </c>
      <c r="AK573" s="78">
        <v>22.73847</v>
      </c>
      <c r="AO573" s="78">
        <v>8.8696990000000007</v>
      </c>
      <c r="AQ573" s="78">
        <v>30.5852</v>
      </c>
      <c r="AR573" s="78">
        <v>27.146180000000001</v>
      </c>
      <c r="AS573" s="78">
        <v>56.079619999999998</v>
      </c>
      <c r="AT573" s="78">
        <v>14.87917</v>
      </c>
      <c r="AV573" s="78">
        <v>0.94827810000000001</v>
      </c>
      <c r="AZ573" s="78">
        <v>30.73143</v>
      </c>
      <c r="BA573" s="78">
        <v>0.76595659999999999</v>
      </c>
      <c r="BB573" s="78">
        <v>32.802799999999998</v>
      </c>
      <c r="BC573" s="78">
        <v>12.705679999999999</v>
      </c>
      <c r="BD573" s="78">
        <v>29.040009999999999</v>
      </c>
    </row>
    <row r="574" spans="1:56" x14ac:dyDescent="0.2">
      <c r="A574" s="78" t="s">
        <v>722</v>
      </c>
      <c r="B574" s="22">
        <v>36161</v>
      </c>
      <c r="C574" s="22"/>
      <c r="D574" s="22"/>
      <c r="E574" s="22">
        <v>35674</v>
      </c>
      <c r="F574" s="78" t="s">
        <v>706</v>
      </c>
      <c r="G574" s="78">
        <v>19.464110000000002</v>
      </c>
      <c r="I574" s="78">
        <v>7.1502090000000003</v>
      </c>
      <c r="J574" s="78">
        <v>29.802140000000001</v>
      </c>
      <c r="K574" s="78">
        <v>49.012369999999997</v>
      </c>
      <c r="L574" s="78">
        <v>15.8124</v>
      </c>
      <c r="M574" s="78">
        <v>6.5873390000000001</v>
      </c>
      <c r="N574" s="78">
        <v>12.107559999999999</v>
      </c>
      <c r="P574" s="78">
        <v>32.959229999999998</v>
      </c>
      <c r="R574" s="78">
        <v>33.323410000000003</v>
      </c>
      <c r="S574" s="78">
        <v>38.948999999999998</v>
      </c>
      <c r="AA574" s="78">
        <v>31.63608</v>
      </c>
      <c r="AC574" s="78">
        <v>19.453970000000002</v>
      </c>
      <c r="AD574" s="78">
        <v>7.5352610000000002</v>
      </c>
      <c r="AE574" s="78">
        <v>6.8075070000000002</v>
      </c>
      <c r="AG574" s="78">
        <v>11.09088</v>
      </c>
      <c r="AH574" s="78">
        <v>18.117239999999999</v>
      </c>
      <c r="AJ574" s="78">
        <v>72.344059999999999</v>
      </c>
      <c r="AK574" s="78">
        <v>23.028110000000002</v>
      </c>
      <c r="AO574" s="78">
        <v>9.039892</v>
      </c>
      <c r="AQ574" s="78">
        <v>30.936689999999999</v>
      </c>
      <c r="AR574" s="78">
        <v>27.315259999999999</v>
      </c>
      <c r="AS574" s="78">
        <v>56.515140000000002</v>
      </c>
      <c r="AT574" s="78">
        <v>15.12022</v>
      </c>
      <c r="AV574" s="78">
        <v>0.97616959999999997</v>
      </c>
      <c r="AZ574" s="78">
        <v>30.762339999999998</v>
      </c>
      <c r="BA574" s="78">
        <v>0.8213317</v>
      </c>
      <c r="BB574" s="78">
        <v>32.93327</v>
      </c>
      <c r="BC574" s="78">
        <v>13.03506</v>
      </c>
      <c r="BD574" s="78">
        <v>29.580660000000002</v>
      </c>
    </row>
    <row r="575" spans="1:56" x14ac:dyDescent="0.2">
      <c r="A575" s="78" t="s">
        <v>723</v>
      </c>
      <c r="B575" s="22">
        <v>36192</v>
      </c>
      <c r="C575" s="22"/>
      <c r="D575" s="22"/>
      <c r="E575" s="22">
        <v>35704</v>
      </c>
      <c r="F575" s="78" t="s">
        <v>707</v>
      </c>
      <c r="G575" s="78">
        <v>19.548159999999999</v>
      </c>
      <c r="I575" s="78">
        <v>7.2696389999999997</v>
      </c>
      <c r="J575" s="78">
        <v>30.002459999999999</v>
      </c>
      <c r="K575" s="78">
        <v>49.151879999999998</v>
      </c>
      <c r="L575" s="78">
        <v>16.134260000000001</v>
      </c>
      <c r="M575" s="78">
        <v>6.7073530000000003</v>
      </c>
      <c r="N575" s="78">
        <v>12.414009999999999</v>
      </c>
      <c r="P575" s="78">
        <v>32.86242</v>
      </c>
      <c r="R575" s="78">
        <v>33.880490000000002</v>
      </c>
      <c r="S575" s="78">
        <v>39.06906</v>
      </c>
      <c r="AA575" s="78">
        <v>31.335070000000002</v>
      </c>
      <c r="AC575" s="78">
        <v>19.877549999999999</v>
      </c>
      <c r="AD575" s="78">
        <v>7.7293209999999997</v>
      </c>
      <c r="AE575" s="78">
        <v>6.9002480000000004</v>
      </c>
      <c r="AG575" s="78">
        <v>11.21893</v>
      </c>
      <c r="AH575" s="78">
        <v>18.34581</v>
      </c>
      <c r="AJ575" s="78">
        <v>72.556740000000005</v>
      </c>
      <c r="AK575" s="78">
        <v>23.317340000000002</v>
      </c>
      <c r="AO575" s="78">
        <v>9.1977089999999997</v>
      </c>
      <c r="AQ575" s="78">
        <v>31.14988</v>
      </c>
      <c r="AR575" s="78">
        <v>27.545480000000001</v>
      </c>
      <c r="AS575" s="78">
        <v>56.779380000000003</v>
      </c>
      <c r="AT575" s="78">
        <v>15.49076</v>
      </c>
      <c r="AV575" s="78">
        <v>0.99244049999999995</v>
      </c>
      <c r="AZ575" s="78">
        <v>30.71762</v>
      </c>
      <c r="BA575" s="78">
        <v>0.87977430000000001</v>
      </c>
      <c r="BB575" s="78">
        <v>33.091990000000003</v>
      </c>
      <c r="BC575" s="78">
        <v>13.350680000000001</v>
      </c>
      <c r="BD575" s="78">
        <v>29.612729999999999</v>
      </c>
    </row>
    <row r="576" spans="1:56" x14ac:dyDescent="0.2">
      <c r="A576" s="78" t="s">
        <v>724</v>
      </c>
      <c r="B576" s="22">
        <v>36220</v>
      </c>
      <c r="C576" s="22"/>
      <c r="D576" s="22"/>
      <c r="E576" s="22">
        <v>35735</v>
      </c>
      <c r="F576" s="78" t="s">
        <v>708</v>
      </c>
      <c r="G576" s="78">
        <v>19.677050000000001</v>
      </c>
      <c r="I576" s="78">
        <v>7.3378269999999999</v>
      </c>
      <c r="J576" s="78">
        <v>30.109570000000001</v>
      </c>
      <c r="K576" s="78">
        <v>49.131529999999998</v>
      </c>
      <c r="L576" s="78">
        <v>16.338170000000002</v>
      </c>
      <c r="M576" s="78">
        <v>6.8208510000000002</v>
      </c>
      <c r="N576" s="78">
        <v>12.72331</v>
      </c>
      <c r="P576" s="78">
        <v>33.102980000000002</v>
      </c>
      <c r="R576" s="78">
        <v>34.434829999999998</v>
      </c>
      <c r="S576" s="78">
        <v>39.30001</v>
      </c>
      <c r="AA576" s="78">
        <v>32.012540000000001</v>
      </c>
      <c r="AC576" s="78">
        <v>20.149090000000001</v>
      </c>
      <c r="AD576" s="78">
        <v>7.7569629999999998</v>
      </c>
      <c r="AE576" s="78">
        <v>7.0086250000000003</v>
      </c>
      <c r="AG576" s="78">
        <v>11.31841</v>
      </c>
      <c r="AH576" s="78">
        <v>18.637689999999999</v>
      </c>
      <c r="AJ576" s="78">
        <v>72.736699999999999</v>
      </c>
      <c r="AK576" s="78">
        <v>23.45551</v>
      </c>
      <c r="AO576" s="78">
        <v>9.3891530000000003</v>
      </c>
      <c r="AQ576" s="78">
        <v>31.171559999999999</v>
      </c>
      <c r="AR576" s="78">
        <v>27.844470000000001</v>
      </c>
      <c r="AS576" s="78">
        <v>57.195959999999999</v>
      </c>
      <c r="AT576" s="78">
        <v>15.87218</v>
      </c>
      <c r="AV576" s="78">
        <v>1.007941</v>
      </c>
      <c r="AZ576" s="78">
        <v>30.77787</v>
      </c>
      <c r="BA576" s="78">
        <v>0.93615389999999998</v>
      </c>
      <c r="BB576" s="78">
        <v>33.278970000000001</v>
      </c>
      <c r="BC576" s="78">
        <v>13.428240000000001</v>
      </c>
      <c r="BD576" s="78">
        <v>29.462949999999999</v>
      </c>
    </row>
    <row r="577" spans="1:56" x14ac:dyDescent="0.2">
      <c r="A577" s="78" t="s">
        <v>725</v>
      </c>
      <c r="B577" s="22">
        <v>36251</v>
      </c>
      <c r="C577" s="22"/>
      <c r="D577" s="22"/>
      <c r="E577" s="22">
        <v>35765</v>
      </c>
      <c r="F577" s="78" t="s">
        <v>709</v>
      </c>
      <c r="G577" s="78">
        <v>19.780709999999999</v>
      </c>
      <c r="I577" s="78">
        <v>7.3612039999999999</v>
      </c>
      <c r="J577" s="78">
        <v>30.463629999999998</v>
      </c>
      <c r="K577" s="78">
        <v>49.10416</v>
      </c>
      <c r="L577" s="78">
        <v>16.563140000000001</v>
      </c>
      <c r="M577" s="78">
        <v>6.8969740000000002</v>
      </c>
      <c r="N577" s="78">
        <v>13.03609</v>
      </c>
      <c r="P577" s="78">
        <v>33.877450000000003</v>
      </c>
      <c r="R577" s="78">
        <v>34.494140000000002</v>
      </c>
      <c r="S577" s="78">
        <v>39.862909999999999</v>
      </c>
      <c r="AA577" s="78">
        <v>32.3857</v>
      </c>
      <c r="AC577" s="78">
        <v>20.482900000000001</v>
      </c>
      <c r="AD577" s="78">
        <v>7.8517460000000003</v>
      </c>
      <c r="AE577" s="78">
        <v>7.1151650000000002</v>
      </c>
      <c r="AG577" s="78">
        <v>11.433719999999999</v>
      </c>
      <c r="AH577" s="78">
        <v>18.95205</v>
      </c>
      <c r="AJ577" s="78">
        <v>73.186599999999999</v>
      </c>
      <c r="AK577" s="78">
        <v>23.716339999999999</v>
      </c>
      <c r="AO577" s="78">
        <v>9.5910189999999993</v>
      </c>
      <c r="AQ577" s="78">
        <v>31.034089999999999</v>
      </c>
      <c r="AR577" s="78">
        <v>28.112120000000001</v>
      </c>
      <c r="AS577" s="78">
        <v>57.942999999999998</v>
      </c>
      <c r="AT577" s="78">
        <v>16.147010000000002</v>
      </c>
      <c r="AV577" s="78">
        <v>0.97439010000000004</v>
      </c>
      <c r="AZ577" s="78">
        <v>30.846640000000001</v>
      </c>
      <c r="BA577" s="78">
        <v>0.98164549999999995</v>
      </c>
      <c r="BB577" s="78">
        <v>33.430219999999998</v>
      </c>
      <c r="BC577" s="78">
        <v>13.42329</v>
      </c>
      <c r="BD577" s="78">
        <v>29.58231</v>
      </c>
    </row>
    <row r="578" spans="1:56" x14ac:dyDescent="0.2">
      <c r="A578" s="78" t="s">
        <v>726</v>
      </c>
      <c r="B578" s="22">
        <v>36281</v>
      </c>
      <c r="C578" s="22"/>
      <c r="D578" s="22"/>
      <c r="E578" s="22">
        <v>35796</v>
      </c>
      <c r="F578" s="78" t="s">
        <v>710</v>
      </c>
      <c r="G578" s="78">
        <v>19.889980000000001</v>
      </c>
      <c r="I578" s="78">
        <v>7.387067</v>
      </c>
      <c r="J578" s="78">
        <v>30.393070000000002</v>
      </c>
      <c r="K578" s="78">
        <v>49.1539</v>
      </c>
      <c r="L578" s="78">
        <v>16.571449999999999</v>
      </c>
      <c r="M578" s="78">
        <v>6.9208730000000003</v>
      </c>
      <c r="N578" s="78">
        <v>13.23762</v>
      </c>
      <c r="P578" s="78">
        <v>33.855449999999998</v>
      </c>
      <c r="R578" s="78">
        <v>34.674430000000001</v>
      </c>
      <c r="S578" s="78">
        <v>40.201270000000001</v>
      </c>
      <c r="AA578" s="78">
        <v>32.798340000000003</v>
      </c>
      <c r="AC578" s="78">
        <v>20.5124</v>
      </c>
      <c r="AD578" s="78">
        <v>9.1998999999999995</v>
      </c>
      <c r="AE578" s="78">
        <v>7.1979790000000001</v>
      </c>
      <c r="AG578" s="78">
        <v>11.575430000000001</v>
      </c>
      <c r="AH578" s="78">
        <v>19.166509999999999</v>
      </c>
      <c r="AJ578" s="78">
        <v>73.60378</v>
      </c>
      <c r="AK578" s="78">
        <v>24.040980000000001</v>
      </c>
      <c r="AO578" s="78">
        <v>9.8187230000000003</v>
      </c>
      <c r="AQ578" s="78">
        <v>31.142869999999998</v>
      </c>
      <c r="AR578" s="78">
        <v>28.387989999999999</v>
      </c>
      <c r="AS578" s="78">
        <v>58.833799999999997</v>
      </c>
      <c r="AT578" s="78">
        <v>16.366710000000001</v>
      </c>
      <c r="AV578" s="78">
        <v>0.97792789999999996</v>
      </c>
      <c r="AZ578" s="78">
        <v>30.87088</v>
      </c>
      <c r="BA578" s="78">
        <v>1.0322169999999999</v>
      </c>
      <c r="BB578" s="78">
        <v>33.623840000000001</v>
      </c>
      <c r="BC578" s="78">
        <v>13.67108</v>
      </c>
      <c r="BD578" s="78">
        <v>29.946459999999998</v>
      </c>
    </row>
    <row r="579" spans="1:56" x14ac:dyDescent="0.2">
      <c r="A579" s="78" t="s">
        <v>727</v>
      </c>
      <c r="B579" s="22">
        <v>36312</v>
      </c>
      <c r="C579" s="22"/>
      <c r="D579" s="22"/>
      <c r="E579" s="22">
        <v>35827</v>
      </c>
      <c r="F579" s="78" t="s">
        <v>711</v>
      </c>
      <c r="G579" s="78">
        <v>19.98244</v>
      </c>
      <c r="I579" s="78">
        <v>7.4511050000000001</v>
      </c>
      <c r="J579" s="78">
        <v>30.323119999999999</v>
      </c>
      <c r="K579" s="78">
        <v>49.23856</v>
      </c>
      <c r="L579" s="78">
        <v>16.513719999999999</v>
      </c>
      <c r="M579" s="78">
        <v>6.9444879999999998</v>
      </c>
      <c r="N579" s="78">
        <v>13.369400000000001</v>
      </c>
      <c r="P579" s="78">
        <v>33.085380000000001</v>
      </c>
      <c r="R579" s="78">
        <v>34.632649999999998</v>
      </c>
      <c r="S579" s="78">
        <v>40.194459999999999</v>
      </c>
      <c r="AA579" s="78">
        <v>33.084420000000001</v>
      </c>
      <c r="AC579" s="78">
        <v>20.420089999999998</v>
      </c>
      <c r="AD579" s="78">
        <v>10.13579</v>
      </c>
      <c r="AE579" s="78">
        <v>7.3014349999999997</v>
      </c>
      <c r="AG579" s="78">
        <v>11.71373</v>
      </c>
      <c r="AH579" s="78">
        <v>19.40174</v>
      </c>
      <c r="AJ579" s="78">
        <v>73.963700000000003</v>
      </c>
      <c r="AK579" s="78">
        <v>24.254149999999999</v>
      </c>
      <c r="AO579" s="78">
        <v>10.04383</v>
      </c>
      <c r="AQ579" s="78">
        <v>31.543109999999999</v>
      </c>
      <c r="AR579" s="78">
        <v>28.645040000000002</v>
      </c>
      <c r="AS579" s="78">
        <v>59.669159999999998</v>
      </c>
      <c r="AT579" s="78">
        <v>16.593489999999999</v>
      </c>
      <c r="AV579" s="78">
        <v>0.98725909999999995</v>
      </c>
      <c r="AZ579" s="78">
        <v>30.912769999999998</v>
      </c>
      <c r="BA579" s="78">
        <v>1.0853299999999999</v>
      </c>
      <c r="BB579" s="78">
        <v>33.895589999999999</v>
      </c>
      <c r="BC579" s="78">
        <v>14.037240000000001</v>
      </c>
      <c r="BD579" s="78">
        <v>30.116959999999999</v>
      </c>
    </row>
    <row r="580" spans="1:56" x14ac:dyDescent="0.2">
      <c r="A580" s="78" t="s">
        <v>728</v>
      </c>
      <c r="B580" s="22">
        <v>36342</v>
      </c>
      <c r="C580" s="22"/>
      <c r="D580" s="22"/>
      <c r="E580" s="22">
        <v>35855</v>
      </c>
      <c r="F580" s="78" t="s">
        <v>712</v>
      </c>
      <c r="G580" s="78">
        <v>20.055289999999999</v>
      </c>
      <c r="I580" s="78">
        <v>7.6080100000000002</v>
      </c>
      <c r="J580" s="78">
        <v>30.26952</v>
      </c>
      <c r="K580" s="78">
        <v>49.474930000000001</v>
      </c>
      <c r="L580" s="78">
        <v>16.72823</v>
      </c>
      <c r="M580" s="78">
        <v>7.0143519999999997</v>
      </c>
      <c r="N580" s="78">
        <v>13.58192</v>
      </c>
      <c r="P580" s="78">
        <v>33.154319999999998</v>
      </c>
      <c r="R580" s="78">
        <v>34.570230000000002</v>
      </c>
      <c r="S580" s="78">
        <v>40.277369999999998</v>
      </c>
      <c r="AA580" s="78">
        <v>33.26126</v>
      </c>
      <c r="AC580" s="78">
        <v>20.993880000000001</v>
      </c>
      <c r="AD580" s="78">
        <v>10.21984</v>
      </c>
      <c r="AE580" s="78">
        <v>7.4670920000000001</v>
      </c>
      <c r="AG580" s="78">
        <v>11.86561</v>
      </c>
      <c r="AH580" s="78">
        <v>19.399850000000001</v>
      </c>
      <c r="AJ580" s="78">
        <v>74.061869999999999</v>
      </c>
      <c r="AK580" s="78">
        <v>24.558910000000001</v>
      </c>
      <c r="AO580" s="78">
        <v>10.253629999999999</v>
      </c>
      <c r="AQ580" s="78">
        <v>31.654720000000001</v>
      </c>
      <c r="AR580" s="78">
        <v>28.86468</v>
      </c>
      <c r="AS580" s="78">
        <v>60.595509999999997</v>
      </c>
      <c r="AT580" s="78">
        <v>16.7987</v>
      </c>
      <c r="AV580" s="78">
        <v>0.96156229999999998</v>
      </c>
      <c r="AZ580" s="78">
        <v>30.705680000000001</v>
      </c>
      <c r="BA580" s="78">
        <v>1.1492929999999999</v>
      </c>
      <c r="BB580" s="78">
        <v>34.107500000000002</v>
      </c>
      <c r="BC580" s="78">
        <v>14.07536</v>
      </c>
      <c r="BD580" s="78">
        <v>30.05574</v>
      </c>
    </row>
    <row r="581" spans="1:56" x14ac:dyDescent="0.2">
      <c r="A581" s="78" t="s">
        <v>729</v>
      </c>
      <c r="B581" s="22">
        <v>36373</v>
      </c>
      <c r="C581" s="22"/>
      <c r="D581" s="22"/>
      <c r="E581" s="22">
        <v>35886</v>
      </c>
      <c r="F581" s="78" t="s">
        <v>713</v>
      </c>
      <c r="G581" s="78">
        <v>20.158950000000001</v>
      </c>
      <c r="I581" s="78">
        <v>7.7601329999999997</v>
      </c>
      <c r="J581" s="78">
        <v>30.24915</v>
      </c>
      <c r="K581" s="78">
        <v>49.56324</v>
      </c>
      <c r="L581" s="78">
        <v>16.939820000000001</v>
      </c>
      <c r="M581" s="78">
        <v>7.0975289999999998</v>
      </c>
      <c r="N581" s="78">
        <v>13.74391</v>
      </c>
      <c r="P581" s="78">
        <v>33.279000000000003</v>
      </c>
      <c r="R581" s="78">
        <v>34.777160000000002</v>
      </c>
      <c r="S581" s="78">
        <v>40.492179999999998</v>
      </c>
      <c r="AA581" s="78">
        <v>33.41057</v>
      </c>
      <c r="AC581" s="78">
        <v>21.541499999999999</v>
      </c>
      <c r="AD581" s="78">
        <v>10.506970000000001</v>
      </c>
      <c r="AE581" s="78">
        <v>7.5958769999999998</v>
      </c>
      <c r="AG581" s="78">
        <v>12.02549</v>
      </c>
      <c r="AH581" s="78">
        <v>19.559439999999999</v>
      </c>
      <c r="AJ581" s="78">
        <v>74.233639999999994</v>
      </c>
      <c r="AK581" s="78">
        <v>24.830179999999999</v>
      </c>
      <c r="AO581" s="78">
        <v>10.44661</v>
      </c>
      <c r="AQ581" s="78">
        <v>31.69126</v>
      </c>
      <c r="AR581" s="78">
        <v>29.118590000000001</v>
      </c>
      <c r="AS581" s="78">
        <v>61.45626</v>
      </c>
      <c r="AT581" s="78">
        <v>17.055569999999999</v>
      </c>
      <c r="AV581" s="78">
        <v>0.97012129999999996</v>
      </c>
      <c r="AZ581" s="78">
        <v>30.617529999999999</v>
      </c>
      <c r="BA581" s="78">
        <v>1.2369460000000001</v>
      </c>
      <c r="BB581" s="78">
        <v>34.321899999999999</v>
      </c>
      <c r="BC581" s="78">
        <v>14.14124</v>
      </c>
      <c r="BD581" s="78">
        <v>30.117650000000001</v>
      </c>
    </row>
    <row r="582" spans="1:56" x14ac:dyDescent="0.2">
      <c r="A582" s="78" t="s">
        <v>730</v>
      </c>
      <c r="B582" s="22">
        <v>36404</v>
      </c>
      <c r="C582" s="22"/>
      <c r="D582" s="22"/>
      <c r="E582" s="22">
        <v>35916</v>
      </c>
      <c r="F582" s="78" t="s">
        <v>714</v>
      </c>
      <c r="G582" s="78">
        <v>20.285039999999999</v>
      </c>
      <c r="I582" s="78">
        <v>7.8743509999999999</v>
      </c>
      <c r="J582" s="78">
        <v>30.470089999999999</v>
      </c>
      <c r="K582" s="78">
        <v>49.319319999999998</v>
      </c>
      <c r="L582" s="78">
        <v>17.090859999999999</v>
      </c>
      <c r="M582" s="78">
        <v>7.1838569999999997</v>
      </c>
      <c r="N582" s="78">
        <v>13.951409999999999</v>
      </c>
      <c r="P582" s="78">
        <v>33.591430000000003</v>
      </c>
      <c r="R582" s="78">
        <v>35.091920000000002</v>
      </c>
      <c r="S582" s="78">
        <v>40.792729999999999</v>
      </c>
      <c r="AA582" s="78">
        <v>33.69211</v>
      </c>
      <c r="AC582" s="78">
        <v>21.88139</v>
      </c>
      <c r="AD582" s="78">
        <v>10.94937</v>
      </c>
      <c r="AE582" s="78">
        <v>7.6782029999999999</v>
      </c>
      <c r="AG582" s="78">
        <v>12.19087</v>
      </c>
      <c r="AH582" s="78">
        <v>19.962209999999999</v>
      </c>
      <c r="AJ582" s="78">
        <v>74.544489999999996</v>
      </c>
      <c r="AK582" s="78">
        <v>24.962890000000002</v>
      </c>
      <c r="AO582" s="78">
        <v>10.67014</v>
      </c>
      <c r="AQ582" s="78">
        <v>31.957159999999998</v>
      </c>
      <c r="AR582" s="78">
        <v>29.41084</v>
      </c>
      <c r="AS582" s="78">
        <v>61.728430000000003</v>
      </c>
      <c r="AT582" s="78">
        <v>17.443660000000001</v>
      </c>
      <c r="AV582" s="78">
        <v>0.98086099999999998</v>
      </c>
      <c r="AZ582" s="78">
        <v>31.051200000000001</v>
      </c>
      <c r="BA582" s="78">
        <v>1.3267409999999999</v>
      </c>
      <c r="BB582" s="78">
        <v>34.520510000000002</v>
      </c>
      <c r="BC582" s="78">
        <v>14.20739</v>
      </c>
      <c r="BD582" s="78">
        <v>30.19068</v>
      </c>
    </row>
    <row r="583" spans="1:56" x14ac:dyDescent="0.2">
      <c r="A583" s="78" t="s">
        <v>731</v>
      </c>
      <c r="B583" s="22">
        <v>36434</v>
      </c>
      <c r="C583" s="22"/>
      <c r="D583" s="22"/>
      <c r="E583" s="22">
        <v>35947</v>
      </c>
      <c r="F583" s="78" t="s">
        <v>715</v>
      </c>
      <c r="G583" s="78">
        <v>20.425129999999999</v>
      </c>
      <c r="I583" s="78">
        <v>7.9936769999999999</v>
      </c>
      <c r="J583" s="78">
        <v>30.71585</v>
      </c>
      <c r="K583" s="78">
        <v>49.276820000000001</v>
      </c>
      <c r="L583" s="78">
        <v>17.207709999999999</v>
      </c>
      <c r="M583" s="78">
        <v>7.2362380000000002</v>
      </c>
      <c r="N583" s="78">
        <v>14.15832</v>
      </c>
      <c r="P583" s="78">
        <v>34.162010000000002</v>
      </c>
      <c r="R583" s="78">
        <v>35.101860000000002</v>
      </c>
      <c r="S583" s="78">
        <v>41.020069999999997</v>
      </c>
      <c r="AA583" s="78">
        <v>33.976869999999998</v>
      </c>
      <c r="AC583" s="78">
        <v>22.184809999999999</v>
      </c>
      <c r="AD583" s="78">
        <v>12.16559</v>
      </c>
      <c r="AE583" s="78">
        <v>7.7813970000000001</v>
      </c>
      <c r="AG583" s="78">
        <v>12.35153</v>
      </c>
      <c r="AH583" s="78">
        <v>20.188479999999998</v>
      </c>
      <c r="AJ583" s="78">
        <v>74.601749999999996</v>
      </c>
      <c r="AK583" s="78">
        <v>25.276009999999999</v>
      </c>
      <c r="AO583" s="78">
        <v>10.90117</v>
      </c>
      <c r="AQ583" s="78">
        <v>32.040199999999999</v>
      </c>
      <c r="AR583" s="78">
        <v>29.670480000000001</v>
      </c>
      <c r="AS583" s="78">
        <v>61.812800000000003</v>
      </c>
      <c r="AT583" s="78">
        <v>17.881430000000002</v>
      </c>
      <c r="AV583" s="78">
        <v>0.98969830000000003</v>
      </c>
      <c r="AZ583" s="78">
        <v>31.50948</v>
      </c>
      <c r="BA583" s="78">
        <v>1.417856</v>
      </c>
      <c r="BB583" s="78">
        <v>34.685049999999997</v>
      </c>
      <c r="BC583" s="78">
        <v>14.322319999999999</v>
      </c>
      <c r="BD583" s="78">
        <v>30.317440000000001</v>
      </c>
    </row>
    <row r="584" spans="1:56" x14ac:dyDescent="0.2">
      <c r="A584" s="78" t="s">
        <v>732</v>
      </c>
      <c r="B584" s="22">
        <v>36465</v>
      </c>
      <c r="C584" s="22"/>
      <c r="D584" s="22"/>
      <c r="E584" s="22">
        <v>35977</v>
      </c>
      <c r="F584" s="78" t="s">
        <v>716</v>
      </c>
      <c r="G584" s="78">
        <v>20.657679999999999</v>
      </c>
      <c r="I584" s="78">
        <v>8.1101340000000004</v>
      </c>
      <c r="J584" s="78">
        <v>30.71518</v>
      </c>
      <c r="K584" s="78">
        <v>49.513820000000003</v>
      </c>
      <c r="L584" s="78">
        <v>17.266590000000001</v>
      </c>
      <c r="M584" s="78">
        <v>7.3872679999999997</v>
      </c>
      <c r="N584" s="78">
        <v>14.231780000000001</v>
      </c>
      <c r="P584" s="78">
        <v>34.46564</v>
      </c>
      <c r="R584" s="78">
        <v>35.294989999999999</v>
      </c>
      <c r="S584" s="78">
        <v>41.083950000000002</v>
      </c>
      <c r="AA584" s="78">
        <v>34.303870000000003</v>
      </c>
      <c r="AC584" s="78">
        <v>22.521070000000002</v>
      </c>
      <c r="AD584" s="78">
        <v>12.832689999999999</v>
      </c>
      <c r="AE584" s="78">
        <v>7.9013559999999998</v>
      </c>
      <c r="AG584" s="78">
        <v>12.49437</v>
      </c>
      <c r="AH584" s="78">
        <v>20.541519999999998</v>
      </c>
      <c r="AJ584" s="78">
        <v>74.969849999999994</v>
      </c>
      <c r="AK584" s="78">
        <v>25.68337</v>
      </c>
      <c r="AO584" s="78">
        <v>11.102650000000001</v>
      </c>
      <c r="AQ584" s="78">
        <v>31.966419999999999</v>
      </c>
      <c r="AR584" s="78">
        <v>29.951229999999999</v>
      </c>
      <c r="AS584" s="78">
        <v>62.228839999999998</v>
      </c>
      <c r="AT584" s="78">
        <v>18.25863</v>
      </c>
      <c r="AV584" s="78">
        <v>0.99132469999999995</v>
      </c>
      <c r="AZ584" s="78">
        <v>32.075830000000003</v>
      </c>
      <c r="BA584" s="78">
        <v>1.511153</v>
      </c>
      <c r="BB584" s="78">
        <v>34.848770000000002</v>
      </c>
      <c r="BC584" s="78">
        <v>14.52445</v>
      </c>
      <c r="BD584" s="78">
        <v>30.324560000000002</v>
      </c>
    </row>
    <row r="585" spans="1:56" x14ac:dyDescent="0.2">
      <c r="A585" s="78" t="s">
        <v>733</v>
      </c>
      <c r="B585" s="22">
        <v>36495</v>
      </c>
      <c r="C585" s="22"/>
      <c r="D585" s="22"/>
      <c r="E585" s="22">
        <v>36008</v>
      </c>
      <c r="F585" s="78" t="s">
        <v>717</v>
      </c>
      <c r="G585" s="78">
        <v>20.87341</v>
      </c>
      <c r="I585" s="78">
        <v>8.196434</v>
      </c>
      <c r="J585" s="78">
        <v>30.742529999999999</v>
      </c>
      <c r="K585" s="78">
        <v>49.638199999999998</v>
      </c>
      <c r="L585" s="78">
        <v>17.357749999999999</v>
      </c>
      <c r="M585" s="78">
        <v>7.5616050000000001</v>
      </c>
      <c r="N585" s="78">
        <v>14.360010000000001</v>
      </c>
      <c r="P585" s="78">
        <v>34.858750000000001</v>
      </c>
      <c r="R585" s="78">
        <v>35.485050000000001</v>
      </c>
      <c r="S585" s="78">
        <v>40.999180000000003</v>
      </c>
      <c r="AA585" s="78">
        <v>34.564210000000003</v>
      </c>
      <c r="AC585" s="78">
        <v>22.894839999999999</v>
      </c>
      <c r="AD585" s="78">
        <v>12.58121</v>
      </c>
      <c r="AE585" s="78">
        <v>8.0799190000000003</v>
      </c>
      <c r="AG585" s="78">
        <v>12.625999999999999</v>
      </c>
      <c r="AH585" s="78">
        <v>20.884029999999999</v>
      </c>
      <c r="AJ585" s="78">
        <v>75.305229999999995</v>
      </c>
      <c r="AK585" s="78">
        <v>25.883009999999999</v>
      </c>
      <c r="AO585" s="78">
        <v>11.2934</v>
      </c>
      <c r="AQ585" s="78">
        <v>32.041040000000002</v>
      </c>
      <c r="AR585" s="78">
        <v>30.211770000000001</v>
      </c>
      <c r="AS585" s="78">
        <v>62.750810000000001</v>
      </c>
      <c r="AT585" s="78">
        <v>18.670179999999998</v>
      </c>
      <c r="AV585" s="78">
        <v>0.99884770000000001</v>
      </c>
      <c r="AZ585" s="78">
        <v>32.281460000000003</v>
      </c>
      <c r="BA585" s="78">
        <v>1.569285</v>
      </c>
      <c r="BB585" s="78">
        <v>35.056519999999999</v>
      </c>
      <c r="BC585" s="78">
        <v>14.65954</v>
      </c>
      <c r="BD585" s="78">
        <v>30.126860000000001</v>
      </c>
    </row>
    <row r="586" spans="1:56" x14ac:dyDescent="0.2">
      <c r="A586" s="78" t="s">
        <v>734</v>
      </c>
      <c r="B586" s="22">
        <v>36526</v>
      </c>
      <c r="C586" s="22"/>
      <c r="D586" s="22"/>
      <c r="E586" s="22">
        <v>36039</v>
      </c>
      <c r="F586" s="78" t="s">
        <v>718</v>
      </c>
      <c r="G586" s="78">
        <v>21.016310000000001</v>
      </c>
      <c r="I586" s="78">
        <v>8.0914959999999994</v>
      </c>
      <c r="J586" s="78">
        <v>30.792829999999999</v>
      </c>
      <c r="K586" s="78">
        <v>49.546439999999997</v>
      </c>
      <c r="L586" s="78">
        <v>17.443269999999998</v>
      </c>
      <c r="M586" s="78">
        <v>7.6407790000000002</v>
      </c>
      <c r="N586" s="78">
        <v>14.36398</v>
      </c>
      <c r="P586" s="78">
        <v>35.125709999999998</v>
      </c>
      <c r="R586" s="78">
        <v>35.683889999999998</v>
      </c>
      <c r="S586" s="78">
        <v>40.922890000000002</v>
      </c>
      <c r="AA586" s="78">
        <v>34.717419999999997</v>
      </c>
      <c r="AC586" s="78">
        <v>23.13205</v>
      </c>
      <c r="AD586" s="78">
        <v>12.57286</v>
      </c>
      <c r="AE586" s="78">
        <v>8.2465890000000002</v>
      </c>
      <c r="AG586" s="78">
        <v>12.78166</v>
      </c>
      <c r="AH586" s="78">
        <v>21.16863</v>
      </c>
      <c r="AJ586" s="78">
        <v>75.566990000000004</v>
      </c>
      <c r="AK586" s="78">
        <v>26.085139999999999</v>
      </c>
      <c r="AO586" s="78">
        <v>11.46706</v>
      </c>
      <c r="AQ586" s="78">
        <v>32.066569999999999</v>
      </c>
      <c r="AR586" s="78">
        <v>30.55387</v>
      </c>
      <c r="AS586" s="78">
        <v>63.260509999999996</v>
      </c>
      <c r="AT586" s="78">
        <v>19.013359999999999</v>
      </c>
      <c r="AV586" s="78">
        <v>1.000605</v>
      </c>
      <c r="AZ586" s="78">
        <v>32.202869999999997</v>
      </c>
      <c r="BA586" s="78">
        <v>1.706612</v>
      </c>
      <c r="BB586" s="78">
        <v>35.37979</v>
      </c>
      <c r="BC586" s="78">
        <v>14.85731</v>
      </c>
      <c r="BD586" s="78">
        <v>29.848230000000001</v>
      </c>
    </row>
    <row r="587" spans="1:56" x14ac:dyDescent="0.2">
      <c r="A587" s="78" t="s">
        <v>735</v>
      </c>
      <c r="B587" s="22">
        <v>36557</v>
      </c>
      <c r="C587" s="22"/>
      <c r="D587" s="22"/>
      <c r="E587" s="22">
        <v>36069</v>
      </c>
      <c r="F587" s="78" t="s">
        <v>719</v>
      </c>
      <c r="G587" s="78">
        <v>21.122769999999999</v>
      </c>
      <c r="I587" s="78">
        <v>7.9573130000000001</v>
      </c>
      <c r="J587" s="78">
        <v>31.04608</v>
      </c>
      <c r="K587" s="78">
        <v>49.480989999999998</v>
      </c>
      <c r="L587" s="78">
        <v>17.511299999999999</v>
      </c>
      <c r="M587" s="78">
        <v>7.7608709999999999</v>
      </c>
      <c r="N587" s="78">
        <v>14.25376</v>
      </c>
      <c r="P587" s="78">
        <v>34.948230000000002</v>
      </c>
      <c r="R587" s="78">
        <v>36.020510000000002</v>
      </c>
      <c r="S587" s="78">
        <v>41.04992</v>
      </c>
      <c r="AA587" s="78">
        <v>34.882660000000001</v>
      </c>
      <c r="AC587" s="78">
        <v>23.270330000000001</v>
      </c>
      <c r="AD587" s="78">
        <v>12.519</v>
      </c>
      <c r="AE587" s="78">
        <v>8.3764749999999992</v>
      </c>
      <c r="AG587" s="78">
        <v>12.973850000000001</v>
      </c>
      <c r="AH587" s="78">
        <v>21.590959999999999</v>
      </c>
      <c r="AJ587" s="78">
        <v>75.697869999999995</v>
      </c>
      <c r="AK587" s="78">
        <v>26.335550000000001</v>
      </c>
      <c r="AO587" s="78">
        <v>11.65709</v>
      </c>
      <c r="AQ587" s="78">
        <v>32.030259999999998</v>
      </c>
      <c r="AR587" s="78">
        <v>30.830010000000001</v>
      </c>
      <c r="AS587" s="78">
        <v>64.4375</v>
      </c>
      <c r="AT587" s="78">
        <v>19.116219999999998</v>
      </c>
      <c r="AV587" s="78">
        <v>1.10588</v>
      </c>
      <c r="AZ587" s="78">
        <v>32.419289999999997</v>
      </c>
      <c r="BA587" s="78">
        <v>1.77298</v>
      </c>
      <c r="BB587" s="78">
        <v>35.71302</v>
      </c>
      <c r="BC587" s="78">
        <v>14.90598</v>
      </c>
      <c r="BD587" s="78">
        <v>29.872350000000001</v>
      </c>
    </row>
    <row r="588" spans="1:56" x14ac:dyDescent="0.2">
      <c r="A588" s="78" t="s">
        <v>736</v>
      </c>
      <c r="B588" s="22">
        <v>36586</v>
      </c>
      <c r="C588" s="22"/>
      <c r="D588" s="22"/>
      <c r="E588" s="22">
        <v>36100</v>
      </c>
      <c r="F588" s="78" t="s">
        <v>720</v>
      </c>
      <c r="G588" s="78">
        <v>21.195620000000002</v>
      </c>
      <c r="I588" s="78">
        <v>8.0252180000000006</v>
      </c>
      <c r="J588" s="78">
        <v>30.889600000000002</v>
      </c>
      <c r="K588" s="78">
        <v>49.758249999999997</v>
      </c>
      <c r="L588" s="78">
        <v>17.61495</v>
      </c>
      <c r="M588" s="78">
        <v>7.8710760000000004</v>
      </c>
      <c r="N588" s="78">
        <v>14.22639</v>
      </c>
      <c r="P588" s="78">
        <v>34.958489999999998</v>
      </c>
      <c r="R588" s="78">
        <v>35.923029999999997</v>
      </c>
      <c r="S588" s="78">
        <v>41.3429</v>
      </c>
      <c r="AA588" s="78">
        <v>34.951149999999998</v>
      </c>
      <c r="AC588" s="78">
        <v>23.52872</v>
      </c>
      <c r="AD588" s="78">
        <v>12.542630000000001</v>
      </c>
      <c r="AE588" s="78">
        <v>8.4772250000000007</v>
      </c>
      <c r="AG588" s="78">
        <v>13.17164</v>
      </c>
      <c r="AH588" s="78">
        <v>21.938479999999998</v>
      </c>
      <c r="AJ588" s="78">
        <v>76.172309999999996</v>
      </c>
      <c r="AK588" s="78">
        <v>26.441590000000001</v>
      </c>
      <c r="AO588" s="78">
        <v>11.885450000000001</v>
      </c>
      <c r="AQ588" s="78">
        <v>32.043239999999997</v>
      </c>
      <c r="AR588" s="78">
        <v>31.040330000000001</v>
      </c>
      <c r="AS588" s="78">
        <v>65.864239999999995</v>
      </c>
      <c r="AT588" s="78">
        <v>19.295770000000001</v>
      </c>
      <c r="AV588" s="78">
        <v>1.2061820000000001</v>
      </c>
      <c r="AZ588" s="78">
        <v>32.572400000000002</v>
      </c>
      <c r="BA588" s="78">
        <v>1.7569220000000001</v>
      </c>
      <c r="BB588" s="78">
        <v>36.033799999999999</v>
      </c>
      <c r="BC588" s="78">
        <v>15.02374</v>
      </c>
      <c r="BD588" s="78">
        <v>30.234300000000001</v>
      </c>
    </row>
    <row r="589" spans="1:56" x14ac:dyDescent="0.2">
      <c r="A589" s="78" t="s">
        <v>737</v>
      </c>
      <c r="B589" s="22">
        <v>36617</v>
      </c>
      <c r="C589" s="22"/>
      <c r="D589" s="22"/>
      <c r="E589" s="22">
        <v>36130</v>
      </c>
      <c r="F589" s="78" t="s">
        <v>721</v>
      </c>
      <c r="G589" s="78">
        <v>21.318899999999999</v>
      </c>
      <c r="I589" s="78">
        <v>8.1298320000000004</v>
      </c>
      <c r="J589" s="78">
        <v>31.403030000000001</v>
      </c>
      <c r="K589" s="78">
        <v>49.664990000000003</v>
      </c>
      <c r="L589" s="78">
        <v>17.71566</v>
      </c>
      <c r="M589" s="78">
        <v>7.9134180000000001</v>
      </c>
      <c r="N589" s="78">
        <v>14.21041</v>
      </c>
      <c r="P589" s="78">
        <v>35.750570000000003</v>
      </c>
      <c r="R589" s="78">
        <v>35.901800000000001</v>
      </c>
      <c r="S589" s="78">
        <v>41.830350000000003</v>
      </c>
      <c r="AA589" s="78">
        <v>35.102760000000004</v>
      </c>
      <c r="AC589" s="78">
        <v>23.837900000000001</v>
      </c>
      <c r="AD589" s="78">
        <v>12.934189999999999</v>
      </c>
      <c r="AE589" s="78">
        <v>8.5523489999999995</v>
      </c>
      <c r="AG589" s="78">
        <v>13.364710000000001</v>
      </c>
      <c r="AH589" s="78">
        <v>22.185130000000001</v>
      </c>
      <c r="AJ589" s="78">
        <v>76.425889999999995</v>
      </c>
      <c r="AK589" s="78">
        <v>26.799209999999999</v>
      </c>
      <c r="AO589" s="78">
        <v>12.150169999999999</v>
      </c>
      <c r="AQ589" s="78">
        <v>32.197290000000002</v>
      </c>
      <c r="AR589" s="78">
        <v>31.337230000000002</v>
      </c>
      <c r="AS589" s="78">
        <v>66.848209999999995</v>
      </c>
      <c r="AT589" s="78">
        <v>19.881319999999999</v>
      </c>
      <c r="AV589" s="78">
        <v>1.2024840000000001</v>
      </c>
      <c r="AZ589" s="78">
        <v>32.179699999999997</v>
      </c>
      <c r="BA589" s="78">
        <v>1.8392200000000001</v>
      </c>
      <c r="BB589" s="78">
        <v>36.273960000000002</v>
      </c>
      <c r="BC589" s="78">
        <v>15.26544</v>
      </c>
      <c r="BD589" s="78">
        <v>30.177959999999999</v>
      </c>
    </row>
    <row r="590" spans="1:56" x14ac:dyDescent="0.2">
      <c r="A590" s="78" t="s">
        <v>738</v>
      </c>
      <c r="B590" s="22">
        <v>36647</v>
      </c>
      <c r="C590" s="22"/>
      <c r="D590" s="22"/>
      <c r="E590" s="22">
        <v>36161</v>
      </c>
      <c r="F590" s="78" t="s">
        <v>722</v>
      </c>
      <c r="G590" s="78">
        <v>21.49822</v>
      </c>
      <c r="I590" s="78">
        <v>8.2260629999999999</v>
      </c>
      <c r="J590" s="78">
        <v>30.95815</v>
      </c>
      <c r="K590" s="78">
        <v>49.458539999999999</v>
      </c>
      <c r="L590" s="78">
        <v>17.86307</v>
      </c>
      <c r="M590" s="78">
        <v>7.9312189999999996</v>
      </c>
      <c r="N590" s="78">
        <v>14.32236</v>
      </c>
      <c r="P590" s="78">
        <v>36.24635</v>
      </c>
      <c r="R590" s="78">
        <v>36.04954</v>
      </c>
      <c r="S590" s="78">
        <v>42.135770000000001</v>
      </c>
      <c r="AA590" s="78">
        <v>35.121009999999998</v>
      </c>
      <c r="AC590" s="78">
        <v>24.153030000000001</v>
      </c>
      <c r="AD590" s="78">
        <v>13.39988</v>
      </c>
      <c r="AE590" s="78">
        <v>8.6678789999999992</v>
      </c>
      <c r="AG590" s="78">
        <v>13.558719999999999</v>
      </c>
      <c r="AH590" s="78">
        <v>22.523579999999999</v>
      </c>
      <c r="AJ590" s="78">
        <v>76.61403</v>
      </c>
      <c r="AK590" s="78">
        <v>27.29881</v>
      </c>
      <c r="AO590" s="78">
        <v>12.395810000000001</v>
      </c>
      <c r="AQ590" s="78">
        <v>32.561619999999998</v>
      </c>
      <c r="AR590" s="78">
        <v>31.62987</v>
      </c>
      <c r="AS590" s="78">
        <v>67.806179999999998</v>
      </c>
      <c r="AT590" s="78">
        <v>20.628530000000001</v>
      </c>
      <c r="AV590" s="78">
        <v>1.308076</v>
      </c>
      <c r="AZ590" s="78">
        <v>34.831029999999998</v>
      </c>
      <c r="BA590" s="78">
        <v>1.921589</v>
      </c>
      <c r="BB590" s="78">
        <v>36.501660000000001</v>
      </c>
      <c r="BC590" s="78">
        <v>15.41798</v>
      </c>
      <c r="BD590" s="78">
        <v>30.220099999999999</v>
      </c>
    </row>
    <row r="591" spans="1:56" x14ac:dyDescent="0.2">
      <c r="A591" s="78" t="s">
        <v>739</v>
      </c>
      <c r="B591" s="22">
        <v>36678</v>
      </c>
      <c r="C591" s="22"/>
      <c r="D591" s="22"/>
      <c r="E591" s="22">
        <v>36192</v>
      </c>
      <c r="F591" s="78" t="s">
        <v>723</v>
      </c>
      <c r="G591" s="78">
        <v>21.649509999999999</v>
      </c>
      <c r="I591" s="78">
        <v>8.3723569999999992</v>
      </c>
      <c r="J591" s="78">
        <v>30.97221</v>
      </c>
      <c r="K591" s="78">
        <v>49.801780000000001</v>
      </c>
      <c r="L591" s="78">
        <v>18.01229</v>
      </c>
      <c r="M591" s="78">
        <v>8.0539819999999995</v>
      </c>
      <c r="N591" s="78">
        <v>14.56317</v>
      </c>
      <c r="P591" s="78">
        <v>36.334359999999997</v>
      </c>
      <c r="R591" s="78">
        <v>36.004170000000002</v>
      </c>
      <c r="S591" s="78">
        <v>42.020870000000002</v>
      </c>
      <c r="AA591" s="78">
        <v>35.015030000000003</v>
      </c>
      <c r="AC591" s="78">
        <v>24.535229999999999</v>
      </c>
      <c r="AD591" s="78">
        <v>13.79843</v>
      </c>
      <c r="AE591" s="78">
        <v>8.7930659999999996</v>
      </c>
      <c r="AG591" s="78">
        <v>13.74295</v>
      </c>
      <c r="AH591" s="78">
        <v>22.79083</v>
      </c>
      <c r="AJ591" s="78">
        <v>76.793989999999994</v>
      </c>
      <c r="AK591" s="78">
        <v>27.504729999999999</v>
      </c>
      <c r="AO591" s="78">
        <v>12.677770000000001</v>
      </c>
      <c r="AQ591" s="78">
        <v>32.813000000000002</v>
      </c>
      <c r="AR591" s="78">
        <v>31.90558</v>
      </c>
      <c r="AS591" s="78">
        <v>68.622649999999993</v>
      </c>
      <c r="AT591" s="78">
        <v>21.262930000000001</v>
      </c>
      <c r="AV591" s="78">
        <v>1.4131229999999999</v>
      </c>
      <c r="AZ591" s="78">
        <v>37.864249999999998</v>
      </c>
      <c r="BA591" s="78">
        <v>2.0241189999999998</v>
      </c>
      <c r="BB591" s="78">
        <v>36.691130000000001</v>
      </c>
      <c r="BC591" s="78">
        <v>15.208589999999999</v>
      </c>
      <c r="BD591" s="78">
        <v>30.89733</v>
      </c>
    </row>
    <row r="592" spans="1:56" x14ac:dyDescent="0.2">
      <c r="A592" s="78" t="s">
        <v>740</v>
      </c>
      <c r="B592" s="22">
        <v>36708</v>
      </c>
      <c r="C592" s="22"/>
      <c r="D592" s="22"/>
      <c r="E592" s="22">
        <v>36220</v>
      </c>
      <c r="F592" s="78" t="s">
        <v>724</v>
      </c>
      <c r="G592" s="78">
        <v>21.823229999999999</v>
      </c>
      <c r="I592" s="78">
        <v>8.5282940000000007</v>
      </c>
      <c r="J592" s="78">
        <v>31.10155</v>
      </c>
      <c r="K592" s="78">
        <v>50.000639999999997</v>
      </c>
      <c r="L592" s="78">
        <v>18.070360000000001</v>
      </c>
      <c r="M592" s="78">
        <v>8.2143119999999996</v>
      </c>
      <c r="N592" s="78">
        <v>14.654199999999999</v>
      </c>
      <c r="P592" s="78">
        <v>36.601320000000001</v>
      </c>
      <c r="R592" s="78">
        <v>36.069240000000001</v>
      </c>
      <c r="S592" s="78">
        <v>42.002040000000001</v>
      </c>
      <c r="AA592" s="78">
        <v>35.016010000000001</v>
      </c>
      <c r="AC592" s="78">
        <v>24.72241</v>
      </c>
      <c r="AD592" s="78">
        <v>13.98854</v>
      </c>
      <c r="AE592" s="78">
        <v>8.9496459999999995</v>
      </c>
      <c r="AG592" s="78">
        <v>13.91555</v>
      </c>
      <c r="AH592" s="78">
        <v>23.075369999999999</v>
      </c>
      <c r="AJ592" s="78">
        <v>77.113010000000003</v>
      </c>
      <c r="AK592" s="78">
        <v>27.664490000000001</v>
      </c>
      <c r="AO592" s="78">
        <v>12.99342</v>
      </c>
      <c r="AQ592" s="78">
        <v>32.939259999999997</v>
      </c>
      <c r="AR592" s="78">
        <v>32.117449999999998</v>
      </c>
      <c r="AS592" s="78">
        <v>68.90804</v>
      </c>
      <c r="AT592" s="78">
        <v>21.697569999999999</v>
      </c>
      <c r="AV592" s="78">
        <v>1.4440599999999999</v>
      </c>
      <c r="AZ592" s="78">
        <v>37.776000000000003</v>
      </c>
      <c r="BA592" s="78">
        <v>2.1628530000000001</v>
      </c>
      <c r="BB592" s="78">
        <v>36.747639999999997</v>
      </c>
      <c r="BC592" s="78">
        <v>15.13043</v>
      </c>
      <c r="BD592" s="78">
        <v>31.050049999999999</v>
      </c>
    </row>
    <row r="593" spans="1:56" x14ac:dyDescent="0.2">
      <c r="A593" s="78" t="s">
        <v>741</v>
      </c>
      <c r="B593" s="22">
        <v>36739</v>
      </c>
      <c r="C593" s="22"/>
      <c r="D593" s="22"/>
      <c r="E593" s="22">
        <v>36251</v>
      </c>
      <c r="F593" s="78" t="s">
        <v>725</v>
      </c>
      <c r="G593" s="78">
        <v>22.052969999999998</v>
      </c>
      <c r="I593" s="78">
        <v>8.6711569999999991</v>
      </c>
      <c r="J593" s="78">
        <v>31.35568</v>
      </c>
      <c r="K593" s="78">
        <v>49.977679999999999</v>
      </c>
      <c r="L593" s="78">
        <v>18.153890000000001</v>
      </c>
      <c r="M593" s="78">
        <v>8.2631209999999999</v>
      </c>
      <c r="N593" s="78">
        <v>14.71439</v>
      </c>
      <c r="P593" s="78">
        <v>36.808140000000002</v>
      </c>
      <c r="R593" s="78">
        <v>36.306420000000003</v>
      </c>
      <c r="S593" s="78">
        <v>42.230449999999998</v>
      </c>
      <c r="AA593" s="78">
        <v>35.07244</v>
      </c>
      <c r="AC593" s="78">
        <v>24.736370000000001</v>
      </c>
      <c r="AD593" s="78">
        <v>14.12927</v>
      </c>
      <c r="AE593" s="78">
        <v>9.0562439999999995</v>
      </c>
      <c r="AG593" s="78">
        <v>14.085319999999999</v>
      </c>
      <c r="AH593" s="78">
        <v>23.498139999999999</v>
      </c>
      <c r="AJ593" s="78">
        <v>77.20299</v>
      </c>
      <c r="AK593" s="78">
        <v>27.884730000000001</v>
      </c>
      <c r="AO593" s="78">
        <v>13.185689999999999</v>
      </c>
      <c r="AQ593" s="78">
        <v>33.182380000000002</v>
      </c>
      <c r="AR593" s="78">
        <v>32.371960000000001</v>
      </c>
      <c r="AS593" s="78">
        <v>68.774249999999995</v>
      </c>
      <c r="AT593" s="78">
        <v>21.890989999999999</v>
      </c>
      <c r="AV593" s="78">
        <v>1.489843</v>
      </c>
      <c r="AZ593" s="78">
        <v>38.030740000000002</v>
      </c>
      <c r="BA593" s="78">
        <v>2.3011650000000001</v>
      </c>
      <c r="BB593" s="78">
        <v>36.985309999999998</v>
      </c>
      <c r="BC593" s="78">
        <v>15.306179999999999</v>
      </c>
      <c r="BD593" s="78">
        <v>30.694089999999999</v>
      </c>
    </row>
    <row r="594" spans="1:56" x14ac:dyDescent="0.2">
      <c r="A594" s="78" t="s">
        <v>742</v>
      </c>
      <c r="B594" s="22">
        <v>36770</v>
      </c>
      <c r="C594" s="22"/>
      <c r="D594" s="22"/>
      <c r="E594" s="22">
        <v>36281</v>
      </c>
      <c r="F594" s="78" t="s">
        <v>726</v>
      </c>
      <c r="G594" s="78">
        <v>22.291129999999999</v>
      </c>
      <c r="I594" s="78">
        <v>8.798527</v>
      </c>
      <c r="J594" s="78">
        <v>31.49474</v>
      </c>
      <c r="K594" s="78">
        <v>50.00264</v>
      </c>
      <c r="L594" s="78">
        <v>18.48404</v>
      </c>
      <c r="M594" s="78">
        <v>8.3337350000000008</v>
      </c>
      <c r="N594" s="78">
        <v>14.798400000000001</v>
      </c>
      <c r="P594" s="78">
        <v>37.160179999999997</v>
      </c>
      <c r="R594" s="78">
        <v>36.575490000000002</v>
      </c>
      <c r="S594" s="78">
        <v>42.559350000000002</v>
      </c>
      <c r="AA594" s="78">
        <v>35.164259999999999</v>
      </c>
      <c r="AC594" s="78">
        <v>24.976959999999998</v>
      </c>
      <c r="AD594" s="78">
        <v>14.311809999999999</v>
      </c>
      <c r="AE594" s="78">
        <v>9.1220429999999997</v>
      </c>
      <c r="AG594" s="78">
        <v>14.26329</v>
      </c>
      <c r="AH594" s="78">
        <v>23.834990000000001</v>
      </c>
      <c r="AJ594" s="78">
        <v>77.481110000000001</v>
      </c>
      <c r="AK594" s="78">
        <v>28.00601</v>
      </c>
      <c r="AO594" s="78">
        <v>13.38374</v>
      </c>
      <c r="AQ594" s="78">
        <v>33.204450000000001</v>
      </c>
      <c r="AR594" s="78">
        <v>32.649329999999999</v>
      </c>
      <c r="AS594" s="78">
        <v>68.698530000000005</v>
      </c>
      <c r="AT594" s="78">
        <v>22.07282</v>
      </c>
      <c r="AV594" s="78">
        <v>1.557884</v>
      </c>
      <c r="AZ594" s="78">
        <v>39.184809999999999</v>
      </c>
      <c r="BA594" s="78">
        <v>2.4575629999999999</v>
      </c>
      <c r="BB594" s="78">
        <v>37.187249999999999</v>
      </c>
      <c r="BC594" s="78">
        <v>15.25159</v>
      </c>
      <c r="BD594" s="78">
        <v>30.272760000000002</v>
      </c>
    </row>
    <row r="595" spans="1:56" x14ac:dyDescent="0.2">
      <c r="A595" s="78" t="s">
        <v>743</v>
      </c>
      <c r="B595" s="22">
        <v>36800</v>
      </c>
      <c r="C595" s="22"/>
      <c r="D595" s="22"/>
      <c r="E595" s="22">
        <v>36312</v>
      </c>
      <c r="F595" s="78" t="s">
        <v>727</v>
      </c>
      <c r="G595" s="78">
        <v>22.498460000000001</v>
      </c>
      <c r="I595" s="78">
        <v>8.9332150000000006</v>
      </c>
      <c r="J595" s="78">
        <v>31.702760000000001</v>
      </c>
      <c r="K595" s="78">
        <v>50.03154</v>
      </c>
      <c r="L595" s="78">
        <v>18.892810000000001</v>
      </c>
      <c r="M595" s="78">
        <v>8.4369829999999997</v>
      </c>
      <c r="N595" s="78">
        <v>14.83329</v>
      </c>
      <c r="P595" s="78">
        <v>37.320059999999998</v>
      </c>
      <c r="R595" s="78">
        <v>36.65437</v>
      </c>
      <c r="S595" s="78">
        <v>42.841819999999998</v>
      </c>
      <c r="AA595" s="78">
        <v>35.245010000000001</v>
      </c>
      <c r="AC595" s="78">
        <v>25.171659999999999</v>
      </c>
      <c r="AD595" s="78">
        <v>14.2508</v>
      </c>
      <c r="AE595" s="78">
        <v>9.2213320000000003</v>
      </c>
      <c r="AG595" s="78">
        <v>14.45124</v>
      </c>
      <c r="AH595" s="78">
        <v>24.069469999999999</v>
      </c>
      <c r="AJ595" s="78">
        <v>77.775589999999994</v>
      </c>
      <c r="AK595" s="78">
        <v>28.17287</v>
      </c>
      <c r="AO595" s="78">
        <v>13.603249999999999</v>
      </c>
      <c r="AQ595" s="78">
        <v>33.535110000000003</v>
      </c>
      <c r="AR595" s="78">
        <v>32.911360000000002</v>
      </c>
      <c r="AS595" s="78">
        <v>68.755870000000002</v>
      </c>
      <c r="AT595" s="78">
        <v>22.326830000000001</v>
      </c>
      <c r="AV595" s="78">
        <v>1.638034</v>
      </c>
      <c r="AZ595" s="78">
        <v>39.974290000000003</v>
      </c>
      <c r="BA595" s="78">
        <v>2.5980059999999998</v>
      </c>
      <c r="BB595" s="78">
        <v>37.368409999999997</v>
      </c>
      <c r="BC595" s="78">
        <v>15.4435</v>
      </c>
      <c r="BD595" s="78">
        <v>30.284880000000001</v>
      </c>
    </row>
    <row r="596" spans="1:56" x14ac:dyDescent="0.2">
      <c r="A596" s="78" t="s">
        <v>744</v>
      </c>
      <c r="B596" s="22">
        <v>36831</v>
      </c>
      <c r="C596" s="22"/>
      <c r="D596" s="22"/>
      <c r="E596" s="22">
        <v>36342</v>
      </c>
      <c r="F596" s="78" t="s">
        <v>728</v>
      </c>
      <c r="G596" s="78">
        <v>22.655360000000002</v>
      </c>
      <c r="I596" s="78">
        <v>9.0852590000000006</v>
      </c>
      <c r="J596" s="78">
        <v>31.85014</v>
      </c>
      <c r="K596" s="78">
        <v>50.113390000000003</v>
      </c>
      <c r="L596" s="78">
        <v>19.024909999999998</v>
      </c>
      <c r="M596" s="78">
        <v>8.4551829999999999</v>
      </c>
      <c r="N596" s="78">
        <v>14.843629999999999</v>
      </c>
      <c r="P596" s="78">
        <v>37.27899</v>
      </c>
      <c r="R596" s="78">
        <v>36.700569999999999</v>
      </c>
      <c r="S596" s="78">
        <v>43.001139999999999</v>
      </c>
      <c r="AA596" s="78">
        <v>35.316800000000001</v>
      </c>
      <c r="AC596" s="78">
        <v>25.294599999999999</v>
      </c>
      <c r="AD596" s="78">
        <v>14.20318</v>
      </c>
      <c r="AE596" s="78">
        <v>9.3531619999999993</v>
      </c>
      <c r="AG596" s="78">
        <v>14.64447</v>
      </c>
      <c r="AH596" s="78">
        <v>24.417670000000001</v>
      </c>
      <c r="AJ596" s="78">
        <v>77.914649999999995</v>
      </c>
      <c r="AK596" s="78">
        <v>28.292390000000001</v>
      </c>
      <c r="AO596" s="78">
        <v>13.838369999999999</v>
      </c>
      <c r="AQ596" s="78">
        <v>34.196260000000002</v>
      </c>
      <c r="AR596" s="78">
        <v>33.15108</v>
      </c>
      <c r="AS596" s="78">
        <v>68.890460000000004</v>
      </c>
      <c r="AT596" s="78">
        <v>22.486350000000002</v>
      </c>
      <c r="AV596" s="78">
        <v>1.710348</v>
      </c>
      <c r="AZ596" s="78">
        <v>40.179200000000002</v>
      </c>
      <c r="BA596" s="78">
        <v>2.7015609999999999</v>
      </c>
      <c r="BB596" s="78">
        <v>37.594450000000002</v>
      </c>
      <c r="BC596" s="78">
        <v>15.721120000000001</v>
      </c>
      <c r="BD596" s="78">
        <v>30.855910000000002</v>
      </c>
    </row>
    <row r="597" spans="1:56" x14ac:dyDescent="0.2">
      <c r="A597" s="78" t="s">
        <v>745</v>
      </c>
      <c r="B597" s="22">
        <v>36861</v>
      </c>
      <c r="C597" s="22"/>
      <c r="D597" s="22"/>
      <c r="E597" s="22">
        <v>36373</v>
      </c>
      <c r="F597" s="78" t="s">
        <v>729</v>
      </c>
      <c r="G597" s="78">
        <v>22.789850000000001</v>
      </c>
      <c r="I597" s="78">
        <v>9.215401</v>
      </c>
      <c r="J597" s="78">
        <v>32.028129999999997</v>
      </c>
      <c r="K597" s="78">
        <v>50.16301</v>
      </c>
      <c r="L597" s="78">
        <v>19.017289999999999</v>
      </c>
      <c r="M597" s="78">
        <v>8.5135229999999993</v>
      </c>
      <c r="N597" s="78">
        <v>14.911020000000001</v>
      </c>
      <c r="P597" s="78">
        <v>37.443269999999998</v>
      </c>
      <c r="R597" s="78">
        <v>36.988970000000002</v>
      </c>
      <c r="S597" s="78">
        <v>42.929639999999999</v>
      </c>
      <c r="AA597" s="78">
        <v>35.4221</v>
      </c>
      <c r="AC597" s="78">
        <v>25.609970000000001</v>
      </c>
      <c r="AD597" s="78">
        <v>14.505240000000001</v>
      </c>
      <c r="AE597" s="78">
        <v>9.500515</v>
      </c>
      <c r="AG597" s="78">
        <v>14.834619999999999</v>
      </c>
      <c r="AH597" s="78">
        <v>24.838950000000001</v>
      </c>
      <c r="AJ597" s="78">
        <v>78.004630000000006</v>
      </c>
      <c r="AK597" s="78">
        <v>28.285900000000002</v>
      </c>
      <c r="AO597" s="78">
        <v>14.118930000000001</v>
      </c>
      <c r="AQ597" s="78">
        <v>34.537460000000003</v>
      </c>
      <c r="AR597" s="78">
        <v>33.386490000000002</v>
      </c>
      <c r="AS597" s="78">
        <v>69.182609999999997</v>
      </c>
      <c r="AT597" s="78">
        <v>22.671710000000001</v>
      </c>
      <c r="AV597" s="78">
        <v>1.7798750000000001</v>
      </c>
      <c r="AZ597" s="78">
        <v>40.643149999999999</v>
      </c>
      <c r="BA597" s="78">
        <v>2.8454739999999998</v>
      </c>
      <c r="BB597" s="78">
        <v>37.738219999999998</v>
      </c>
      <c r="BC597" s="78">
        <v>15.750970000000001</v>
      </c>
      <c r="BD597" s="78">
        <v>31.233550000000001</v>
      </c>
    </row>
    <row r="598" spans="1:56" x14ac:dyDescent="0.2">
      <c r="A598" s="78" t="s">
        <v>746</v>
      </c>
      <c r="B598" s="22">
        <v>36892</v>
      </c>
      <c r="C598" s="22"/>
      <c r="D598" s="22"/>
      <c r="E598" s="22">
        <v>36404</v>
      </c>
      <c r="F598" s="78" t="s">
        <v>730</v>
      </c>
      <c r="G598" s="78">
        <v>22.943940000000001</v>
      </c>
      <c r="I598" s="78">
        <v>9.3650490000000008</v>
      </c>
      <c r="J598" s="78">
        <v>32.005899999999997</v>
      </c>
      <c r="K598" s="78">
        <v>50.181179999999998</v>
      </c>
      <c r="L598" s="78">
        <v>19.178249999999998</v>
      </c>
      <c r="M598" s="78">
        <v>8.7035830000000001</v>
      </c>
      <c r="N598" s="78">
        <v>14.99314</v>
      </c>
      <c r="P598" s="78">
        <v>37.727829999999997</v>
      </c>
      <c r="R598" s="78">
        <v>36.859409999999997</v>
      </c>
      <c r="S598" s="78">
        <v>42.921280000000003</v>
      </c>
      <c r="AA598" s="78">
        <v>35.424529999999997</v>
      </c>
      <c r="AC598" s="78">
        <v>25.908819999999999</v>
      </c>
      <c r="AD598" s="78">
        <v>14.884130000000001</v>
      </c>
      <c r="AE598" s="78">
        <v>9.6238969999999995</v>
      </c>
      <c r="AG598" s="78">
        <v>15.01057</v>
      </c>
      <c r="AH598" s="78">
        <v>25.199010000000001</v>
      </c>
      <c r="AJ598" s="78">
        <v>78.020989999999998</v>
      </c>
      <c r="AK598" s="78">
        <v>28.313949999999998</v>
      </c>
      <c r="AO598" s="78">
        <v>14.377129999999999</v>
      </c>
      <c r="AQ598" s="78">
        <v>34.535550000000001</v>
      </c>
      <c r="AR598" s="78">
        <v>33.598269999999999</v>
      </c>
      <c r="AS598" s="78">
        <v>69.656440000000003</v>
      </c>
      <c r="AT598" s="78">
        <v>23.05414</v>
      </c>
      <c r="AV598" s="78">
        <v>1.8340259999999999</v>
      </c>
      <c r="AZ598" s="78">
        <v>40.861800000000002</v>
      </c>
      <c r="BA598" s="78">
        <v>3.0075530000000001</v>
      </c>
      <c r="BB598" s="78">
        <v>37.871180000000003</v>
      </c>
      <c r="BC598" s="78">
        <v>15.99471</v>
      </c>
      <c r="BD598" s="78">
        <v>31.389150000000001</v>
      </c>
    </row>
    <row r="599" spans="1:56" x14ac:dyDescent="0.2">
      <c r="A599" s="78" t="s">
        <v>747</v>
      </c>
      <c r="B599" s="22">
        <v>36923</v>
      </c>
      <c r="C599" s="22"/>
      <c r="D599" s="22"/>
      <c r="E599" s="22">
        <v>36434</v>
      </c>
      <c r="F599" s="78" t="s">
        <v>731</v>
      </c>
      <c r="G599" s="78">
        <v>23.12886</v>
      </c>
      <c r="I599" s="78">
        <v>9.5442710000000002</v>
      </c>
      <c r="J599" s="78">
        <v>32.4527</v>
      </c>
      <c r="K599" s="78">
        <v>50.070169999999997</v>
      </c>
      <c r="L599" s="78">
        <v>19.38785</v>
      </c>
      <c r="M599" s="78">
        <v>8.7764740000000003</v>
      </c>
      <c r="N599" s="78">
        <v>15.02303</v>
      </c>
      <c r="P599" s="78">
        <v>37.950789999999998</v>
      </c>
      <c r="R599" s="78">
        <v>36.574489999999997</v>
      </c>
      <c r="S599" s="78">
        <v>43.099910000000001</v>
      </c>
      <c r="AA599" s="78">
        <v>35.377859999999998</v>
      </c>
      <c r="AC599" s="78">
        <v>26.125219999999999</v>
      </c>
      <c r="AD599" s="78">
        <v>14.84825</v>
      </c>
      <c r="AE599" s="78">
        <v>9.7526480000000006</v>
      </c>
      <c r="AG599" s="78">
        <v>15.176729999999999</v>
      </c>
      <c r="AH599" s="78">
        <v>25.555810000000001</v>
      </c>
      <c r="AJ599" s="78">
        <v>78.274569999999997</v>
      </c>
      <c r="AK599" s="78">
        <v>28.46472</v>
      </c>
      <c r="AO599" s="78">
        <v>14.57652</v>
      </c>
      <c r="AQ599" s="78">
        <v>34.905709999999999</v>
      </c>
      <c r="AR599" s="78">
        <v>33.871810000000004</v>
      </c>
      <c r="AS599" s="78">
        <v>70.330709999999996</v>
      </c>
      <c r="AT599" s="78">
        <v>23.45243</v>
      </c>
      <c r="AV599" s="78">
        <v>1.8836550000000001</v>
      </c>
      <c r="AZ599" s="78">
        <v>41.270760000000003</v>
      </c>
      <c r="BA599" s="78">
        <v>3.1809059999999998</v>
      </c>
      <c r="BB599" s="78">
        <v>38.068129999999996</v>
      </c>
      <c r="BC599" s="78">
        <v>16.30217</v>
      </c>
      <c r="BD599" s="78">
        <v>31.416920000000001</v>
      </c>
    </row>
    <row r="600" spans="1:56" x14ac:dyDescent="0.2">
      <c r="A600" s="78" t="s">
        <v>748</v>
      </c>
      <c r="B600" s="22">
        <v>36951</v>
      </c>
      <c r="C600" s="22"/>
      <c r="D600" s="22"/>
      <c r="E600" s="22">
        <v>36465</v>
      </c>
      <c r="F600" s="78" t="s">
        <v>732</v>
      </c>
      <c r="G600" s="78">
        <v>23.319389999999999</v>
      </c>
      <c r="I600" s="78">
        <v>9.6951450000000001</v>
      </c>
      <c r="J600" s="78">
        <v>32.6783</v>
      </c>
      <c r="K600" s="78">
        <v>49.912480000000002</v>
      </c>
      <c r="L600" s="78">
        <v>19.57263</v>
      </c>
      <c r="M600" s="78">
        <v>8.7959449999999997</v>
      </c>
      <c r="N600" s="78">
        <v>15.070830000000001</v>
      </c>
      <c r="P600" s="78">
        <v>38.179609999999997</v>
      </c>
      <c r="R600" s="78">
        <v>37.109099999999998</v>
      </c>
      <c r="S600" s="78">
        <v>43.4009</v>
      </c>
      <c r="AA600" s="78">
        <v>35.70214</v>
      </c>
      <c r="AC600" s="78">
        <v>26.393529999999998</v>
      </c>
      <c r="AD600" s="78">
        <v>14.70467</v>
      </c>
      <c r="AE600" s="78">
        <v>9.8551800000000007</v>
      </c>
      <c r="AG600" s="78">
        <v>15.340730000000001</v>
      </c>
      <c r="AH600" s="78">
        <v>25.826450000000001</v>
      </c>
      <c r="AJ600" s="78">
        <v>78.340010000000007</v>
      </c>
      <c r="AK600" s="78">
        <v>28.617349999999998</v>
      </c>
      <c r="AO600" s="78">
        <v>14.77014</v>
      </c>
      <c r="AQ600" s="78">
        <v>35.30903</v>
      </c>
      <c r="AR600" s="78">
        <v>34.16451</v>
      </c>
      <c r="AS600" s="78">
        <v>70.819550000000007</v>
      </c>
      <c r="AT600" s="78">
        <v>23.88944</v>
      </c>
      <c r="AV600" s="78">
        <v>1.9485159999999999</v>
      </c>
      <c r="AZ600" s="78">
        <v>41.620989999999999</v>
      </c>
      <c r="BA600" s="78">
        <v>3.3970389999999999</v>
      </c>
      <c r="BB600" s="78">
        <v>38.226019999999998</v>
      </c>
      <c r="BC600" s="78">
        <v>16.518039999999999</v>
      </c>
      <c r="BD600" s="78">
        <v>31.332850000000001</v>
      </c>
    </row>
    <row r="601" spans="1:56" x14ac:dyDescent="0.2">
      <c r="A601" s="78" t="s">
        <v>749</v>
      </c>
      <c r="B601" s="22">
        <v>36982</v>
      </c>
      <c r="C601" s="22"/>
      <c r="D601" s="22"/>
      <c r="E601" s="22">
        <v>36495</v>
      </c>
      <c r="F601" s="78" t="s">
        <v>733</v>
      </c>
      <c r="G601" s="78">
        <v>23.414650000000002</v>
      </c>
      <c r="I601" s="78">
        <v>9.9690060000000003</v>
      </c>
      <c r="J601" s="78">
        <v>32.899970000000003</v>
      </c>
      <c r="K601" s="78">
        <v>49.839939999999999</v>
      </c>
      <c r="L601" s="78">
        <v>19.779309999999999</v>
      </c>
      <c r="M601" s="78">
        <v>8.9525790000000001</v>
      </c>
      <c r="N601" s="78">
        <v>15.12354</v>
      </c>
      <c r="P601" s="78">
        <v>38.747259999999997</v>
      </c>
      <c r="R601" s="78">
        <v>37.407449999999997</v>
      </c>
      <c r="S601" s="78">
        <v>44.015300000000003</v>
      </c>
      <c r="AA601" s="78">
        <v>35.989879999999999</v>
      </c>
      <c r="AC601" s="78">
        <v>26.856719999999999</v>
      </c>
      <c r="AD601" s="78">
        <v>14.74371</v>
      </c>
      <c r="AE601" s="78">
        <v>10.041460000000001</v>
      </c>
      <c r="AG601" s="78">
        <v>15.501910000000001</v>
      </c>
      <c r="AH601" s="78">
        <v>26.131129999999999</v>
      </c>
      <c r="AJ601" s="78">
        <v>78.601770000000002</v>
      </c>
      <c r="AK601" s="78">
        <v>28.619730000000001</v>
      </c>
      <c r="AO601" s="78">
        <v>14.90413</v>
      </c>
      <c r="AQ601" s="78">
        <v>35.53172</v>
      </c>
      <c r="AR601" s="78">
        <v>34.488750000000003</v>
      </c>
      <c r="AS601" s="78">
        <v>70.897769999999994</v>
      </c>
      <c r="AT601" s="78">
        <v>24.292169999999999</v>
      </c>
      <c r="AV601" s="78">
        <v>1.983633</v>
      </c>
      <c r="AZ601" s="78">
        <v>41.174199999999999</v>
      </c>
      <c r="BA601" s="78">
        <v>3.633562</v>
      </c>
      <c r="BB601" s="78">
        <v>38.454560000000001</v>
      </c>
      <c r="BC601" s="78">
        <v>16.83222</v>
      </c>
      <c r="BD601" s="78">
        <v>31.46424</v>
      </c>
    </row>
    <row r="602" spans="1:56" x14ac:dyDescent="0.2">
      <c r="A602" s="78" t="s">
        <v>750</v>
      </c>
      <c r="B602" s="22">
        <v>37012</v>
      </c>
      <c r="C602" s="22"/>
      <c r="D602" s="22"/>
      <c r="E602" s="22">
        <v>36526</v>
      </c>
      <c r="F602" s="78" t="s">
        <v>734</v>
      </c>
      <c r="G602" s="78">
        <v>23.44547</v>
      </c>
      <c r="I602" s="78">
        <v>10.24938</v>
      </c>
      <c r="J602" s="78">
        <v>33.023879999999998</v>
      </c>
      <c r="K602" s="78">
        <v>49.700519999999997</v>
      </c>
      <c r="L602" s="78">
        <v>19.886690000000002</v>
      </c>
      <c r="M602" s="78">
        <v>9.0887290000000007</v>
      </c>
      <c r="N602" s="78">
        <v>15.292680000000001</v>
      </c>
      <c r="P602" s="78">
        <v>39.014229999999998</v>
      </c>
      <c r="R602" s="78">
        <v>37.167940000000002</v>
      </c>
      <c r="S602" s="78">
        <v>44.477969999999999</v>
      </c>
      <c r="AA602" s="78">
        <v>35.929479999999998</v>
      </c>
      <c r="AC602" s="78">
        <v>27.25684</v>
      </c>
      <c r="AD602" s="78">
        <v>14.80523</v>
      </c>
      <c r="AE602" s="78">
        <v>10.1776</v>
      </c>
      <c r="AG602" s="78">
        <v>15.6591</v>
      </c>
      <c r="AH602" s="78">
        <v>26.62013</v>
      </c>
      <c r="AJ602" s="78">
        <v>78.626310000000004</v>
      </c>
      <c r="AK602" s="78">
        <v>28.729810000000001</v>
      </c>
      <c r="AO602" s="78">
        <v>15.122490000000001</v>
      </c>
      <c r="AQ602" s="78">
        <v>35.722709999999999</v>
      </c>
      <c r="AR602" s="78">
        <v>34.760260000000002</v>
      </c>
      <c r="AS602" s="78">
        <v>72.082539999999995</v>
      </c>
      <c r="AT602" s="78">
        <v>24.32207</v>
      </c>
      <c r="AV602" s="78">
        <v>2.0971120000000001</v>
      </c>
      <c r="AZ602" s="78">
        <v>41.583219999999997</v>
      </c>
      <c r="BA602" s="78">
        <v>3.858876</v>
      </c>
      <c r="BB602" s="78">
        <v>38.689729999999997</v>
      </c>
      <c r="BC602" s="78">
        <v>16.980820000000001</v>
      </c>
      <c r="BD602" s="78">
        <v>31.50834</v>
      </c>
    </row>
    <row r="603" spans="1:56" x14ac:dyDescent="0.2">
      <c r="A603" s="78" t="s">
        <v>751</v>
      </c>
      <c r="B603" s="22">
        <v>37043</v>
      </c>
      <c r="C603" s="22"/>
      <c r="D603" s="22"/>
      <c r="E603" s="22">
        <v>36557</v>
      </c>
      <c r="F603" s="78" t="s">
        <v>735</v>
      </c>
      <c r="G603" s="78">
        <v>23.52112</v>
      </c>
      <c r="I603" s="78">
        <v>10.41877</v>
      </c>
      <c r="J603" s="78">
        <v>33.326239999999999</v>
      </c>
      <c r="K603" s="78">
        <v>49.445410000000003</v>
      </c>
      <c r="L603" s="78">
        <v>19.984629999999999</v>
      </c>
      <c r="M603" s="78">
        <v>9.1734439999999999</v>
      </c>
      <c r="N603" s="78">
        <v>15.209759999999999</v>
      </c>
      <c r="P603" s="78">
        <v>39.067030000000003</v>
      </c>
      <c r="R603" s="78">
        <v>37.222790000000003</v>
      </c>
      <c r="S603" s="78">
        <v>44.617199999999997</v>
      </c>
      <c r="AA603" s="78">
        <v>36.164679999999997</v>
      </c>
      <c r="AC603" s="78">
        <v>27.6404</v>
      </c>
      <c r="AD603" s="78">
        <v>14.987769999999999</v>
      </c>
      <c r="AE603" s="78">
        <v>10.25099</v>
      </c>
      <c r="AG603" s="78">
        <v>15.813230000000001</v>
      </c>
      <c r="AH603" s="78">
        <v>26.968340000000001</v>
      </c>
      <c r="AJ603" s="78">
        <v>78.77355</v>
      </c>
      <c r="AK603" s="78">
        <v>28.928560000000001</v>
      </c>
      <c r="AO603" s="78">
        <v>15.44941</v>
      </c>
      <c r="AQ603" s="78">
        <v>35.901069999999997</v>
      </c>
      <c r="AR603" s="78">
        <v>34.972709999999999</v>
      </c>
      <c r="AS603" s="78">
        <v>73.591710000000006</v>
      </c>
      <c r="AT603" s="78">
        <v>24.3294</v>
      </c>
      <c r="AV603" s="78">
        <v>2.2199110000000002</v>
      </c>
      <c r="AZ603" s="78">
        <v>42.876869999999997</v>
      </c>
      <c r="BA603" s="78">
        <v>4.045871</v>
      </c>
      <c r="BB603" s="78">
        <v>38.800260000000002</v>
      </c>
      <c r="BC603" s="78">
        <v>16.96754</v>
      </c>
      <c r="BD603" s="78">
        <v>31.500610000000002</v>
      </c>
    </row>
    <row r="604" spans="1:56" x14ac:dyDescent="0.2">
      <c r="A604" s="78" t="s">
        <v>752</v>
      </c>
      <c r="B604" s="22">
        <v>37073</v>
      </c>
      <c r="C604" s="22"/>
      <c r="D604" s="22"/>
      <c r="E604" s="22">
        <v>36586</v>
      </c>
      <c r="F604" s="78" t="s">
        <v>736</v>
      </c>
      <c r="G604" s="78">
        <v>23.624780000000001</v>
      </c>
      <c r="I604" s="78">
        <v>10.575200000000001</v>
      </c>
      <c r="J604" s="78">
        <v>33.650579999999998</v>
      </c>
      <c r="K604" s="78">
        <v>49.20711</v>
      </c>
      <c r="L604" s="78">
        <v>20.131340000000002</v>
      </c>
      <c r="M604" s="78">
        <v>9.2568090000000005</v>
      </c>
      <c r="N604" s="78">
        <v>15.03858</v>
      </c>
      <c r="P604" s="78">
        <v>39.332520000000002</v>
      </c>
      <c r="R604" s="78">
        <v>37.551720000000003</v>
      </c>
      <c r="S604" s="78">
        <v>44.8322</v>
      </c>
      <c r="AA604" s="78">
        <v>36.829279999999997</v>
      </c>
      <c r="AC604" s="78">
        <v>28.247869999999999</v>
      </c>
      <c r="AD604" s="78">
        <v>15.150740000000001</v>
      </c>
      <c r="AE604" s="78">
        <v>10.35824</v>
      </c>
      <c r="AG604" s="78">
        <v>15.96292</v>
      </c>
      <c r="AH604" s="78">
        <v>27.436730000000001</v>
      </c>
      <c r="AJ604" s="78">
        <v>78.838989999999995</v>
      </c>
      <c r="AK604" s="78">
        <v>29.169910000000002</v>
      </c>
      <c r="AO604" s="78">
        <v>15.66273</v>
      </c>
      <c r="AQ604" s="78">
        <v>36.332149999999999</v>
      </c>
      <c r="AR604" s="78">
        <v>35.261429999999997</v>
      </c>
      <c r="AS604" s="78">
        <v>73.985519999999994</v>
      </c>
      <c r="AT604" s="78">
        <v>24.661169999999998</v>
      </c>
      <c r="AV604" s="78">
        <v>2.3046090000000001</v>
      </c>
      <c r="AZ604" s="78">
        <v>43.528350000000003</v>
      </c>
      <c r="BA604" s="78">
        <v>4.1829890000000001</v>
      </c>
      <c r="BB604" s="78">
        <v>39.05621</v>
      </c>
      <c r="BC604" s="78">
        <v>16.883929999999999</v>
      </c>
      <c r="BD604" s="78">
        <v>31.460380000000001</v>
      </c>
    </row>
    <row r="605" spans="1:56" x14ac:dyDescent="0.2">
      <c r="A605" s="78" t="s">
        <v>753</v>
      </c>
      <c r="B605" s="22">
        <v>37104</v>
      </c>
      <c r="C605" s="22"/>
      <c r="D605" s="22"/>
      <c r="E605" s="22">
        <v>36617</v>
      </c>
      <c r="F605" s="78" t="s">
        <v>737</v>
      </c>
      <c r="G605" s="78">
        <v>23.781680000000001</v>
      </c>
      <c r="I605" s="78">
        <v>10.71917</v>
      </c>
      <c r="J605" s="78">
        <v>33.810780000000001</v>
      </c>
      <c r="K605" s="78">
        <v>49.063639999999999</v>
      </c>
      <c r="L605" s="78">
        <v>20.287269999999999</v>
      </c>
      <c r="M605" s="78">
        <v>9.3474989999999991</v>
      </c>
      <c r="N605" s="78">
        <v>15.095269999999999</v>
      </c>
      <c r="P605" s="78">
        <v>39.341320000000003</v>
      </c>
      <c r="R605" s="78">
        <v>37.102069999999998</v>
      </c>
      <c r="S605" s="78">
        <v>45.246250000000003</v>
      </c>
      <c r="AA605" s="78">
        <v>37.296100000000003</v>
      </c>
      <c r="AC605" s="78">
        <v>28.837060000000001</v>
      </c>
      <c r="AD605" s="78">
        <v>15.325670000000001</v>
      </c>
      <c r="AE605" s="78">
        <v>10.45477</v>
      </c>
      <c r="AG605" s="78">
        <v>16.107060000000001</v>
      </c>
      <c r="AH605" s="78">
        <v>27.891089999999998</v>
      </c>
      <c r="AJ605" s="78">
        <v>79.02713</v>
      </c>
      <c r="AK605" s="78">
        <v>29.347560000000001</v>
      </c>
      <c r="AO605" s="78">
        <v>15.904920000000001</v>
      </c>
      <c r="AQ605" s="78">
        <v>36.788960000000003</v>
      </c>
      <c r="AR605" s="78">
        <v>35.62491</v>
      </c>
      <c r="AS605" s="78">
        <v>74.032780000000002</v>
      </c>
      <c r="AT605" s="78">
        <v>25.1083</v>
      </c>
      <c r="AV605" s="78">
        <v>2.4107460000000001</v>
      </c>
      <c r="AZ605" s="78">
        <v>43.809040000000003</v>
      </c>
      <c r="BA605" s="78">
        <v>4.3119230000000002</v>
      </c>
      <c r="BB605" s="78">
        <v>39.519919999999999</v>
      </c>
      <c r="BC605" s="78">
        <v>16.869540000000001</v>
      </c>
      <c r="BD605" s="78">
        <v>31.44389</v>
      </c>
    </row>
    <row r="606" spans="1:56" x14ac:dyDescent="0.2">
      <c r="A606" s="78" t="s">
        <v>754</v>
      </c>
      <c r="B606" s="22">
        <v>37135</v>
      </c>
      <c r="C606" s="22"/>
      <c r="D606" s="22"/>
      <c r="E606" s="22">
        <v>36647</v>
      </c>
      <c r="F606" s="78" t="s">
        <v>738</v>
      </c>
      <c r="G606" s="78">
        <v>23.980609999999999</v>
      </c>
      <c r="I606" s="78">
        <v>10.899850000000001</v>
      </c>
      <c r="J606" s="78">
        <v>33.691009999999999</v>
      </c>
      <c r="K606" s="78">
        <v>49.091520000000003</v>
      </c>
      <c r="L606" s="78">
        <v>20.486550000000001</v>
      </c>
      <c r="M606" s="78">
        <v>9.4372489999999996</v>
      </c>
      <c r="N606" s="78">
        <v>15.135590000000001</v>
      </c>
      <c r="P606" s="78">
        <v>39.545209999999997</v>
      </c>
      <c r="R606" s="78">
        <v>37.200049999999997</v>
      </c>
      <c r="S606" s="78">
        <v>45.487319999999997</v>
      </c>
      <c r="AA606" s="78">
        <v>37.757959999999997</v>
      </c>
      <c r="AC606" s="78">
        <v>29.260159999999999</v>
      </c>
      <c r="AD606" s="78">
        <v>15.53429</v>
      </c>
      <c r="AE606" s="78">
        <v>10.57086</v>
      </c>
      <c r="AG606" s="78">
        <v>16.243469999999999</v>
      </c>
      <c r="AH606" s="78">
        <v>28.13522</v>
      </c>
      <c r="AJ606" s="78">
        <v>79.043499999999995</v>
      </c>
      <c r="AK606" s="78">
        <v>29.467759999999998</v>
      </c>
      <c r="AO606" s="78">
        <v>16.153649999999999</v>
      </c>
      <c r="AQ606" s="78">
        <v>37.140520000000002</v>
      </c>
      <c r="AR606" s="78">
        <v>35.729230000000001</v>
      </c>
      <c r="AS606" s="78">
        <v>74.313320000000004</v>
      </c>
      <c r="AT606" s="78">
        <v>25.472300000000001</v>
      </c>
      <c r="AV606" s="78">
        <v>2.4740250000000001</v>
      </c>
      <c r="AZ606" s="78">
        <v>43.857050000000001</v>
      </c>
      <c r="BA606" s="78">
        <v>4.4729229999999998</v>
      </c>
      <c r="BB606" s="78">
        <v>39.416040000000002</v>
      </c>
      <c r="BC606" s="78">
        <v>16.791810000000002</v>
      </c>
      <c r="BD606" s="78">
        <v>31.663799999999998</v>
      </c>
    </row>
    <row r="607" spans="1:56" x14ac:dyDescent="0.2">
      <c r="A607" s="78" t="s">
        <v>755</v>
      </c>
      <c r="B607" s="22">
        <v>37165</v>
      </c>
      <c r="C607" s="22"/>
      <c r="D607" s="22"/>
      <c r="E607" s="22">
        <v>36678</v>
      </c>
      <c r="F607" s="78" t="s">
        <v>739</v>
      </c>
      <c r="G607" s="78">
        <v>24.14312</v>
      </c>
      <c r="I607" s="78">
        <v>11.23231</v>
      </c>
      <c r="J607" s="78">
        <v>33.746009999999998</v>
      </c>
      <c r="K607" s="78">
        <v>48.935929999999999</v>
      </c>
      <c r="L607" s="78">
        <v>20.716159999999999</v>
      </c>
      <c r="M607" s="78">
        <v>9.5324950000000008</v>
      </c>
      <c r="N607" s="78">
        <v>15.146649999999999</v>
      </c>
      <c r="P607" s="78">
        <v>39.471870000000003</v>
      </c>
      <c r="R607" s="78">
        <v>37.895150000000001</v>
      </c>
      <c r="S607" s="78">
        <v>45.38879</v>
      </c>
      <c r="AA607" s="78">
        <v>38.320779999999999</v>
      </c>
      <c r="AC607" s="78">
        <v>29.55659</v>
      </c>
      <c r="AD607" s="78">
        <v>15.677490000000001</v>
      </c>
      <c r="AE607" s="78">
        <v>10.70087</v>
      </c>
      <c r="AG607" s="78">
        <v>16.376740000000002</v>
      </c>
      <c r="AH607" s="78">
        <v>28.45018</v>
      </c>
      <c r="AJ607" s="78">
        <v>79.125290000000007</v>
      </c>
      <c r="AK607" s="78">
        <v>29.64621</v>
      </c>
      <c r="AO607" s="78">
        <v>16.37621</v>
      </c>
      <c r="AQ607" s="78">
        <v>37.460639999999998</v>
      </c>
      <c r="AR607" s="78">
        <v>35.961109999999998</v>
      </c>
      <c r="AS607" s="78">
        <v>74.885990000000007</v>
      </c>
      <c r="AT607" s="78">
        <v>26.302620000000001</v>
      </c>
      <c r="AV607" s="78">
        <v>2.5473080000000001</v>
      </c>
      <c r="AZ607" s="78">
        <v>43.661560000000001</v>
      </c>
      <c r="BA607" s="78">
        <v>4.6236800000000002</v>
      </c>
      <c r="BB607" s="78">
        <v>39.563960000000002</v>
      </c>
      <c r="BC607" s="78">
        <v>16.78275</v>
      </c>
      <c r="BD607" s="78">
        <v>31.58727</v>
      </c>
    </row>
    <row r="608" spans="1:56" x14ac:dyDescent="0.2">
      <c r="A608" s="78" t="s">
        <v>756</v>
      </c>
      <c r="B608" s="22">
        <v>37196</v>
      </c>
      <c r="C608" s="22"/>
      <c r="D608" s="22"/>
      <c r="E608" s="22">
        <v>36708</v>
      </c>
      <c r="F608" s="78" t="s">
        <v>740</v>
      </c>
      <c r="G608" s="78">
        <v>24.291609999999999</v>
      </c>
      <c r="I608" s="78">
        <v>11.48851</v>
      </c>
      <c r="J608" s="78">
        <v>34.24042</v>
      </c>
      <c r="K608" s="78">
        <v>48.791980000000002</v>
      </c>
      <c r="L608" s="78">
        <v>20.937480000000001</v>
      </c>
      <c r="M608" s="78">
        <v>9.5903569999999991</v>
      </c>
      <c r="N608" s="78">
        <v>15.244160000000001</v>
      </c>
      <c r="P608" s="78">
        <v>39.354520000000001</v>
      </c>
      <c r="R608" s="78">
        <v>36.346730000000001</v>
      </c>
      <c r="S608" s="78">
        <v>45.305630000000001</v>
      </c>
      <c r="AA608" s="78">
        <v>38.471899999999998</v>
      </c>
      <c r="AC608" s="78">
        <v>29.84271</v>
      </c>
      <c r="AD608" s="78">
        <v>15.74661</v>
      </c>
      <c r="AE608" s="78">
        <v>10.82681</v>
      </c>
      <c r="AG608" s="78">
        <v>16.5167</v>
      </c>
      <c r="AH608" s="78">
        <v>28.817329999999998</v>
      </c>
      <c r="AJ608" s="78">
        <v>79.141649999999998</v>
      </c>
      <c r="AK608" s="78">
        <v>29.863769999999999</v>
      </c>
      <c r="AO608" s="78">
        <v>16.639849999999999</v>
      </c>
      <c r="AQ608" s="78">
        <v>37.820439999999998</v>
      </c>
      <c r="AR608" s="78">
        <v>36.159790000000001</v>
      </c>
      <c r="AS608" s="78">
        <v>75.314930000000004</v>
      </c>
      <c r="AT608" s="78">
        <v>26.607520000000001</v>
      </c>
      <c r="AV608" s="78">
        <v>2.6714220000000002</v>
      </c>
      <c r="AZ608" s="78">
        <v>43.498649999999998</v>
      </c>
      <c r="BA608" s="78">
        <v>4.796945</v>
      </c>
      <c r="BB608" s="78">
        <v>39.709389999999999</v>
      </c>
      <c r="BC608" s="78">
        <v>16.869309999999999</v>
      </c>
      <c r="BD608" s="78">
        <v>31.617429999999999</v>
      </c>
    </row>
    <row r="609" spans="1:56" x14ac:dyDescent="0.2">
      <c r="A609" s="78" t="s">
        <v>757</v>
      </c>
      <c r="B609" s="22">
        <v>37226</v>
      </c>
      <c r="C609" s="22"/>
      <c r="D609" s="22"/>
      <c r="E609" s="22">
        <v>36739</v>
      </c>
      <c r="F609" s="78" t="s">
        <v>741</v>
      </c>
      <c r="G609" s="78">
        <v>24.468119999999999</v>
      </c>
      <c r="I609" s="78">
        <v>11.556620000000001</v>
      </c>
      <c r="J609" s="78">
        <v>34.71808</v>
      </c>
      <c r="K609" s="78">
        <v>49.008229999999998</v>
      </c>
      <c r="L609" s="78">
        <v>21.157430000000002</v>
      </c>
      <c r="M609" s="78">
        <v>9.6580239999999993</v>
      </c>
      <c r="N609" s="78">
        <v>15.30837</v>
      </c>
      <c r="P609" s="78">
        <v>39.820970000000003</v>
      </c>
      <c r="R609" s="78">
        <v>35.484940000000002</v>
      </c>
      <c r="S609" s="78">
        <v>45.272500000000001</v>
      </c>
      <c r="AA609" s="78">
        <v>38.62959</v>
      </c>
      <c r="AC609" s="78">
        <v>30.48001</v>
      </c>
      <c r="AD609" s="78">
        <v>15.82708</v>
      </c>
      <c r="AE609" s="78">
        <v>10.91949</v>
      </c>
      <c r="AG609" s="78">
        <v>16.660679999999999</v>
      </c>
      <c r="AH609" s="78">
        <v>29.128019999999999</v>
      </c>
      <c r="AJ609" s="78">
        <v>79.280720000000002</v>
      </c>
      <c r="AK609" s="78">
        <v>30.03107</v>
      </c>
      <c r="AO609" s="78">
        <v>16.836590000000001</v>
      </c>
      <c r="AQ609" s="78">
        <v>38.167450000000002</v>
      </c>
      <c r="AR609" s="78">
        <v>36.377369999999999</v>
      </c>
      <c r="AS609" s="78">
        <v>75.503810000000001</v>
      </c>
      <c r="AT609" s="78">
        <v>26.252379999999999</v>
      </c>
      <c r="AV609" s="78">
        <v>2.853307</v>
      </c>
      <c r="AZ609" s="78">
        <v>43.471600000000002</v>
      </c>
      <c r="BA609" s="78">
        <v>4.900766</v>
      </c>
      <c r="BB609" s="78">
        <v>39.943739999999998</v>
      </c>
      <c r="BC609" s="78">
        <v>16.963290000000001</v>
      </c>
      <c r="BD609" s="78">
        <v>31.882560000000002</v>
      </c>
    </row>
    <row r="610" spans="1:56" x14ac:dyDescent="0.2">
      <c r="A610" s="78" t="s">
        <v>758</v>
      </c>
      <c r="B610" s="22">
        <v>37257</v>
      </c>
      <c r="C610" s="22"/>
      <c r="D610" s="22"/>
      <c r="E610" s="22">
        <v>36770</v>
      </c>
      <c r="F610" s="78" t="s">
        <v>742</v>
      </c>
      <c r="G610" s="78">
        <v>24.608219999999999</v>
      </c>
      <c r="I610" s="78">
        <v>11.64507</v>
      </c>
      <c r="J610" s="78">
        <v>34.87865</v>
      </c>
      <c r="K610" s="78">
        <v>49.012920000000001</v>
      </c>
      <c r="L610" s="78">
        <v>21.326270000000001</v>
      </c>
      <c r="M610" s="78">
        <v>9.8367179999999994</v>
      </c>
      <c r="N610" s="78">
        <v>15.3531</v>
      </c>
      <c r="P610" s="78">
        <v>40.159799999999997</v>
      </c>
      <c r="R610" s="78">
        <v>35.840479999999999</v>
      </c>
      <c r="S610" s="78">
        <v>45.237169999999999</v>
      </c>
      <c r="AA610" s="78">
        <v>38.771369999999997</v>
      </c>
      <c r="AC610" s="78">
        <v>31.283249999999999</v>
      </c>
      <c r="AD610" s="78">
        <v>15.878819999999999</v>
      </c>
      <c r="AE610" s="78">
        <v>11.044420000000001</v>
      </c>
      <c r="AG610" s="78">
        <v>16.810420000000001</v>
      </c>
      <c r="AH610" s="78">
        <v>29.35763</v>
      </c>
      <c r="AJ610" s="78">
        <v>79.460669999999993</v>
      </c>
      <c r="AK610" s="78">
        <v>30.1693</v>
      </c>
      <c r="AO610" s="78">
        <v>17.04598</v>
      </c>
      <c r="AQ610" s="78">
        <v>38.813079999999999</v>
      </c>
      <c r="AR610" s="78">
        <v>36.619459999999997</v>
      </c>
      <c r="AS610" s="78">
        <v>75.649760000000001</v>
      </c>
      <c r="AT610" s="78">
        <v>26.474039999999999</v>
      </c>
      <c r="AV610" s="78">
        <v>2.9745599999999999</v>
      </c>
      <c r="AZ610" s="78">
        <v>43.463979999999999</v>
      </c>
      <c r="BA610" s="78">
        <v>4.9536090000000002</v>
      </c>
      <c r="BB610" s="78">
        <v>40.239579999999997</v>
      </c>
      <c r="BC610" s="78">
        <v>17.28932</v>
      </c>
      <c r="BD610" s="78">
        <v>32.12715</v>
      </c>
    </row>
    <row r="611" spans="1:56" x14ac:dyDescent="0.2">
      <c r="A611" s="78" t="s">
        <v>759</v>
      </c>
      <c r="B611" s="22">
        <v>37288</v>
      </c>
      <c r="C611" s="22"/>
      <c r="D611" s="22"/>
      <c r="E611" s="22">
        <v>36800</v>
      </c>
      <c r="F611" s="78" t="s">
        <v>743</v>
      </c>
      <c r="G611" s="78">
        <v>24.720289999999999</v>
      </c>
      <c r="I611" s="78">
        <v>11.77426</v>
      </c>
      <c r="J611" s="78">
        <v>34.91581</v>
      </c>
      <c r="K611" s="78">
        <v>48.921410000000002</v>
      </c>
      <c r="L611" s="78">
        <v>21.463370000000001</v>
      </c>
      <c r="M611" s="78">
        <v>9.9141340000000007</v>
      </c>
      <c r="N611" s="78">
        <v>15.53224</v>
      </c>
      <c r="P611" s="78">
        <v>40.228740000000002</v>
      </c>
      <c r="R611" s="78">
        <v>35.572040000000001</v>
      </c>
      <c r="S611" s="78">
        <v>45.267040000000001</v>
      </c>
      <c r="AA611" s="78">
        <v>38.990960000000001</v>
      </c>
      <c r="AC611" s="78">
        <v>31.756599999999999</v>
      </c>
      <c r="AD611" s="78">
        <v>16.162559999999999</v>
      </c>
      <c r="AE611" s="78">
        <v>11.210750000000001</v>
      </c>
      <c r="AG611" s="78">
        <v>16.98198</v>
      </c>
      <c r="AH611" s="78">
        <v>29.633900000000001</v>
      </c>
      <c r="AJ611" s="78">
        <v>79.624279999999999</v>
      </c>
      <c r="AK611" s="78">
        <v>30.34956</v>
      </c>
      <c r="AO611" s="78">
        <v>17.30095</v>
      </c>
      <c r="AQ611" s="78">
        <v>38.984430000000003</v>
      </c>
      <c r="AR611" s="78">
        <v>36.795580000000001</v>
      </c>
      <c r="AS611" s="78">
        <v>75.994299999999996</v>
      </c>
      <c r="AT611" s="78">
        <v>26.900849999999998</v>
      </c>
      <c r="AV611" s="78">
        <v>3.089769</v>
      </c>
      <c r="AZ611" s="78">
        <v>43.271050000000002</v>
      </c>
      <c r="BA611" s="78">
        <v>5.0508420000000003</v>
      </c>
      <c r="BB611" s="78">
        <v>40.372549999999997</v>
      </c>
      <c r="BC611" s="78">
        <v>17.50104</v>
      </c>
      <c r="BD611" s="78">
        <v>32.244599999999998</v>
      </c>
    </row>
    <row r="612" spans="1:56" x14ac:dyDescent="0.2">
      <c r="A612" s="78" t="s">
        <v>760</v>
      </c>
      <c r="B612" s="22">
        <v>37316</v>
      </c>
      <c r="C612" s="22"/>
      <c r="D612" s="22"/>
      <c r="E612" s="22">
        <v>36831</v>
      </c>
      <c r="F612" s="78" t="s">
        <v>744</v>
      </c>
      <c r="G612" s="78">
        <v>24.625019999999999</v>
      </c>
      <c r="I612" s="78">
        <v>11.93291</v>
      </c>
      <c r="J612" s="78">
        <v>35.00835</v>
      </c>
      <c r="K612" s="78">
        <v>49.034579999999998</v>
      </c>
      <c r="L612" s="78">
        <v>21.68741</v>
      </c>
      <c r="M612" s="78">
        <v>9.9375359999999997</v>
      </c>
      <c r="N612" s="78">
        <v>15.71453</v>
      </c>
      <c r="P612" s="78">
        <v>40.549979999999998</v>
      </c>
      <c r="R612" s="78">
        <v>35.52816</v>
      </c>
      <c r="S612" s="78">
        <v>45.444049999999997</v>
      </c>
      <c r="AA612" s="78">
        <v>39.433190000000003</v>
      </c>
      <c r="AC612" s="78">
        <v>32.08625</v>
      </c>
      <c r="AD612" s="78">
        <v>16.524709999999999</v>
      </c>
      <c r="AE612" s="78">
        <v>11.44868</v>
      </c>
      <c r="AG612" s="78">
        <v>17.172070000000001</v>
      </c>
      <c r="AH612" s="78">
        <v>30.156739999999999</v>
      </c>
      <c r="AJ612" s="78">
        <v>79.656999999999996</v>
      </c>
      <c r="AK612" s="78">
        <v>30.514859999999999</v>
      </c>
      <c r="AO612" s="78">
        <v>17.454229999999999</v>
      </c>
      <c r="AQ612" s="78">
        <v>39.067059999999998</v>
      </c>
      <c r="AR612" s="78">
        <v>36.955240000000003</v>
      </c>
      <c r="AS612" s="78">
        <v>76.2607</v>
      </c>
      <c r="AT612" s="78">
        <v>27.379239999999999</v>
      </c>
      <c r="AV612" s="78">
        <v>3.1991269999999998</v>
      </c>
      <c r="AZ612" s="78">
        <v>43.38767</v>
      </c>
      <c r="BA612" s="78">
        <v>5.1580820000000003</v>
      </c>
      <c r="BB612" s="78">
        <v>40.462299999999999</v>
      </c>
      <c r="BC612" s="78">
        <v>17.516639999999999</v>
      </c>
      <c r="BD612" s="78">
        <v>32.162750000000003</v>
      </c>
    </row>
    <row r="613" spans="1:56" x14ac:dyDescent="0.2">
      <c r="A613" s="78" t="s">
        <v>761</v>
      </c>
      <c r="B613" s="22">
        <v>37347</v>
      </c>
      <c r="C613" s="22"/>
      <c r="D613" s="22"/>
      <c r="E613" s="22">
        <v>36861</v>
      </c>
      <c r="F613" s="78" t="s">
        <v>745</v>
      </c>
      <c r="G613" s="78">
        <v>24.515750000000001</v>
      </c>
      <c r="I613" s="78">
        <v>12.03767</v>
      </c>
      <c r="J613" s="78">
        <v>35.538789999999999</v>
      </c>
      <c r="K613" s="78">
        <v>49.165190000000003</v>
      </c>
      <c r="L613" s="78">
        <v>22.014469999999999</v>
      </c>
      <c r="M613" s="78">
        <v>10.06958</v>
      </c>
      <c r="N613" s="78">
        <v>15.75013</v>
      </c>
      <c r="P613" s="78">
        <v>41.1235</v>
      </c>
      <c r="R613" s="78">
        <v>35.46302</v>
      </c>
      <c r="S613" s="78">
        <v>45.942189999999997</v>
      </c>
      <c r="AA613" s="78">
        <v>39.839750000000002</v>
      </c>
      <c r="AC613" s="78">
        <v>32.169409999999999</v>
      </c>
      <c r="AD613" s="78">
        <v>16.792290000000001</v>
      </c>
      <c r="AE613" s="78">
        <v>11.70729</v>
      </c>
      <c r="AG613" s="78">
        <v>17.35549</v>
      </c>
      <c r="AH613" s="78">
        <v>30.734249999999999</v>
      </c>
      <c r="AJ613" s="78">
        <v>79.616100000000003</v>
      </c>
      <c r="AK613" s="78">
        <v>30.72503</v>
      </c>
      <c r="AO613" s="78">
        <v>18.819430000000001</v>
      </c>
      <c r="AQ613" s="78">
        <v>39.404910000000001</v>
      </c>
      <c r="AR613" s="78">
        <v>37.402320000000003</v>
      </c>
      <c r="AS613" s="78">
        <v>76.518140000000002</v>
      </c>
      <c r="AT613" s="78">
        <v>27.506699999999999</v>
      </c>
      <c r="AV613" s="78">
        <v>3.183748</v>
      </c>
      <c r="AZ613" s="78">
        <v>43.337240000000001</v>
      </c>
      <c r="BA613" s="78">
        <v>5.2686859999999998</v>
      </c>
      <c r="BB613" s="78">
        <v>40.833759999999998</v>
      </c>
      <c r="BC613" s="78">
        <v>17.771979999999999</v>
      </c>
      <c r="BD613" s="78">
        <v>32.234110000000001</v>
      </c>
    </row>
    <row r="614" spans="1:56" x14ac:dyDescent="0.2">
      <c r="A614" s="78" t="s">
        <v>762</v>
      </c>
      <c r="B614" s="22">
        <v>37377</v>
      </c>
      <c r="C614" s="22"/>
      <c r="D614" s="22"/>
      <c r="E614" s="22">
        <v>36892</v>
      </c>
      <c r="F614" s="78" t="s">
        <v>746</v>
      </c>
      <c r="G614" s="78">
        <v>24.703479999999999</v>
      </c>
      <c r="I614" s="78">
        <v>12.14762</v>
      </c>
      <c r="J614" s="78">
        <v>35.597619999999999</v>
      </c>
      <c r="K614" s="78">
        <v>49.429780000000001</v>
      </c>
      <c r="L614" s="78">
        <v>22.31392</v>
      </c>
      <c r="M614" s="78">
        <v>10.251010000000001</v>
      </c>
      <c r="N614" s="78">
        <v>15.786799999999999</v>
      </c>
      <c r="P614" s="78">
        <v>41.72195</v>
      </c>
      <c r="R614" s="78">
        <v>35.882350000000002</v>
      </c>
      <c r="S614" s="78">
        <v>46.858969999999999</v>
      </c>
      <c r="AA614" s="78">
        <v>40.343809999999998</v>
      </c>
      <c r="AC614" s="78">
        <v>32.300640000000001</v>
      </c>
      <c r="AD614" s="78">
        <v>16.950880000000002</v>
      </c>
      <c r="AE614" s="78">
        <v>11.84291</v>
      </c>
      <c r="AG614" s="78">
        <v>17.527280000000001</v>
      </c>
      <c r="AH614" s="78">
        <v>31.111419999999999</v>
      </c>
      <c r="AJ614" s="78">
        <v>79.755160000000004</v>
      </c>
      <c r="AK614" s="78">
        <v>31.000889999999998</v>
      </c>
      <c r="AO614" s="78">
        <v>20.089120000000001</v>
      </c>
      <c r="AQ614" s="78">
        <v>39.65475</v>
      </c>
      <c r="AR614" s="78">
        <v>37.873570000000001</v>
      </c>
      <c r="AS614" s="78">
        <v>76.62809</v>
      </c>
      <c r="AT614" s="78">
        <v>27.603280000000002</v>
      </c>
      <c r="AV614" s="78">
        <v>3.3328950000000002</v>
      </c>
      <c r="AZ614" s="78">
        <v>43.141419999999997</v>
      </c>
      <c r="BA614" s="78">
        <v>5.389837</v>
      </c>
      <c r="BB614" s="78">
        <v>41.254260000000002</v>
      </c>
      <c r="BC614" s="78">
        <v>18.232469999999999</v>
      </c>
      <c r="BD614" s="78">
        <v>32.422730000000001</v>
      </c>
    </row>
    <row r="615" spans="1:56" x14ac:dyDescent="0.2">
      <c r="A615" s="78" t="s">
        <v>763</v>
      </c>
      <c r="B615" s="22">
        <v>37408</v>
      </c>
      <c r="C615" s="22"/>
      <c r="D615" s="22"/>
      <c r="E615" s="22">
        <v>36923</v>
      </c>
      <c r="F615" s="78" t="s">
        <v>747</v>
      </c>
      <c r="G615" s="78">
        <v>24.992059999999999</v>
      </c>
      <c r="I615" s="78">
        <v>12.28403</v>
      </c>
      <c r="J615" s="78">
        <v>35.569290000000002</v>
      </c>
      <c r="K615" s="78">
        <v>49.718890000000002</v>
      </c>
      <c r="L615" s="78">
        <v>22.434429999999999</v>
      </c>
      <c r="M615" s="78">
        <v>10.345319999999999</v>
      </c>
      <c r="N615" s="78">
        <v>15.968780000000001</v>
      </c>
      <c r="O615" s="78">
        <v>12.034369999999999</v>
      </c>
      <c r="P615" s="78">
        <v>42.098930000000003</v>
      </c>
      <c r="R615" s="78">
        <v>36.693339999999999</v>
      </c>
      <c r="S615" s="78">
        <v>47.506010000000003</v>
      </c>
      <c r="AA615" s="78">
        <v>40.514719999999997</v>
      </c>
      <c r="AC615" s="78">
        <v>32.783209999999997</v>
      </c>
      <c r="AD615" s="78">
        <v>17.17239</v>
      </c>
      <c r="AE615" s="78">
        <v>11.93126</v>
      </c>
      <c r="AG615" s="78">
        <v>17.70635</v>
      </c>
      <c r="AH615" s="78">
        <v>31.830210000000001</v>
      </c>
      <c r="AJ615" s="78">
        <v>79.9024</v>
      </c>
      <c r="AK615" s="78">
        <v>31.19163</v>
      </c>
      <c r="AO615" s="78">
        <v>20.205739999999999</v>
      </c>
      <c r="AQ615" s="78">
        <v>40.14575</v>
      </c>
      <c r="AR615" s="78">
        <v>38.21002</v>
      </c>
      <c r="AS615" s="78">
        <v>76.825199999999995</v>
      </c>
      <c r="AT615" s="78">
        <v>27.946829999999999</v>
      </c>
      <c r="AV615" s="78">
        <v>3.4665180000000002</v>
      </c>
      <c r="AZ615" s="78">
        <v>42.776820000000001</v>
      </c>
      <c r="BA615" s="78">
        <v>5.8584209999999999</v>
      </c>
      <c r="BB615" s="78">
        <v>41.572539999999996</v>
      </c>
      <c r="BC615" s="78">
        <v>18.501049999999999</v>
      </c>
      <c r="BD615" s="78">
        <v>32.575420000000001</v>
      </c>
    </row>
    <row r="616" spans="1:56" x14ac:dyDescent="0.2">
      <c r="A616" s="78" t="s">
        <v>764</v>
      </c>
      <c r="B616" s="22">
        <v>37438</v>
      </c>
      <c r="C616" s="22"/>
      <c r="D616" s="22"/>
      <c r="E616" s="22">
        <v>36951</v>
      </c>
      <c r="F616" s="78" t="s">
        <v>748</v>
      </c>
      <c r="G616" s="78">
        <v>25.277850000000001</v>
      </c>
      <c r="I616" s="78">
        <v>12.39118</v>
      </c>
      <c r="J616" s="78">
        <v>35.739109999999997</v>
      </c>
      <c r="K616" s="78">
        <v>49.739080000000001</v>
      </c>
      <c r="L616" s="78">
        <v>22.514559999999999</v>
      </c>
      <c r="M616" s="78">
        <v>10.40606</v>
      </c>
      <c r="N616" s="78">
        <v>16.058720000000001</v>
      </c>
      <c r="O616" s="78">
        <v>12.41521</v>
      </c>
      <c r="P616" s="78">
        <v>42.223610000000001</v>
      </c>
      <c r="R616" s="78">
        <v>37.145829999999997</v>
      </c>
      <c r="S616" s="78">
        <v>47.806429999999999</v>
      </c>
      <c r="AA616" s="78">
        <v>40.862450000000003</v>
      </c>
      <c r="AC616" s="78">
        <v>33.273739999999997</v>
      </c>
      <c r="AD616" s="78">
        <v>17.585190000000001</v>
      </c>
      <c r="AE616" s="78">
        <v>12.06677</v>
      </c>
      <c r="AG616" s="78">
        <v>17.903189999999999</v>
      </c>
      <c r="AH616" s="78">
        <v>32.40155</v>
      </c>
      <c r="AJ616" s="78">
        <v>79.967830000000006</v>
      </c>
      <c r="AK616" s="78">
        <v>31.350760000000001</v>
      </c>
      <c r="AO616" s="78">
        <v>20.45307</v>
      </c>
      <c r="AQ616" s="78">
        <v>40.449210000000001</v>
      </c>
      <c r="AR616" s="78">
        <v>38.706139999999998</v>
      </c>
      <c r="AS616" s="78">
        <v>77.582629999999995</v>
      </c>
      <c r="AT616" s="78">
        <v>28.320049999999998</v>
      </c>
      <c r="AV616" s="78">
        <v>3.5190419999999998</v>
      </c>
      <c r="AZ616" s="78">
        <v>42.640830000000001</v>
      </c>
      <c r="BA616" s="78">
        <v>6.6416089999999999</v>
      </c>
      <c r="BB616" s="78">
        <v>42.052860000000003</v>
      </c>
      <c r="BC616" s="78">
        <v>18.794440000000002</v>
      </c>
      <c r="BD616" s="78">
        <v>32.936869999999999</v>
      </c>
    </row>
    <row r="617" spans="1:56" x14ac:dyDescent="0.2">
      <c r="A617" s="78" t="s">
        <v>765</v>
      </c>
      <c r="B617" s="22">
        <v>37469</v>
      </c>
      <c r="C617" s="22"/>
      <c r="D617" s="22"/>
      <c r="E617" s="22">
        <v>36982</v>
      </c>
      <c r="F617" s="78" t="s">
        <v>749</v>
      </c>
      <c r="G617" s="78">
        <v>25.532810000000001</v>
      </c>
      <c r="I617" s="78">
        <v>12.516550000000001</v>
      </c>
      <c r="J617" s="78">
        <v>35.604239999999997</v>
      </c>
      <c r="K617" s="78">
        <v>49.93486</v>
      </c>
      <c r="L617" s="78">
        <v>22.729690000000002</v>
      </c>
      <c r="M617" s="78">
        <v>10.539759999999999</v>
      </c>
      <c r="N617" s="78">
        <v>16.062169999999998</v>
      </c>
      <c r="O617" s="78">
        <v>12.470370000000001</v>
      </c>
      <c r="P617" s="78">
        <v>42.64311</v>
      </c>
      <c r="R617" s="78">
        <v>37.225320000000004</v>
      </c>
      <c r="S617" s="78">
        <v>48.221629999999998</v>
      </c>
      <c r="AA617" s="78">
        <v>41.389560000000003</v>
      </c>
      <c r="AC617" s="78">
        <v>33.701799999999999</v>
      </c>
      <c r="AD617" s="78">
        <v>18.05527</v>
      </c>
      <c r="AE617" s="78">
        <v>12.22381</v>
      </c>
      <c r="AG617" s="78">
        <v>18.10699</v>
      </c>
      <c r="AH617" s="78">
        <v>32.538640000000001</v>
      </c>
      <c r="AJ617" s="78">
        <v>80.106899999999996</v>
      </c>
      <c r="AK617" s="78">
        <v>31.634250000000002</v>
      </c>
      <c r="AO617" s="78">
        <v>20.719719999999999</v>
      </c>
      <c r="AQ617" s="78">
        <v>40.52355</v>
      </c>
      <c r="AR617" s="78">
        <v>39.18365</v>
      </c>
      <c r="AS617" s="78">
        <v>78.114369999999994</v>
      </c>
      <c r="AT617" s="78">
        <v>28.68064</v>
      </c>
      <c r="AV617" s="78">
        <v>3.6446700000000001</v>
      </c>
      <c r="AZ617" s="78">
        <v>43.094430000000003</v>
      </c>
      <c r="BA617" s="78">
        <v>7.212993</v>
      </c>
      <c r="BB617" s="78">
        <v>42.584719999999997</v>
      </c>
      <c r="BC617" s="78">
        <v>19.01258</v>
      </c>
      <c r="BD617" s="78">
        <v>33.280639999999998</v>
      </c>
    </row>
    <row r="618" spans="1:56" x14ac:dyDescent="0.2">
      <c r="A618" s="78" t="s">
        <v>766</v>
      </c>
      <c r="B618" s="22">
        <v>37500</v>
      </c>
      <c r="C618" s="22"/>
      <c r="D618" s="22"/>
      <c r="E618" s="22">
        <v>37012</v>
      </c>
      <c r="F618" s="78" t="s">
        <v>750</v>
      </c>
      <c r="G618" s="78">
        <v>25.81579</v>
      </c>
      <c r="I618" s="78">
        <v>12.693759999999999</v>
      </c>
      <c r="J618" s="78">
        <v>35.793909999999997</v>
      </c>
      <c r="K618" s="78">
        <v>50.349730000000001</v>
      </c>
      <c r="L618" s="78">
        <v>22.940729999999999</v>
      </c>
      <c r="M618" s="78">
        <v>10.60825</v>
      </c>
      <c r="N618" s="78">
        <v>16.13927</v>
      </c>
      <c r="O618" s="78">
        <v>12.499980000000001</v>
      </c>
      <c r="P618" s="78">
        <v>43.699210000000001</v>
      </c>
      <c r="R618" s="78">
        <v>37.170400000000001</v>
      </c>
      <c r="S618" s="78">
        <v>48.616370000000003</v>
      </c>
      <c r="AA618" s="78">
        <v>41.459150000000001</v>
      </c>
      <c r="AC618" s="78">
        <v>34.191000000000003</v>
      </c>
      <c r="AD618" s="78">
        <v>18.21255</v>
      </c>
      <c r="AE618" s="78">
        <v>12.41516</v>
      </c>
      <c r="AG618" s="78">
        <v>18.313210000000002</v>
      </c>
      <c r="AH618" s="78">
        <v>32.825600000000001</v>
      </c>
      <c r="AJ618" s="78">
        <v>80.262309999999999</v>
      </c>
      <c r="AK618" s="78">
        <v>32.040320000000001</v>
      </c>
      <c r="AO618" s="78">
        <v>21.002970000000001</v>
      </c>
      <c r="AQ618" s="78">
        <v>40.86562</v>
      </c>
      <c r="AR618" s="78">
        <v>39.361730000000001</v>
      </c>
      <c r="AS618" s="78">
        <v>78.497450000000001</v>
      </c>
      <c r="AT618" s="78">
        <v>28.87013</v>
      </c>
      <c r="AV618" s="78">
        <v>3.7211439999999998</v>
      </c>
      <c r="AZ618" s="78">
        <v>43.397370000000002</v>
      </c>
      <c r="BA618" s="78">
        <v>7.5561150000000001</v>
      </c>
      <c r="BB618" s="78">
        <v>42.557290000000002</v>
      </c>
      <c r="BC618" s="78">
        <v>19.1279</v>
      </c>
      <c r="BD618" s="78">
        <v>33.484430000000003</v>
      </c>
    </row>
    <row r="619" spans="1:56" x14ac:dyDescent="0.2">
      <c r="A619" s="78" t="s">
        <v>767</v>
      </c>
      <c r="B619" s="22">
        <v>37530</v>
      </c>
      <c r="C619" s="22"/>
      <c r="D619" s="22"/>
      <c r="E619" s="22">
        <v>37043</v>
      </c>
      <c r="F619" s="78" t="s">
        <v>751</v>
      </c>
      <c r="G619" s="78">
        <v>26.115580000000001</v>
      </c>
      <c r="I619" s="78">
        <v>12.900869999999999</v>
      </c>
      <c r="J619" s="78">
        <v>35.779850000000003</v>
      </c>
      <c r="K619" s="78">
        <v>50.564810000000001</v>
      </c>
      <c r="L619" s="78">
        <v>23.146070000000002</v>
      </c>
      <c r="M619" s="78">
        <v>10.89423</v>
      </c>
      <c r="N619" s="78">
        <v>16.267189999999999</v>
      </c>
      <c r="O619" s="78">
        <v>12.609389999999999</v>
      </c>
      <c r="P619" s="78">
        <v>44.395949999999999</v>
      </c>
      <c r="R619" s="78">
        <v>37.575049999999997</v>
      </c>
      <c r="S619" s="78">
        <v>48.996200000000002</v>
      </c>
      <c r="AA619" s="78">
        <v>41.567509999999999</v>
      </c>
      <c r="AC619" s="78">
        <v>34.521090000000001</v>
      </c>
      <c r="AD619" s="78">
        <v>18.194610000000001</v>
      </c>
      <c r="AE619" s="78">
        <v>12.59801</v>
      </c>
      <c r="AG619" s="78">
        <v>18.527249999999999</v>
      </c>
      <c r="AH619" s="78">
        <v>33.16478</v>
      </c>
      <c r="AJ619" s="78">
        <v>80.417730000000006</v>
      </c>
      <c r="AK619" s="78">
        <v>32.429650000000002</v>
      </c>
      <c r="AO619" s="78">
        <v>21.233090000000001</v>
      </c>
      <c r="AQ619" s="78">
        <v>41.180370000000003</v>
      </c>
      <c r="AR619" s="78">
        <v>39.700310000000002</v>
      </c>
      <c r="AS619" s="78">
        <v>78.835899999999995</v>
      </c>
      <c r="AT619" s="78">
        <v>29.0166</v>
      </c>
      <c r="AV619" s="78">
        <v>3.7999939999999999</v>
      </c>
      <c r="AZ619" s="78">
        <v>44.473619999999997</v>
      </c>
      <c r="BA619" s="78">
        <v>7.9155139999999999</v>
      </c>
      <c r="BB619" s="78">
        <v>42.891359999999999</v>
      </c>
      <c r="BC619" s="78">
        <v>19.325230000000001</v>
      </c>
      <c r="BD619" s="78">
        <v>33.706789999999998</v>
      </c>
    </row>
    <row r="620" spans="1:56" x14ac:dyDescent="0.2">
      <c r="A620" s="78" t="s">
        <v>768</v>
      </c>
      <c r="B620" s="22">
        <v>37561</v>
      </c>
      <c r="C620" s="22"/>
      <c r="D620" s="22"/>
      <c r="E620" s="22">
        <v>37073</v>
      </c>
      <c r="F620" s="78" t="s">
        <v>752</v>
      </c>
      <c r="G620" s="78">
        <v>26.20524</v>
      </c>
      <c r="I620" s="78">
        <v>13.10984</v>
      </c>
      <c r="J620" s="78">
        <v>35.860080000000004</v>
      </c>
      <c r="K620" s="78">
        <v>50.525700000000001</v>
      </c>
      <c r="L620" s="78">
        <v>23.453199999999999</v>
      </c>
      <c r="M620" s="78">
        <v>11.256030000000001</v>
      </c>
      <c r="N620" s="78">
        <v>16.374669999999998</v>
      </c>
      <c r="O620" s="78">
        <v>12.689249999999999</v>
      </c>
      <c r="P620" s="78">
        <v>44.632109999999997</v>
      </c>
      <c r="R620" s="78">
        <v>37.828220000000002</v>
      </c>
      <c r="S620" s="78">
        <v>49.164389999999997</v>
      </c>
      <c r="AA620" s="78">
        <v>41.953589999999998</v>
      </c>
      <c r="AC620" s="78">
        <v>34.71293</v>
      </c>
      <c r="AD620" s="78">
        <v>18.006720000000001</v>
      </c>
      <c r="AE620" s="78">
        <v>12.73767</v>
      </c>
      <c r="AG620" s="78">
        <v>18.749140000000001</v>
      </c>
      <c r="AH620" s="78">
        <v>33.41966</v>
      </c>
      <c r="AJ620" s="78">
        <v>80.540440000000004</v>
      </c>
      <c r="AK620" s="78">
        <v>32.763420000000004</v>
      </c>
      <c r="AO620" s="78">
        <v>21.44032</v>
      </c>
      <c r="AQ620" s="78">
        <v>41.283090000000001</v>
      </c>
      <c r="AR620" s="78">
        <v>39.979959999999998</v>
      </c>
      <c r="AS620" s="78">
        <v>79.114419999999996</v>
      </c>
      <c r="AT620" s="78">
        <v>29.33099</v>
      </c>
      <c r="AV620" s="78">
        <v>3.906139</v>
      </c>
      <c r="AZ620" s="78">
        <v>44.766489999999997</v>
      </c>
      <c r="BA620" s="78">
        <v>8.1939910000000005</v>
      </c>
      <c r="BB620" s="78">
        <v>43.14067</v>
      </c>
      <c r="BC620" s="78">
        <v>19.643840000000001</v>
      </c>
      <c r="BD620" s="78">
        <v>33.916809999999998</v>
      </c>
    </row>
    <row r="621" spans="1:56" x14ac:dyDescent="0.2">
      <c r="A621" s="78" t="s">
        <v>769</v>
      </c>
      <c r="B621" s="22">
        <v>37591</v>
      </c>
      <c r="C621" s="22"/>
      <c r="D621" s="22"/>
      <c r="E621" s="22">
        <v>37104</v>
      </c>
      <c r="F621" s="78" t="s">
        <v>753</v>
      </c>
      <c r="G621" s="78">
        <v>26.367750000000001</v>
      </c>
      <c r="I621" s="78">
        <v>13.282220000000001</v>
      </c>
      <c r="J621" s="78">
        <v>36.053829999999998</v>
      </c>
      <c r="K621" s="78">
        <v>50.473089999999999</v>
      </c>
      <c r="L621" s="78">
        <v>23.76042</v>
      </c>
      <c r="M621" s="78">
        <v>11.372590000000001</v>
      </c>
      <c r="N621" s="78">
        <v>16.5151</v>
      </c>
      <c r="O621" s="78">
        <v>12.823270000000001</v>
      </c>
      <c r="P621" s="78">
        <v>45.127890000000001</v>
      </c>
      <c r="R621" s="78">
        <v>38.181910000000002</v>
      </c>
      <c r="S621" s="78">
        <v>49.14432</v>
      </c>
      <c r="AA621" s="78">
        <v>42.451839999999997</v>
      </c>
      <c r="AC621" s="78">
        <v>35.273949999999999</v>
      </c>
      <c r="AD621" s="78">
        <v>17.819469999999999</v>
      </c>
      <c r="AE621" s="78">
        <v>12.86392</v>
      </c>
      <c r="AG621" s="78">
        <v>18.986350000000002</v>
      </c>
      <c r="AH621" s="78">
        <v>33.712009999999999</v>
      </c>
      <c r="AJ621" s="78">
        <v>80.638599999999997</v>
      </c>
      <c r="AK621" s="78">
        <v>33.308239999999998</v>
      </c>
      <c r="AO621" s="78">
        <v>21.783829999999998</v>
      </c>
      <c r="AQ621" s="78">
        <v>41.587049999999998</v>
      </c>
      <c r="AR621" s="78">
        <v>40.342959999999998</v>
      </c>
      <c r="AS621" s="78">
        <v>79.714709999999997</v>
      </c>
      <c r="AT621" s="78">
        <v>29.75009</v>
      </c>
      <c r="AV621" s="78">
        <v>4.0751730000000004</v>
      </c>
      <c r="AZ621" s="78">
        <v>44.34686</v>
      </c>
      <c r="BA621" s="78">
        <v>8.6512709999999995</v>
      </c>
      <c r="BB621" s="78">
        <v>43.422379999999997</v>
      </c>
      <c r="BC621" s="78">
        <v>20.15175</v>
      </c>
      <c r="BD621" s="78">
        <v>34.07694</v>
      </c>
    </row>
    <row r="622" spans="1:56" x14ac:dyDescent="0.2">
      <c r="A622" s="78" t="s">
        <v>770</v>
      </c>
      <c r="B622" s="22">
        <v>37622</v>
      </c>
      <c r="C622" s="22"/>
      <c r="D622" s="22"/>
      <c r="E622" s="22">
        <v>37135</v>
      </c>
      <c r="F622" s="78" t="s">
        <v>754</v>
      </c>
      <c r="G622" s="78">
        <v>26.765599999999999</v>
      </c>
      <c r="I622" s="78">
        <v>13.3756</v>
      </c>
      <c r="J622" s="78">
        <v>36.640929999999997</v>
      </c>
      <c r="K622" s="78">
        <v>50.586030000000001</v>
      </c>
      <c r="L622" s="78">
        <v>23.98676</v>
      </c>
      <c r="M622" s="78">
        <v>11.463279999999999</v>
      </c>
      <c r="N622" s="78">
        <v>16.652180000000001</v>
      </c>
      <c r="O622" s="78">
        <v>13.325379999999999</v>
      </c>
      <c r="P622" s="78">
        <v>45.183630000000001</v>
      </c>
      <c r="R622" s="78">
        <v>38.843139999999998</v>
      </c>
      <c r="S622" s="78">
        <v>49.39537</v>
      </c>
      <c r="AA622" s="78">
        <v>42.766710000000003</v>
      </c>
      <c r="AC622" s="78">
        <v>35.871380000000002</v>
      </c>
      <c r="AD622" s="78">
        <v>18.049420000000001</v>
      </c>
      <c r="AE622" s="78">
        <v>12.97775</v>
      </c>
      <c r="AG622" s="78">
        <v>19.23208</v>
      </c>
      <c r="AH622" s="78">
        <v>34.237459999999999</v>
      </c>
      <c r="AJ622" s="78">
        <v>80.810379999999995</v>
      </c>
      <c r="AK622" s="78">
        <v>33.683340000000001</v>
      </c>
      <c r="AO622" s="78">
        <v>22.155349999999999</v>
      </c>
      <c r="AQ622" s="78">
        <v>41.94164</v>
      </c>
      <c r="AR622" s="78">
        <v>41.073160000000001</v>
      </c>
      <c r="AS622" s="78">
        <v>80.414829999999995</v>
      </c>
      <c r="AT622" s="78">
        <v>30.04326</v>
      </c>
      <c r="AV622" s="78">
        <v>4.1906600000000003</v>
      </c>
      <c r="AZ622" s="78">
        <v>45.018079999999998</v>
      </c>
      <c r="BA622" s="78">
        <v>9.2999729999999996</v>
      </c>
      <c r="BB622" s="78">
        <v>44.345649999999999</v>
      </c>
      <c r="BC622" s="78">
        <v>20.24841</v>
      </c>
      <c r="BD622" s="78">
        <v>34.465350000000001</v>
      </c>
    </row>
    <row r="623" spans="1:56" x14ac:dyDescent="0.2">
      <c r="A623" s="78" t="s">
        <v>771</v>
      </c>
      <c r="B623" s="22">
        <v>37653</v>
      </c>
      <c r="C623" s="22"/>
      <c r="D623" s="22"/>
      <c r="E623" s="22">
        <v>37165</v>
      </c>
      <c r="F623" s="78" t="s">
        <v>755</v>
      </c>
      <c r="G623" s="78">
        <v>27.16066</v>
      </c>
      <c r="I623" s="78">
        <v>13.422829999999999</v>
      </c>
      <c r="J623" s="78">
        <v>36.66957</v>
      </c>
      <c r="K623" s="78">
        <v>51.00224</v>
      </c>
      <c r="L623" s="78">
        <v>24.25337</v>
      </c>
      <c r="M623" s="78">
        <v>11.562279999999999</v>
      </c>
      <c r="N623" s="78">
        <v>16.895479999999999</v>
      </c>
      <c r="O623" s="78">
        <v>13.83919</v>
      </c>
      <c r="P623" s="78">
        <v>45.07508</v>
      </c>
      <c r="R623" s="78">
        <v>39.073</v>
      </c>
      <c r="S623" s="78">
        <v>49.762439999999998</v>
      </c>
      <c r="AA623" s="78">
        <v>43.114220000000003</v>
      </c>
      <c r="AC623" s="78">
        <v>36.389679999999998</v>
      </c>
      <c r="AD623" s="78">
        <v>18.439450000000001</v>
      </c>
      <c r="AE623" s="78">
        <v>13.08113</v>
      </c>
      <c r="AG623" s="78">
        <v>19.45749</v>
      </c>
      <c r="AH623" s="78">
        <v>34.587539999999997</v>
      </c>
      <c r="AJ623" s="78">
        <v>80.892169999999993</v>
      </c>
      <c r="AK623" s="78">
        <v>33.71078</v>
      </c>
      <c r="AO623" s="78">
        <v>22.426600000000001</v>
      </c>
      <c r="AQ623" s="78">
        <v>42.146470000000001</v>
      </c>
      <c r="AR623" s="78">
        <v>41.24888</v>
      </c>
      <c r="AS623" s="78">
        <v>80.523989999999998</v>
      </c>
      <c r="AT623" s="78">
        <v>30.261140000000001</v>
      </c>
      <c r="AV623" s="78">
        <v>4.3101320000000003</v>
      </c>
      <c r="AZ623" s="78">
        <v>45.613079999999997</v>
      </c>
      <c r="BA623" s="78">
        <v>9.7092279999999995</v>
      </c>
      <c r="BB623" s="78">
        <v>44.250909999999998</v>
      </c>
      <c r="BC623" s="78">
        <v>20.14819</v>
      </c>
      <c r="BD623" s="78">
        <v>34.829349999999998</v>
      </c>
    </row>
    <row r="624" spans="1:56" x14ac:dyDescent="0.2">
      <c r="A624" s="78" t="s">
        <v>772</v>
      </c>
      <c r="B624" s="22">
        <v>37681</v>
      </c>
      <c r="C624" s="22"/>
      <c r="D624" s="22"/>
      <c r="E624" s="22">
        <v>37196</v>
      </c>
      <c r="F624" s="78" t="s">
        <v>756</v>
      </c>
      <c r="G624" s="78">
        <v>27.52769</v>
      </c>
      <c r="I624" s="78">
        <v>13.440379999999999</v>
      </c>
      <c r="J624" s="78">
        <v>36.852670000000003</v>
      </c>
      <c r="K624" s="78">
        <v>51.562649999999998</v>
      </c>
      <c r="L624" s="78">
        <v>24.464089999999999</v>
      </c>
      <c r="M624" s="78">
        <v>11.69509</v>
      </c>
      <c r="N624" s="78">
        <v>17.072959999999998</v>
      </c>
      <c r="O624" s="78">
        <v>14.12175</v>
      </c>
      <c r="P624" s="78">
        <v>45.548870000000001</v>
      </c>
      <c r="R624" s="78">
        <v>39.375520000000002</v>
      </c>
      <c r="S624" s="78">
        <v>50.142850000000003</v>
      </c>
      <c r="AA624" s="78">
        <v>43.531080000000003</v>
      </c>
      <c r="AC624" s="78">
        <v>36.704810000000002</v>
      </c>
      <c r="AD624" s="78">
        <v>18.807829999999999</v>
      </c>
      <c r="AE624" s="78">
        <v>13.23063</v>
      </c>
      <c r="AG624" s="78">
        <v>19.659669999999998</v>
      </c>
      <c r="AH624" s="78">
        <v>34.712249999999997</v>
      </c>
      <c r="AJ624" s="78">
        <v>81.031229999999994</v>
      </c>
      <c r="AK624" s="78">
        <v>33.875059999999998</v>
      </c>
      <c r="AO624" s="78">
        <v>22.76315</v>
      </c>
      <c r="AQ624" s="78">
        <v>42.343319999999999</v>
      </c>
      <c r="AR624" s="78">
        <v>41.54692</v>
      </c>
      <c r="AS624" s="78">
        <v>80.544409999999999</v>
      </c>
      <c r="AT624" s="78">
        <v>30.09591</v>
      </c>
      <c r="AV624" s="78">
        <v>4.4498249999999997</v>
      </c>
      <c r="AZ624" s="78">
        <v>45.848759999999999</v>
      </c>
      <c r="BA624" s="78">
        <v>9.810295</v>
      </c>
      <c r="BB624" s="78">
        <v>44.613230000000001</v>
      </c>
      <c r="BC624" s="78">
        <v>20.35557</v>
      </c>
      <c r="BD624" s="78">
        <v>34.623730000000002</v>
      </c>
    </row>
    <row r="625" spans="1:56" x14ac:dyDescent="0.2">
      <c r="A625" s="78" t="s">
        <v>773</v>
      </c>
      <c r="B625" s="22">
        <v>37712</v>
      </c>
      <c r="C625" s="22"/>
      <c r="D625" s="22"/>
      <c r="E625" s="22">
        <v>37226</v>
      </c>
      <c r="F625" s="78" t="s">
        <v>757</v>
      </c>
      <c r="G625" s="78">
        <v>27.813469999999999</v>
      </c>
      <c r="I625" s="78">
        <v>13.51516</v>
      </c>
      <c r="J625" s="78">
        <v>37.068550000000002</v>
      </c>
      <c r="K625" s="78">
        <v>51.864989999999999</v>
      </c>
      <c r="L625" s="78">
        <v>24.502890000000001</v>
      </c>
      <c r="M625" s="78">
        <v>11.861140000000001</v>
      </c>
      <c r="N625" s="78">
        <v>17.098240000000001</v>
      </c>
      <c r="O625" s="78">
        <v>14.405709999999999</v>
      </c>
      <c r="P625" s="78">
        <v>46.362949999999998</v>
      </c>
      <c r="R625" s="78">
        <v>38.897820000000003</v>
      </c>
      <c r="S625" s="78">
        <v>50.883220000000001</v>
      </c>
      <c r="AA625" s="78">
        <v>43.703670000000002</v>
      </c>
      <c r="AC625" s="78">
        <v>37.140009999999997</v>
      </c>
      <c r="AD625" s="78">
        <v>19.00093</v>
      </c>
      <c r="AE625" s="78">
        <v>13.40002</v>
      </c>
      <c r="AG625" s="78">
        <v>19.863</v>
      </c>
      <c r="AH625" s="78">
        <v>34.874859999999998</v>
      </c>
      <c r="AJ625" s="78">
        <v>81.194839999999999</v>
      </c>
      <c r="AK625" s="78">
        <v>34.34196</v>
      </c>
      <c r="AO625" s="78">
        <v>22.756219999999999</v>
      </c>
      <c r="AQ625" s="78">
        <v>42.65719</v>
      </c>
      <c r="AR625" s="78">
        <v>41.791890000000002</v>
      </c>
      <c r="AS625" s="78">
        <v>80.758880000000005</v>
      </c>
      <c r="AT625" s="78">
        <v>29.963100000000001</v>
      </c>
      <c r="AV625" s="78">
        <v>4.4019469999999998</v>
      </c>
      <c r="AZ625" s="78">
        <v>44.452950000000001</v>
      </c>
      <c r="BA625" s="78">
        <v>9.8401270000000007</v>
      </c>
      <c r="BB625" s="78">
        <v>45.054499999999997</v>
      </c>
      <c r="BC625" s="78">
        <v>20.633590000000002</v>
      </c>
      <c r="BD625" s="78">
        <v>34.445419999999999</v>
      </c>
    </row>
    <row r="626" spans="1:56" x14ac:dyDescent="0.2">
      <c r="A626" s="78" t="s">
        <v>774</v>
      </c>
      <c r="B626" s="22">
        <v>37742</v>
      </c>
      <c r="C626" s="22"/>
      <c r="D626" s="22"/>
      <c r="E626" s="22">
        <v>37257</v>
      </c>
      <c r="F626" s="78" t="s">
        <v>758</v>
      </c>
      <c r="G626" s="78">
        <v>28.076840000000001</v>
      </c>
      <c r="I626" s="78">
        <v>13.62537</v>
      </c>
      <c r="J626" s="78">
        <v>37.344140000000003</v>
      </c>
      <c r="K626" s="78">
        <v>51.658880000000003</v>
      </c>
      <c r="L626" s="78">
        <v>24.636520000000001</v>
      </c>
      <c r="M626" s="78">
        <v>11.983980000000001</v>
      </c>
      <c r="N626" s="78">
        <v>17.11007</v>
      </c>
      <c r="O626" s="78">
        <v>14.610950000000001</v>
      </c>
      <c r="P626" s="78">
        <v>43.050829999999998</v>
      </c>
      <c r="R626" s="78">
        <v>37.96696</v>
      </c>
      <c r="S626" s="78">
        <v>51.29074</v>
      </c>
      <c r="AA626" s="78">
        <v>43.441859999999998</v>
      </c>
      <c r="AC626" s="78">
        <v>37.611579999999996</v>
      </c>
      <c r="AD626" s="78">
        <v>19.164159999999999</v>
      </c>
      <c r="AE626" s="78">
        <v>13.51709</v>
      </c>
      <c r="AG626" s="78">
        <v>20.072220000000002</v>
      </c>
      <c r="AH626" s="78">
        <v>34.712319999999998</v>
      </c>
      <c r="AJ626" s="78">
        <v>81.407520000000005</v>
      </c>
      <c r="AK626" s="78">
        <v>34.885590000000001</v>
      </c>
      <c r="AO626" s="78">
        <v>22.579899999999999</v>
      </c>
      <c r="AQ626" s="78">
        <v>43.277320000000003</v>
      </c>
      <c r="AR626" s="78">
        <v>41.811419999999998</v>
      </c>
      <c r="AS626" s="78">
        <v>81.006680000000003</v>
      </c>
      <c r="AT626" s="78">
        <v>30.110769999999999</v>
      </c>
      <c r="AV626" s="78">
        <v>4.545566</v>
      </c>
      <c r="AZ626" s="78">
        <v>43.032519999999998</v>
      </c>
      <c r="BA626" s="78">
        <v>9.6461260000000006</v>
      </c>
      <c r="BB626" s="78">
        <v>45.224029999999999</v>
      </c>
      <c r="BC626" s="78">
        <v>21.438089999999999</v>
      </c>
      <c r="BD626" s="78">
        <v>34.597000000000001</v>
      </c>
    </row>
    <row r="627" spans="1:56" x14ac:dyDescent="0.2">
      <c r="A627" s="78" t="s">
        <v>775</v>
      </c>
      <c r="B627" s="22">
        <v>37773</v>
      </c>
      <c r="C627" s="22"/>
      <c r="D627" s="22"/>
      <c r="E627" s="22">
        <v>37288</v>
      </c>
      <c r="F627" s="78" t="s">
        <v>759</v>
      </c>
      <c r="G627" s="78">
        <v>28.292580000000001</v>
      </c>
      <c r="I627" s="78">
        <v>13.654960000000001</v>
      </c>
      <c r="J627" s="78">
        <v>37.542589999999997</v>
      </c>
      <c r="K627" s="78">
        <v>51.469639999999998</v>
      </c>
      <c r="L627" s="78">
        <v>24.840769999999999</v>
      </c>
      <c r="M627" s="78">
        <v>12.122529999999999</v>
      </c>
      <c r="N627" s="78">
        <v>17.149529999999999</v>
      </c>
      <c r="O627" s="78">
        <v>14.82286</v>
      </c>
      <c r="P627" s="78">
        <v>39.344549999999998</v>
      </c>
      <c r="R627" s="78">
        <v>37.727879999999999</v>
      </c>
      <c r="S627" s="78">
        <v>51.217610000000001</v>
      </c>
      <c r="AA627" s="78">
        <v>43.2836</v>
      </c>
      <c r="AC627" s="78">
        <v>37.228090000000002</v>
      </c>
      <c r="AD627" s="78">
        <v>19.251339999999999</v>
      </c>
      <c r="AE627" s="78">
        <v>13.629300000000001</v>
      </c>
      <c r="AG627" s="78">
        <v>20.279509999999998</v>
      </c>
      <c r="AH627" s="78">
        <v>34.46246</v>
      </c>
      <c r="AJ627" s="78">
        <v>81.513850000000005</v>
      </c>
      <c r="AK627" s="78">
        <v>35.433419999999998</v>
      </c>
      <c r="AO627" s="78">
        <v>22.69387</v>
      </c>
      <c r="AQ627" s="78">
        <v>43.642589999999998</v>
      </c>
      <c r="AR627" s="78">
        <v>41.953510000000001</v>
      </c>
      <c r="AS627" s="78">
        <v>81.167469999999994</v>
      </c>
      <c r="AT627" s="78">
        <v>30.14452</v>
      </c>
      <c r="AV627" s="78">
        <v>4.687017</v>
      </c>
      <c r="AZ627" s="78">
        <v>42.958069999999999</v>
      </c>
      <c r="BA627" s="78">
        <v>9.7438990000000008</v>
      </c>
      <c r="BB627" s="78">
        <v>45.468350000000001</v>
      </c>
      <c r="BC627" s="78">
        <v>22.249469999999999</v>
      </c>
      <c r="BD627" s="78">
        <v>34.798659999999998</v>
      </c>
    </row>
    <row r="628" spans="1:56" x14ac:dyDescent="0.2">
      <c r="A628" s="78" t="s">
        <v>776</v>
      </c>
      <c r="B628" s="22">
        <v>37803</v>
      </c>
      <c r="C628" s="22"/>
      <c r="D628" s="22"/>
      <c r="E628" s="22">
        <v>37316</v>
      </c>
      <c r="F628" s="78" t="s">
        <v>760</v>
      </c>
      <c r="G628" s="78">
        <v>28.564360000000001</v>
      </c>
      <c r="I628" s="78">
        <v>13.823309999999999</v>
      </c>
      <c r="J628" s="78">
        <v>37.665990000000001</v>
      </c>
      <c r="K628" s="78">
        <v>51.686999999999998</v>
      </c>
      <c r="L628" s="78">
        <v>24.939530000000001</v>
      </c>
      <c r="M628" s="78">
        <v>12.29036</v>
      </c>
      <c r="N628" s="78">
        <v>17.27797</v>
      </c>
      <c r="O628" s="78">
        <v>15.023910000000001</v>
      </c>
      <c r="P628" s="78">
        <v>39.228020000000001</v>
      </c>
      <c r="R628" s="78">
        <v>37.692549999999997</v>
      </c>
      <c r="S628" s="78">
        <v>51.397210000000001</v>
      </c>
      <c r="AA628" s="78">
        <v>43.548810000000003</v>
      </c>
      <c r="AC628" s="78">
        <v>36.796619999999997</v>
      </c>
      <c r="AD628" s="78">
        <v>19.264060000000001</v>
      </c>
      <c r="AE628" s="78">
        <v>13.76843</v>
      </c>
      <c r="AG628" s="78">
        <v>20.49522</v>
      </c>
      <c r="AH628" s="78">
        <v>34.607419999999998</v>
      </c>
      <c r="AJ628" s="78">
        <v>81.677459999999996</v>
      </c>
      <c r="AK628" s="78">
        <v>35.932690000000001</v>
      </c>
      <c r="AO628" s="78">
        <v>22.89443</v>
      </c>
      <c r="AQ628" s="78">
        <v>43.668849999999999</v>
      </c>
      <c r="AR628" s="78">
        <v>42.136470000000003</v>
      </c>
      <c r="AS628" s="78">
        <v>81.25797</v>
      </c>
      <c r="AT628" s="78">
        <v>29.91855</v>
      </c>
      <c r="AV628" s="78">
        <v>4.6559160000000004</v>
      </c>
      <c r="AZ628" s="78">
        <v>43.351469999999999</v>
      </c>
      <c r="BA628" s="78">
        <v>10.067460000000001</v>
      </c>
      <c r="BB628" s="78">
        <v>45.568069999999999</v>
      </c>
      <c r="BC628" s="78">
        <v>22.551089999999999</v>
      </c>
      <c r="BD628" s="78">
        <v>35.491309999999999</v>
      </c>
    </row>
    <row r="629" spans="1:56" x14ac:dyDescent="0.2">
      <c r="A629" s="78" t="s">
        <v>777</v>
      </c>
      <c r="B629" s="22">
        <v>37834</v>
      </c>
      <c r="C629" s="22"/>
      <c r="D629" s="22"/>
      <c r="E629" s="22">
        <v>37347</v>
      </c>
      <c r="F629" s="78" t="s">
        <v>761</v>
      </c>
      <c r="G629" s="78">
        <v>28.36543</v>
      </c>
      <c r="I629" s="78">
        <v>14.0436</v>
      </c>
      <c r="J629" s="78">
        <v>37.772170000000003</v>
      </c>
      <c r="K629" s="78">
        <v>51.819119999999998</v>
      </c>
      <c r="L629" s="78">
        <v>24.966439999999999</v>
      </c>
      <c r="M629" s="78">
        <v>12.41944</v>
      </c>
      <c r="N629" s="78">
        <v>17.44406</v>
      </c>
      <c r="O629" s="78">
        <v>15.150690000000001</v>
      </c>
      <c r="P629" s="78">
        <v>39.351100000000002</v>
      </c>
      <c r="R629" s="78">
        <v>37.928510000000003</v>
      </c>
      <c r="S629" s="78">
        <v>51.75271</v>
      </c>
      <c r="AA629" s="78">
        <v>43.668430000000001</v>
      </c>
      <c r="AC629" s="78">
        <v>37.145960000000002</v>
      </c>
      <c r="AD629" s="78">
        <v>19.224250000000001</v>
      </c>
      <c r="AE629" s="78">
        <v>13.94097</v>
      </c>
      <c r="AG629" s="78">
        <v>20.720199999999998</v>
      </c>
      <c r="AH629" s="78">
        <v>34.92268</v>
      </c>
      <c r="AJ629" s="78">
        <v>81.791979999999995</v>
      </c>
      <c r="AK629" s="78">
        <v>36.254570000000001</v>
      </c>
      <c r="AO629" s="78">
        <v>23.062180000000001</v>
      </c>
      <c r="AQ629" s="78">
        <v>43.810769999999998</v>
      </c>
      <c r="AR629" s="78">
        <v>42.223230000000001</v>
      </c>
      <c r="AS629" s="78">
        <v>81.686049999999994</v>
      </c>
      <c r="AT629" s="78">
        <v>29.65802</v>
      </c>
      <c r="AV629" s="78">
        <v>4.768116</v>
      </c>
      <c r="AZ629" s="78">
        <v>44.172750000000001</v>
      </c>
      <c r="BA629" s="78">
        <v>10.179500000000001</v>
      </c>
      <c r="BB629" s="78">
        <v>45.568899999999999</v>
      </c>
      <c r="BC629" s="78">
        <v>22.790800000000001</v>
      </c>
      <c r="BD629" s="78">
        <v>35.937179999999998</v>
      </c>
    </row>
    <row r="630" spans="1:56" x14ac:dyDescent="0.2">
      <c r="A630" s="78" t="s">
        <v>778</v>
      </c>
      <c r="B630" s="22">
        <v>37865</v>
      </c>
      <c r="C630" s="22"/>
      <c r="D630" s="22"/>
      <c r="E630" s="22">
        <v>37377</v>
      </c>
      <c r="F630" s="78" t="s">
        <v>762</v>
      </c>
      <c r="G630" s="78">
        <v>28.076840000000001</v>
      </c>
      <c r="I630" s="78">
        <v>14.108549999999999</v>
      </c>
      <c r="J630" s="78">
        <v>37.773829999999997</v>
      </c>
      <c r="K630" s="78">
        <v>51.8063</v>
      </c>
      <c r="L630" s="78">
        <v>24.999839999999999</v>
      </c>
      <c r="M630" s="78">
        <v>12.56541</v>
      </c>
      <c r="N630" s="78">
        <v>17.586970000000001</v>
      </c>
      <c r="O630" s="78">
        <v>15.339029999999999</v>
      </c>
      <c r="P630" s="78">
        <v>39.91948</v>
      </c>
      <c r="R630" s="78">
        <v>38.17521</v>
      </c>
      <c r="S630" s="78">
        <v>52.135820000000002</v>
      </c>
      <c r="AA630" s="78">
        <v>43.866439999999997</v>
      </c>
      <c r="AC630" s="78">
        <v>37.54813</v>
      </c>
      <c r="AD630" s="78">
        <v>19.1845</v>
      </c>
      <c r="AE630" s="78">
        <v>14.35914</v>
      </c>
      <c r="AG630" s="78">
        <v>20.946560000000002</v>
      </c>
      <c r="AH630" s="78">
        <v>35.261229999999998</v>
      </c>
      <c r="AJ630" s="78">
        <v>81.906499999999994</v>
      </c>
      <c r="AK630" s="78">
        <v>36.45675</v>
      </c>
      <c r="AO630" s="78">
        <v>23.167339999999999</v>
      </c>
      <c r="AQ630" s="78">
        <v>43.894970000000001</v>
      </c>
      <c r="AR630" s="78">
        <v>42.427109999999999</v>
      </c>
      <c r="AS630" s="78">
        <v>82.098600000000005</v>
      </c>
      <c r="AT630" s="78">
        <v>29.83765</v>
      </c>
      <c r="AV630" s="78">
        <v>4.8806599999999998</v>
      </c>
      <c r="AZ630" s="78">
        <v>44.460160000000002</v>
      </c>
      <c r="BA630" s="78">
        <v>10.56251</v>
      </c>
      <c r="BB630" s="78">
        <v>45.784140000000001</v>
      </c>
      <c r="BC630" s="78">
        <v>23.323129999999999</v>
      </c>
      <c r="BD630" s="78">
        <v>35.858440000000002</v>
      </c>
    </row>
    <row r="631" spans="1:56" x14ac:dyDescent="0.2">
      <c r="A631" s="78" t="s">
        <v>779</v>
      </c>
      <c r="B631" s="22">
        <v>37895</v>
      </c>
      <c r="C631" s="22"/>
      <c r="D631" s="22"/>
      <c r="E631" s="22">
        <v>37408</v>
      </c>
      <c r="F631" s="78" t="s">
        <v>763</v>
      </c>
      <c r="G631" s="78">
        <v>27.99559</v>
      </c>
      <c r="I631" s="78">
        <v>14.129530000000001</v>
      </c>
      <c r="J631" s="78">
        <v>37.884300000000003</v>
      </c>
      <c r="K631" s="78">
        <v>52.065710000000003</v>
      </c>
      <c r="L631" s="78">
        <v>25.11459</v>
      </c>
      <c r="M631" s="78">
        <v>12.73287</v>
      </c>
      <c r="N631" s="78">
        <v>17.61712</v>
      </c>
      <c r="O631" s="78">
        <v>15.394550000000001</v>
      </c>
      <c r="P631" s="78">
        <v>39.554459999999999</v>
      </c>
      <c r="R631" s="78">
        <v>38.425750000000001</v>
      </c>
      <c r="S631" s="78">
        <v>52.432960000000001</v>
      </c>
      <c r="AA631" s="78">
        <v>43.99841</v>
      </c>
      <c r="AC631" s="78">
        <v>37.648899999999998</v>
      </c>
      <c r="AD631" s="78">
        <v>19.245519999999999</v>
      </c>
      <c r="AE631" s="78">
        <v>14.70696</v>
      </c>
      <c r="AG631" s="78">
        <v>21.183890000000002</v>
      </c>
      <c r="AH631" s="78">
        <v>35.471679999999999</v>
      </c>
      <c r="AJ631" s="78">
        <v>81.971940000000004</v>
      </c>
      <c r="AK631" s="78">
        <v>36.668559999999999</v>
      </c>
      <c r="AO631" s="78">
        <v>23.288270000000001</v>
      </c>
      <c r="AQ631" s="78">
        <v>44.43647</v>
      </c>
      <c r="AR631" s="78">
        <v>42.643219999999999</v>
      </c>
      <c r="AS631" s="78">
        <v>82.456789999999998</v>
      </c>
      <c r="AT631" s="78">
        <v>30.001460000000002</v>
      </c>
      <c r="AV631" s="78">
        <v>4.998621</v>
      </c>
      <c r="AZ631" s="78">
        <v>44.824010000000001</v>
      </c>
      <c r="BA631" s="78">
        <v>11.055949999999999</v>
      </c>
      <c r="BB631" s="78">
        <v>45.991059999999997</v>
      </c>
      <c r="BC631" s="78">
        <v>23.511769999999999</v>
      </c>
      <c r="BD631" s="78">
        <v>36.35333</v>
      </c>
    </row>
    <row r="632" spans="1:56" x14ac:dyDescent="0.2">
      <c r="A632" s="78" t="s">
        <v>780</v>
      </c>
      <c r="B632" s="22">
        <v>37926</v>
      </c>
      <c r="C632" s="22"/>
      <c r="D632" s="22"/>
      <c r="E632" s="22">
        <v>37438</v>
      </c>
      <c r="F632" s="78" t="s">
        <v>764</v>
      </c>
      <c r="G632" s="78">
        <v>28.088049999999999</v>
      </c>
      <c r="I632" s="78">
        <v>14.151669999999999</v>
      </c>
      <c r="J632" s="78">
        <v>38.339469999999999</v>
      </c>
      <c r="K632" s="78">
        <v>52.6111</v>
      </c>
      <c r="L632" s="78">
        <v>25.25047</v>
      </c>
      <c r="M632" s="78">
        <v>12.8969</v>
      </c>
      <c r="N632" s="78">
        <v>17.722860000000001</v>
      </c>
      <c r="O632" s="78">
        <v>15.51388</v>
      </c>
      <c r="P632" s="78">
        <v>39.250579999999999</v>
      </c>
      <c r="R632" s="78">
        <v>38.910290000000003</v>
      </c>
      <c r="S632" s="78">
        <v>52.49494</v>
      </c>
      <c r="AA632" s="78">
        <v>43.966949999999997</v>
      </c>
      <c r="AC632" s="78">
        <v>37.860239999999997</v>
      </c>
      <c r="AD632" s="78">
        <v>19.48095</v>
      </c>
      <c r="AE632" s="78">
        <v>14.81467</v>
      </c>
      <c r="AG632" s="78">
        <v>21.423850000000002</v>
      </c>
      <c r="AH632" s="78">
        <v>35.265529999999998</v>
      </c>
      <c r="AJ632" s="78">
        <v>82.086460000000002</v>
      </c>
      <c r="AK632" s="78">
        <v>37.014859999999999</v>
      </c>
      <c r="AO632" s="78">
        <v>23.44107</v>
      </c>
      <c r="AQ632" s="78">
        <v>44.866790000000002</v>
      </c>
      <c r="AR632" s="78">
        <v>42.955379999999998</v>
      </c>
      <c r="AS632" s="78">
        <v>82.779970000000006</v>
      </c>
      <c r="AT632" s="78">
        <v>30.067329999999998</v>
      </c>
      <c r="AV632" s="78">
        <v>5.1369990000000003</v>
      </c>
      <c r="AZ632" s="78">
        <v>45.345970000000001</v>
      </c>
      <c r="BA632" s="78">
        <v>11.63259</v>
      </c>
      <c r="BB632" s="78">
        <v>46.345080000000003</v>
      </c>
      <c r="BC632" s="78">
        <v>23.445070000000001</v>
      </c>
      <c r="BD632" s="78">
        <v>36.748710000000003</v>
      </c>
    </row>
    <row r="633" spans="1:56" x14ac:dyDescent="0.2">
      <c r="A633" s="78" t="s">
        <v>781</v>
      </c>
      <c r="B633" s="22">
        <v>37956</v>
      </c>
      <c r="C633" s="22"/>
      <c r="D633" s="22"/>
      <c r="E633" s="22">
        <v>37469</v>
      </c>
      <c r="F633" s="78" t="s">
        <v>765</v>
      </c>
      <c r="G633" s="78">
        <v>28.56156</v>
      </c>
      <c r="I633" s="78">
        <v>14.24639</v>
      </c>
      <c r="J633" s="78">
        <v>38.61056</v>
      </c>
      <c r="K633" s="78">
        <v>52.876170000000002</v>
      </c>
      <c r="L633" s="78">
        <v>25.370909999999999</v>
      </c>
      <c r="M633" s="78">
        <v>13.08132</v>
      </c>
      <c r="N633" s="78">
        <v>17.8901</v>
      </c>
      <c r="O633" s="78">
        <v>15.917669999999999</v>
      </c>
      <c r="P633" s="78">
        <v>39.982930000000003</v>
      </c>
      <c r="R633" s="78">
        <v>39.316420000000001</v>
      </c>
      <c r="S633" s="78">
        <v>52.528219999999997</v>
      </c>
      <c r="AA633" s="78">
        <v>44.238379999999999</v>
      </c>
      <c r="AC633" s="78">
        <v>38.4039</v>
      </c>
      <c r="AD633" s="78">
        <v>19.750830000000001</v>
      </c>
      <c r="AE633" s="78">
        <v>14.97889</v>
      </c>
      <c r="AG633" s="78">
        <v>21.645969999999998</v>
      </c>
      <c r="AH633" s="78">
        <v>35.245820000000002</v>
      </c>
      <c r="AJ633" s="78">
        <v>82.192800000000005</v>
      </c>
      <c r="AK633" s="78">
        <v>37.435270000000003</v>
      </c>
      <c r="AO633" s="78">
        <v>23.533110000000001</v>
      </c>
      <c r="AQ633" s="78">
        <v>44.800660000000001</v>
      </c>
      <c r="AR633" s="78">
        <v>43.258719999999997</v>
      </c>
      <c r="AS633" s="78">
        <v>83.106989999999996</v>
      </c>
      <c r="AT633" s="78">
        <v>30.103860000000001</v>
      </c>
      <c r="AV633" s="78">
        <v>5.3155390000000002</v>
      </c>
      <c r="AZ633" s="78">
        <v>46.312010000000001</v>
      </c>
      <c r="BA633" s="78">
        <v>11.879339999999999</v>
      </c>
      <c r="BB633" s="78">
        <v>46.698259999999998</v>
      </c>
      <c r="BC633" s="78">
        <v>23.798500000000001</v>
      </c>
      <c r="BD633" s="78">
        <v>36.969540000000002</v>
      </c>
    </row>
    <row r="634" spans="1:56" x14ac:dyDescent="0.2">
      <c r="A634" s="78" t="s">
        <v>782</v>
      </c>
      <c r="B634" s="22">
        <v>37987</v>
      </c>
      <c r="C634" s="22"/>
      <c r="D634" s="22"/>
      <c r="E634" s="22">
        <v>37500</v>
      </c>
      <c r="F634" s="78" t="s">
        <v>766</v>
      </c>
      <c r="G634" s="78">
        <v>28.83333</v>
      </c>
      <c r="I634" s="78">
        <v>14.42759</v>
      </c>
      <c r="J634" s="78">
        <v>38.900930000000002</v>
      </c>
      <c r="K634" s="78">
        <v>53.00994</v>
      </c>
      <c r="L634" s="78">
        <v>25.520340000000001</v>
      </c>
      <c r="M634" s="78">
        <v>13.29609</v>
      </c>
      <c r="N634" s="78">
        <v>18.06643</v>
      </c>
      <c r="O634" s="78">
        <v>16.328140000000001</v>
      </c>
      <c r="P634" s="78">
        <v>40.288910000000001</v>
      </c>
      <c r="R634" s="78">
        <v>39.811489999999999</v>
      </c>
      <c r="S634" s="78">
        <v>52.810789999999997</v>
      </c>
      <c r="AA634" s="78">
        <v>44.667479999999998</v>
      </c>
      <c r="AC634" s="78">
        <v>38.7102</v>
      </c>
      <c r="AD634" s="78">
        <v>19.89743</v>
      </c>
      <c r="AE634" s="78">
        <v>15.128119999999999</v>
      </c>
      <c r="AG634" s="78">
        <v>21.859089999999998</v>
      </c>
      <c r="AH634" s="78">
        <v>35.643129999999999</v>
      </c>
      <c r="AJ634" s="78">
        <v>82.274600000000007</v>
      </c>
      <c r="AK634" s="78">
        <v>37.927680000000002</v>
      </c>
      <c r="AO634" s="78">
        <v>23.527550000000002</v>
      </c>
      <c r="AQ634" s="78">
        <v>44.663269999999997</v>
      </c>
      <c r="AR634" s="78">
        <v>43.441369999999999</v>
      </c>
      <c r="AS634" s="78">
        <v>83.560220000000001</v>
      </c>
      <c r="AT634" s="78">
        <v>29.970099999999999</v>
      </c>
      <c r="AV634" s="78">
        <v>5.4462869999999999</v>
      </c>
      <c r="AZ634" s="78">
        <v>46.528080000000003</v>
      </c>
      <c r="BA634" s="78">
        <v>11.87021</v>
      </c>
      <c r="BB634" s="78">
        <v>46.900199999999998</v>
      </c>
      <c r="BC634" s="78">
        <v>23.921230000000001</v>
      </c>
      <c r="BD634" s="78">
        <v>37.208019999999998</v>
      </c>
    </row>
    <row r="635" spans="1:56" x14ac:dyDescent="0.2">
      <c r="A635" s="78" t="s">
        <v>783</v>
      </c>
      <c r="B635" s="22">
        <v>38018</v>
      </c>
      <c r="C635" s="22"/>
      <c r="D635" s="22"/>
      <c r="E635" s="22">
        <v>37530</v>
      </c>
      <c r="F635" s="78" t="s">
        <v>767</v>
      </c>
      <c r="G635" s="78">
        <v>29.00704</v>
      </c>
      <c r="I635" s="78">
        <v>14.61328</v>
      </c>
      <c r="J635" s="78">
        <v>38.917990000000003</v>
      </c>
      <c r="K635" s="78">
        <v>53.174790000000002</v>
      </c>
      <c r="L635" s="78">
        <v>25.64198</v>
      </c>
      <c r="M635" s="78">
        <v>13.50192</v>
      </c>
      <c r="N635" s="78">
        <v>18.22438</v>
      </c>
      <c r="O635" s="78">
        <v>16.697569999999999</v>
      </c>
      <c r="P635" s="78">
        <v>40.712600000000002</v>
      </c>
      <c r="R635" s="78">
        <v>40.350909999999999</v>
      </c>
      <c r="S635" s="78">
        <v>53.127850000000002</v>
      </c>
      <c r="AA635" s="78">
        <v>45.03913</v>
      </c>
      <c r="AC635" s="78">
        <v>39.117330000000003</v>
      </c>
      <c r="AD635" s="78">
        <v>19.9039</v>
      </c>
      <c r="AE635" s="78">
        <v>15.26559</v>
      </c>
      <c r="AG635" s="78">
        <v>22.08961</v>
      </c>
      <c r="AH635" s="78">
        <v>35.907710000000002</v>
      </c>
      <c r="AJ635" s="78">
        <v>82.380939999999995</v>
      </c>
      <c r="AK635" s="78">
        <v>38.339080000000003</v>
      </c>
      <c r="AO635" s="78">
        <v>23.571529999999999</v>
      </c>
      <c r="AQ635" s="78">
        <v>45.103679999999997</v>
      </c>
      <c r="AR635" s="78">
        <v>43.706409999999998</v>
      </c>
      <c r="AS635" s="78">
        <v>84.00282</v>
      </c>
      <c r="AT635" s="78">
        <v>29.83474</v>
      </c>
      <c r="AV635" s="78">
        <v>5.5851800000000003</v>
      </c>
      <c r="AZ635" s="78">
        <v>46.154620000000001</v>
      </c>
      <c r="BA635" s="78">
        <v>12.014480000000001</v>
      </c>
      <c r="BB635" s="78">
        <v>47.270829999999997</v>
      </c>
      <c r="BC635" s="78">
        <v>24.170660000000002</v>
      </c>
      <c r="BD635" s="78">
        <v>37.317709999999998</v>
      </c>
    </row>
    <row r="636" spans="1:56" x14ac:dyDescent="0.2">
      <c r="A636" s="78" t="s">
        <v>784</v>
      </c>
      <c r="B636" s="22">
        <v>38047</v>
      </c>
      <c r="C636" s="22"/>
      <c r="D636" s="22"/>
      <c r="E636" s="22">
        <v>37561</v>
      </c>
      <c r="F636" s="78" t="s">
        <v>768</v>
      </c>
      <c r="G636" s="78">
        <v>29.295629999999999</v>
      </c>
      <c r="I636" s="78">
        <v>14.769970000000001</v>
      </c>
      <c r="J636" s="78">
        <v>39.11195</v>
      </c>
      <c r="K636" s="78">
        <v>53.352609999999999</v>
      </c>
      <c r="L636" s="78">
        <v>25.90485</v>
      </c>
      <c r="M636" s="78">
        <v>13.676629999999999</v>
      </c>
      <c r="N636" s="78">
        <v>18.30331</v>
      </c>
      <c r="O636" s="78">
        <v>17.01267</v>
      </c>
      <c r="P636" s="78">
        <v>41.344709999999999</v>
      </c>
      <c r="R636" s="78">
        <v>41.041870000000003</v>
      </c>
      <c r="S636" s="78">
        <v>53.560949999999998</v>
      </c>
      <c r="AA636" s="78">
        <v>45.331090000000003</v>
      </c>
      <c r="AC636" s="78">
        <v>39.960299999999997</v>
      </c>
      <c r="AD636" s="78">
        <v>19.909400000000002</v>
      </c>
      <c r="AE636" s="78">
        <v>15.42774</v>
      </c>
      <c r="AG636" s="78">
        <v>22.36234</v>
      </c>
      <c r="AH636" s="78">
        <v>36.026499999999999</v>
      </c>
      <c r="AJ636" s="78">
        <v>82.446380000000005</v>
      </c>
      <c r="AK636" s="78">
        <v>38.585299999999997</v>
      </c>
      <c r="AO636" s="78">
        <v>24.175409999999999</v>
      </c>
      <c r="AQ636" s="78">
        <v>45.594970000000004</v>
      </c>
      <c r="AR636" s="78">
        <v>44.055160000000001</v>
      </c>
      <c r="AS636" s="78">
        <v>84.127709999999993</v>
      </c>
      <c r="AT636" s="78">
        <v>29.798819999999999</v>
      </c>
      <c r="AV636" s="78">
        <v>5.732094</v>
      </c>
      <c r="AZ636" s="78">
        <v>46.087290000000003</v>
      </c>
      <c r="BA636" s="78">
        <v>12.05636</v>
      </c>
      <c r="BB636" s="78">
        <v>47.687170000000002</v>
      </c>
      <c r="BC636" s="78">
        <v>24.52938</v>
      </c>
      <c r="BD636" s="78">
        <v>37.810369999999999</v>
      </c>
    </row>
    <row r="637" spans="1:56" x14ac:dyDescent="0.2">
      <c r="A637" s="78" t="s">
        <v>785</v>
      </c>
      <c r="B637" s="22">
        <v>38078</v>
      </c>
      <c r="C637" s="22"/>
      <c r="D637" s="22"/>
      <c r="E637" s="22">
        <v>37591</v>
      </c>
      <c r="F637" s="78" t="s">
        <v>769</v>
      </c>
      <c r="G637" s="78">
        <v>29.637450000000001</v>
      </c>
      <c r="I637" s="78">
        <v>14.896459999999999</v>
      </c>
      <c r="J637" s="78">
        <v>39.11542</v>
      </c>
      <c r="K637" s="78">
        <v>53.824950000000001</v>
      </c>
      <c r="L637" s="78">
        <v>26.095109999999998</v>
      </c>
      <c r="M637" s="78">
        <v>13.87623</v>
      </c>
      <c r="N637" s="78">
        <v>18.44079</v>
      </c>
      <c r="O637" s="78">
        <v>17.256589999999999</v>
      </c>
      <c r="P637" s="78">
        <v>41.412059999999997</v>
      </c>
      <c r="R637" s="78">
        <v>42.057490000000001</v>
      </c>
      <c r="S637" s="78">
        <v>54.333840000000002</v>
      </c>
      <c r="AA637" s="78">
        <v>45.445459999999997</v>
      </c>
      <c r="AC637" s="78">
        <v>40.74615</v>
      </c>
      <c r="AD637" s="78">
        <v>19.939679999999999</v>
      </c>
      <c r="AE637" s="78">
        <v>15.57108</v>
      </c>
      <c r="AG637" s="78">
        <v>22.680009999999999</v>
      </c>
      <c r="AH637" s="78">
        <v>36.357950000000002</v>
      </c>
      <c r="AJ637" s="78">
        <v>82.348219999999998</v>
      </c>
      <c r="AK637" s="78">
        <v>38.89667</v>
      </c>
      <c r="AO637" s="78">
        <v>24.508500000000002</v>
      </c>
      <c r="AQ637" s="78">
        <v>45.821950000000001</v>
      </c>
      <c r="AR637" s="78">
        <v>44.249989999999997</v>
      </c>
      <c r="AS637" s="78">
        <v>84.482919999999993</v>
      </c>
      <c r="AT637" s="78">
        <v>29.821999999999999</v>
      </c>
      <c r="AV637" s="78">
        <v>5.7052180000000003</v>
      </c>
      <c r="AZ637" s="78">
        <v>46.080269999999999</v>
      </c>
      <c r="BA637" s="78">
        <v>12.245939999999999</v>
      </c>
      <c r="BB637" s="78">
        <v>47.864179999999998</v>
      </c>
      <c r="BC637" s="78">
        <v>24.567730000000001</v>
      </c>
      <c r="BD637" s="78">
        <v>38.437510000000003</v>
      </c>
    </row>
    <row r="638" spans="1:56" x14ac:dyDescent="0.2">
      <c r="A638" s="78" t="s">
        <v>786</v>
      </c>
      <c r="B638" s="22">
        <v>38108</v>
      </c>
      <c r="C638" s="22"/>
      <c r="D638" s="22"/>
      <c r="E638" s="22">
        <v>37622</v>
      </c>
      <c r="F638" s="78" t="s">
        <v>770</v>
      </c>
      <c r="G638" s="78">
        <v>29.956849999999999</v>
      </c>
      <c r="I638" s="78">
        <v>15.0383</v>
      </c>
      <c r="J638" s="78">
        <v>39.235140000000001</v>
      </c>
      <c r="K638" s="78">
        <v>54.229810000000001</v>
      </c>
      <c r="L638" s="78">
        <v>26.229099999999999</v>
      </c>
      <c r="M638" s="78">
        <v>14.17564</v>
      </c>
      <c r="N638" s="78">
        <v>18.641649999999998</v>
      </c>
      <c r="O638" s="78">
        <v>17.63522</v>
      </c>
      <c r="P638" s="78">
        <v>41.439309999999999</v>
      </c>
      <c r="R638" s="78">
        <v>43.419409999999999</v>
      </c>
      <c r="S638" s="78">
        <v>54.764940000000003</v>
      </c>
      <c r="AA638" s="78">
        <v>45.370809999999999</v>
      </c>
      <c r="AC638" s="78">
        <v>41.511159999999997</v>
      </c>
      <c r="AD638" s="78">
        <v>19.985589999999998</v>
      </c>
      <c r="AE638" s="78">
        <v>15.693350000000001</v>
      </c>
      <c r="AG638" s="78">
        <v>22.999590000000001</v>
      </c>
      <c r="AH638" s="78">
        <v>36.820549999999997</v>
      </c>
      <c r="AJ638" s="78">
        <v>82.397300000000001</v>
      </c>
      <c r="AK638" s="78">
        <v>39.173180000000002</v>
      </c>
      <c r="AO638" s="78">
        <v>24.500710000000002</v>
      </c>
      <c r="AQ638" s="78">
        <v>46.238030000000002</v>
      </c>
      <c r="AR638" s="78">
        <v>44.485399999999998</v>
      </c>
      <c r="AS638" s="78">
        <v>85.173609999999996</v>
      </c>
      <c r="AT638" s="78">
        <v>29.905729999999998</v>
      </c>
      <c r="AV638" s="78">
        <v>6.0156419999999997</v>
      </c>
      <c r="AZ638" s="78">
        <v>46.362879999999997</v>
      </c>
      <c r="BA638" s="78">
        <v>12.612590000000001</v>
      </c>
      <c r="BB638" s="78">
        <v>48.135089999999998</v>
      </c>
      <c r="BC638" s="78">
        <v>24.883389999999999</v>
      </c>
      <c r="BD638" s="78">
        <v>38.676250000000003</v>
      </c>
    </row>
    <row r="639" spans="1:56" x14ac:dyDescent="0.2">
      <c r="A639" s="78" t="s">
        <v>787</v>
      </c>
      <c r="B639" s="22">
        <v>38139</v>
      </c>
      <c r="C639" s="22"/>
      <c r="D639" s="22"/>
      <c r="E639" s="22">
        <v>37653</v>
      </c>
      <c r="F639" s="78" t="s">
        <v>771</v>
      </c>
      <c r="G639" s="78">
        <v>30.209009999999999</v>
      </c>
      <c r="I639" s="78">
        <v>15.225379999999999</v>
      </c>
      <c r="J639" s="78">
        <v>38.964930000000003</v>
      </c>
      <c r="K639" s="78">
        <v>54.667549999999999</v>
      </c>
      <c r="L639" s="78">
        <v>26.606200000000001</v>
      </c>
      <c r="M639" s="78">
        <v>14.39742</v>
      </c>
      <c r="N639" s="78">
        <v>18.88776</v>
      </c>
      <c r="O639" s="78">
        <v>18.008980000000001</v>
      </c>
      <c r="P639" s="78">
        <v>41.540309999999998</v>
      </c>
      <c r="R639" s="78">
        <v>44.777999999999999</v>
      </c>
      <c r="S639" s="78">
        <v>54.942320000000002</v>
      </c>
      <c r="AA639" s="78">
        <v>45.66001</v>
      </c>
      <c r="AC639" s="78">
        <v>41.991599999999998</v>
      </c>
      <c r="AD639" s="78">
        <v>20.184149999999999</v>
      </c>
      <c r="AE639" s="78">
        <v>15.805059999999999</v>
      </c>
      <c r="AG639" s="78">
        <v>23.30667</v>
      </c>
      <c r="AH639" s="78">
        <v>37.224539999999998</v>
      </c>
      <c r="AJ639" s="78">
        <v>82.454560000000001</v>
      </c>
      <c r="AK639" s="78">
        <v>39.302630000000001</v>
      </c>
      <c r="AO639" s="78">
        <v>24.64912</v>
      </c>
      <c r="AQ639" s="78">
        <v>46.299190000000003</v>
      </c>
      <c r="AR639" s="78">
        <v>44.73151</v>
      </c>
      <c r="AS639" s="78">
        <v>85.661109999999994</v>
      </c>
      <c r="AT639" s="78">
        <v>30.040690000000001</v>
      </c>
      <c r="AV639" s="78">
        <v>6.2907390000000003</v>
      </c>
      <c r="AZ639" s="78">
        <v>46.682409999999997</v>
      </c>
      <c r="BA639" s="78">
        <v>12.844849999999999</v>
      </c>
      <c r="BB639" s="78">
        <v>48.435920000000003</v>
      </c>
      <c r="BC639" s="78">
        <v>25.308219999999999</v>
      </c>
      <c r="BD639" s="78">
        <v>38.857039999999998</v>
      </c>
    </row>
    <row r="640" spans="1:56" x14ac:dyDescent="0.2">
      <c r="A640" s="78" t="s">
        <v>788</v>
      </c>
      <c r="B640" s="22">
        <v>38169</v>
      </c>
      <c r="C640" s="22"/>
      <c r="D640" s="22"/>
      <c r="E640" s="22">
        <v>37681</v>
      </c>
      <c r="F640" s="78" t="s">
        <v>772</v>
      </c>
      <c r="G640" s="78">
        <v>30.48639</v>
      </c>
      <c r="I640" s="78">
        <v>15.404339999999999</v>
      </c>
      <c r="J640" s="78">
        <v>39.512949999999996</v>
      </c>
      <c r="K640" s="78">
        <v>55.483730000000001</v>
      </c>
      <c r="L640" s="78">
        <v>26.939599999999999</v>
      </c>
      <c r="M640" s="78">
        <v>14.540900000000001</v>
      </c>
      <c r="N640" s="78">
        <v>19.112819999999999</v>
      </c>
      <c r="O640" s="78">
        <v>18.27628</v>
      </c>
      <c r="P640" s="78">
        <v>41.474780000000003</v>
      </c>
      <c r="R640" s="78">
        <v>44.753070000000001</v>
      </c>
      <c r="S640" s="78">
        <v>55.337260000000001</v>
      </c>
      <c r="AA640" s="78">
        <v>45.877450000000003</v>
      </c>
      <c r="AC640" s="78">
        <v>42.069859999999998</v>
      </c>
      <c r="AD640" s="78">
        <v>20.352370000000001</v>
      </c>
      <c r="AE640" s="78">
        <v>15.845470000000001</v>
      </c>
      <c r="AG640" s="78">
        <v>23.652010000000001</v>
      </c>
      <c r="AH640" s="78">
        <v>37.345970000000001</v>
      </c>
      <c r="AJ640" s="78">
        <v>82.454560000000001</v>
      </c>
      <c r="AK640" s="78">
        <v>39.34498</v>
      </c>
      <c r="AO640" s="78">
        <v>24.518149999999999</v>
      </c>
      <c r="AQ640" s="78">
        <v>46.150460000000002</v>
      </c>
      <c r="AR640" s="78">
        <v>44.88429</v>
      </c>
      <c r="AS640" s="78">
        <v>86.15522</v>
      </c>
      <c r="AT640" s="78">
        <v>30.093050000000002</v>
      </c>
      <c r="AV640" s="78">
        <v>6.34192</v>
      </c>
      <c r="AZ640" s="78">
        <v>47.055959999999999</v>
      </c>
      <c r="BA640" s="78">
        <v>12.9497</v>
      </c>
      <c r="BB640" s="78">
        <v>48.60877</v>
      </c>
      <c r="BC640" s="78">
        <v>25.475960000000001</v>
      </c>
      <c r="BD640" s="78">
        <v>38.943869999999997</v>
      </c>
    </row>
    <row r="641" spans="1:56" x14ac:dyDescent="0.2">
      <c r="A641" s="78" t="s">
        <v>789</v>
      </c>
      <c r="B641" s="22">
        <v>38200</v>
      </c>
      <c r="C641" s="22"/>
      <c r="D641" s="22"/>
      <c r="E641" s="22">
        <v>37712</v>
      </c>
      <c r="F641" s="78" t="s">
        <v>773</v>
      </c>
      <c r="G641" s="78">
        <v>30.83662</v>
      </c>
      <c r="I641" s="78">
        <v>15.570399999999999</v>
      </c>
      <c r="J641" s="78">
        <v>39.855530000000002</v>
      </c>
      <c r="K641" s="78">
        <v>56.346850000000003</v>
      </c>
      <c r="L641" s="78">
        <v>27.082180000000001</v>
      </c>
      <c r="M641" s="78">
        <v>14.75948</v>
      </c>
      <c r="N641" s="78">
        <v>19.232849999999999</v>
      </c>
      <c r="O641" s="78">
        <v>18.595140000000001</v>
      </c>
      <c r="P641" s="78">
        <v>41.776519999999998</v>
      </c>
      <c r="R641" s="78">
        <v>44.908790000000003</v>
      </c>
      <c r="S641" s="78">
        <v>55.96</v>
      </c>
      <c r="AA641" s="78">
        <v>45.966250000000002</v>
      </c>
      <c r="AC641" s="78">
        <v>42.32056</v>
      </c>
      <c r="AD641" s="78">
        <v>20.435120000000001</v>
      </c>
      <c r="AE641" s="78">
        <v>15.96908</v>
      </c>
      <c r="AG641" s="78">
        <v>24.042259999999999</v>
      </c>
      <c r="AH641" s="78">
        <v>37.202959999999997</v>
      </c>
      <c r="AJ641" s="78">
        <v>82.495459999999994</v>
      </c>
      <c r="AK641" s="78">
        <v>39.411839999999998</v>
      </c>
      <c r="AO641" s="78">
        <v>24.47899</v>
      </c>
      <c r="AQ641" s="78">
        <v>46.170189999999998</v>
      </c>
      <c r="AR641" s="78">
        <v>45.065489999999997</v>
      </c>
      <c r="AS641" s="78">
        <v>86.658450000000002</v>
      </c>
      <c r="AT641" s="78">
        <v>30.094950000000001</v>
      </c>
      <c r="AV641" s="78">
        <v>6.6006359999999997</v>
      </c>
      <c r="AZ641" s="78">
        <v>47.022269999999999</v>
      </c>
      <c r="BA641" s="78">
        <v>12.869630000000001</v>
      </c>
      <c r="BB641" s="78">
        <v>48.917909999999999</v>
      </c>
      <c r="BC641" s="78">
        <v>25.954709999999999</v>
      </c>
      <c r="BD641" s="78">
        <v>38.859340000000003</v>
      </c>
    </row>
    <row r="642" spans="1:56" x14ac:dyDescent="0.2">
      <c r="A642" s="78" t="s">
        <v>790</v>
      </c>
      <c r="B642" s="22">
        <v>38231</v>
      </c>
      <c r="C642" s="22"/>
      <c r="D642" s="22"/>
      <c r="E642" s="22">
        <v>37742</v>
      </c>
      <c r="F642" s="78" t="s">
        <v>774</v>
      </c>
      <c r="G642" s="78">
        <v>31.290510000000001</v>
      </c>
      <c r="I642" s="78">
        <v>15.76187</v>
      </c>
      <c r="J642" s="78">
        <v>40.312420000000003</v>
      </c>
      <c r="K642" s="78">
        <v>56.702579999999998</v>
      </c>
      <c r="L642" s="78">
        <v>27.113499999999998</v>
      </c>
      <c r="M642" s="78">
        <v>15.02575</v>
      </c>
      <c r="N642" s="78">
        <v>19.434239999999999</v>
      </c>
      <c r="O642" s="78">
        <v>18.931850000000001</v>
      </c>
      <c r="P642" s="78">
        <v>42.110840000000003</v>
      </c>
      <c r="R642" s="78">
        <v>46.08746</v>
      </c>
      <c r="S642" s="78">
        <v>56.579979999999999</v>
      </c>
      <c r="AA642" s="78">
        <v>46.059930000000001</v>
      </c>
      <c r="AC642" s="78">
        <v>42.866709999999998</v>
      </c>
      <c r="AD642" s="78">
        <v>20.570209999999999</v>
      </c>
      <c r="AE642" s="78">
        <v>16.210339999999999</v>
      </c>
      <c r="AG642" s="78">
        <v>24.43196</v>
      </c>
      <c r="AH642" s="78">
        <v>37.222450000000002</v>
      </c>
      <c r="AJ642" s="78">
        <v>82.667240000000007</v>
      </c>
      <c r="AK642" s="78">
        <v>39.507179999999998</v>
      </c>
      <c r="AO642" s="78">
        <v>24.645779999999998</v>
      </c>
      <c r="AQ642" s="78">
        <v>46.393529999999998</v>
      </c>
      <c r="AR642" s="78">
        <v>45.378639999999997</v>
      </c>
      <c r="AS642" s="78">
        <v>87.245189999999994</v>
      </c>
      <c r="AT642" s="78">
        <v>30.1843</v>
      </c>
      <c r="AV642" s="78">
        <v>6.7495760000000002</v>
      </c>
      <c r="AZ642" s="78">
        <v>46.997450000000001</v>
      </c>
      <c r="BA642" s="78">
        <v>12.73953</v>
      </c>
      <c r="BB642" s="78">
        <v>49.417349999999999</v>
      </c>
      <c r="BC642" s="78">
        <v>26.52759</v>
      </c>
      <c r="BD642" s="78">
        <v>38.895180000000003</v>
      </c>
    </row>
    <row r="643" spans="1:56" x14ac:dyDescent="0.2">
      <c r="A643" s="78" t="s">
        <v>791</v>
      </c>
      <c r="B643" s="22">
        <v>38261</v>
      </c>
      <c r="C643" s="22"/>
      <c r="D643" s="22"/>
      <c r="E643" s="22">
        <v>37773</v>
      </c>
      <c r="F643" s="78" t="s">
        <v>775</v>
      </c>
      <c r="G643" s="78">
        <v>31.607109999999999</v>
      </c>
      <c r="I643" s="78">
        <v>15.995810000000001</v>
      </c>
      <c r="J643" s="78">
        <v>40.688960000000002</v>
      </c>
      <c r="K643" s="78">
        <v>56.778979999999997</v>
      </c>
      <c r="L643" s="78">
        <v>27.024149999999999</v>
      </c>
      <c r="M643" s="78">
        <v>15.32131</v>
      </c>
      <c r="N643" s="78">
        <v>19.78614</v>
      </c>
      <c r="O643" s="78">
        <v>19.335139999999999</v>
      </c>
      <c r="P643" s="78">
        <v>41.890839999999997</v>
      </c>
      <c r="R643" s="78">
        <v>46.469990000000003</v>
      </c>
      <c r="S643" s="78">
        <v>56.783799999999999</v>
      </c>
      <c r="AA643" s="78">
        <v>46.300339999999998</v>
      </c>
      <c r="AC643" s="78">
        <v>43.550240000000002</v>
      </c>
      <c r="AD643" s="78">
        <v>20.629799999999999</v>
      </c>
      <c r="AE643" s="78">
        <v>16.42286</v>
      </c>
      <c r="AG643" s="78">
        <v>24.793869999999998</v>
      </c>
      <c r="AH643" s="78">
        <v>37.315539999999999</v>
      </c>
      <c r="AJ643" s="78">
        <v>82.806299999999993</v>
      </c>
      <c r="AK643" s="78">
        <v>39.700069999999997</v>
      </c>
      <c r="AO643" s="78">
        <v>24.555820000000001</v>
      </c>
      <c r="AQ643" s="78">
        <v>46.468699999999998</v>
      </c>
      <c r="AR643" s="78">
        <v>45.582540000000002</v>
      </c>
      <c r="AS643" s="78">
        <v>88.00367</v>
      </c>
      <c r="AT643" s="78">
        <v>30.39019</v>
      </c>
      <c r="AV643" s="78">
        <v>6.870031</v>
      </c>
      <c r="AZ643" s="78">
        <v>46.92306</v>
      </c>
      <c r="BA643" s="78">
        <v>12.741</v>
      </c>
      <c r="BB643" s="78">
        <v>49.722340000000003</v>
      </c>
      <c r="BC643" s="78">
        <v>26.842140000000001</v>
      </c>
      <c r="BD643" s="78">
        <v>39.192230000000002</v>
      </c>
    </row>
    <row r="644" spans="1:56" x14ac:dyDescent="0.2">
      <c r="A644" s="78" t="s">
        <v>792</v>
      </c>
      <c r="B644" s="22">
        <v>38292</v>
      </c>
      <c r="C644" s="22"/>
      <c r="D644" s="22"/>
      <c r="E644" s="22">
        <v>37803</v>
      </c>
      <c r="F644" s="78" t="s">
        <v>776</v>
      </c>
      <c r="G644" s="78">
        <v>31.444610000000001</v>
      </c>
      <c r="I644" s="78">
        <v>16.302219999999998</v>
      </c>
      <c r="J644" s="78">
        <v>41.064790000000002</v>
      </c>
      <c r="K644" s="78">
        <v>56.984020000000001</v>
      </c>
      <c r="L644" s="78">
        <v>26.880240000000001</v>
      </c>
      <c r="M644" s="78">
        <v>15.57001</v>
      </c>
      <c r="N644" s="78">
        <v>20.02544</v>
      </c>
      <c r="O644" s="78">
        <v>19.69566</v>
      </c>
      <c r="P644" s="78">
        <v>42.33925</v>
      </c>
      <c r="R644" s="78">
        <v>46.594029999999997</v>
      </c>
      <c r="S644" s="78">
        <v>56.817729999999997</v>
      </c>
      <c r="AA644" s="78">
        <v>46.844679999999997</v>
      </c>
      <c r="AC644" s="78">
        <v>44.101619999999997</v>
      </c>
      <c r="AD644" s="78">
        <v>20.709299999999999</v>
      </c>
      <c r="AE644" s="78">
        <v>16.601479999999999</v>
      </c>
      <c r="AG644" s="78">
        <v>25.149570000000001</v>
      </c>
      <c r="AH644" s="78">
        <v>37.499569999999999</v>
      </c>
      <c r="AJ644" s="78">
        <v>82.90446</v>
      </c>
      <c r="AK644" s="78">
        <v>39.942520000000002</v>
      </c>
      <c r="AO644" s="78">
        <v>24.717449999999999</v>
      </c>
      <c r="AQ644" s="78">
        <v>46.586959999999998</v>
      </c>
      <c r="AR644" s="78">
        <v>45.86994</v>
      </c>
      <c r="AS644" s="78">
        <v>88.708950000000002</v>
      </c>
      <c r="AT644" s="78">
        <v>30.54515</v>
      </c>
      <c r="AV644" s="78">
        <v>7.1560800000000002</v>
      </c>
      <c r="AZ644" s="78">
        <v>46.696559999999998</v>
      </c>
      <c r="BA644" s="78">
        <v>12.88372</v>
      </c>
      <c r="BB644" s="78">
        <v>50.110419999999998</v>
      </c>
      <c r="BC644" s="78">
        <v>27.089259999999999</v>
      </c>
      <c r="BD644" s="78">
        <v>39.586440000000003</v>
      </c>
    </row>
    <row r="645" spans="1:56" x14ac:dyDescent="0.2">
      <c r="A645" s="78" t="s">
        <v>793</v>
      </c>
      <c r="B645" s="22">
        <v>38322</v>
      </c>
      <c r="C645" s="22"/>
      <c r="D645" s="22"/>
      <c r="E645" s="22">
        <v>37834</v>
      </c>
      <c r="F645" s="78" t="s">
        <v>777</v>
      </c>
      <c r="G645" s="78">
        <v>31.623919999999998</v>
      </c>
      <c r="I645" s="78">
        <v>16.65354</v>
      </c>
      <c r="J645" s="78">
        <v>40.899360000000001</v>
      </c>
      <c r="K645" s="78">
        <v>57.309199999999997</v>
      </c>
      <c r="L645" s="78">
        <v>26.907710000000002</v>
      </c>
      <c r="M645" s="78">
        <v>15.84684</v>
      </c>
      <c r="N645" s="78">
        <v>20.18749</v>
      </c>
      <c r="O645" s="78">
        <v>19.839030000000001</v>
      </c>
      <c r="P645" s="78">
        <v>43.222749999999998</v>
      </c>
      <c r="R645" s="78">
        <v>46.80818</v>
      </c>
      <c r="S645" s="78">
        <v>56.849730000000001</v>
      </c>
      <c r="AA645" s="78">
        <v>47.131610000000002</v>
      </c>
      <c r="AC645" s="78">
        <v>44.123359999999998</v>
      </c>
      <c r="AD645" s="78">
        <v>20.881920000000001</v>
      </c>
      <c r="AE645" s="78">
        <v>16.738800000000001</v>
      </c>
      <c r="AG645" s="78">
        <v>25.53171</v>
      </c>
      <c r="AH645" s="78">
        <v>37.857909999999997</v>
      </c>
      <c r="AJ645" s="78">
        <v>83.133499999999998</v>
      </c>
      <c r="AK645" s="78">
        <v>40.116390000000003</v>
      </c>
      <c r="AO645" s="78">
        <v>25.177980000000002</v>
      </c>
      <c r="AQ645" s="78">
        <v>46.992080000000001</v>
      </c>
      <c r="AR645" s="78">
        <v>46.211329999999997</v>
      </c>
      <c r="AS645" s="78">
        <v>89.348960000000005</v>
      </c>
      <c r="AT645" s="78">
        <v>30.653880000000001</v>
      </c>
      <c r="AV645" s="78">
        <v>7.4848600000000003</v>
      </c>
      <c r="AZ645" s="78">
        <v>46.546379999999999</v>
      </c>
      <c r="BA645" s="78">
        <v>12.96383</v>
      </c>
      <c r="BB645" s="78">
        <v>50.594070000000002</v>
      </c>
      <c r="BC645" s="78">
        <v>27.100069999999999</v>
      </c>
      <c r="BD645" s="78">
        <v>39.7575</v>
      </c>
    </row>
    <row r="646" spans="1:56" x14ac:dyDescent="0.2">
      <c r="A646" s="78" t="s">
        <v>794</v>
      </c>
      <c r="B646" s="22">
        <v>38353</v>
      </c>
      <c r="C646" s="22"/>
      <c r="D646" s="22"/>
      <c r="E646" s="22">
        <v>37865</v>
      </c>
      <c r="F646" s="78" t="s">
        <v>778</v>
      </c>
      <c r="G646" s="78">
        <v>32.181480000000001</v>
      </c>
      <c r="I646" s="78">
        <v>16.968669999999999</v>
      </c>
      <c r="J646" s="78">
        <v>41.073160000000001</v>
      </c>
      <c r="K646" s="78">
        <v>57.880929999999999</v>
      </c>
      <c r="L646" s="78">
        <v>27.04711</v>
      </c>
      <c r="M646" s="78">
        <v>16.0943</v>
      </c>
      <c r="N646" s="78">
        <v>20.3233</v>
      </c>
      <c r="O646" s="78">
        <v>20.009160000000001</v>
      </c>
      <c r="P646" s="78">
        <v>43.410620000000002</v>
      </c>
      <c r="R646" s="78">
        <v>46.556190000000001</v>
      </c>
      <c r="S646" s="78">
        <v>56.800820000000002</v>
      </c>
      <c r="AA646" s="78">
        <v>47.429670000000002</v>
      </c>
      <c r="AC646" s="78">
        <v>44.429349999999999</v>
      </c>
      <c r="AD646" s="78">
        <v>21.018630000000002</v>
      </c>
      <c r="AE646" s="78">
        <v>16.87585</v>
      </c>
      <c r="AG646" s="78">
        <v>25.94106</v>
      </c>
      <c r="AH646" s="78">
        <v>38.17586</v>
      </c>
      <c r="AJ646" s="78">
        <v>83.010800000000003</v>
      </c>
      <c r="AK646" s="78">
        <v>40.290619999999997</v>
      </c>
      <c r="AO646" s="78">
        <v>25.417059999999999</v>
      </c>
      <c r="AQ646" s="78">
        <v>46.92962</v>
      </c>
      <c r="AR646" s="78">
        <v>46.223179999999999</v>
      </c>
      <c r="AS646" s="78">
        <v>89.803150000000002</v>
      </c>
      <c r="AT646" s="78">
        <v>30.86336</v>
      </c>
      <c r="AV646" s="78">
        <v>7.6480090000000001</v>
      </c>
      <c r="AZ646" s="78">
        <v>46.794060000000002</v>
      </c>
      <c r="BA646" s="78">
        <v>13.107010000000001</v>
      </c>
      <c r="BB646" s="78">
        <v>50.36056</v>
      </c>
      <c r="BC646" s="78">
        <v>27.237159999999999</v>
      </c>
      <c r="BD646" s="78">
        <v>40.300289999999997</v>
      </c>
    </row>
    <row r="647" spans="1:56" x14ac:dyDescent="0.2">
      <c r="A647" s="78" t="s">
        <v>795</v>
      </c>
      <c r="B647" s="22">
        <v>38384</v>
      </c>
      <c r="C647" s="22"/>
      <c r="D647" s="22"/>
      <c r="E647" s="22">
        <v>37895</v>
      </c>
      <c r="F647" s="78" t="s">
        <v>779</v>
      </c>
      <c r="G647" s="78">
        <v>32.506489999999999</v>
      </c>
      <c r="I647" s="78">
        <v>17.245049999999999</v>
      </c>
      <c r="J647" s="78">
        <v>41.272750000000002</v>
      </c>
      <c r="K647" s="78">
        <v>58.319020000000002</v>
      </c>
      <c r="L647" s="78">
        <v>27.037939999999999</v>
      </c>
      <c r="M647" s="78">
        <v>16.304739999999999</v>
      </c>
      <c r="N647" s="78">
        <v>20.328690000000002</v>
      </c>
      <c r="O647" s="78">
        <v>20.174209999999999</v>
      </c>
      <c r="P647" s="78">
        <v>43.433030000000002</v>
      </c>
      <c r="R647" s="78">
        <v>47.45485</v>
      </c>
      <c r="S647" s="78">
        <v>56.996540000000003</v>
      </c>
      <c r="AA647" s="78">
        <v>47.789009999999998</v>
      </c>
      <c r="AC647" s="78">
        <v>45.195999999999998</v>
      </c>
      <c r="AD647" s="78">
        <v>21.1572</v>
      </c>
      <c r="AE647" s="78">
        <v>17.103020000000001</v>
      </c>
      <c r="AG647" s="78">
        <v>26.358840000000001</v>
      </c>
      <c r="AH647" s="78">
        <v>38.405329999999999</v>
      </c>
      <c r="AJ647" s="78">
        <v>83.051699999999997</v>
      </c>
      <c r="AK647" s="78">
        <v>40.441099999999999</v>
      </c>
      <c r="AO647" s="78">
        <v>25.489159999999998</v>
      </c>
      <c r="AQ647" s="78">
        <v>46.937049999999999</v>
      </c>
      <c r="AR647" s="78">
        <v>46.345599999999997</v>
      </c>
      <c r="AS647" s="78">
        <v>90.196269999999998</v>
      </c>
      <c r="AT647" s="78">
        <v>31.173850000000002</v>
      </c>
      <c r="AV647" s="78">
        <v>7.9102920000000001</v>
      </c>
      <c r="AZ647" s="78">
        <v>47.162840000000003</v>
      </c>
      <c r="BA647" s="78">
        <v>13.568989999999999</v>
      </c>
      <c r="BB647" s="78">
        <v>50.284100000000002</v>
      </c>
      <c r="BC647" s="78">
        <v>27.59534</v>
      </c>
      <c r="BD647" s="78">
        <v>41.164400000000001</v>
      </c>
    </row>
    <row r="648" spans="1:56" x14ac:dyDescent="0.2">
      <c r="A648" s="78" t="s">
        <v>796</v>
      </c>
      <c r="B648" s="22">
        <v>38412</v>
      </c>
      <c r="C648" s="22"/>
      <c r="D648" s="22"/>
      <c r="E648" s="22">
        <v>37926</v>
      </c>
      <c r="F648" s="78" t="s">
        <v>780</v>
      </c>
      <c r="G648" s="78">
        <v>32.769860000000001</v>
      </c>
      <c r="I648" s="78">
        <v>17.593540000000001</v>
      </c>
      <c r="J648" s="78">
        <v>41.683369999999996</v>
      </c>
      <c r="K648" s="78">
        <v>58.238289999999999</v>
      </c>
      <c r="L648" s="78">
        <v>26.899930000000001</v>
      </c>
      <c r="M648" s="78">
        <v>16.505220000000001</v>
      </c>
      <c r="N648" s="78">
        <v>20.382090000000002</v>
      </c>
      <c r="O648" s="78">
        <v>20.487459999999999</v>
      </c>
      <c r="P648" s="78">
        <v>43.706029999999998</v>
      </c>
      <c r="R648" s="78">
        <v>48.997320000000002</v>
      </c>
      <c r="S648" s="78">
        <v>57.476280000000003</v>
      </c>
      <c r="AA648" s="78">
        <v>48.209499999999998</v>
      </c>
      <c r="AC648" s="78">
        <v>45.81691</v>
      </c>
      <c r="AD648" s="78">
        <v>21.428380000000001</v>
      </c>
      <c r="AE648" s="78">
        <v>17.326260000000001</v>
      </c>
      <c r="AG648" s="78">
        <v>26.747330000000002</v>
      </c>
      <c r="AH648" s="78">
        <v>38.613750000000003</v>
      </c>
      <c r="AJ648" s="78">
        <v>83.084419999999994</v>
      </c>
      <c r="AK648" s="78">
        <v>40.476550000000003</v>
      </c>
      <c r="AO648" s="78">
        <v>25.355779999999999</v>
      </c>
      <c r="AQ648" s="78">
        <v>47.17633</v>
      </c>
      <c r="AR648" s="78">
        <v>46.511180000000003</v>
      </c>
      <c r="AS648" s="78">
        <v>90.703659999999999</v>
      </c>
      <c r="AT648" s="78">
        <v>31.47654</v>
      </c>
      <c r="AV648" s="78">
        <v>8.0877409999999994</v>
      </c>
      <c r="AZ648" s="78">
        <v>47.455750000000002</v>
      </c>
      <c r="BA648" s="78">
        <v>14.050240000000001</v>
      </c>
      <c r="BB648" s="78">
        <v>50.32732</v>
      </c>
      <c r="BC648" s="78">
        <v>27.860040000000001</v>
      </c>
      <c r="BD648" s="78">
        <v>41.876660000000001</v>
      </c>
    </row>
    <row r="649" spans="1:56" x14ac:dyDescent="0.2">
      <c r="A649" s="78" t="s">
        <v>797</v>
      </c>
      <c r="B649" s="22">
        <v>38443</v>
      </c>
      <c r="C649" s="22"/>
      <c r="D649" s="22"/>
      <c r="E649" s="22">
        <v>37956</v>
      </c>
      <c r="F649" s="78" t="s">
        <v>781</v>
      </c>
      <c r="G649" s="78">
        <v>33.100470000000001</v>
      </c>
      <c r="I649" s="78">
        <v>18.004840000000002</v>
      </c>
      <c r="J649" s="78">
        <v>41.79007</v>
      </c>
      <c r="K649" s="78">
        <v>58.100299999999997</v>
      </c>
      <c r="L649" s="78">
        <v>26.930540000000001</v>
      </c>
      <c r="M649" s="78">
        <v>16.66751</v>
      </c>
      <c r="N649" s="78">
        <v>20.679490000000001</v>
      </c>
      <c r="O649" s="78">
        <v>21.25356</v>
      </c>
      <c r="P649" s="78">
        <v>44.10286</v>
      </c>
      <c r="R649" s="78">
        <v>48.284759999999999</v>
      </c>
      <c r="S649" s="78">
        <v>58.003959999999999</v>
      </c>
      <c r="AA649" s="78">
        <v>48.845010000000002</v>
      </c>
      <c r="AC649" s="78">
        <v>46.082160000000002</v>
      </c>
      <c r="AD649" s="78">
        <v>21.55904</v>
      </c>
      <c r="AE649" s="78">
        <v>17.517849999999999</v>
      </c>
      <c r="AG649" s="78">
        <v>27.098710000000001</v>
      </c>
      <c r="AH649" s="78">
        <v>38.6646</v>
      </c>
      <c r="AJ649" s="78">
        <v>83.125320000000002</v>
      </c>
      <c r="AK649" s="78">
        <v>40.575890000000001</v>
      </c>
      <c r="AO649" s="78">
        <v>25.73104</v>
      </c>
      <c r="AQ649" s="78">
        <v>47.130679999999998</v>
      </c>
      <c r="AR649" s="78">
        <v>46.646120000000003</v>
      </c>
      <c r="AS649" s="78">
        <v>91.118480000000005</v>
      </c>
      <c r="AT649" s="78">
        <v>31.606490000000001</v>
      </c>
      <c r="AV649" s="78">
        <v>7.9197430000000004</v>
      </c>
      <c r="AZ649" s="78">
        <v>47.751869999999997</v>
      </c>
      <c r="BA649" s="78">
        <v>14.273440000000001</v>
      </c>
      <c r="BB649" s="78">
        <v>50.311529999999998</v>
      </c>
      <c r="BC649" s="78">
        <v>27.993659999999998</v>
      </c>
      <c r="BD649" s="78">
        <v>42.423009999999998</v>
      </c>
    </row>
    <row r="650" spans="1:56" x14ac:dyDescent="0.2">
      <c r="A650" s="78" t="s">
        <v>798</v>
      </c>
      <c r="B650" s="22">
        <v>38473</v>
      </c>
      <c r="C650" s="22"/>
      <c r="D650" s="22"/>
      <c r="E650" s="22">
        <v>37987</v>
      </c>
      <c r="F650" s="78" t="s">
        <v>782</v>
      </c>
      <c r="G650" s="78">
        <v>33.330219999999997</v>
      </c>
      <c r="I650" s="78">
        <v>18.34694</v>
      </c>
      <c r="J650" s="78">
        <v>42.548589999999997</v>
      </c>
      <c r="K650" s="78">
        <v>58.352530000000002</v>
      </c>
      <c r="L650" s="78">
        <v>27.06888</v>
      </c>
      <c r="M650" s="78">
        <v>16.870989999999999</v>
      </c>
      <c r="N650" s="78">
        <v>21.031420000000001</v>
      </c>
      <c r="O650" s="78">
        <v>21.817</v>
      </c>
      <c r="P650" s="78">
        <v>44.23612</v>
      </c>
      <c r="R650" s="78">
        <v>49.140070000000001</v>
      </c>
      <c r="S650" s="78">
        <v>58.252389999999998</v>
      </c>
      <c r="AA650" s="78">
        <v>49.918880000000001</v>
      </c>
      <c r="AC650" s="78">
        <v>46.69782</v>
      </c>
      <c r="AD650" s="78">
        <v>21.515419999999999</v>
      </c>
      <c r="AE650" s="78">
        <v>17.76559</v>
      </c>
      <c r="AG650" s="78">
        <v>27.46705</v>
      </c>
      <c r="AH650" s="78">
        <v>38.81371</v>
      </c>
      <c r="AJ650" s="78">
        <v>83.231660000000005</v>
      </c>
      <c r="AK650" s="78">
        <v>40.955649999999999</v>
      </c>
      <c r="AO650" s="78">
        <v>26.224029999999999</v>
      </c>
      <c r="AQ650" s="78">
        <v>47.23695</v>
      </c>
      <c r="AR650" s="78">
        <v>46.918210000000002</v>
      </c>
      <c r="AS650" s="78">
        <v>91.7316</v>
      </c>
      <c r="AT650" s="78">
        <v>31.620699999999999</v>
      </c>
      <c r="AV650" s="78">
        <v>8.3180119999999995</v>
      </c>
      <c r="AZ650" s="78">
        <v>47.786169999999998</v>
      </c>
      <c r="BA650" s="78">
        <v>14.53837</v>
      </c>
      <c r="BB650" s="78">
        <v>50.382159999999999</v>
      </c>
      <c r="BC650" s="78">
        <v>28.168009999999999</v>
      </c>
      <c r="BD650" s="78">
        <v>42.886600000000001</v>
      </c>
    </row>
    <row r="651" spans="1:56" x14ac:dyDescent="0.2">
      <c r="A651" s="78" t="s">
        <v>799</v>
      </c>
      <c r="B651" s="22">
        <v>38504</v>
      </c>
      <c r="C651" s="22"/>
      <c r="D651" s="22"/>
      <c r="E651" s="22">
        <v>38018</v>
      </c>
      <c r="F651" s="78" t="s">
        <v>783</v>
      </c>
      <c r="G651" s="78">
        <v>33.59919</v>
      </c>
      <c r="I651" s="78">
        <v>18.58755</v>
      </c>
      <c r="J651" s="78">
        <v>42.75826</v>
      </c>
      <c r="K651" s="78">
        <v>58.670650000000002</v>
      </c>
      <c r="L651" s="78">
        <v>27.167470000000002</v>
      </c>
      <c r="M651" s="78">
        <v>17.11082</v>
      </c>
      <c r="N651" s="78">
        <v>21.274059999999999</v>
      </c>
      <c r="O651" s="78">
        <v>21.789770000000001</v>
      </c>
      <c r="P651" s="78">
        <v>44.222810000000003</v>
      </c>
      <c r="R651" s="78">
        <v>51.41348</v>
      </c>
      <c r="S651" s="78">
        <v>58.33032</v>
      </c>
      <c r="AA651" s="78">
        <v>50.39611</v>
      </c>
      <c r="AC651" s="78">
        <v>47.23122</v>
      </c>
      <c r="AD651" s="78">
        <v>21.48142</v>
      </c>
      <c r="AE651" s="78">
        <v>18.036390000000001</v>
      </c>
      <c r="AG651" s="78">
        <v>27.84657</v>
      </c>
      <c r="AH651" s="78">
        <v>38.974550000000001</v>
      </c>
      <c r="AJ651" s="78">
        <v>83.378900000000002</v>
      </c>
      <c r="AK651" s="78">
        <v>41.286589999999997</v>
      </c>
      <c r="AO651" s="78">
        <v>26.275659999999998</v>
      </c>
      <c r="AQ651" s="78">
        <v>47.417850000000001</v>
      </c>
      <c r="AR651" s="78">
        <v>47.218730000000001</v>
      </c>
      <c r="AS651" s="78">
        <v>92.468800000000002</v>
      </c>
      <c r="AT651" s="78">
        <v>31.670770000000001</v>
      </c>
      <c r="AV651" s="78">
        <v>8.7962489999999995</v>
      </c>
      <c r="AZ651" s="78">
        <v>47.809429999999999</v>
      </c>
      <c r="BA651" s="78">
        <v>14.88588</v>
      </c>
      <c r="BB651" s="78">
        <v>50.70543</v>
      </c>
      <c r="BC651" s="78">
        <v>28.79644</v>
      </c>
      <c r="BD651" s="78">
        <v>43.294310000000003</v>
      </c>
    </row>
    <row r="652" spans="1:56" x14ac:dyDescent="0.2">
      <c r="A652" s="78" t="s">
        <v>800</v>
      </c>
      <c r="B652" s="22">
        <v>38534</v>
      </c>
      <c r="C652" s="22"/>
      <c r="D652" s="22"/>
      <c r="E652" s="22">
        <v>38047</v>
      </c>
      <c r="F652" s="78" t="s">
        <v>784</v>
      </c>
      <c r="G652" s="78">
        <v>34.019460000000002</v>
      </c>
      <c r="I652" s="78">
        <v>18.82639</v>
      </c>
      <c r="J652" s="78">
        <v>43.121519999999997</v>
      </c>
      <c r="K652" s="78">
        <v>58.654589999999999</v>
      </c>
      <c r="L652" s="78">
        <v>27.50583</v>
      </c>
      <c r="M652" s="78">
        <v>17.347090000000001</v>
      </c>
      <c r="N652" s="78">
        <v>21.530159999999999</v>
      </c>
      <c r="O652" s="78">
        <v>21.793099999999999</v>
      </c>
      <c r="P652" s="78">
        <v>44.326549999999997</v>
      </c>
      <c r="R652" s="78">
        <v>51.951770000000003</v>
      </c>
      <c r="S652" s="78">
        <v>58.582549999999998</v>
      </c>
      <c r="AA652" s="78">
        <v>50.401299999999999</v>
      </c>
      <c r="AC652" s="78">
        <v>47.104039999999998</v>
      </c>
      <c r="AD652" s="78">
        <v>21.507200000000001</v>
      </c>
      <c r="AE652" s="78">
        <v>18.312919999999998</v>
      </c>
      <c r="AG652" s="78">
        <v>28.199619999999999</v>
      </c>
      <c r="AH652" s="78">
        <v>39.084099999999999</v>
      </c>
      <c r="AJ652" s="78">
        <v>83.452520000000007</v>
      </c>
      <c r="AK652" s="78">
        <v>41.516750000000002</v>
      </c>
      <c r="AO652" s="78">
        <v>26.367450000000002</v>
      </c>
      <c r="AQ652" s="78">
        <v>47.744950000000003</v>
      </c>
      <c r="AR652" s="78">
        <v>47.455150000000003</v>
      </c>
      <c r="AS652" s="78">
        <v>92.540419999999997</v>
      </c>
      <c r="AT652" s="78">
        <v>31.831320000000002</v>
      </c>
      <c r="AV652" s="78">
        <v>8.8994610000000005</v>
      </c>
      <c r="AZ652" s="78">
        <v>47.710360000000001</v>
      </c>
      <c r="BA652" s="78">
        <v>15.101749999999999</v>
      </c>
      <c r="BB652" s="78">
        <v>51.002940000000002</v>
      </c>
      <c r="BC652" s="78">
        <v>29.21763</v>
      </c>
      <c r="BD652" s="78">
        <v>43.566040000000001</v>
      </c>
    </row>
    <row r="653" spans="1:56" x14ac:dyDescent="0.2">
      <c r="A653" s="78" t="s">
        <v>801</v>
      </c>
      <c r="B653" s="22">
        <v>38565</v>
      </c>
      <c r="C653" s="22"/>
      <c r="D653" s="22"/>
      <c r="E653" s="22">
        <v>38078</v>
      </c>
      <c r="F653" s="78" t="s">
        <v>785</v>
      </c>
      <c r="G653" s="78">
        <v>34.366889999999998</v>
      </c>
      <c r="I653" s="78">
        <v>19.106390000000001</v>
      </c>
      <c r="J653" s="78">
        <v>43.496110000000002</v>
      </c>
      <c r="K653" s="78">
        <v>58.573729999999998</v>
      </c>
      <c r="L653" s="78">
        <v>27.788360000000001</v>
      </c>
      <c r="M653" s="78">
        <v>17.57677</v>
      </c>
      <c r="N653" s="78">
        <v>21.70194</v>
      </c>
      <c r="O653" s="78">
        <v>22.227869999999999</v>
      </c>
      <c r="P653" s="78">
        <v>44.811599999999999</v>
      </c>
      <c r="R653" s="78">
        <v>52.45382</v>
      </c>
      <c r="S653" s="78">
        <v>58.970619999999997</v>
      </c>
      <c r="AA653" s="78">
        <v>50.839950000000002</v>
      </c>
      <c r="AC653" s="78">
        <v>47.330069999999999</v>
      </c>
      <c r="AD653" s="78">
        <v>21.589549999999999</v>
      </c>
      <c r="AE653" s="78">
        <v>18.571750000000002</v>
      </c>
      <c r="AG653" s="78">
        <v>28.575659999999999</v>
      </c>
      <c r="AH653" s="78">
        <v>39.45908</v>
      </c>
      <c r="AJ653" s="78">
        <v>83.477059999999994</v>
      </c>
      <c r="AK653" s="78">
        <v>41.810510000000001</v>
      </c>
      <c r="AO653" s="78">
        <v>26.44096</v>
      </c>
      <c r="AQ653" s="78">
        <v>48.220309999999998</v>
      </c>
      <c r="AR653" s="78">
        <v>47.763089999999998</v>
      </c>
      <c r="AS653" s="78">
        <v>92.531490000000005</v>
      </c>
      <c r="AT653" s="78">
        <v>32.359560000000002</v>
      </c>
      <c r="AV653" s="78">
        <v>9.1898599999999995</v>
      </c>
      <c r="AZ653" s="78">
        <v>47.599499999999999</v>
      </c>
      <c r="BA653" s="78">
        <v>15.48062</v>
      </c>
      <c r="BB653" s="78">
        <v>51.343649999999997</v>
      </c>
      <c r="BC653" s="78">
        <v>29.36965</v>
      </c>
      <c r="BD653" s="78">
        <v>43.703310000000002</v>
      </c>
    </row>
    <row r="654" spans="1:56" x14ac:dyDescent="0.2">
      <c r="A654" s="78" t="s">
        <v>802</v>
      </c>
      <c r="B654" s="22">
        <v>38596</v>
      </c>
      <c r="C654" s="22"/>
      <c r="D654" s="22"/>
      <c r="E654" s="22">
        <v>38108</v>
      </c>
      <c r="F654" s="78" t="s">
        <v>786</v>
      </c>
      <c r="G654" s="78">
        <v>34.534999999999997</v>
      </c>
      <c r="I654" s="78">
        <v>19.615110000000001</v>
      </c>
      <c r="J654" s="78">
        <v>44.046709999999997</v>
      </c>
      <c r="K654" s="78">
        <v>58.725659999999998</v>
      </c>
      <c r="L654" s="78">
        <v>27.871390000000002</v>
      </c>
      <c r="M654" s="78">
        <v>17.770900000000001</v>
      </c>
      <c r="N654" s="78">
        <v>21.704280000000001</v>
      </c>
      <c r="O654" s="78">
        <v>23.430350000000001</v>
      </c>
      <c r="P654" s="78">
        <v>45.358040000000003</v>
      </c>
      <c r="R654" s="78">
        <v>52.959739999999996</v>
      </c>
      <c r="S654" s="78">
        <v>59.337809999999998</v>
      </c>
      <c r="AA654" s="78">
        <v>51.004390000000001</v>
      </c>
      <c r="AC654" s="78">
        <v>47.788550000000001</v>
      </c>
      <c r="AD654" s="78">
        <v>21.84179</v>
      </c>
      <c r="AE654" s="78">
        <v>18.756769999999999</v>
      </c>
      <c r="AG654" s="78">
        <v>28.975639999999999</v>
      </c>
      <c r="AH654" s="78">
        <v>39.867550000000001</v>
      </c>
      <c r="AJ654" s="78">
        <v>83.697919999999996</v>
      </c>
      <c r="AK654" s="78">
        <v>42.035290000000003</v>
      </c>
      <c r="AO654" s="78">
        <v>26.413679999999999</v>
      </c>
      <c r="AQ654" s="78">
        <v>48.581099999999999</v>
      </c>
      <c r="AR654" s="78">
        <v>48.213389999999997</v>
      </c>
      <c r="AS654" s="78">
        <v>92.692499999999995</v>
      </c>
      <c r="AT654" s="78">
        <v>32.515689999999999</v>
      </c>
      <c r="AV654" s="78">
        <v>9.4474529999999994</v>
      </c>
      <c r="AZ654" s="78">
        <v>47.636029999999998</v>
      </c>
      <c r="BA654" s="78">
        <v>16.114049999999999</v>
      </c>
      <c r="BB654" s="78">
        <v>51.98021</v>
      </c>
      <c r="BC654" s="78">
        <v>29.516850000000002</v>
      </c>
      <c r="BD654" s="78">
        <v>44.295639999999999</v>
      </c>
    </row>
    <row r="655" spans="1:56" x14ac:dyDescent="0.2">
      <c r="A655" s="78" t="s">
        <v>803</v>
      </c>
      <c r="B655" s="22">
        <v>38626</v>
      </c>
      <c r="C655" s="22"/>
      <c r="D655" s="22"/>
      <c r="E655" s="22">
        <v>38139</v>
      </c>
      <c r="F655" s="78" t="s">
        <v>787</v>
      </c>
      <c r="G655" s="78">
        <v>34.680689999999998</v>
      </c>
      <c r="I655" s="78">
        <v>20.100390000000001</v>
      </c>
      <c r="J655" s="78">
        <v>43.921039999999998</v>
      </c>
      <c r="K655" s="78">
        <v>58.766620000000003</v>
      </c>
      <c r="L655" s="78">
        <v>28.096969999999999</v>
      </c>
      <c r="M655" s="78">
        <v>17.908809999999999</v>
      </c>
      <c r="N655" s="78">
        <v>22.144780000000001</v>
      </c>
      <c r="O655" s="78">
        <v>24.303740000000001</v>
      </c>
      <c r="P655" s="78">
        <v>45.507919999999999</v>
      </c>
      <c r="R655" s="78">
        <v>52.731020000000001</v>
      </c>
      <c r="S655" s="78">
        <v>59.594410000000003</v>
      </c>
      <c r="AA655" s="78">
        <v>51.333930000000002</v>
      </c>
      <c r="AC655" s="78">
        <v>48.260150000000003</v>
      </c>
      <c r="AD655" s="78">
        <v>22.27281</v>
      </c>
      <c r="AE655" s="78">
        <v>18.88158</v>
      </c>
      <c r="AG655" s="78">
        <v>29.34883</v>
      </c>
      <c r="AH655" s="78">
        <v>40.172199999999997</v>
      </c>
      <c r="AJ655" s="78">
        <v>83.68974</v>
      </c>
      <c r="AK655" s="78">
        <v>42.204909999999998</v>
      </c>
      <c r="AO655" s="78">
        <v>26.67652</v>
      </c>
      <c r="AQ655" s="78">
        <v>48.820480000000003</v>
      </c>
      <c r="AR655" s="78">
        <v>48.313549999999999</v>
      </c>
      <c r="AS655" s="78">
        <v>92.902079999999998</v>
      </c>
      <c r="AT655" s="78">
        <v>32.528680000000001</v>
      </c>
      <c r="AV655" s="78">
        <v>9.5367329999999999</v>
      </c>
      <c r="AZ655" s="78">
        <v>47.32349</v>
      </c>
      <c r="BA655" s="78">
        <v>16.344740000000002</v>
      </c>
      <c r="BB655" s="78">
        <v>51.99933</v>
      </c>
      <c r="BC655" s="78">
        <v>29.69201</v>
      </c>
      <c r="BD655" s="78">
        <v>44.482970000000002</v>
      </c>
    </row>
    <row r="656" spans="1:56" x14ac:dyDescent="0.2">
      <c r="A656" s="78" t="s">
        <v>804</v>
      </c>
      <c r="B656" s="22">
        <v>38657</v>
      </c>
      <c r="C656" s="22"/>
      <c r="D656" s="22"/>
      <c r="E656" s="22">
        <v>38169</v>
      </c>
      <c r="F656" s="78" t="s">
        <v>788</v>
      </c>
      <c r="G656" s="78">
        <v>35.014099999999999</v>
      </c>
      <c r="I656" s="78">
        <v>20.305910000000001</v>
      </c>
      <c r="J656" s="78">
        <v>44.18815</v>
      </c>
      <c r="K656" s="78">
        <v>58.595050000000001</v>
      </c>
      <c r="L656" s="78">
        <v>28.385919999999999</v>
      </c>
      <c r="M656" s="78">
        <v>18.043610000000001</v>
      </c>
      <c r="N656" s="78">
        <v>22.604959999999998</v>
      </c>
      <c r="O656" s="78">
        <v>24.542940000000002</v>
      </c>
      <c r="P656" s="78">
        <v>45.775840000000002</v>
      </c>
      <c r="R656" s="78">
        <v>52.730139999999999</v>
      </c>
      <c r="S656" s="78">
        <v>59.870249999999999</v>
      </c>
      <c r="AA656" s="78">
        <v>51.749630000000003</v>
      </c>
      <c r="AC656" s="78">
        <v>48.934170000000002</v>
      </c>
      <c r="AD656" s="78">
        <v>22.486460000000001</v>
      </c>
      <c r="AE656" s="78">
        <v>18.997699999999998</v>
      </c>
      <c r="AG656" s="78">
        <v>29.707619999999999</v>
      </c>
      <c r="AH656" s="78">
        <v>40.468719999999998</v>
      </c>
      <c r="AJ656" s="78">
        <v>83.853340000000003</v>
      </c>
      <c r="AK656" s="78">
        <v>42.469650000000001</v>
      </c>
      <c r="AO656" s="78">
        <v>26.86992</v>
      </c>
      <c r="AQ656" s="78">
        <v>48.971510000000002</v>
      </c>
      <c r="AR656" s="78">
        <v>48.475439999999999</v>
      </c>
      <c r="AS656" s="78">
        <v>93.430430000000001</v>
      </c>
      <c r="AT656" s="78">
        <v>32.833860000000001</v>
      </c>
      <c r="AV656" s="78">
        <v>9.7514380000000003</v>
      </c>
      <c r="AZ656" s="78">
        <v>47.423589999999997</v>
      </c>
      <c r="BA656" s="78">
        <v>16.2727</v>
      </c>
      <c r="BB656" s="78">
        <v>52.11318</v>
      </c>
      <c r="BC656" s="78">
        <v>29.984590000000001</v>
      </c>
      <c r="BD656" s="78">
        <v>44.155670000000001</v>
      </c>
    </row>
    <row r="657" spans="1:56" x14ac:dyDescent="0.2">
      <c r="A657" s="78" t="s">
        <v>805</v>
      </c>
      <c r="B657" s="22">
        <v>38687</v>
      </c>
      <c r="C657" s="22"/>
      <c r="D657" s="22"/>
      <c r="E657" s="22">
        <v>38200</v>
      </c>
      <c r="F657" s="78" t="s">
        <v>789</v>
      </c>
      <c r="G657" s="78">
        <v>35.305489999999999</v>
      </c>
      <c r="I657" s="78">
        <v>20.5185</v>
      </c>
      <c r="J657" s="78">
        <v>44.56568</v>
      </c>
      <c r="K657" s="78">
        <v>58.669330000000002</v>
      </c>
      <c r="L657" s="78">
        <v>28.68393</v>
      </c>
      <c r="M657" s="78">
        <v>18.174759999999999</v>
      </c>
      <c r="N657" s="78">
        <v>22.73686</v>
      </c>
      <c r="O657" s="78">
        <v>25.027729999999998</v>
      </c>
      <c r="P657" s="78">
        <v>46.178130000000003</v>
      </c>
      <c r="R657" s="78">
        <v>53.28978</v>
      </c>
      <c r="S657" s="78">
        <v>59.923789999999997</v>
      </c>
      <c r="AA657" s="78">
        <v>52.080869999999997</v>
      </c>
      <c r="AC657" s="78">
        <v>49.584099999999999</v>
      </c>
      <c r="AD657" s="78">
        <v>22.610050000000001</v>
      </c>
      <c r="AE657" s="78">
        <v>19.143139999999999</v>
      </c>
      <c r="AG657" s="78">
        <v>30.0749</v>
      </c>
      <c r="AH657" s="78">
        <v>40.826329999999999</v>
      </c>
      <c r="AJ657" s="78">
        <v>84.057850000000002</v>
      </c>
      <c r="AK657" s="78">
        <v>42.698999999999998</v>
      </c>
      <c r="AO657" s="78">
        <v>26.851900000000001</v>
      </c>
      <c r="AQ657" s="78">
        <v>49.021520000000002</v>
      </c>
      <c r="AR657" s="78">
        <v>48.712359999999997</v>
      </c>
      <c r="AS657" s="78">
        <v>94.091499999999996</v>
      </c>
      <c r="AT657" s="78">
        <v>33.029600000000002</v>
      </c>
      <c r="AV657" s="78">
        <v>10.06012</v>
      </c>
      <c r="AZ657" s="78">
        <v>47.907960000000003</v>
      </c>
      <c r="BA657" s="78">
        <v>16.545580000000001</v>
      </c>
      <c r="BB657" s="78">
        <v>52.330069999999999</v>
      </c>
      <c r="BC657" s="78">
        <v>30.533619999999999</v>
      </c>
      <c r="BD657" s="78">
        <v>44.103479999999998</v>
      </c>
    </row>
    <row r="658" spans="1:56" x14ac:dyDescent="0.2">
      <c r="A658" s="78" t="s">
        <v>806</v>
      </c>
      <c r="B658" s="22">
        <v>38718</v>
      </c>
      <c r="C658" s="22"/>
      <c r="D658" s="22"/>
      <c r="E658" s="22">
        <v>38231</v>
      </c>
      <c r="F658" s="78" t="s">
        <v>790</v>
      </c>
      <c r="G658" s="78">
        <v>35.406350000000003</v>
      </c>
      <c r="I658" s="78">
        <v>20.72842</v>
      </c>
      <c r="J658" s="78">
        <v>44.779490000000003</v>
      </c>
      <c r="K658" s="78">
        <v>58.75826</v>
      </c>
      <c r="L658" s="78">
        <v>29.036750000000001</v>
      </c>
      <c r="M658" s="78">
        <v>18.348859999999998</v>
      </c>
      <c r="N658" s="78">
        <v>23.098600000000001</v>
      </c>
      <c r="O658" s="78">
        <v>25.387899999999998</v>
      </c>
      <c r="P658" s="78">
        <v>46.402729999999998</v>
      </c>
      <c r="R658" s="78">
        <v>53.2958</v>
      </c>
      <c r="S658" s="78">
        <v>59.99165</v>
      </c>
      <c r="AA658" s="78">
        <v>52.343020000000003</v>
      </c>
      <c r="AC658" s="78">
        <v>50.019489999999998</v>
      </c>
      <c r="AD658" s="78">
        <v>22.740459999999999</v>
      </c>
      <c r="AE658" s="78">
        <v>19.275849999999998</v>
      </c>
      <c r="AG658" s="78">
        <v>30.43938</v>
      </c>
      <c r="AH658" s="78">
        <v>41.106009999999998</v>
      </c>
      <c r="AJ658" s="78">
        <v>83.926959999999994</v>
      </c>
      <c r="AK658" s="78">
        <v>42.842970000000001</v>
      </c>
      <c r="AO658" s="78">
        <v>26.922080000000001</v>
      </c>
      <c r="AQ658" s="78">
        <v>49.167520000000003</v>
      </c>
      <c r="AR658" s="78">
        <v>48.939749999999997</v>
      </c>
      <c r="AS658" s="78">
        <v>94.74718</v>
      </c>
      <c r="AT658" s="78">
        <v>33.24492</v>
      </c>
      <c r="AV658" s="78">
        <v>10.132339999999999</v>
      </c>
      <c r="AZ658" s="78">
        <v>48.426540000000003</v>
      </c>
      <c r="BA658" s="78">
        <v>16.880500000000001</v>
      </c>
      <c r="BB658" s="78">
        <v>52.617600000000003</v>
      </c>
      <c r="BC658" s="78">
        <v>31.297630000000002</v>
      </c>
      <c r="BD658" s="78">
        <v>43.889919999999996</v>
      </c>
    </row>
    <row r="659" spans="1:56" x14ac:dyDescent="0.2">
      <c r="A659" s="78" t="s">
        <v>807</v>
      </c>
      <c r="B659" s="22">
        <v>38749</v>
      </c>
      <c r="C659" s="22"/>
      <c r="D659" s="22"/>
      <c r="E659" s="22">
        <v>38261</v>
      </c>
      <c r="F659" s="78" t="s">
        <v>791</v>
      </c>
      <c r="G659" s="78">
        <v>35.540840000000003</v>
      </c>
      <c r="I659" s="78">
        <v>20.94284</v>
      </c>
      <c r="J659" s="78">
        <v>45.227060000000002</v>
      </c>
      <c r="K659" s="78">
        <v>58.693080000000002</v>
      </c>
      <c r="L659" s="78">
        <v>29.4129</v>
      </c>
      <c r="M659" s="78">
        <v>18.57358</v>
      </c>
      <c r="N659" s="78">
        <v>23.425339999999998</v>
      </c>
      <c r="O659" s="78">
        <v>25.75056</v>
      </c>
      <c r="P659" s="78">
        <v>46.631360000000001</v>
      </c>
      <c r="R659" s="78">
        <v>53.302039999999998</v>
      </c>
      <c r="S659" s="78">
        <v>60.418550000000003</v>
      </c>
      <c r="AA659" s="78">
        <v>52.562019999999997</v>
      </c>
      <c r="AC659" s="78">
        <v>50.356059999999999</v>
      </c>
      <c r="AD659" s="78">
        <v>22.79824</v>
      </c>
      <c r="AE659" s="78">
        <v>19.43704</v>
      </c>
      <c r="AG659" s="78">
        <v>30.811530000000001</v>
      </c>
      <c r="AH659" s="78">
        <v>41.467030000000001</v>
      </c>
      <c r="AJ659" s="78">
        <v>83.94332</v>
      </c>
      <c r="AK659" s="78">
        <v>43.058059999999998</v>
      </c>
      <c r="AO659" s="78">
        <v>27.218330000000002</v>
      </c>
      <c r="AQ659" s="78">
        <v>49.405279999999998</v>
      </c>
      <c r="AR659" s="78">
        <v>49.191989999999997</v>
      </c>
      <c r="AS659" s="78">
        <v>94.993200000000002</v>
      </c>
      <c r="AT659" s="78">
        <v>34.124189999999999</v>
      </c>
      <c r="AV659" s="78">
        <v>10.323969999999999</v>
      </c>
      <c r="AZ659" s="78">
        <v>48.999229999999997</v>
      </c>
      <c r="BA659" s="78">
        <v>17.073840000000001</v>
      </c>
      <c r="BB659" s="78">
        <v>52.851950000000002</v>
      </c>
      <c r="BC659" s="78">
        <v>31.843299999999999</v>
      </c>
      <c r="BD659" s="78">
        <v>43.978999999999999</v>
      </c>
    </row>
    <row r="660" spans="1:56" x14ac:dyDescent="0.2">
      <c r="A660" s="78" t="s">
        <v>808</v>
      </c>
      <c r="B660" s="22">
        <v>38777</v>
      </c>
      <c r="C660" s="22"/>
      <c r="D660" s="22"/>
      <c r="E660" s="22">
        <v>38292</v>
      </c>
      <c r="F660" s="78" t="s">
        <v>792</v>
      </c>
      <c r="G660" s="78">
        <v>35.868650000000002</v>
      </c>
      <c r="I660" s="78">
        <v>21.17999</v>
      </c>
      <c r="J660" s="78">
        <v>45.529789999999998</v>
      </c>
      <c r="K660" s="78">
        <v>58.960859999999997</v>
      </c>
      <c r="L660" s="78">
        <v>29.67653</v>
      </c>
      <c r="M660" s="78">
        <v>18.811769999999999</v>
      </c>
      <c r="N660" s="78">
        <v>23.559640000000002</v>
      </c>
      <c r="O660" s="78">
        <v>26.160019999999999</v>
      </c>
      <c r="P660" s="78">
        <v>46.74953</v>
      </c>
      <c r="R660" s="78">
        <v>53.711799999999997</v>
      </c>
      <c r="S660" s="78">
        <v>60.857140000000001</v>
      </c>
      <c r="AA660" s="78">
        <v>53.113329999999998</v>
      </c>
      <c r="AC660" s="78">
        <v>50.914520000000003</v>
      </c>
      <c r="AD660" s="78">
        <v>22.858750000000001</v>
      </c>
      <c r="AE660" s="78">
        <v>19.62199</v>
      </c>
      <c r="AG660" s="78">
        <v>31.223800000000001</v>
      </c>
      <c r="AH660" s="78">
        <v>41.892240000000001</v>
      </c>
      <c r="AJ660" s="78">
        <v>83.94332</v>
      </c>
      <c r="AK660" s="78">
        <v>43.286470000000001</v>
      </c>
      <c r="AO660" s="78">
        <v>27.537030000000001</v>
      </c>
      <c r="AQ660" s="78">
        <v>50.346519999999998</v>
      </c>
      <c r="AR660" s="78">
        <v>49.469459999999998</v>
      </c>
      <c r="AS660" s="78">
        <v>95.250209999999996</v>
      </c>
      <c r="AT660" s="78">
        <v>34.419829999999997</v>
      </c>
      <c r="AV660" s="78">
        <v>10.60609</v>
      </c>
      <c r="AZ660" s="78">
        <v>49.328760000000003</v>
      </c>
      <c r="BA660" s="78">
        <v>17.3736</v>
      </c>
      <c r="BB660" s="78">
        <v>53.07217</v>
      </c>
      <c r="BC660" s="78">
        <v>32.046810000000001</v>
      </c>
      <c r="BD660" s="78">
        <v>44.259340000000002</v>
      </c>
    </row>
    <row r="661" spans="1:56" x14ac:dyDescent="0.2">
      <c r="A661" s="78" t="s">
        <v>809</v>
      </c>
      <c r="B661" s="22">
        <v>38808</v>
      </c>
      <c r="C661" s="22"/>
      <c r="D661" s="22"/>
      <c r="E661" s="22">
        <v>38322</v>
      </c>
      <c r="F661" s="78" t="s">
        <v>793</v>
      </c>
      <c r="G661" s="78">
        <v>36.160040000000002</v>
      </c>
      <c r="I661" s="78">
        <v>21.353359999999999</v>
      </c>
      <c r="J661" s="78">
        <v>46.143880000000003</v>
      </c>
      <c r="K661" s="78">
        <v>59.177190000000003</v>
      </c>
      <c r="L661" s="78">
        <v>29.811900000000001</v>
      </c>
      <c r="M661" s="78">
        <v>19.070060000000002</v>
      </c>
      <c r="N661" s="78">
        <v>24.031479999999998</v>
      </c>
      <c r="O661" s="78">
        <v>26.540019999999998</v>
      </c>
      <c r="P661" s="78">
        <v>46.48536</v>
      </c>
      <c r="R661" s="78">
        <v>51.110669999999999</v>
      </c>
      <c r="S661" s="78">
        <v>61.480220000000003</v>
      </c>
      <c r="AA661" s="78">
        <v>53.573639999999997</v>
      </c>
      <c r="AC661" s="78">
        <v>51.406199999999998</v>
      </c>
      <c r="AD661" s="78">
        <v>23.060569999999998</v>
      </c>
      <c r="AE661" s="78">
        <v>19.828569999999999</v>
      </c>
      <c r="AG661" s="78">
        <v>31.68365</v>
      </c>
      <c r="AH661" s="78">
        <v>42.284730000000003</v>
      </c>
      <c r="AJ661" s="78">
        <v>83.951499999999996</v>
      </c>
      <c r="AK661" s="78">
        <v>43.55986</v>
      </c>
      <c r="AO661" s="78">
        <v>27.682749999999999</v>
      </c>
      <c r="AQ661" s="78">
        <v>50.887479999999996</v>
      </c>
      <c r="AR661" s="78">
        <v>49.650779999999997</v>
      </c>
      <c r="AS661" s="78">
        <v>95.882099999999994</v>
      </c>
      <c r="AT661" s="78">
        <v>34.246339999999996</v>
      </c>
      <c r="AV661" s="78">
        <v>10.5487</v>
      </c>
      <c r="AZ661" s="78">
        <v>49.59037</v>
      </c>
      <c r="BA661" s="78">
        <v>17.580269999999999</v>
      </c>
      <c r="BB661" s="78">
        <v>53.226739999999999</v>
      </c>
      <c r="BC661" s="78">
        <v>31.926300000000001</v>
      </c>
      <c r="BD661" s="78">
        <v>44.45438</v>
      </c>
    </row>
    <row r="662" spans="1:56" x14ac:dyDescent="0.2">
      <c r="A662" s="78" t="s">
        <v>810</v>
      </c>
      <c r="B662" s="22">
        <v>38838</v>
      </c>
      <c r="C662" s="22"/>
      <c r="D662" s="22"/>
      <c r="E662" s="22">
        <v>38353</v>
      </c>
      <c r="F662" s="78" t="s">
        <v>794</v>
      </c>
      <c r="G662" s="78">
        <v>36.392589999999998</v>
      </c>
      <c r="I662" s="78">
        <v>21.536740000000002</v>
      </c>
      <c r="J662" s="78">
        <v>46.545909999999999</v>
      </c>
      <c r="K662" s="78">
        <v>59.576390000000004</v>
      </c>
      <c r="L662" s="78">
        <v>29.90033</v>
      </c>
      <c r="M662" s="78">
        <v>19.326589999999999</v>
      </c>
      <c r="N662" s="78">
        <v>24.65541</v>
      </c>
      <c r="O662" s="78">
        <v>27.015090000000001</v>
      </c>
      <c r="P662" s="78">
        <v>46.21528</v>
      </c>
      <c r="R662" s="78">
        <v>48.139969999999998</v>
      </c>
      <c r="S662" s="78">
        <v>62.008290000000002</v>
      </c>
      <c r="AA662" s="78">
        <v>54.073920000000001</v>
      </c>
      <c r="AC662" s="78">
        <v>51.759779999999999</v>
      </c>
      <c r="AD662" s="78">
        <v>23.270189999999999</v>
      </c>
      <c r="AE662" s="78">
        <v>20.254989999999999</v>
      </c>
      <c r="AG662" s="78">
        <v>32.171329999999998</v>
      </c>
      <c r="AH662" s="78">
        <v>42.761699999999998</v>
      </c>
      <c r="AJ662" s="78">
        <v>83.984219999999993</v>
      </c>
      <c r="AK662" s="78">
        <v>43.914169999999999</v>
      </c>
      <c r="AO662" s="78">
        <v>27.869479999999999</v>
      </c>
      <c r="AQ662" s="78">
        <v>50.674050000000001</v>
      </c>
      <c r="AR662" s="78">
        <v>49.77364</v>
      </c>
      <c r="AS662" s="78">
        <v>96.440470000000005</v>
      </c>
      <c r="AT662" s="78">
        <v>34.807009999999998</v>
      </c>
      <c r="AV662" s="78">
        <v>11.10364</v>
      </c>
      <c r="AZ662" s="78">
        <v>49.688099999999999</v>
      </c>
      <c r="BA662" s="78">
        <v>17.557590000000001</v>
      </c>
      <c r="BB662" s="78">
        <v>53.278260000000003</v>
      </c>
      <c r="BC662" s="78">
        <v>31.95139</v>
      </c>
      <c r="BD662" s="78">
        <v>44.7117</v>
      </c>
    </row>
    <row r="663" spans="1:56" x14ac:dyDescent="0.2">
      <c r="A663" s="78" t="s">
        <v>811</v>
      </c>
      <c r="B663" s="22">
        <v>38869</v>
      </c>
      <c r="C663" s="22"/>
      <c r="D663" s="22"/>
      <c r="E663" s="22">
        <v>38384</v>
      </c>
      <c r="F663" s="78" t="s">
        <v>795</v>
      </c>
      <c r="G663" s="78">
        <v>36.633540000000004</v>
      </c>
      <c r="I663" s="78">
        <v>21.795950000000001</v>
      </c>
      <c r="J663" s="78">
        <v>47.227200000000003</v>
      </c>
      <c r="K663" s="78">
        <v>59.938600000000001</v>
      </c>
      <c r="L663" s="78">
        <v>30.016020000000001</v>
      </c>
      <c r="M663" s="78">
        <v>19.568760000000001</v>
      </c>
      <c r="N663" s="78">
        <v>24.911899999999999</v>
      </c>
      <c r="O663" s="78">
        <v>27.730720000000002</v>
      </c>
      <c r="P663" s="78">
        <v>46.439810000000001</v>
      </c>
      <c r="R663" s="78">
        <v>48.1693</v>
      </c>
      <c r="S663" s="78">
        <v>62.15746</v>
      </c>
      <c r="AA663" s="78">
        <v>54.452820000000003</v>
      </c>
      <c r="AC663" s="78">
        <v>52.31306</v>
      </c>
      <c r="AD663" s="78">
        <v>23.402100000000001</v>
      </c>
      <c r="AE663" s="78">
        <v>20.532260000000001</v>
      </c>
      <c r="AG663" s="78">
        <v>32.666269999999997</v>
      </c>
      <c r="AH663" s="78">
        <v>43.19162</v>
      </c>
      <c r="AJ663" s="78">
        <v>83.992400000000004</v>
      </c>
      <c r="AK663" s="78">
        <v>44.026290000000003</v>
      </c>
      <c r="AO663" s="78">
        <v>28.015370000000001</v>
      </c>
      <c r="AQ663" s="78">
        <v>51.156570000000002</v>
      </c>
      <c r="AR663" s="78">
        <v>49.94256</v>
      </c>
      <c r="AS663" s="78">
        <v>97.017589999999998</v>
      </c>
      <c r="AT663" s="78">
        <v>35.119590000000002</v>
      </c>
      <c r="AV663" s="78">
        <v>11.66813</v>
      </c>
      <c r="AZ663" s="78">
        <v>50.087859999999999</v>
      </c>
      <c r="BA663" s="78">
        <v>17.601009999999999</v>
      </c>
      <c r="BB663" s="78">
        <v>53.34807</v>
      </c>
      <c r="BC663" s="78">
        <v>32.468350000000001</v>
      </c>
      <c r="BD663" s="78">
        <v>45.167659999999998</v>
      </c>
    </row>
    <row r="664" spans="1:56" x14ac:dyDescent="0.2">
      <c r="A664" s="78" t="s">
        <v>812</v>
      </c>
      <c r="B664" s="22">
        <v>38899</v>
      </c>
      <c r="C664" s="22"/>
      <c r="D664" s="22"/>
      <c r="E664" s="22">
        <v>38412</v>
      </c>
      <c r="F664" s="78" t="s">
        <v>796</v>
      </c>
      <c r="G664" s="78">
        <v>36.810049999999997</v>
      </c>
      <c r="I664" s="78">
        <v>22.163440000000001</v>
      </c>
      <c r="J664" s="78">
        <v>47.5886</v>
      </c>
      <c r="K664" s="78">
        <v>59.86598</v>
      </c>
      <c r="L664" s="78">
        <v>30.223659999999999</v>
      </c>
      <c r="M664" s="78">
        <v>19.813790000000001</v>
      </c>
      <c r="N664" s="78">
        <v>25.217479999999998</v>
      </c>
      <c r="O664" s="78">
        <v>28.392669999999999</v>
      </c>
      <c r="P664" s="78">
        <v>46.688789999999997</v>
      </c>
      <c r="R664" s="78">
        <v>48.040320000000001</v>
      </c>
      <c r="S664" s="78">
        <v>62.375030000000002</v>
      </c>
      <c r="AA664" s="78">
        <v>54.774090000000001</v>
      </c>
      <c r="AC664" s="78">
        <v>53.19699</v>
      </c>
      <c r="AD664" s="78">
        <v>23.675879999999999</v>
      </c>
      <c r="AE664" s="78">
        <v>20.565390000000001</v>
      </c>
      <c r="AG664" s="78">
        <v>33.130940000000002</v>
      </c>
      <c r="AH664" s="78">
        <v>43.384999999999998</v>
      </c>
      <c r="AJ664" s="78">
        <v>84.156009999999995</v>
      </c>
      <c r="AK664" s="78">
        <v>44.264989999999997</v>
      </c>
      <c r="AO664" s="78">
        <v>28.112670000000001</v>
      </c>
      <c r="AQ664" s="78">
        <v>52.039619999999999</v>
      </c>
      <c r="AR664" s="78">
        <v>50.1297</v>
      </c>
      <c r="AS664" s="78">
        <v>97.923349999999999</v>
      </c>
      <c r="AT664" s="78">
        <v>35.673319999999997</v>
      </c>
      <c r="AV664" s="78">
        <v>11.67032</v>
      </c>
      <c r="AZ664" s="78">
        <v>50.523699999999998</v>
      </c>
      <c r="BA664" s="78">
        <v>17.97128</v>
      </c>
      <c r="BB664" s="78">
        <v>53.42286</v>
      </c>
      <c r="BC664" s="78">
        <v>32.85425</v>
      </c>
      <c r="BD664" s="78">
        <v>45.665050000000001</v>
      </c>
    </row>
    <row r="665" spans="1:56" x14ac:dyDescent="0.2">
      <c r="A665" s="78" t="s">
        <v>813</v>
      </c>
      <c r="B665" s="22">
        <v>38930</v>
      </c>
      <c r="C665" s="22"/>
      <c r="D665" s="22"/>
      <c r="E665" s="22">
        <v>38443</v>
      </c>
      <c r="F665" s="78" t="s">
        <v>797</v>
      </c>
      <c r="G665" s="78">
        <v>37.025790000000001</v>
      </c>
      <c r="I665" s="78">
        <v>22.540150000000001</v>
      </c>
      <c r="J665" s="78">
        <v>48.04522</v>
      </c>
      <c r="K665" s="78">
        <v>59.896070000000002</v>
      </c>
      <c r="L665" s="78">
        <v>30.59807</v>
      </c>
      <c r="M665" s="78">
        <v>20.07225</v>
      </c>
      <c r="N665" s="78">
        <v>25.556840000000001</v>
      </c>
      <c r="O665" s="78">
        <v>28.951129999999999</v>
      </c>
      <c r="P665" s="78">
        <v>47.156390000000002</v>
      </c>
      <c r="R665" s="78">
        <v>48.85154</v>
      </c>
      <c r="S665" s="78">
        <v>62.91019</v>
      </c>
      <c r="AA665" s="78">
        <v>55.308250000000001</v>
      </c>
      <c r="AC665" s="78">
        <v>54.326659999999997</v>
      </c>
      <c r="AD665" s="78">
        <v>24.126059999999999</v>
      </c>
      <c r="AE665" s="78">
        <v>20.887599999999999</v>
      </c>
      <c r="AG665" s="78">
        <v>33.561360000000001</v>
      </c>
      <c r="AH665" s="78">
        <v>43.683709999999998</v>
      </c>
      <c r="AJ665" s="78">
        <v>83.976039999999998</v>
      </c>
      <c r="AK665" s="78">
        <v>44.633380000000002</v>
      </c>
      <c r="AO665" s="78">
        <v>28.24663</v>
      </c>
      <c r="AQ665" s="78">
        <v>52.604559999999999</v>
      </c>
      <c r="AR665" s="78">
        <v>50.367370000000001</v>
      </c>
      <c r="AS665" s="78">
        <v>98.715260000000001</v>
      </c>
      <c r="AT665" s="78">
        <v>36.412019999999998</v>
      </c>
      <c r="AV665" s="78">
        <v>12.03684</v>
      </c>
      <c r="AZ665" s="78">
        <v>50.498710000000003</v>
      </c>
      <c r="BA665" s="78">
        <v>18.563490000000002</v>
      </c>
      <c r="BB665" s="78">
        <v>53.539200000000001</v>
      </c>
      <c r="BC665" s="78">
        <v>33.365580000000001</v>
      </c>
      <c r="BD665" s="78">
        <v>46.042110000000001</v>
      </c>
    </row>
    <row r="666" spans="1:56" x14ac:dyDescent="0.2">
      <c r="A666" s="78" t="s">
        <v>814</v>
      </c>
      <c r="B666" s="22">
        <v>38961</v>
      </c>
      <c r="C666" s="22"/>
      <c r="D666" s="22"/>
      <c r="E666" s="22">
        <v>38473</v>
      </c>
      <c r="F666" s="78" t="s">
        <v>798</v>
      </c>
      <c r="G666" s="78">
        <v>37.359209999999997</v>
      </c>
      <c r="I666" s="78">
        <v>22.768940000000001</v>
      </c>
      <c r="J666" s="78">
        <v>48.318429999999999</v>
      </c>
      <c r="K666" s="78">
        <v>60.168370000000003</v>
      </c>
      <c r="L666" s="78">
        <v>31.061959999999999</v>
      </c>
      <c r="M666" s="78">
        <v>20.326519999999999</v>
      </c>
      <c r="N666" s="78">
        <v>25.89038</v>
      </c>
      <c r="O666" s="78">
        <v>29.528739999999999</v>
      </c>
      <c r="P666" s="78">
        <v>48.072090000000003</v>
      </c>
      <c r="R666" s="78">
        <v>49.721629999999998</v>
      </c>
      <c r="S666" s="78">
        <v>63.56118</v>
      </c>
      <c r="AA666" s="78">
        <v>55.979370000000003</v>
      </c>
      <c r="AC666" s="78">
        <v>55.226379999999999</v>
      </c>
      <c r="AD666" s="78">
        <v>24.401520000000001</v>
      </c>
      <c r="AE666" s="78">
        <v>21.253139999999998</v>
      </c>
      <c r="AG666" s="78">
        <v>34.082709999999999</v>
      </c>
      <c r="AH666" s="78">
        <v>44.354469999999999</v>
      </c>
      <c r="AJ666" s="78">
        <v>83.976039999999998</v>
      </c>
      <c r="AK666" s="78">
        <v>44.966500000000003</v>
      </c>
      <c r="AO666" s="78">
        <v>28.365079999999999</v>
      </c>
      <c r="AQ666" s="78">
        <v>52.875880000000002</v>
      </c>
      <c r="AR666" s="78">
        <v>50.634700000000002</v>
      </c>
      <c r="AS666" s="78">
        <v>99.246219999999994</v>
      </c>
      <c r="AT666" s="78">
        <v>36.964019999999998</v>
      </c>
      <c r="AV666" s="78">
        <v>12.308199999999999</v>
      </c>
      <c r="AZ666" s="78">
        <v>50.853610000000003</v>
      </c>
      <c r="BA666" s="78">
        <v>19.010840000000002</v>
      </c>
      <c r="BB666" s="78">
        <v>53.682969999999997</v>
      </c>
      <c r="BC666" s="78">
        <v>34.073059999999998</v>
      </c>
      <c r="BD666" s="78">
        <v>46.379219999999997</v>
      </c>
    </row>
    <row r="667" spans="1:56" x14ac:dyDescent="0.2">
      <c r="A667" s="78" t="s">
        <v>815</v>
      </c>
      <c r="B667" s="22">
        <v>38991</v>
      </c>
      <c r="C667" s="22"/>
      <c r="D667" s="22"/>
      <c r="E667" s="22">
        <v>38504</v>
      </c>
      <c r="F667" s="78" t="s">
        <v>799</v>
      </c>
      <c r="G667" s="78">
        <v>37.74306</v>
      </c>
      <c r="I667" s="78">
        <v>22.996410000000001</v>
      </c>
      <c r="J667" s="78">
        <v>48.678739999999998</v>
      </c>
      <c r="K667" s="78">
        <v>60.854709999999997</v>
      </c>
      <c r="L667" s="78">
        <v>31.487629999999999</v>
      </c>
      <c r="M667" s="78">
        <v>20.615580000000001</v>
      </c>
      <c r="N667" s="78">
        <v>26.276009999999999</v>
      </c>
      <c r="O667" s="78">
        <v>30.02909</v>
      </c>
      <c r="P667" s="78">
        <v>48.517949999999999</v>
      </c>
      <c r="R667" s="78">
        <v>51.228580000000001</v>
      </c>
      <c r="S667" s="78">
        <v>64.144620000000003</v>
      </c>
      <c r="AA667" s="78">
        <v>56.650950000000002</v>
      </c>
      <c r="AC667" s="78">
        <v>55.603169999999999</v>
      </c>
      <c r="AD667" s="78">
        <v>24.615220000000001</v>
      </c>
      <c r="AE667" s="78">
        <v>21.45936</v>
      </c>
      <c r="AG667" s="78">
        <v>34.71707</v>
      </c>
      <c r="AH667" s="78">
        <v>44.983829999999998</v>
      </c>
      <c r="AJ667" s="78">
        <v>83.951499999999996</v>
      </c>
      <c r="AK667" s="78">
        <v>45.387770000000003</v>
      </c>
      <c r="AO667" s="78">
        <v>28.54842</v>
      </c>
      <c r="AQ667" s="78">
        <v>53.326880000000003</v>
      </c>
      <c r="AR667" s="78">
        <v>50.963419999999999</v>
      </c>
      <c r="AS667" s="78">
        <v>99.563590000000005</v>
      </c>
      <c r="AT667" s="78">
        <v>37.226309999999998</v>
      </c>
      <c r="AV667" s="78">
        <v>12.422890000000001</v>
      </c>
      <c r="AZ667" s="78">
        <v>52.073920000000001</v>
      </c>
      <c r="BA667" s="78">
        <v>19.376329999999999</v>
      </c>
      <c r="BB667" s="78">
        <v>53.952219999999997</v>
      </c>
      <c r="BC667" s="78">
        <v>34.585909999999998</v>
      </c>
      <c r="BD667" s="78">
        <v>46.820320000000002</v>
      </c>
    </row>
    <row r="668" spans="1:56" x14ac:dyDescent="0.2">
      <c r="A668" s="78" t="s">
        <v>816</v>
      </c>
      <c r="B668" s="22">
        <v>39022</v>
      </c>
      <c r="C668" s="22"/>
      <c r="D668" s="22"/>
      <c r="E668" s="22">
        <v>38534</v>
      </c>
      <c r="F668" s="78" t="s">
        <v>800</v>
      </c>
      <c r="G668" s="78">
        <v>37.978409999999997</v>
      </c>
      <c r="I668" s="78">
        <v>23.341159999999999</v>
      </c>
      <c r="J668" s="78">
        <v>49.060560000000002</v>
      </c>
      <c r="K668" s="78">
        <v>61.801079999999999</v>
      </c>
      <c r="L668" s="78">
        <v>31.83428</v>
      </c>
      <c r="M668" s="78">
        <v>20.910550000000001</v>
      </c>
      <c r="N668" s="78">
        <v>26.471050000000002</v>
      </c>
      <c r="O668" s="78">
        <v>30.686050000000002</v>
      </c>
      <c r="P668" s="78">
        <v>48.811160000000001</v>
      </c>
      <c r="R668" s="78">
        <v>52.991059999999997</v>
      </c>
      <c r="S668" s="78">
        <v>64.726590000000002</v>
      </c>
      <c r="AA668" s="78">
        <v>57.288559999999997</v>
      </c>
      <c r="AC668" s="78">
        <v>55.939480000000003</v>
      </c>
      <c r="AD668" s="78">
        <v>25.0488</v>
      </c>
      <c r="AE668" s="78">
        <v>21.687460000000002</v>
      </c>
      <c r="AG668" s="78">
        <v>35.312640000000002</v>
      </c>
      <c r="AH668" s="78">
        <v>45.356110000000001</v>
      </c>
      <c r="AJ668" s="78">
        <v>84.115099999999998</v>
      </c>
      <c r="AK668" s="78">
        <v>45.673870000000001</v>
      </c>
      <c r="AO668" s="78">
        <v>29.01718</v>
      </c>
      <c r="AQ668" s="78">
        <v>53.852539999999998</v>
      </c>
      <c r="AR668" s="78">
        <v>51.326419999999999</v>
      </c>
      <c r="AS668" s="78">
        <v>100.2054</v>
      </c>
      <c r="AT668" s="78">
        <v>37.258240000000001</v>
      </c>
      <c r="AV668" s="78">
        <v>12.87609</v>
      </c>
      <c r="AZ668" s="78">
        <v>52.963929999999998</v>
      </c>
      <c r="BA668" s="78">
        <v>19.788460000000001</v>
      </c>
      <c r="BB668" s="78">
        <v>54.214820000000003</v>
      </c>
      <c r="BC668" s="78">
        <v>35.507510000000003</v>
      </c>
      <c r="BD668" s="78">
        <v>47.263590000000001</v>
      </c>
    </row>
    <row r="669" spans="1:56" x14ac:dyDescent="0.2">
      <c r="A669" s="78" t="s">
        <v>817</v>
      </c>
      <c r="B669" s="22">
        <v>39052</v>
      </c>
      <c r="C669" s="22"/>
      <c r="D669" s="22"/>
      <c r="E669" s="22">
        <v>38565</v>
      </c>
      <c r="F669" s="78" t="s">
        <v>801</v>
      </c>
      <c r="G669" s="78">
        <v>38.096080000000001</v>
      </c>
      <c r="I669" s="78">
        <v>23.710239999999999</v>
      </c>
      <c r="J669" s="78">
        <v>49.106929999999998</v>
      </c>
      <c r="K669" s="78">
        <v>62.085389999999997</v>
      </c>
      <c r="L669" s="78">
        <v>32.036299999999997</v>
      </c>
      <c r="M669" s="78">
        <v>21.21715</v>
      </c>
      <c r="N669" s="78">
        <v>26.632200000000001</v>
      </c>
      <c r="O669" s="78">
        <v>31.308730000000001</v>
      </c>
      <c r="P669" s="78">
        <v>49.080559999999998</v>
      </c>
      <c r="R669" s="78">
        <v>53.335590000000003</v>
      </c>
      <c r="S669" s="78">
        <v>64.878240000000005</v>
      </c>
      <c r="AA669" s="78">
        <v>57.459960000000002</v>
      </c>
      <c r="AC669" s="78">
        <v>56.349760000000003</v>
      </c>
      <c r="AD669" s="78">
        <v>25.554860000000001</v>
      </c>
      <c r="AE669" s="78">
        <v>21.912410000000001</v>
      </c>
      <c r="AG669" s="78">
        <v>35.83746</v>
      </c>
      <c r="AH669" s="78">
        <v>45.526229999999998</v>
      </c>
      <c r="AJ669" s="78">
        <v>84.245980000000003</v>
      </c>
      <c r="AK669" s="78">
        <v>45.893439999999998</v>
      </c>
      <c r="AO669" s="78">
        <v>29.469740000000002</v>
      </c>
      <c r="AQ669" s="78">
        <v>54.270479999999999</v>
      </c>
      <c r="AR669" s="78">
        <v>51.617319999999999</v>
      </c>
      <c r="AS669" s="78">
        <v>101.1173</v>
      </c>
      <c r="AT669" s="78">
        <v>37.541260000000001</v>
      </c>
      <c r="AV669" s="78">
        <v>13.405200000000001</v>
      </c>
      <c r="AZ669" s="78">
        <v>53.25996</v>
      </c>
      <c r="BA669" s="78">
        <v>20.288229999999999</v>
      </c>
      <c r="BB669" s="78">
        <v>54.486559999999997</v>
      </c>
      <c r="BC669" s="78">
        <v>36.421639999999996</v>
      </c>
      <c r="BD669" s="78">
        <v>47.7089</v>
      </c>
    </row>
    <row r="670" spans="1:56" x14ac:dyDescent="0.2">
      <c r="A670" s="78" t="s">
        <v>818</v>
      </c>
      <c r="B670" s="22">
        <v>39083</v>
      </c>
      <c r="C670" s="22"/>
      <c r="D670" s="22"/>
      <c r="E670" s="22">
        <v>38596</v>
      </c>
      <c r="F670" s="78" t="s">
        <v>802</v>
      </c>
      <c r="G670" s="78">
        <v>38.42109</v>
      </c>
      <c r="I670" s="78">
        <v>24.098140000000001</v>
      </c>
      <c r="J670" s="78">
        <v>49.233170000000001</v>
      </c>
      <c r="K670" s="78">
        <v>61.98912</v>
      </c>
      <c r="L670" s="78">
        <v>32.186320000000002</v>
      </c>
      <c r="M670" s="78">
        <v>21.59169</v>
      </c>
      <c r="N670" s="78">
        <v>27.08802</v>
      </c>
      <c r="O670" s="78">
        <v>31.817209999999999</v>
      </c>
      <c r="P670" s="78">
        <v>49.10284</v>
      </c>
      <c r="R670" s="78">
        <v>53.761220000000002</v>
      </c>
      <c r="S670" s="78">
        <v>65.047970000000007</v>
      </c>
      <c r="AA670" s="78">
        <v>57.921259999999997</v>
      </c>
      <c r="AC670" s="78">
        <v>56.9923</v>
      </c>
      <c r="AD670" s="78">
        <v>26.181550000000001</v>
      </c>
      <c r="AE670" s="78">
        <v>22.41583</v>
      </c>
      <c r="AG670" s="78">
        <v>36.414070000000002</v>
      </c>
      <c r="AH670" s="78">
        <v>45.491390000000003</v>
      </c>
      <c r="AJ670" s="78">
        <v>84.327780000000004</v>
      </c>
      <c r="AK670" s="78">
        <v>46.015720000000002</v>
      </c>
      <c r="AO670" s="78">
        <v>29.90033</v>
      </c>
      <c r="AQ670" s="78">
        <v>54.922550000000001</v>
      </c>
      <c r="AR670" s="78">
        <v>51.933709999999998</v>
      </c>
      <c r="AS670" s="78">
        <v>101.8806</v>
      </c>
      <c r="AT670" s="78">
        <v>38.067300000000003</v>
      </c>
      <c r="AV670" s="78">
        <v>13.741899999999999</v>
      </c>
      <c r="AZ670" s="78">
        <v>53.305579999999999</v>
      </c>
      <c r="BA670" s="78">
        <v>20.749490000000002</v>
      </c>
      <c r="BB670" s="78">
        <v>54.769939999999998</v>
      </c>
      <c r="BC670" s="78">
        <v>36.956029999999998</v>
      </c>
      <c r="BD670" s="78">
        <v>48.604669999999999</v>
      </c>
    </row>
    <row r="671" spans="1:56" x14ac:dyDescent="0.2">
      <c r="A671" s="78" t="s">
        <v>819</v>
      </c>
      <c r="B671" s="22">
        <v>39114</v>
      </c>
      <c r="C671" s="22"/>
      <c r="D671" s="22"/>
      <c r="E671" s="22">
        <v>38626</v>
      </c>
      <c r="F671" s="78" t="s">
        <v>803</v>
      </c>
      <c r="G671" s="78">
        <v>38.617220000000003</v>
      </c>
      <c r="I671" s="78">
        <v>24.393979999999999</v>
      </c>
      <c r="J671" s="78">
        <v>49.463160000000002</v>
      </c>
      <c r="K671" s="78">
        <v>62.101080000000003</v>
      </c>
      <c r="L671" s="78">
        <v>32.457160000000002</v>
      </c>
      <c r="M671" s="78">
        <v>21.93075</v>
      </c>
      <c r="N671" s="78">
        <v>27.667020000000001</v>
      </c>
      <c r="O671" s="78">
        <v>32.448309999999999</v>
      </c>
      <c r="P671" s="78">
        <v>49.497390000000003</v>
      </c>
      <c r="R671" s="78">
        <v>54.010840000000002</v>
      </c>
      <c r="S671" s="78">
        <v>65.516720000000007</v>
      </c>
      <c r="AA671" s="78">
        <v>58.852640000000001</v>
      </c>
      <c r="AC671" s="78">
        <v>57.608519999999999</v>
      </c>
      <c r="AD671" s="78">
        <v>26.610659999999999</v>
      </c>
      <c r="AE671" s="78">
        <v>22.838170000000002</v>
      </c>
      <c r="AG671" s="78">
        <v>37.101529999999997</v>
      </c>
      <c r="AH671" s="78">
        <v>45.562980000000003</v>
      </c>
      <c r="AJ671" s="78">
        <v>84.286879999999996</v>
      </c>
      <c r="AK671" s="78">
        <v>46.124070000000003</v>
      </c>
      <c r="AO671" s="78">
        <v>30.449310000000001</v>
      </c>
      <c r="AQ671" s="78">
        <v>55.404389999999999</v>
      </c>
      <c r="AR671" s="78">
        <v>52.276249999999997</v>
      </c>
      <c r="AS671" s="78">
        <v>102.4152</v>
      </c>
      <c r="AT671" s="78">
        <v>38.668599999999998</v>
      </c>
      <c r="AV671" s="78">
        <v>14.29279</v>
      </c>
      <c r="AZ671" s="78">
        <v>54.309100000000001</v>
      </c>
      <c r="BA671" s="78">
        <v>21.015129999999999</v>
      </c>
      <c r="BB671" s="78">
        <v>55.052489999999999</v>
      </c>
      <c r="BC671" s="78">
        <v>37.218049999999998</v>
      </c>
      <c r="BD671" s="78">
        <v>49.037990000000001</v>
      </c>
    </row>
    <row r="672" spans="1:56" x14ac:dyDescent="0.2">
      <c r="A672" s="78" t="s">
        <v>820</v>
      </c>
      <c r="B672" s="22">
        <v>39142</v>
      </c>
      <c r="C672" s="22"/>
      <c r="D672" s="22"/>
      <c r="E672" s="22">
        <v>38657</v>
      </c>
      <c r="F672" s="78" t="s">
        <v>804</v>
      </c>
      <c r="G672" s="78">
        <v>38.67886</v>
      </c>
      <c r="I672" s="78">
        <v>24.663489999999999</v>
      </c>
      <c r="J672" s="78">
        <v>49.498519999999999</v>
      </c>
      <c r="K672" s="78">
        <v>62.386629999999997</v>
      </c>
      <c r="L672" s="78">
        <v>32.85228</v>
      </c>
      <c r="M672" s="78">
        <v>22.24324</v>
      </c>
      <c r="N672" s="78">
        <v>28.198630000000001</v>
      </c>
      <c r="O672" s="78">
        <v>33.227510000000002</v>
      </c>
      <c r="P672" s="78">
        <v>50.380049999999997</v>
      </c>
      <c r="R672" s="78">
        <v>54.438510000000001</v>
      </c>
      <c r="S672" s="78">
        <v>65.874750000000006</v>
      </c>
      <c r="AA672" s="78">
        <v>59.215380000000003</v>
      </c>
      <c r="AC672" s="78">
        <v>58.190170000000002</v>
      </c>
      <c r="AD672" s="78">
        <v>26.69896</v>
      </c>
      <c r="AE672" s="78">
        <v>23.001840000000001</v>
      </c>
      <c r="AG672" s="78">
        <v>37.81456</v>
      </c>
      <c r="AH672" s="78">
        <v>45.90802</v>
      </c>
      <c r="AJ672" s="78">
        <v>84.327780000000004</v>
      </c>
      <c r="AK672" s="78">
        <v>46.352490000000003</v>
      </c>
      <c r="AO672" s="78">
        <v>30.825420000000001</v>
      </c>
      <c r="AQ672" s="78">
        <v>55.85548</v>
      </c>
      <c r="AR672" s="78">
        <v>52.491500000000002</v>
      </c>
      <c r="AS672" s="78">
        <v>102.5972</v>
      </c>
      <c r="AT672" s="78">
        <v>39.032699999999998</v>
      </c>
      <c r="AV672" s="78">
        <v>14.659990000000001</v>
      </c>
      <c r="AZ672" s="78">
        <v>54.96763</v>
      </c>
      <c r="BA672" s="78">
        <v>21.326440000000002</v>
      </c>
      <c r="BB672" s="78">
        <v>55.189610000000002</v>
      </c>
      <c r="BC672" s="78">
        <v>37.348579999999998</v>
      </c>
      <c r="BD672" s="78">
        <v>48.859940000000002</v>
      </c>
    </row>
    <row r="673" spans="1:56" x14ac:dyDescent="0.2">
      <c r="A673" s="78" t="s">
        <v>821</v>
      </c>
      <c r="B673" s="22">
        <v>39173</v>
      </c>
      <c r="C673" s="22"/>
      <c r="D673" s="22"/>
      <c r="E673" s="22">
        <v>38687</v>
      </c>
      <c r="F673" s="78" t="s">
        <v>805</v>
      </c>
      <c r="G673" s="78">
        <v>39.00947</v>
      </c>
      <c r="I673" s="78">
        <v>25.035409999999999</v>
      </c>
      <c r="J673" s="78">
        <v>49.653550000000003</v>
      </c>
      <c r="K673" s="78">
        <v>62.359389999999998</v>
      </c>
      <c r="L673" s="78">
        <v>33.406840000000003</v>
      </c>
      <c r="M673" s="78">
        <v>22.548960000000001</v>
      </c>
      <c r="N673" s="78">
        <v>28.452929999999999</v>
      </c>
      <c r="O673" s="78">
        <v>33.95279</v>
      </c>
      <c r="P673" s="78">
        <v>51.031469999999999</v>
      </c>
      <c r="R673" s="78">
        <v>54.922159999999998</v>
      </c>
      <c r="S673" s="78">
        <v>66.639049999999997</v>
      </c>
      <c r="AA673" s="78">
        <v>59.919139999999999</v>
      </c>
      <c r="AC673" s="78">
        <v>58.919440000000002</v>
      </c>
      <c r="AD673" s="78">
        <v>26.849309999999999</v>
      </c>
      <c r="AE673" s="78">
        <v>23.292439999999999</v>
      </c>
      <c r="AG673" s="78">
        <v>38.469749999999998</v>
      </c>
      <c r="AH673" s="78">
        <v>46.024009999999997</v>
      </c>
      <c r="AJ673" s="78">
        <v>84.254170000000002</v>
      </c>
      <c r="AK673" s="78">
        <v>46.629289999999997</v>
      </c>
      <c r="AO673" s="78">
        <v>31.138750000000002</v>
      </c>
      <c r="AQ673" s="78">
        <v>56.374769999999998</v>
      </c>
      <c r="AR673" s="78">
        <v>52.773000000000003</v>
      </c>
      <c r="AS673" s="78">
        <v>102.8777</v>
      </c>
      <c r="AT673" s="78">
        <v>39.109760000000001</v>
      </c>
      <c r="AV673" s="78">
        <v>14.38128</v>
      </c>
      <c r="AZ673" s="78">
        <v>55.213410000000003</v>
      </c>
      <c r="BA673" s="78">
        <v>21.796309999999998</v>
      </c>
      <c r="BB673" s="78">
        <v>55.412320000000001</v>
      </c>
      <c r="BC673" s="78">
        <v>38.006869999999999</v>
      </c>
      <c r="BD673" s="78">
        <v>49.016910000000003</v>
      </c>
    </row>
    <row r="674" spans="1:56" x14ac:dyDescent="0.2">
      <c r="A674" s="78" t="s">
        <v>822</v>
      </c>
      <c r="B674" s="22">
        <v>39203</v>
      </c>
      <c r="C674" s="22"/>
      <c r="D674" s="22"/>
      <c r="E674" s="22">
        <v>38718</v>
      </c>
      <c r="F674" s="78" t="s">
        <v>806</v>
      </c>
      <c r="G674" s="78">
        <v>39.452159999999999</v>
      </c>
      <c r="I674" s="78">
        <v>25.481290000000001</v>
      </c>
      <c r="J674" s="78">
        <v>49.912599999999998</v>
      </c>
      <c r="K674" s="78">
        <v>61.89564</v>
      </c>
      <c r="L674" s="78">
        <v>33.730670000000003</v>
      </c>
      <c r="M674" s="78">
        <v>22.805099999999999</v>
      </c>
      <c r="N674" s="78">
        <v>28.566389999999998</v>
      </c>
      <c r="O674" s="78">
        <v>34.36242</v>
      </c>
      <c r="P674" s="78">
        <v>51.51576</v>
      </c>
      <c r="R674" s="78">
        <v>57.203069999999997</v>
      </c>
      <c r="S674" s="78">
        <v>67.200770000000006</v>
      </c>
      <c r="AA674" s="78">
        <v>60.395220000000002</v>
      </c>
      <c r="AC674" s="78">
        <v>59.791539999999998</v>
      </c>
      <c r="AD674" s="78">
        <v>27.191970000000001</v>
      </c>
      <c r="AE674" s="78">
        <v>23.465160000000001</v>
      </c>
      <c r="AG674" s="78">
        <v>39.085810000000002</v>
      </c>
      <c r="AH674" s="78">
        <v>45.773919999999997</v>
      </c>
      <c r="AJ674" s="78">
        <v>84.172359999999998</v>
      </c>
      <c r="AK674" s="78">
        <v>46.951430000000002</v>
      </c>
      <c r="AO674" s="78">
        <v>31.424600000000002</v>
      </c>
      <c r="AQ674" s="78">
        <v>56.484000000000002</v>
      </c>
      <c r="AR674" s="78">
        <v>53.088059999999999</v>
      </c>
      <c r="AS674" s="78">
        <v>103.4486</v>
      </c>
      <c r="AT674" s="78">
        <v>39.113849999999999</v>
      </c>
      <c r="AV674" s="78">
        <v>15.08643</v>
      </c>
      <c r="AZ674" s="78">
        <v>56.247399999999999</v>
      </c>
      <c r="BA674" s="78">
        <v>22.009180000000001</v>
      </c>
      <c r="BB674" s="78">
        <v>55.765500000000003</v>
      </c>
      <c r="BC674" s="78">
        <v>38.717399999999998</v>
      </c>
      <c r="BD674" s="78">
        <v>49.349330000000002</v>
      </c>
    </row>
    <row r="675" spans="1:56" x14ac:dyDescent="0.2">
      <c r="A675" s="78" t="s">
        <v>823</v>
      </c>
      <c r="B675" s="22">
        <v>39234</v>
      </c>
      <c r="C675" s="22"/>
      <c r="D675" s="22"/>
      <c r="E675" s="22">
        <v>38749</v>
      </c>
      <c r="F675" s="78" t="s">
        <v>807</v>
      </c>
      <c r="G675" s="78">
        <v>39.76876</v>
      </c>
      <c r="I675" s="78">
        <v>26.002189999999999</v>
      </c>
      <c r="J675" s="78">
        <v>50.543430000000001</v>
      </c>
      <c r="K675" s="78">
        <v>61.780070000000002</v>
      </c>
      <c r="L675" s="78">
        <v>33.899230000000003</v>
      </c>
      <c r="M675" s="78">
        <v>23.010660000000001</v>
      </c>
      <c r="N675" s="78">
        <v>28.87201</v>
      </c>
      <c r="O675" s="78">
        <v>34.695270000000001</v>
      </c>
      <c r="P675" s="78">
        <v>52.030880000000003</v>
      </c>
      <c r="R675" s="78">
        <v>57.463479999999997</v>
      </c>
      <c r="S675" s="78">
        <v>67.303820000000002</v>
      </c>
      <c r="AA675" s="78">
        <v>60.79495</v>
      </c>
      <c r="AC675" s="78">
        <v>60.893380000000001</v>
      </c>
      <c r="AD675" s="78">
        <v>27.569120000000002</v>
      </c>
      <c r="AE675" s="78">
        <v>23.62107</v>
      </c>
      <c r="AG675" s="78">
        <v>39.684100000000001</v>
      </c>
      <c r="AH675" s="78">
        <v>45.872430000000001</v>
      </c>
      <c r="AJ675" s="78">
        <v>84.090559999999996</v>
      </c>
      <c r="AK675" s="78">
        <v>47.192779999999999</v>
      </c>
      <c r="AO675" s="78">
        <v>31.93121</v>
      </c>
      <c r="AQ675" s="78">
        <v>56.788589999999999</v>
      </c>
      <c r="AR675" s="78">
        <v>53.357810000000001</v>
      </c>
      <c r="AS675" s="78">
        <v>104.1872</v>
      </c>
      <c r="AT675" s="78">
        <v>39.382150000000003</v>
      </c>
      <c r="AV675" s="78">
        <v>15.858969999999999</v>
      </c>
      <c r="AZ675" s="78">
        <v>56.631</v>
      </c>
      <c r="BA675" s="78">
        <v>22.302620000000001</v>
      </c>
      <c r="BB675" s="78">
        <v>55.967440000000003</v>
      </c>
      <c r="BC675" s="78">
        <v>39.368400000000001</v>
      </c>
      <c r="BD675" s="78">
        <v>49.584429999999998</v>
      </c>
    </row>
    <row r="676" spans="1:56" x14ac:dyDescent="0.2">
      <c r="A676" s="78" t="s">
        <v>824</v>
      </c>
      <c r="B676" s="22">
        <v>39264</v>
      </c>
      <c r="C676" s="22"/>
      <c r="D676" s="22"/>
      <c r="E676" s="22">
        <v>38777</v>
      </c>
      <c r="F676" s="78" t="s">
        <v>808</v>
      </c>
      <c r="G676" s="78">
        <v>40.146999999999998</v>
      </c>
      <c r="I676" s="78">
        <v>26.404340000000001</v>
      </c>
      <c r="J676" s="78">
        <v>51.147030000000001</v>
      </c>
      <c r="K676" s="78">
        <v>61.994999999999997</v>
      </c>
      <c r="L676" s="78">
        <v>34.246299999999998</v>
      </c>
      <c r="M676" s="78">
        <v>23.246559999999999</v>
      </c>
      <c r="N676" s="78">
        <v>28.87106</v>
      </c>
      <c r="O676" s="78">
        <v>35.539760000000001</v>
      </c>
      <c r="P676" s="78">
        <v>52.268859999999997</v>
      </c>
      <c r="R676" s="78">
        <v>56.268000000000001</v>
      </c>
      <c r="S676" s="78">
        <v>67.738780000000006</v>
      </c>
      <c r="AA676" s="78">
        <v>62.094729999999998</v>
      </c>
      <c r="AC676" s="78">
        <v>62.844259999999998</v>
      </c>
      <c r="AD676" s="78">
        <v>27.860109999999999</v>
      </c>
      <c r="AE676" s="78">
        <v>24.338380000000001</v>
      </c>
      <c r="AG676" s="78">
        <v>40.246749999999999</v>
      </c>
      <c r="AH676" s="78">
        <v>46.697850000000003</v>
      </c>
      <c r="AJ676" s="78">
        <v>84.066019999999995</v>
      </c>
      <c r="AK676" s="78">
        <v>47.41386</v>
      </c>
      <c r="AO676" s="78">
        <v>32.953870000000002</v>
      </c>
      <c r="AQ676" s="78">
        <v>57.416150000000002</v>
      </c>
      <c r="AR676" s="78">
        <v>53.747039999999998</v>
      </c>
      <c r="AS676" s="78">
        <v>104.8296</v>
      </c>
      <c r="AT676" s="78">
        <v>39.844819999999999</v>
      </c>
      <c r="AV676" s="78">
        <v>15.72222</v>
      </c>
      <c r="AZ676" s="78">
        <v>57.355550000000001</v>
      </c>
      <c r="BA676" s="78">
        <v>22.95119</v>
      </c>
      <c r="BB676" s="78">
        <v>56.087940000000003</v>
      </c>
      <c r="BC676" s="78">
        <v>40.969679999999997</v>
      </c>
      <c r="BD676" s="78">
        <v>49.846890000000002</v>
      </c>
    </row>
    <row r="677" spans="1:56" x14ac:dyDescent="0.2">
      <c r="A677" s="78" t="s">
        <v>825</v>
      </c>
      <c r="B677" s="22">
        <v>39295</v>
      </c>
      <c r="C677" s="22"/>
      <c r="D677" s="22"/>
      <c r="E677" s="22">
        <v>38808</v>
      </c>
      <c r="F677" s="78" t="s">
        <v>809</v>
      </c>
      <c r="G677" s="78">
        <v>40.872669999999999</v>
      </c>
      <c r="I677" s="78">
        <v>26.723749999999999</v>
      </c>
      <c r="J677" s="78">
        <v>51.098849999999999</v>
      </c>
      <c r="K677" s="78">
        <v>62.297420000000002</v>
      </c>
      <c r="L677" s="78">
        <v>34.526069999999997</v>
      </c>
      <c r="M677" s="78">
        <v>23.558350000000001</v>
      </c>
      <c r="N677" s="78">
        <v>29.349250000000001</v>
      </c>
      <c r="O677" s="78">
        <v>36.285890000000002</v>
      </c>
      <c r="P677" s="78">
        <v>53.008130000000001</v>
      </c>
      <c r="R677" s="78">
        <v>56.887129999999999</v>
      </c>
      <c r="S677" s="78">
        <v>68.626990000000006</v>
      </c>
      <c r="AA677" s="78">
        <v>62.962479999999999</v>
      </c>
      <c r="AC677" s="78">
        <v>63.938870000000001</v>
      </c>
      <c r="AD677" s="78">
        <v>27.956440000000001</v>
      </c>
      <c r="AE677" s="78">
        <v>25.003139999999998</v>
      </c>
      <c r="AG677" s="78">
        <v>40.807369999999999</v>
      </c>
      <c r="AH677" s="78">
        <v>47.289760000000001</v>
      </c>
      <c r="AJ677" s="78">
        <v>84.066019999999995</v>
      </c>
      <c r="AK677" s="78">
        <v>47.837470000000003</v>
      </c>
      <c r="AO677" s="78">
        <v>34.098909999999997</v>
      </c>
      <c r="AQ677" s="78">
        <v>58.025919999999999</v>
      </c>
      <c r="AR677" s="78">
        <v>54.192720000000001</v>
      </c>
      <c r="AS677" s="78">
        <v>105.30119999999999</v>
      </c>
      <c r="AT677" s="78">
        <v>40.236800000000002</v>
      </c>
      <c r="AV677" s="78">
        <v>16.14274</v>
      </c>
      <c r="AZ677" s="78">
        <v>58.524389999999997</v>
      </c>
      <c r="BA677" s="78">
        <v>23.47533</v>
      </c>
      <c r="BB677" s="78">
        <v>56.396250000000002</v>
      </c>
      <c r="BC677" s="78">
        <v>41.953389999999999</v>
      </c>
      <c r="BD677" s="78">
        <v>50.35183</v>
      </c>
    </row>
    <row r="678" spans="1:56" x14ac:dyDescent="0.2">
      <c r="A678" s="78" t="s">
        <v>826</v>
      </c>
      <c r="B678" s="22">
        <v>39326</v>
      </c>
      <c r="C678" s="22"/>
      <c r="D678" s="22"/>
      <c r="E678" s="22">
        <v>38838</v>
      </c>
      <c r="F678" s="78" t="s">
        <v>810</v>
      </c>
      <c r="G678" s="78">
        <v>41.390999999999998</v>
      </c>
      <c r="I678" s="78">
        <v>27.125019999999999</v>
      </c>
      <c r="J678" s="78">
        <v>51.482889999999998</v>
      </c>
      <c r="K678" s="78">
        <v>62.343299999999999</v>
      </c>
      <c r="L678" s="78">
        <v>34.747779999999999</v>
      </c>
      <c r="M678" s="78">
        <v>23.875240000000002</v>
      </c>
      <c r="N678" s="78">
        <v>30.120339999999999</v>
      </c>
      <c r="O678" s="78">
        <v>36.592059999999996</v>
      </c>
      <c r="P678" s="78">
        <v>53.804740000000002</v>
      </c>
      <c r="R678" s="78">
        <v>57.158810000000003</v>
      </c>
      <c r="S678" s="78">
        <v>69.378100000000003</v>
      </c>
      <c r="AA678" s="78">
        <v>62.982570000000003</v>
      </c>
      <c r="AC678" s="78">
        <v>63.54609</v>
      </c>
      <c r="AD678" s="78">
        <v>28.439440000000001</v>
      </c>
      <c r="AE678" s="78">
        <v>25.236260000000001</v>
      </c>
      <c r="AG678" s="78">
        <v>41.330910000000003</v>
      </c>
      <c r="AH678" s="78">
        <v>47.551819999999999</v>
      </c>
      <c r="AJ678" s="78">
        <v>83.902420000000006</v>
      </c>
      <c r="AK678" s="78">
        <v>48.358719999999998</v>
      </c>
      <c r="AO678" s="78">
        <v>34.680129999999998</v>
      </c>
      <c r="AQ678" s="78">
        <v>58.569249999999997</v>
      </c>
      <c r="AR678" s="78">
        <v>54.474429999999998</v>
      </c>
      <c r="AS678" s="78">
        <v>105.9554</v>
      </c>
      <c r="AT678" s="78">
        <v>40.866570000000003</v>
      </c>
      <c r="AV678" s="78">
        <v>16.550249999999998</v>
      </c>
      <c r="AZ678" s="78">
        <v>59.332859999999997</v>
      </c>
      <c r="BA678" s="78">
        <v>24.802530000000001</v>
      </c>
      <c r="BB678" s="78">
        <v>56.451090000000001</v>
      </c>
      <c r="BC678" s="78">
        <v>42.361289999999997</v>
      </c>
      <c r="BD678" s="78">
        <v>50.905729999999998</v>
      </c>
    </row>
    <row r="679" spans="1:56" x14ac:dyDescent="0.2">
      <c r="A679" s="78" t="s">
        <v>827</v>
      </c>
      <c r="B679" s="22">
        <v>39356</v>
      </c>
      <c r="C679" s="22"/>
      <c r="D679" s="22"/>
      <c r="E679" s="22">
        <v>38869</v>
      </c>
      <c r="F679" s="78" t="s">
        <v>811</v>
      </c>
      <c r="G679" s="78">
        <v>41.645969999999998</v>
      </c>
      <c r="I679" s="78">
        <v>27.470009999999998</v>
      </c>
      <c r="J679" s="78">
        <v>51.828420000000001</v>
      </c>
      <c r="K679" s="78">
        <v>62.196750000000002</v>
      </c>
      <c r="L679" s="78">
        <v>34.996569999999998</v>
      </c>
      <c r="M679" s="78">
        <v>24.169049999999999</v>
      </c>
      <c r="N679" s="78">
        <v>30.58465</v>
      </c>
      <c r="O679" s="78">
        <v>37.031689999999998</v>
      </c>
      <c r="P679" s="78">
        <v>54.122540000000001</v>
      </c>
      <c r="R679" s="78">
        <v>57.894100000000002</v>
      </c>
      <c r="S679" s="78">
        <v>69.691909999999993</v>
      </c>
      <c r="AA679" s="78">
        <v>63.347340000000003</v>
      </c>
      <c r="AC679" s="78">
        <v>64.643609999999995</v>
      </c>
      <c r="AD679" s="78">
        <v>28.946950000000001</v>
      </c>
      <c r="AE679" s="78">
        <v>25.46471</v>
      </c>
      <c r="AG679" s="78">
        <v>41.799169999999997</v>
      </c>
      <c r="AH679" s="78">
        <v>47.800960000000003</v>
      </c>
      <c r="AJ679" s="78">
        <v>83.763360000000006</v>
      </c>
      <c r="AK679" s="78">
        <v>48.793799999999997</v>
      </c>
      <c r="AO679" s="78">
        <v>34.998249999999999</v>
      </c>
      <c r="AQ679" s="78">
        <v>59.51934</v>
      </c>
      <c r="AR679" s="78">
        <v>54.871270000000003</v>
      </c>
      <c r="AS679" s="78">
        <v>107.2659</v>
      </c>
      <c r="AT679" s="78">
        <v>41.546840000000003</v>
      </c>
      <c r="AV679" s="78">
        <v>16.870200000000001</v>
      </c>
      <c r="AZ679" s="78">
        <v>60.552329999999998</v>
      </c>
      <c r="BA679" s="78">
        <v>25.970890000000001</v>
      </c>
      <c r="BB679" s="78">
        <v>56.76688</v>
      </c>
      <c r="BC679" s="78">
        <v>43.066070000000003</v>
      </c>
      <c r="BD679" s="78">
        <v>51.448799999999999</v>
      </c>
    </row>
    <row r="680" spans="1:56" x14ac:dyDescent="0.2">
      <c r="A680" s="78" t="s">
        <v>828</v>
      </c>
      <c r="B680" s="22">
        <v>39387</v>
      </c>
      <c r="C680" s="22"/>
      <c r="D680" s="22"/>
      <c r="E680" s="22">
        <v>38899</v>
      </c>
      <c r="F680" s="78" t="s">
        <v>812</v>
      </c>
      <c r="G680" s="78">
        <v>42.007399999999997</v>
      </c>
      <c r="I680" s="78">
        <v>27.668510000000001</v>
      </c>
      <c r="J680" s="78">
        <v>52.174100000000003</v>
      </c>
      <c r="K680" s="78">
        <v>62.586820000000003</v>
      </c>
      <c r="L680" s="78">
        <v>35.155380000000001</v>
      </c>
      <c r="M680" s="78">
        <v>24.429490000000001</v>
      </c>
      <c r="N680" s="78">
        <v>31.31</v>
      </c>
      <c r="O680" s="78">
        <v>37.627800000000001</v>
      </c>
      <c r="P680" s="78">
        <v>54.620640000000002</v>
      </c>
      <c r="R680" s="78">
        <v>58.160550000000001</v>
      </c>
      <c r="S680" s="78">
        <v>69.909040000000005</v>
      </c>
      <c r="AA680" s="78">
        <v>64.093350000000001</v>
      </c>
      <c r="AC680" s="78">
        <v>65.939830000000001</v>
      </c>
      <c r="AD680" s="78">
        <v>28.995989999999999</v>
      </c>
      <c r="AE680" s="78">
        <v>25.83794</v>
      </c>
      <c r="AG680" s="78">
        <v>42.309150000000002</v>
      </c>
      <c r="AH680" s="78">
        <v>48.188389999999998</v>
      </c>
      <c r="AJ680" s="78">
        <v>83.591579999999993</v>
      </c>
      <c r="AK680" s="78">
        <v>49.214959999999998</v>
      </c>
      <c r="AO680" s="78">
        <v>34.987879999999997</v>
      </c>
      <c r="AQ680" s="78">
        <v>60.235250000000001</v>
      </c>
      <c r="AR680" s="78">
        <v>55.143509999999999</v>
      </c>
      <c r="AS680" s="78">
        <v>108.63760000000001</v>
      </c>
      <c r="AT680" s="78">
        <v>42.041910000000001</v>
      </c>
      <c r="AV680" s="78">
        <v>17.714590000000001</v>
      </c>
      <c r="AZ680" s="78">
        <v>61.839689999999997</v>
      </c>
      <c r="BA680" s="78">
        <v>25.649080000000001</v>
      </c>
      <c r="BB680" s="78">
        <v>57.111750000000001</v>
      </c>
      <c r="BC680" s="78">
        <v>43.535550000000001</v>
      </c>
      <c r="BD680" s="78">
        <v>52.074190000000002</v>
      </c>
    </row>
    <row r="681" spans="1:56" x14ac:dyDescent="0.2">
      <c r="A681" s="78" t="s">
        <v>829</v>
      </c>
      <c r="B681" s="22">
        <v>39417</v>
      </c>
      <c r="C681" s="22"/>
      <c r="D681" s="22"/>
      <c r="E681" s="22">
        <v>38930</v>
      </c>
      <c r="F681" s="78" t="s">
        <v>813</v>
      </c>
      <c r="G681" s="78">
        <v>42.427669999999999</v>
      </c>
      <c r="I681" s="78">
        <v>27.86411</v>
      </c>
      <c r="J681" s="78">
        <v>52.56512</v>
      </c>
      <c r="K681" s="78">
        <v>63.090739999999997</v>
      </c>
      <c r="L681" s="78">
        <v>35.472830000000002</v>
      </c>
      <c r="M681" s="78">
        <v>24.738479999999999</v>
      </c>
      <c r="N681" s="78">
        <v>31.925740000000001</v>
      </c>
      <c r="O681" s="78">
        <v>38.4178</v>
      </c>
      <c r="P681" s="78">
        <v>55.343400000000003</v>
      </c>
      <c r="R681" s="78">
        <v>58.291759999999996</v>
      </c>
      <c r="S681" s="78">
        <v>70.066090000000003</v>
      </c>
      <c r="AA681" s="78">
        <v>64.671679999999995</v>
      </c>
      <c r="AC681" s="78">
        <v>66.091570000000004</v>
      </c>
      <c r="AD681" s="78">
        <v>29.226240000000001</v>
      </c>
      <c r="AE681" s="78">
        <v>26.390969999999999</v>
      </c>
      <c r="AG681" s="78">
        <v>42.847760000000001</v>
      </c>
      <c r="AH681" s="78">
        <v>48.841560000000001</v>
      </c>
      <c r="AJ681" s="78">
        <v>83.640659999999997</v>
      </c>
      <c r="AK681" s="78">
        <v>49.74785</v>
      </c>
      <c r="AO681" s="78">
        <v>34.773870000000002</v>
      </c>
      <c r="AQ681" s="78">
        <v>60.5854</v>
      </c>
      <c r="AR681" s="78">
        <v>55.356529999999999</v>
      </c>
      <c r="AS681" s="78">
        <v>109.3595</v>
      </c>
      <c r="AT681" s="78">
        <v>42.483600000000003</v>
      </c>
      <c r="AV681" s="78">
        <v>18.497160000000001</v>
      </c>
      <c r="AZ681" s="78">
        <v>62.596699999999998</v>
      </c>
      <c r="BA681" s="78">
        <v>25.317309999999999</v>
      </c>
      <c r="BB681" s="78">
        <v>57.367710000000002</v>
      </c>
      <c r="BC681" s="78">
        <v>44.134160000000001</v>
      </c>
      <c r="BD681" s="78">
        <v>52.717550000000003</v>
      </c>
    </row>
    <row r="682" spans="1:56" x14ac:dyDescent="0.2">
      <c r="A682" s="78" t="s">
        <v>830</v>
      </c>
      <c r="B682" s="22">
        <v>39448</v>
      </c>
      <c r="C682" s="22"/>
      <c r="D682" s="22"/>
      <c r="E682" s="22">
        <v>38961</v>
      </c>
      <c r="F682" s="78" t="s">
        <v>814</v>
      </c>
      <c r="G682" s="78">
        <v>42.831130000000002</v>
      </c>
      <c r="I682" s="78">
        <v>28.128599999999999</v>
      </c>
      <c r="J682" s="78">
        <v>53.178429999999999</v>
      </c>
      <c r="K682" s="78">
        <v>63.148519999999998</v>
      </c>
      <c r="L682" s="78">
        <v>36.164909999999999</v>
      </c>
      <c r="M682" s="78">
        <v>25.059819999999998</v>
      </c>
      <c r="N682" s="78">
        <v>32.076689999999999</v>
      </c>
      <c r="O682" s="78">
        <v>39.435389999999998</v>
      </c>
      <c r="P682" s="78">
        <v>55.636479999999999</v>
      </c>
      <c r="R682" s="78">
        <v>59.130960000000002</v>
      </c>
      <c r="S682" s="78">
        <v>70.666809999999998</v>
      </c>
      <c r="AA682" s="78">
        <v>65.551050000000004</v>
      </c>
      <c r="AC682" s="78">
        <v>66.299220000000005</v>
      </c>
      <c r="AD682" s="78">
        <v>29.57489</v>
      </c>
      <c r="AE682" s="78">
        <v>26.899850000000001</v>
      </c>
      <c r="AG682" s="78">
        <v>43.383710000000001</v>
      </c>
      <c r="AH682" s="78">
        <v>49.421599999999998</v>
      </c>
      <c r="AJ682" s="78">
        <v>83.763360000000006</v>
      </c>
      <c r="AK682" s="78">
        <v>50.191699999999997</v>
      </c>
      <c r="AO682" s="78">
        <v>35.024729999999998</v>
      </c>
      <c r="AQ682" s="78">
        <v>61.321040000000004</v>
      </c>
      <c r="AR682" s="78">
        <v>55.700980000000001</v>
      </c>
      <c r="AS682" s="78">
        <v>109.9776</v>
      </c>
      <c r="AT682" s="78">
        <v>43.121270000000003</v>
      </c>
      <c r="AV682" s="78">
        <v>18.833639999999999</v>
      </c>
      <c r="AZ682" s="78">
        <v>63.120550000000001</v>
      </c>
      <c r="BA682" s="78">
        <v>25.607690000000002</v>
      </c>
      <c r="BB682" s="78">
        <v>57.593739999999997</v>
      </c>
      <c r="BC682" s="78">
        <v>44.681539999999998</v>
      </c>
      <c r="BD682" s="78">
        <v>53.095370000000003</v>
      </c>
    </row>
    <row r="683" spans="1:56" x14ac:dyDescent="0.2">
      <c r="A683" s="78" t="s">
        <v>831</v>
      </c>
      <c r="B683" s="22">
        <v>39479</v>
      </c>
      <c r="C683" s="22"/>
      <c r="D683" s="22"/>
      <c r="E683" s="22">
        <v>38991</v>
      </c>
      <c r="F683" s="78" t="s">
        <v>815</v>
      </c>
      <c r="G683" s="78">
        <v>43.259799999999998</v>
      </c>
      <c r="I683" s="78">
        <v>28.508430000000001</v>
      </c>
      <c r="J683" s="78">
        <v>53.511189999999999</v>
      </c>
      <c r="K683" s="78">
        <v>63.353870000000001</v>
      </c>
      <c r="L683" s="78">
        <v>36.53931</v>
      </c>
      <c r="M683" s="78">
        <v>25.39048</v>
      </c>
      <c r="N683" s="78">
        <v>32.265030000000003</v>
      </c>
      <c r="O683" s="78">
        <v>40.381070000000001</v>
      </c>
      <c r="P683" s="78">
        <v>56.0471</v>
      </c>
      <c r="R683" s="78">
        <v>60.190800000000003</v>
      </c>
      <c r="S683" s="78">
        <v>71.268979999999999</v>
      </c>
      <c r="AA683" s="78">
        <v>66.582459999999998</v>
      </c>
      <c r="AC683" s="78">
        <v>66.352540000000005</v>
      </c>
      <c r="AD683" s="78">
        <v>30.05068</v>
      </c>
      <c r="AE683" s="78">
        <v>27.16799</v>
      </c>
      <c r="AG683" s="78">
        <v>44.017200000000003</v>
      </c>
      <c r="AH683" s="78">
        <v>49.888649999999998</v>
      </c>
      <c r="AJ683" s="78">
        <v>83.714280000000002</v>
      </c>
      <c r="AK683" s="78">
        <v>50.544170000000001</v>
      </c>
      <c r="AO683" s="78">
        <v>35.020049999999998</v>
      </c>
      <c r="AQ683" s="78">
        <v>61.934910000000002</v>
      </c>
      <c r="AR683" s="78">
        <v>56.076650000000001</v>
      </c>
      <c r="AS683" s="78">
        <v>110.92059999999999</v>
      </c>
      <c r="AT683" s="78">
        <v>43.802970000000002</v>
      </c>
      <c r="AV683" s="78">
        <v>19.598549999999999</v>
      </c>
      <c r="AZ683" s="78">
        <v>63.23695</v>
      </c>
      <c r="BA683" s="78">
        <v>25.930949999999999</v>
      </c>
      <c r="BB683" s="78">
        <v>58.00094</v>
      </c>
      <c r="BC683" s="78">
        <v>45.448869999999999</v>
      </c>
      <c r="BD683" s="78">
        <v>53.254280000000001</v>
      </c>
    </row>
    <row r="684" spans="1:56" x14ac:dyDescent="0.2">
      <c r="A684" s="78" t="s">
        <v>832</v>
      </c>
      <c r="B684" s="22">
        <v>39508</v>
      </c>
      <c r="C684" s="22"/>
      <c r="D684" s="22"/>
      <c r="E684" s="22">
        <v>39022</v>
      </c>
      <c r="F684" s="78" t="s">
        <v>816</v>
      </c>
      <c r="G684" s="78">
        <v>43.66046</v>
      </c>
      <c r="I684" s="78">
        <v>28.993849999999998</v>
      </c>
      <c r="J684" s="78">
        <v>53.932609999999997</v>
      </c>
      <c r="K684" s="78">
        <v>63.446489999999997</v>
      </c>
      <c r="L684" s="78">
        <v>36.635919999999999</v>
      </c>
      <c r="M684" s="78">
        <v>25.75198</v>
      </c>
      <c r="N684" s="78">
        <v>32.841529999999999</v>
      </c>
      <c r="O684" s="78">
        <v>41.331620000000001</v>
      </c>
      <c r="P684" s="78">
        <v>56.870919999999998</v>
      </c>
      <c r="R684" s="78">
        <v>60.929740000000002</v>
      </c>
      <c r="S684" s="78">
        <v>71.664079999999998</v>
      </c>
      <c r="AA684" s="78">
        <v>67.162220000000005</v>
      </c>
      <c r="AC684" s="78">
        <v>66.582729999999998</v>
      </c>
      <c r="AD684" s="78">
        <v>30.503550000000001</v>
      </c>
      <c r="AE684" s="78">
        <v>27.4556</v>
      </c>
      <c r="AG684" s="78">
        <v>44.856389999999998</v>
      </c>
      <c r="AH684" s="78">
        <v>50.324330000000003</v>
      </c>
      <c r="AJ684" s="78">
        <v>83.779719999999998</v>
      </c>
      <c r="AK684" s="78">
        <v>51.055590000000002</v>
      </c>
      <c r="AO684" s="78">
        <v>35.200510000000001</v>
      </c>
      <c r="AQ684" s="78">
        <v>62.531889999999997</v>
      </c>
      <c r="AR684" s="78">
        <v>56.386510000000001</v>
      </c>
      <c r="AS684" s="78">
        <v>112.14279999999999</v>
      </c>
      <c r="AT684" s="78">
        <v>44.430500000000002</v>
      </c>
      <c r="AV684" s="78">
        <v>20.259070000000001</v>
      </c>
      <c r="AZ684" s="78">
        <v>63.320869999999999</v>
      </c>
      <c r="BA684" s="78">
        <v>26.164819999999999</v>
      </c>
      <c r="BB684" s="78">
        <v>58.290140000000001</v>
      </c>
      <c r="BC684" s="78">
        <v>46.462389999999999</v>
      </c>
      <c r="BD684" s="78">
        <v>54.010629999999999</v>
      </c>
    </row>
    <row r="685" spans="1:56" x14ac:dyDescent="0.2">
      <c r="A685" s="78" t="s">
        <v>833</v>
      </c>
      <c r="B685" s="22">
        <v>39539</v>
      </c>
      <c r="C685" s="22"/>
      <c r="D685" s="22"/>
      <c r="E685" s="22">
        <v>39052</v>
      </c>
      <c r="F685" s="78" t="s">
        <v>817</v>
      </c>
      <c r="G685" s="78">
        <v>44.072319999999998</v>
      </c>
      <c r="I685" s="78">
        <v>29.385120000000001</v>
      </c>
      <c r="J685" s="78">
        <v>54.535020000000003</v>
      </c>
      <c r="K685" s="78">
        <v>63.49689</v>
      </c>
      <c r="L685" s="78">
        <v>37.065040000000003</v>
      </c>
      <c r="M685" s="78">
        <v>26.111190000000001</v>
      </c>
      <c r="N685" s="78">
        <v>33.233260000000001</v>
      </c>
      <c r="O685" s="78">
        <v>42.010930000000002</v>
      </c>
      <c r="P685" s="78">
        <v>57.663409999999999</v>
      </c>
      <c r="R685" s="78">
        <v>61.263509999999997</v>
      </c>
      <c r="S685" s="78">
        <v>72.763930000000002</v>
      </c>
      <c r="AA685" s="78">
        <v>67.855360000000005</v>
      </c>
      <c r="AC685" s="78">
        <v>67.154640000000001</v>
      </c>
      <c r="AD685" s="78">
        <v>30.81024</v>
      </c>
      <c r="AE685" s="78">
        <v>27.887530000000002</v>
      </c>
      <c r="AG685" s="78">
        <v>45.8675</v>
      </c>
      <c r="AH685" s="78">
        <v>51.035260000000001</v>
      </c>
      <c r="AJ685" s="78">
        <v>83.804259999999999</v>
      </c>
      <c r="AK685" s="78">
        <v>51.515839999999997</v>
      </c>
      <c r="AO685" s="78">
        <v>35.966610000000003</v>
      </c>
      <c r="AQ685" s="78">
        <v>63.53942</v>
      </c>
      <c r="AR685" s="78">
        <v>56.838039999999999</v>
      </c>
      <c r="AS685" s="78">
        <v>113.20910000000001</v>
      </c>
      <c r="AT685" s="78">
        <v>45.070619999999998</v>
      </c>
      <c r="AV685" s="78">
        <v>19.979310000000002</v>
      </c>
      <c r="AZ685" s="78">
        <v>63.894219999999997</v>
      </c>
      <c r="BA685" s="78">
        <v>26.644780000000001</v>
      </c>
      <c r="BB685" s="78">
        <v>58.649140000000003</v>
      </c>
      <c r="BC685" s="78">
        <v>47.086739999999999</v>
      </c>
      <c r="BD685" s="78">
        <v>54.559609999999999</v>
      </c>
    </row>
    <row r="686" spans="1:56" x14ac:dyDescent="0.2">
      <c r="A686" s="78" t="s">
        <v>834</v>
      </c>
      <c r="B686" s="22">
        <v>39569</v>
      </c>
      <c r="C686" s="22"/>
      <c r="D686" s="22"/>
      <c r="E686" s="22">
        <v>39083</v>
      </c>
      <c r="F686" s="78" t="s">
        <v>818</v>
      </c>
      <c r="G686" s="78">
        <v>44.520609999999998</v>
      </c>
      <c r="I686" s="78">
        <v>29.813210000000002</v>
      </c>
      <c r="J686" s="78">
        <v>54.894350000000003</v>
      </c>
      <c r="K686" s="78">
        <v>63.762630000000001</v>
      </c>
      <c r="L686" s="78">
        <v>37.648940000000003</v>
      </c>
      <c r="M686" s="78">
        <v>26.436589999999999</v>
      </c>
      <c r="N686" s="78">
        <v>33.280360000000002</v>
      </c>
      <c r="O686" s="78">
        <v>42.504519999999999</v>
      </c>
      <c r="P686" s="78">
        <v>58.57141</v>
      </c>
      <c r="R686" s="78">
        <v>61.668050000000001</v>
      </c>
      <c r="S686" s="78">
        <v>73.687039999999996</v>
      </c>
      <c r="AA686" s="78">
        <v>68.504050000000007</v>
      </c>
      <c r="AC686" s="78">
        <v>67.650700000000001</v>
      </c>
      <c r="AD686" s="78">
        <v>31.174420000000001</v>
      </c>
      <c r="AE686" s="78">
        <v>28.289200000000001</v>
      </c>
      <c r="AG686" s="78">
        <v>47.029989999999998</v>
      </c>
      <c r="AH686" s="78">
        <v>51.729399999999998</v>
      </c>
      <c r="AJ686" s="78">
        <v>83.828800000000001</v>
      </c>
      <c r="AK686" s="78">
        <v>51.7408</v>
      </c>
      <c r="AO686" s="78">
        <v>36.147190000000002</v>
      </c>
      <c r="AQ686" s="78">
        <v>64.401989999999998</v>
      </c>
      <c r="AR686" s="78">
        <v>57.219970000000004</v>
      </c>
      <c r="AS686" s="78">
        <v>114.1861</v>
      </c>
      <c r="AT686" s="78">
        <v>45.933549999999997</v>
      </c>
      <c r="AV686" s="78">
        <v>21.084949999999999</v>
      </c>
      <c r="AZ686" s="78">
        <v>65.054599999999994</v>
      </c>
      <c r="BA686" s="78">
        <v>27.17323</v>
      </c>
      <c r="BB686" s="78">
        <v>58.964919999999999</v>
      </c>
      <c r="BC686" s="78">
        <v>47.417079999999999</v>
      </c>
      <c r="BD686" s="78">
        <v>54.862119999999997</v>
      </c>
    </row>
    <row r="687" spans="1:56" x14ac:dyDescent="0.2">
      <c r="A687" s="78" t="s">
        <v>835</v>
      </c>
      <c r="B687" s="22">
        <v>39600</v>
      </c>
      <c r="C687" s="22"/>
      <c r="D687" s="22"/>
      <c r="E687" s="22">
        <v>39114</v>
      </c>
      <c r="F687" s="78" t="s">
        <v>819</v>
      </c>
      <c r="G687" s="78">
        <v>45.162219999999998</v>
      </c>
      <c r="I687" s="78">
        <v>30.296050000000001</v>
      </c>
      <c r="J687" s="78">
        <v>55.233260000000001</v>
      </c>
      <c r="K687" s="78">
        <v>63.918030000000002</v>
      </c>
      <c r="L687" s="78">
        <v>38.182850000000002</v>
      </c>
      <c r="M687" s="78">
        <v>26.87182</v>
      </c>
      <c r="N687" s="78">
        <v>33.750660000000003</v>
      </c>
      <c r="O687" s="78">
        <v>43.265630000000002</v>
      </c>
      <c r="P687" s="78">
        <v>59.307009999999998</v>
      </c>
      <c r="R687" s="78">
        <v>62.37133</v>
      </c>
      <c r="S687" s="78">
        <v>73.944460000000007</v>
      </c>
      <c r="AA687" s="78">
        <v>69.001949999999994</v>
      </c>
      <c r="AC687" s="78">
        <v>67.995379999999997</v>
      </c>
      <c r="AD687" s="78">
        <v>31.5383</v>
      </c>
      <c r="AE687" s="78">
        <v>28.772549999999999</v>
      </c>
      <c r="AG687" s="78">
        <v>48.37229</v>
      </c>
      <c r="AH687" s="78">
        <v>52.208289999999998</v>
      </c>
      <c r="AJ687" s="78">
        <v>83.812439999999995</v>
      </c>
      <c r="AK687" s="78">
        <v>52.039090000000002</v>
      </c>
      <c r="AO687" s="78">
        <v>36.061450000000001</v>
      </c>
      <c r="AQ687" s="78">
        <v>65.211979999999997</v>
      </c>
      <c r="AR687" s="78">
        <v>57.448680000000003</v>
      </c>
      <c r="AS687" s="78">
        <v>114.9958</v>
      </c>
      <c r="AT687" s="78">
        <v>46.637949999999996</v>
      </c>
      <c r="AV687" s="78">
        <v>22.26294</v>
      </c>
      <c r="AZ687" s="78">
        <v>66.16</v>
      </c>
      <c r="BA687" s="78">
        <v>27.582059999999998</v>
      </c>
      <c r="BB687" s="78">
        <v>59.096229999999998</v>
      </c>
      <c r="BC687" s="78">
        <v>48.351959999999998</v>
      </c>
      <c r="BD687" s="78">
        <v>55.563180000000003</v>
      </c>
    </row>
    <row r="688" spans="1:56" x14ac:dyDescent="0.2">
      <c r="A688" s="78" t="s">
        <v>836</v>
      </c>
      <c r="B688" s="22">
        <v>39630</v>
      </c>
      <c r="C688" s="22"/>
      <c r="D688" s="22"/>
      <c r="E688" s="22">
        <v>39142</v>
      </c>
      <c r="F688" s="78" t="s">
        <v>820</v>
      </c>
      <c r="G688" s="78">
        <v>45.946730000000002</v>
      </c>
      <c r="I688" s="78">
        <v>30.549469999999999</v>
      </c>
      <c r="J688" s="78">
        <v>55.928139999999999</v>
      </c>
      <c r="K688" s="78">
        <v>63.795859999999998</v>
      </c>
      <c r="L688" s="78">
        <v>38.674660000000003</v>
      </c>
      <c r="M688" s="78">
        <v>27.286190000000001</v>
      </c>
      <c r="N688" s="78">
        <v>35.00224</v>
      </c>
      <c r="O688" s="78">
        <v>44.309089999999998</v>
      </c>
      <c r="P688" s="78">
        <v>59.778030000000001</v>
      </c>
      <c r="R688" s="78">
        <v>63.365870000000001</v>
      </c>
      <c r="S688" s="78">
        <v>74.838579999999993</v>
      </c>
      <c r="AA688" s="78">
        <v>69.840310000000002</v>
      </c>
      <c r="AC688" s="78">
        <v>68.322190000000006</v>
      </c>
      <c r="AD688" s="78">
        <v>31.927959999999999</v>
      </c>
      <c r="AE688" s="78">
        <v>29.65061</v>
      </c>
      <c r="AG688" s="78">
        <v>49.965919999999997</v>
      </c>
      <c r="AH688" s="78">
        <v>52.526859999999999</v>
      </c>
      <c r="AJ688" s="78">
        <v>83.869709999999998</v>
      </c>
      <c r="AK688" s="78">
        <v>52.376840000000001</v>
      </c>
      <c r="AO688" s="78">
        <v>36.565159999999999</v>
      </c>
      <c r="AQ688" s="78">
        <v>66.679280000000006</v>
      </c>
      <c r="AR688" s="78">
        <v>57.828180000000003</v>
      </c>
      <c r="AS688" s="78">
        <v>115.97969999999999</v>
      </c>
      <c r="AT688" s="78">
        <v>46.970869999999998</v>
      </c>
      <c r="AV688" s="78">
        <v>22.258189999999999</v>
      </c>
      <c r="AZ688" s="78">
        <v>66.901759999999996</v>
      </c>
      <c r="BA688" s="78">
        <v>27.869959999999999</v>
      </c>
      <c r="BB688" s="78">
        <v>59.377110000000002</v>
      </c>
      <c r="BC688" s="78">
        <v>49.803989999999999</v>
      </c>
      <c r="BD688" s="78">
        <v>56.121130000000001</v>
      </c>
    </row>
    <row r="689" spans="1:56" x14ac:dyDescent="0.2">
      <c r="A689" s="78" t="s">
        <v>837</v>
      </c>
      <c r="B689" s="22">
        <v>39661</v>
      </c>
      <c r="C689" s="22"/>
      <c r="D689" s="22"/>
      <c r="E689" s="22">
        <v>39173</v>
      </c>
      <c r="F689" s="78" t="s">
        <v>821</v>
      </c>
      <c r="G689" s="78">
        <v>46.644379999999998</v>
      </c>
      <c r="I689" s="78">
        <v>31.036020000000001</v>
      </c>
      <c r="J689" s="78">
        <v>56.261890000000001</v>
      </c>
      <c r="K689" s="78">
        <v>63.68486</v>
      </c>
      <c r="L689" s="78">
        <v>39.03443</v>
      </c>
      <c r="M689" s="78">
        <v>27.575430000000001</v>
      </c>
      <c r="N689" s="78">
        <v>35.916139999999999</v>
      </c>
      <c r="O689" s="78">
        <v>44.94453</v>
      </c>
      <c r="P689" s="78">
        <v>60.853430000000003</v>
      </c>
      <c r="R689" s="78">
        <v>63.761920000000003</v>
      </c>
      <c r="S689" s="78">
        <v>75.876249999999999</v>
      </c>
      <c r="AA689" s="78">
        <v>70.670760000000001</v>
      </c>
      <c r="AC689" s="78">
        <v>68.581630000000004</v>
      </c>
      <c r="AD689" s="78">
        <v>32.265810000000002</v>
      </c>
      <c r="AE689" s="78">
        <v>30.16648</v>
      </c>
      <c r="AG689" s="78">
        <v>51.808340000000001</v>
      </c>
      <c r="AH689" s="78">
        <v>52.845489999999998</v>
      </c>
      <c r="AJ689" s="78">
        <v>83.918790000000001</v>
      </c>
      <c r="AK689" s="78">
        <v>52.779620000000001</v>
      </c>
      <c r="AO689" s="78">
        <v>36.677660000000003</v>
      </c>
      <c r="AQ689" s="78">
        <v>67.27422</v>
      </c>
      <c r="AR689" s="78">
        <v>58.301459999999999</v>
      </c>
      <c r="AS689" s="78">
        <v>117.247</v>
      </c>
      <c r="AT689" s="78">
        <v>47.433929999999997</v>
      </c>
      <c r="AV689" s="78">
        <v>23.400749999999999</v>
      </c>
      <c r="AZ689" s="78">
        <v>67.527339999999995</v>
      </c>
      <c r="BA689" s="78">
        <v>28.217420000000001</v>
      </c>
      <c r="BB689" s="78">
        <v>59.977939999999997</v>
      </c>
      <c r="BC689" s="78">
        <v>50.814749999999997</v>
      </c>
      <c r="BD689" s="78">
        <v>56.939140000000002</v>
      </c>
    </row>
    <row r="690" spans="1:56" x14ac:dyDescent="0.2">
      <c r="A690" s="78" t="s">
        <v>838</v>
      </c>
      <c r="B690" s="22">
        <v>39692</v>
      </c>
      <c r="C690" s="22"/>
      <c r="D690" s="22"/>
      <c r="E690" s="22">
        <v>39203</v>
      </c>
      <c r="F690" s="78" t="s">
        <v>822</v>
      </c>
      <c r="G690" s="78">
        <v>47.227150000000002</v>
      </c>
      <c r="I690" s="78">
        <v>31.629110000000001</v>
      </c>
      <c r="J690" s="78">
        <v>56.750149999999998</v>
      </c>
      <c r="K690" s="78">
        <v>63.743270000000003</v>
      </c>
      <c r="L690" s="78">
        <v>39.428019999999997</v>
      </c>
      <c r="M690" s="78">
        <v>27.89254</v>
      </c>
      <c r="N690" s="78">
        <v>36.439160000000001</v>
      </c>
      <c r="O690" s="78">
        <v>45.130710000000001</v>
      </c>
      <c r="P690" s="78">
        <v>62.24747</v>
      </c>
      <c r="R690" s="78">
        <v>63.845419999999997</v>
      </c>
      <c r="S690" s="78">
        <v>76.593559999999997</v>
      </c>
      <c r="AA690" s="78">
        <v>71.797520000000006</v>
      </c>
      <c r="AC690" s="78">
        <v>68.940470000000005</v>
      </c>
      <c r="AD690" s="78">
        <v>32.474440000000001</v>
      </c>
      <c r="AE690" s="78">
        <v>30.239100000000001</v>
      </c>
      <c r="AG690" s="78">
        <v>53.679009999999998</v>
      </c>
      <c r="AH690" s="78">
        <v>53.191369999999999</v>
      </c>
      <c r="AJ690" s="78">
        <v>83.935140000000004</v>
      </c>
      <c r="AK690" s="78">
        <v>53.353630000000003</v>
      </c>
      <c r="AO690" s="78">
        <v>36.801319999999997</v>
      </c>
      <c r="AQ690" s="78">
        <v>67.853359999999995</v>
      </c>
      <c r="AR690" s="78">
        <v>58.586539999999999</v>
      </c>
      <c r="AS690" s="78">
        <v>117.9687</v>
      </c>
      <c r="AT690" s="78">
        <v>47.786720000000003</v>
      </c>
      <c r="AV690" s="78">
        <v>24.508949999999999</v>
      </c>
      <c r="AZ690" s="78">
        <v>68.172309999999996</v>
      </c>
      <c r="BA690" s="78">
        <v>28.756170000000001</v>
      </c>
      <c r="BB690" s="78">
        <v>60.090949999999999</v>
      </c>
      <c r="BC690" s="78">
        <v>51.801450000000003</v>
      </c>
      <c r="BD690" s="78">
        <v>57.643439999999998</v>
      </c>
    </row>
    <row r="691" spans="1:56" x14ac:dyDescent="0.2">
      <c r="A691" s="78" t="s">
        <v>839</v>
      </c>
      <c r="B691" s="22">
        <v>39722</v>
      </c>
      <c r="C691" s="22"/>
      <c r="D691" s="22"/>
      <c r="E691" s="22">
        <v>39234</v>
      </c>
      <c r="F691" s="78" t="s">
        <v>823</v>
      </c>
      <c r="G691" s="78">
        <v>48.081699999999998</v>
      </c>
      <c r="I691" s="78">
        <v>32.080010000000001</v>
      </c>
      <c r="J691" s="78">
        <v>57.096139999999998</v>
      </c>
      <c r="K691" s="78">
        <v>63.795929999999998</v>
      </c>
      <c r="L691" s="78">
        <v>39.955019999999998</v>
      </c>
      <c r="M691" s="78">
        <v>28.22035</v>
      </c>
      <c r="N691" s="78">
        <v>36.507300000000001</v>
      </c>
      <c r="O691" s="78">
        <v>45.97916</v>
      </c>
      <c r="P691" s="78">
        <v>62.695959999999999</v>
      </c>
      <c r="R691" s="78">
        <v>64.894779999999997</v>
      </c>
      <c r="S691" s="78">
        <v>77.375900000000001</v>
      </c>
      <c r="AA691" s="78">
        <v>72.837450000000004</v>
      </c>
      <c r="AC691" s="78">
        <v>69.868120000000005</v>
      </c>
      <c r="AD691" s="78">
        <v>32.993130000000001</v>
      </c>
      <c r="AE691" s="78">
        <v>30.801919999999999</v>
      </c>
      <c r="AG691" s="78">
        <v>55.583869999999997</v>
      </c>
      <c r="AH691" s="78">
        <v>53.676459999999999</v>
      </c>
      <c r="AJ691" s="78">
        <v>84.000579999999999</v>
      </c>
      <c r="AK691" s="78">
        <v>53.800170000000001</v>
      </c>
      <c r="AO691" s="78">
        <v>37.250920000000001</v>
      </c>
      <c r="AQ691" s="78">
        <v>69.267480000000006</v>
      </c>
      <c r="AR691" s="78">
        <v>58.994439999999997</v>
      </c>
      <c r="AS691" s="78">
        <v>118.48350000000001</v>
      </c>
      <c r="AT691" s="78">
        <v>47.96987</v>
      </c>
      <c r="AV691" s="78">
        <v>25.321210000000001</v>
      </c>
      <c r="AZ691" s="78">
        <v>68.995710000000003</v>
      </c>
      <c r="BA691" s="78">
        <v>29.294119999999999</v>
      </c>
      <c r="BB691" s="78">
        <v>60.366849999999999</v>
      </c>
      <c r="BC691" s="78">
        <v>52.869950000000003</v>
      </c>
      <c r="BD691" s="78">
        <v>57.967320000000001</v>
      </c>
    </row>
    <row r="692" spans="1:56" x14ac:dyDescent="0.2">
      <c r="A692" s="78" t="s">
        <v>840</v>
      </c>
      <c r="B692" s="22">
        <v>39753</v>
      </c>
      <c r="C692" s="22"/>
      <c r="D692" s="22"/>
      <c r="E692" s="22">
        <v>39264</v>
      </c>
      <c r="F692" s="78" t="s">
        <v>824</v>
      </c>
      <c r="G692" s="78">
        <v>49.028709999999997</v>
      </c>
      <c r="I692" s="78">
        <v>32.118609999999997</v>
      </c>
      <c r="J692" s="78">
        <v>57.728059999999999</v>
      </c>
      <c r="K692" s="78">
        <v>63.772010000000002</v>
      </c>
      <c r="L692" s="78">
        <v>40.548949999999998</v>
      </c>
      <c r="M692" s="78">
        <v>28.708850000000002</v>
      </c>
      <c r="N692" s="78">
        <v>36.731180000000002</v>
      </c>
      <c r="O692" s="78">
        <v>46.756019999999999</v>
      </c>
      <c r="P692" s="78">
        <v>63.094239999999999</v>
      </c>
      <c r="R692" s="78">
        <v>66.213139999999996</v>
      </c>
      <c r="S692" s="78">
        <v>77.995919999999998</v>
      </c>
      <c r="AA692" s="78">
        <v>73.674220000000005</v>
      </c>
      <c r="AC692" s="78">
        <v>70.82602</v>
      </c>
      <c r="AD692" s="78">
        <v>33.825229999999998</v>
      </c>
      <c r="AE692" s="78">
        <v>31.543289999999999</v>
      </c>
      <c r="AG692" s="78">
        <v>57.63438</v>
      </c>
      <c r="AH692" s="78">
        <v>54.657080000000001</v>
      </c>
      <c r="AJ692" s="78">
        <v>83.992400000000004</v>
      </c>
      <c r="AK692" s="78">
        <v>54.178100000000001</v>
      </c>
      <c r="AO692" s="78">
        <v>37.356490000000001</v>
      </c>
      <c r="AQ692" s="78">
        <v>70.151079999999993</v>
      </c>
      <c r="AR692" s="78">
        <v>59.35427</v>
      </c>
      <c r="AS692" s="78">
        <v>119.0472</v>
      </c>
      <c r="AT692" s="78">
        <v>48.463050000000003</v>
      </c>
      <c r="AV692" s="78">
        <v>26.264399999999998</v>
      </c>
      <c r="AZ692" s="78">
        <v>69.627039999999994</v>
      </c>
      <c r="BA692" s="78">
        <v>29.790320000000001</v>
      </c>
      <c r="BB692" s="78">
        <v>60.618650000000002</v>
      </c>
      <c r="BC692" s="78">
        <v>53.788110000000003</v>
      </c>
      <c r="BD692" s="78">
        <v>58.310679999999998</v>
      </c>
    </row>
    <row r="693" spans="1:56" x14ac:dyDescent="0.2">
      <c r="A693" s="78" t="s">
        <v>841</v>
      </c>
      <c r="B693" s="22">
        <v>39783</v>
      </c>
      <c r="C693" s="22"/>
      <c r="D693" s="22"/>
      <c r="E693" s="22">
        <v>39295</v>
      </c>
      <c r="F693" s="78" t="s">
        <v>825</v>
      </c>
      <c r="G693" s="78">
        <v>49.852440000000001</v>
      </c>
      <c r="I693" s="78">
        <v>31.974779999999999</v>
      </c>
      <c r="J693" s="78">
        <v>58.795200000000001</v>
      </c>
      <c r="K693" s="78">
        <v>63.605550000000001</v>
      </c>
      <c r="L693" s="78">
        <v>41.011629999999997</v>
      </c>
      <c r="M693" s="78">
        <v>29.216699999999999</v>
      </c>
      <c r="N693" s="78">
        <v>37.057679999999998</v>
      </c>
      <c r="O693" s="78">
        <v>47.483229999999999</v>
      </c>
      <c r="P693" s="78">
        <v>63.85078</v>
      </c>
      <c r="R693" s="78">
        <v>67.424120000000002</v>
      </c>
      <c r="S693" s="78">
        <v>78.286559999999994</v>
      </c>
      <c r="AA693" s="78">
        <v>74.387789999999995</v>
      </c>
      <c r="AC693" s="78">
        <v>71.766170000000002</v>
      </c>
      <c r="AD693" s="78">
        <v>34.364319999999999</v>
      </c>
      <c r="AE693" s="78">
        <v>32.065289999999997</v>
      </c>
      <c r="AG693" s="78">
        <v>59.668559999999999</v>
      </c>
      <c r="AH693" s="78">
        <v>54.991320000000002</v>
      </c>
      <c r="AJ693" s="78">
        <v>83.877880000000005</v>
      </c>
      <c r="AK693" s="78">
        <v>54.608519999999999</v>
      </c>
      <c r="AO693" s="78">
        <v>38.263919999999999</v>
      </c>
      <c r="AQ693" s="78">
        <v>70.954189999999997</v>
      </c>
      <c r="AR693" s="78">
        <v>59.95628</v>
      </c>
      <c r="AS693" s="78">
        <v>119.9195</v>
      </c>
      <c r="AT693" s="78">
        <v>49.24147</v>
      </c>
      <c r="AV693" s="78">
        <v>26.742909999999998</v>
      </c>
      <c r="AZ693" s="78">
        <v>70.861760000000004</v>
      </c>
      <c r="BA693" s="78">
        <v>30.188009999999998</v>
      </c>
      <c r="BB693" s="78">
        <v>61.253549999999997</v>
      </c>
      <c r="BC693" s="78">
        <v>55.006120000000003</v>
      </c>
      <c r="BD693" s="78">
        <v>58.54468</v>
      </c>
    </row>
    <row r="694" spans="1:56" x14ac:dyDescent="0.2">
      <c r="A694" s="78" t="s">
        <v>842</v>
      </c>
      <c r="B694" s="22">
        <v>39814</v>
      </c>
      <c r="C694" s="22"/>
      <c r="D694" s="22"/>
      <c r="E694" s="22">
        <v>39326</v>
      </c>
      <c r="F694" s="78" t="s">
        <v>826</v>
      </c>
      <c r="G694" s="78">
        <v>50.765830000000001</v>
      </c>
      <c r="I694" s="78">
        <v>32.402279999999998</v>
      </c>
      <c r="J694" s="78">
        <v>59.885249999999999</v>
      </c>
      <c r="K694" s="78">
        <v>63.853119999999997</v>
      </c>
      <c r="L694" s="78">
        <v>41.265740000000001</v>
      </c>
      <c r="M694" s="78">
        <v>29.65757</v>
      </c>
      <c r="N694" s="78">
        <v>37.62594</v>
      </c>
      <c r="O694" s="78">
        <v>48.572499999999998</v>
      </c>
      <c r="P694" s="78">
        <v>63.972760000000001</v>
      </c>
      <c r="R694" s="78">
        <v>68.350539999999995</v>
      </c>
      <c r="S694" s="78">
        <v>78.744979999999998</v>
      </c>
      <c r="AA694" s="78">
        <v>74.882890000000003</v>
      </c>
      <c r="AC694" s="78">
        <v>72.73639</v>
      </c>
      <c r="AD694" s="78">
        <v>34.667859999999997</v>
      </c>
      <c r="AE694" s="78">
        <v>32.656680000000001</v>
      </c>
      <c r="AG694" s="78">
        <v>61.786200000000001</v>
      </c>
      <c r="AH694" s="78">
        <v>55.017420000000001</v>
      </c>
      <c r="AJ694" s="78">
        <v>83.967860000000002</v>
      </c>
      <c r="AK694" s="78">
        <v>55.331150000000001</v>
      </c>
      <c r="AO694" s="78">
        <v>39.205599999999997</v>
      </c>
      <c r="AQ694" s="78">
        <v>71.822149999999993</v>
      </c>
      <c r="AR694" s="78">
        <v>60.317749999999997</v>
      </c>
      <c r="AS694" s="78">
        <v>120.99930000000001</v>
      </c>
      <c r="AT694" s="78">
        <v>49.738889999999998</v>
      </c>
      <c r="AV694" s="78">
        <v>27.16187</v>
      </c>
      <c r="AZ694" s="78">
        <v>72.913730000000001</v>
      </c>
      <c r="BA694" s="78">
        <v>30.19838</v>
      </c>
      <c r="BB694" s="78">
        <v>61.405630000000002</v>
      </c>
      <c r="BC694" s="78">
        <v>55.895180000000003</v>
      </c>
      <c r="BD694" s="78">
        <v>59.131999999999998</v>
      </c>
    </row>
    <row r="695" spans="1:56" x14ac:dyDescent="0.2">
      <c r="A695" s="78" t="s">
        <v>843</v>
      </c>
      <c r="B695" s="22">
        <v>39845</v>
      </c>
      <c r="C695" s="22"/>
      <c r="D695" s="22"/>
      <c r="E695" s="22">
        <v>39356</v>
      </c>
      <c r="F695" s="78" t="s">
        <v>827</v>
      </c>
      <c r="G695" s="78">
        <v>51.86974</v>
      </c>
      <c r="I695" s="78">
        <v>33.05077</v>
      </c>
      <c r="J695" s="78">
        <v>59.931980000000003</v>
      </c>
      <c r="K695" s="78">
        <v>64.202430000000007</v>
      </c>
      <c r="L695" s="78">
        <v>41.627949999999998</v>
      </c>
      <c r="M695" s="78">
        <v>30.129449999999999</v>
      </c>
      <c r="N695" s="78">
        <v>38.688020000000002</v>
      </c>
      <c r="O695" s="78">
        <v>49.402940000000001</v>
      </c>
      <c r="P695" s="78">
        <v>64.391050000000007</v>
      </c>
      <c r="R695" s="78">
        <v>68.834320000000005</v>
      </c>
      <c r="S695" s="78">
        <v>79.670310000000001</v>
      </c>
      <c r="AA695" s="78">
        <v>74.955719999999999</v>
      </c>
      <c r="AC695" s="78">
        <v>73.884230000000002</v>
      </c>
      <c r="AD695" s="78">
        <v>34.967790000000001</v>
      </c>
      <c r="AE695" s="78">
        <v>33.281860000000002</v>
      </c>
      <c r="AG695" s="78">
        <v>64.061580000000006</v>
      </c>
      <c r="AH695" s="78">
        <v>55.234369999999998</v>
      </c>
      <c r="AJ695" s="78">
        <v>84.196899999999999</v>
      </c>
      <c r="AK695" s="78">
        <v>55.924779999999998</v>
      </c>
      <c r="AO695" s="78">
        <v>39.368340000000003</v>
      </c>
      <c r="AQ695" s="78">
        <v>72.584500000000006</v>
      </c>
      <c r="AR695" s="78">
        <v>60.546700000000001</v>
      </c>
      <c r="AS695" s="78">
        <v>122.14960000000001</v>
      </c>
      <c r="AT695" s="78">
        <v>50.051679999999998</v>
      </c>
      <c r="AV695" s="78">
        <v>28.159079999999999</v>
      </c>
      <c r="AZ695" s="78">
        <v>74.872450000000001</v>
      </c>
      <c r="BA695" s="78">
        <v>30.14376</v>
      </c>
      <c r="BB695" s="78">
        <v>61.518650000000001</v>
      </c>
      <c r="BC695" s="78">
        <v>56.374130000000001</v>
      </c>
      <c r="BD695" s="78">
        <v>59.867440000000002</v>
      </c>
    </row>
    <row r="696" spans="1:56" x14ac:dyDescent="0.2">
      <c r="A696" s="78" t="s">
        <v>844</v>
      </c>
      <c r="B696" s="22">
        <v>39873</v>
      </c>
      <c r="C696" s="22"/>
      <c r="D696" s="22"/>
      <c r="E696" s="22">
        <v>39387</v>
      </c>
      <c r="F696" s="78" t="s">
        <v>828</v>
      </c>
      <c r="G696" s="78">
        <v>53.262230000000002</v>
      </c>
      <c r="I696" s="78">
        <v>33.808259999999997</v>
      </c>
      <c r="J696" s="78">
        <v>60.725290000000001</v>
      </c>
      <c r="K696" s="78">
        <v>64.423670000000001</v>
      </c>
      <c r="L696" s="78">
        <v>42.276969999999999</v>
      </c>
      <c r="M696" s="78">
        <v>30.571639999999999</v>
      </c>
      <c r="N696" s="78">
        <v>39.211640000000003</v>
      </c>
      <c r="O696" s="78">
        <v>50.066899999999997</v>
      </c>
      <c r="P696" s="78">
        <v>65.698980000000006</v>
      </c>
      <c r="R696" s="78">
        <v>69.554220000000001</v>
      </c>
      <c r="S696" s="78">
        <v>80.605400000000003</v>
      </c>
      <c r="AA696" s="78">
        <v>75.227630000000005</v>
      </c>
      <c r="AC696" s="78">
        <v>74.449749999999995</v>
      </c>
      <c r="AD696" s="78">
        <v>35.353549999999998</v>
      </c>
      <c r="AE696" s="78">
        <v>33.840769999999999</v>
      </c>
      <c r="AG696" s="78">
        <v>66.1571</v>
      </c>
      <c r="AH696" s="78">
        <v>54.910919999999997</v>
      </c>
      <c r="AJ696" s="78">
        <v>84.295060000000007</v>
      </c>
      <c r="AK696" s="78">
        <v>56.385829999999999</v>
      </c>
      <c r="AO696" s="78">
        <v>39.875210000000003</v>
      </c>
      <c r="AQ696" s="78">
        <v>72.825990000000004</v>
      </c>
      <c r="AR696" s="78">
        <v>60.904859999999999</v>
      </c>
      <c r="AS696" s="78">
        <v>123.10039999999999</v>
      </c>
      <c r="AT696" s="78">
        <v>50.557560000000002</v>
      </c>
      <c r="AV696" s="78">
        <v>28.78284</v>
      </c>
      <c r="AZ696" s="78">
        <v>76.274349999999998</v>
      </c>
      <c r="BA696" s="78">
        <v>30.360720000000001</v>
      </c>
      <c r="BB696" s="78">
        <v>61.726399999999998</v>
      </c>
      <c r="BC696" s="78">
        <v>57.295340000000003</v>
      </c>
      <c r="BD696" s="78">
        <v>60.213250000000002</v>
      </c>
    </row>
    <row r="697" spans="1:56" x14ac:dyDescent="0.2">
      <c r="A697" s="78" t="s">
        <v>845</v>
      </c>
      <c r="B697" s="22">
        <v>39904</v>
      </c>
      <c r="C697" s="22"/>
      <c r="D697" s="22"/>
      <c r="E697" s="22">
        <v>39417</v>
      </c>
      <c r="F697" s="78" t="s">
        <v>829</v>
      </c>
      <c r="G697" s="78">
        <v>54.198030000000003</v>
      </c>
      <c r="I697" s="78">
        <v>34.408369999999998</v>
      </c>
      <c r="J697" s="78">
        <v>61.193179999999998</v>
      </c>
      <c r="K697" s="78">
        <v>64.834959999999995</v>
      </c>
      <c r="L697" s="78">
        <v>42.950920000000004</v>
      </c>
      <c r="M697" s="78">
        <v>30.78556</v>
      </c>
      <c r="N697" s="78">
        <v>39.405090000000001</v>
      </c>
      <c r="O697" s="78">
        <v>50.606299999999997</v>
      </c>
      <c r="P697" s="78">
        <v>67.017629999999997</v>
      </c>
      <c r="R697" s="78">
        <v>71.035899999999998</v>
      </c>
      <c r="S697" s="78">
        <v>81.507710000000003</v>
      </c>
      <c r="AA697" s="78">
        <v>76.379679999999993</v>
      </c>
      <c r="AC697" s="78">
        <v>74.567120000000003</v>
      </c>
      <c r="AD697" s="78">
        <v>36.256169999999997</v>
      </c>
      <c r="AE697" s="78">
        <v>34.405349999999999</v>
      </c>
      <c r="AG697" s="78">
        <v>68.105490000000003</v>
      </c>
      <c r="AH697" s="78">
        <v>54.985729999999997</v>
      </c>
      <c r="AJ697" s="78">
        <v>84.401409999999998</v>
      </c>
      <c r="AK697" s="78">
        <v>57.173850000000002</v>
      </c>
      <c r="AO697" s="78">
        <v>40.279559999999996</v>
      </c>
      <c r="AQ697" s="78">
        <v>73.804090000000002</v>
      </c>
      <c r="AR697" s="78">
        <v>61.31174</v>
      </c>
      <c r="AS697" s="78">
        <v>123.2865</v>
      </c>
      <c r="AT697" s="78">
        <v>51.106830000000002</v>
      </c>
      <c r="AV697" s="78">
        <v>28.32732</v>
      </c>
      <c r="AZ697" s="78">
        <v>76.526719999999997</v>
      </c>
      <c r="BA697" s="78">
        <v>30.784009999999999</v>
      </c>
      <c r="BB697" s="78">
        <v>61.977370000000001</v>
      </c>
      <c r="BC697" s="78">
        <v>58.357039999999998</v>
      </c>
      <c r="BD697" s="78">
        <v>60.700969999999998</v>
      </c>
    </row>
    <row r="698" spans="1:56" x14ac:dyDescent="0.2">
      <c r="A698" s="78" t="s">
        <v>846</v>
      </c>
      <c r="B698" s="22">
        <v>39934</v>
      </c>
      <c r="C698" s="22"/>
      <c r="D698" s="22"/>
      <c r="E698" s="22">
        <v>39448</v>
      </c>
      <c r="F698" s="78" t="s">
        <v>830</v>
      </c>
      <c r="G698" s="78">
        <v>54.806019999999997</v>
      </c>
      <c r="I698" s="78">
        <v>34.760440000000003</v>
      </c>
      <c r="J698" s="78">
        <v>61.879379999999998</v>
      </c>
      <c r="K698" s="78">
        <v>64.969390000000004</v>
      </c>
      <c r="L698" s="78">
        <v>43.468919999999997</v>
      </c>
      <c r="M698" s="78">
        <v>31.194410000000001</v>
      </c>
      <c r="N698" s="78">
        <v>39.673679999999997</v>
      </c>
      <c r="O698" s="78">
        <v>52.475650000000002</v>
      </c>
      <c r="P698" s="78">
        <v>67.82338</v>
      </c>
      <c r="R698" s="78">
        <v>72.266850000000005</v>
      </c>
      <c r="S698" s="78">
        <v>82.413989999999998</v>
      </c>
      <c r="AA698" s="78">
        <v>78.344610000000003</v>
      </c>
      <c r="AC698" s="78">
        <v>75.076689999999999</v>
      </c>
      <c r="AD698" s="78">
        <v>36.76052</v>
      </c>
      <c r="AE698" s="78">
        <v>34.974159999999998</v>
      </c>
      <c r="AG698" s="78">
        <v>70.053809999999999</v>
      </c>
      <c r="AH698" s="78">
        <v>55.346939999999996</v>
      </c>
      <c r="AJ698" s="78">
        <v>84.458659999999995</v>
      </c>
      <c r="AK698" s="78">
        <v>57.902430000000003</v>
      </c>
      <c r="AO698" s="78">
        <v>40.804259999999999</v>
      </c>
      <c r="AQ698" s="78">
        <v>72.669730000000001</v>
      </c>
      <c r="AR698" s="78">
        <v>61.783410000000003</v>
      </c>
      <c r="AS698" s="78">
        <v>123.5086</v>
      </c>
      <c r="AT698" s="78">
        <v>51.880929999999999</v>
      </c>
      <c r="AV698" s="78">
        <v>29.825140000000001</v>
      </c>
      <c r="AZ698" s="78">
        <v>75.606899999999996</v>
      </c>
      <c r="BA698" s="78">
        <v>31.3584</v>
      </c>
      <c r="BB698" s="78">
        <v>62.258249999999997</v>
      </c>
      <c r="BC698" s="78">
        <v>59.051430000000003</v>
      </c>
      <c r="BD698" s="78">
        <v>61.483069999999998</v>
      </c>
    </row>
    <row r="699" spans="1:56" x14ac:dyDescent="0.2">
      <c r="A699" s="78" t="s">
        <v>847</v>
      </c>
      <c r="B699" s="22">
        <v>39965</v>
      </c>
      <c r="C699" s="22"/>
      <c r="D699" s="22"/>
      <c r="E699" s="22">
        <v>39479</v>
      </c>
      <c r="F699" s="78" t="s">
        <v>831</v>
      </c>
      <c r="G699" s="78">
        <v>55.371989999999997</v>
      </c>
      <c r="I699" s="78">
        <v>35.184019999999997</v>
      </c>
      <c r="J699" s="78">
        <v>61.957799999999999</v>
      </c>
      <c r="K699" s="78">
        <v>64.900509999999997</v>
      </c>
      <c r="L699" s="78">
        <v>43.895719999999997</v>
      </c>
      <c r="M699" s="78">
        <v>31.742619999999999</v>
      </c>
      <c r="N699" s="78">
        <v>40.018210000000003</v>
      </c>
      <c r="O699" s="78">
        <v>54.655320000000003</v>
      </c>
      <c r="P699" s="78">
        <v>68.175340000000006</v>
      </c>
      <c r="R699" s="78">
        <v>74.409930000000003</v>
      </c>
      <c r="S699" s="78">
        <v>82.953959999999995</v>
      </c>
      <c r="AA699" s="78">
        <v>79.944940000000003</v>
      </c>
      <c r="AC699" s="78">
        <v>76.736270000000005</v>
      </c>
      <c r="AD699" s="78">
        <v>36.869160000000001</v>
      </c>
      <c r="AE699" s="78">
        <v>35.612389999999998</v>
      </c>
      <c r="AG699" s="78">
        <v>71.939319999999995</v>
      </c>
      <c r="AH699" s="78">
        <v>55.617739999999998</v>
      </c>
      <c r="AJ699" s="78">
        <v>84.524100000000004</v>
      </c>
      <c r="AK699" s="78">
        <v>58.476390000000002</v>
      </c>
      <c r="AO699" s="78">
        <v>41.46519</v>
      </c>
      <c r="AQ699" s="78">
        <v>70.713849999999994</v>
      </c>
      <c r="AR699" s="78">
        <v>62.40972</v>
      </c>
      <c r="AS699" s="78">
        <v>124.1704</v>
      </c>
      <c r="AT699" s="78">
        <v>52.714779999999998</v>
      </c>
      <c r="AV699" s="78">
        <v>31.41817</v>
      </c>
      <c r="AZ699" s="78">
        <v>75.249600000000001</v>
      </c>
      <c r="BA699" s="78">
        <v>31.988990000000001</v>
      </c>
      <c r="BB699" s="78">
        <v>62.962119999999999</v>
      </c>
      <c r="BC699" s="78">
        <v>59.616230000000002</v>
      </c>
      <c r="BD699" s="78">
        <v>61.656979999999997</v>
      </c>
    </row>
    <row r="700" spans="1:56" x14ac:dyDescent="0.2">
      <c r="A700" s="78" t="s">
        <v>848</v>
      </c>
      <c r="B700" s="22">
        <v>39995</v>
      </c>
      <c r="C700" s="22"/>
      <c r="D700" s="22"/>
      <c r="E700" s="22">
        <v>39508</v>
      </c>
      <c r="F700" s="78" t="s">
        <v>832</v>
      </c>
      <c r="G700" s="78">
        <v>55.851089999999999</v>
      </c>
      <c r="I700" s="78">
        <v>35.567729999999997</v>
      </c>
      <c r="J700" s="78">
        <v>62.953809999999997</v>
      </c>
      <c r="K700" s="78">
        <v>65.151409999999998</v>
      </c>
      <c r="L700" s="78">
        <v>44.26728</v>
      </c>
      <c r="M700" s="78">
        <v>31.83541</v>
      </c>
      <c r="N700" s="78">
        <v>40.229410000000001</v>
      </c>
      <c r="O700" s="78">
        <v>55.519539999999999</v>
      </c>
      <c r="P700" s="78">
        <v>68.431139999999999</v>
      </c>
      <c r="R700" s="78">
        <v>75.565470000000005</v>
      </c>
      <c r="S700" s="78">
        <v>83.384829999999994</v>
      </c>
      <c r="AA700" s="78">
        <v>80.887050000000002</v>
      </c>
      <c r="AC700" s="78">
        <v>78.119150000000005</v>
      </c>
      <c r="AD700" s="78">
        <v>37.092910000000003</v>
      </c>
      <c r="AE700" s="78">
        <v>36.307580000000002</v>
      </c>
      <c r="AG700" s="78">
        <v>73.633979999999994</v>
      </c>
      <c r="AH700" s="78">
        <v>56.008490000000002</v>
      </c>
      <c r="AJ700" s="78">
        <v>84.515919999999994</v>
      </c>
      <c r="AK700" s="78">
        <v>59.305840000000003</v>
      </c>
      <c r="AO700" s="78">
        <v>41.623939999999997</v>
      </c>
      <c r="AQ700" s="78">
        <v>71.062089999999998</v>
      </c>
      <c r="AR700" s="78">
        <v>62.960680000000004</v>
      </c>
      <c r="AS700" s="78">
        <v>124.8982</v>
      </c>
      <c r="AT700" s="78">
        <v>53.27646</v>
      </c>
      <c r="AV700" s="78">
        <v>31.436990000000002</v>
      </c>
      <c r="AZ700" s="78">
        <v>76.116650000000007</v>
      </c>
      <c r="BA700" s="78">
        <v>33.131529999999998</v>
      </c>
      <c r="BB700" s="78">
        <v>63.510599999999997</v>
      </c>
      <c r="BC700" s="78">
        <v>60.48509</v>
      </c>
      <c r="BD700" s="78">
        <v>62.063969999999998</v>
      </c>
    </row>
    <row r="701" spans="1:56" x14ac:dyDescent="0.2">
      <c r="A701" s="78" t="s">
        <v>849</v>
      </c>
      <c r="B701" s="22">
        <v>40026</v>
      </c>
      <c r="C701" s="22"/>
      <c r="D701" s="22"/>
      <c r="E701" s="22">
        <v>39539</v>
      </c>
      <c r="F701" s="78" t="s">
        <v>833</v>
      </c>
      <c r="G701" s="78">
        <v>56.431060000000002</v>
      </c>
      <c r="I701" s="78">
        <v>36.271180000000001</v>
      </c>
      <c r="J701" s="78">
        <v>63.48312</v>
      </c>
      <c r="K701" s="78">
        <v>65.777850000000001</v>
      </c>
      <c r="L701" s="78">
        <v>44.820079999999997</v>
      </c>
      <c r="M701" s="78">
        <v>32.077910000000003</v>
      </c>
      <c r="N701" s="78">
        <v>40.930810000000001</v>
      </c>
      <c r="O701" s="78">
        <v>56.56812</v>
      </c>
      <c r="P701" s="78">
        <v>69.000360000000001</v>
      </c>
      <c r="R701" s="78">
        <v>75.251050000000006</v>
      </c>
      <c r="S701" s="78">
        <v>84.16901</v>
      </c>
      <c r="AA701" s="78">
        <v>81.68571</v>
      </c>
      <c r="AC701" s="78">
        <v>78.174899999999994</v>
      </c>
      <c r="AD701" s="78">
        <v>37.38252</v>
      </c>
      <c r="AE701" s="78">
        <v>36.733040000000003</v>
      </c>
      <c r="AG701" s="78">
        <v>75.221469999999997</v>
      </c>
      <c r="AH701" s="78">
        <v>56.3</v>
      </c>
      <c r="AJ701" s="78">
        <v>84.33596</v>
      </c>
      <c r="AK701" s="78">
        <v>59.965290000000003</v>
      </c>
      <c r="AO701" s="78">
        <v>42.040819999999997</v>
      </c>
      <c r="AQ701" s="78">
        <v>71.387600000000006</v>
      </c>
      <c r="AR701" s="78">
        <v>63.409190000000002</v>
      </c>
      <c r="AS701" s="78">
        <v>125.76860000000001</v>
      </c>
      <c r="AT701" s="78">
        <v>54.210830000000001</v>
      </c>
      <c r="AV701" s="78">
        <v>32.13888</v>
      </c>
      <c r="AZ701" s="78">
        <v>77.634900000000002</v>
      </c>
      <c r="BA701" s="78">
        <v>34.124960000000002</v>
      </c>
      <c r="BB701" s="78">
        <v>63.86544</v>
      </c>
      <c r="BC701" s="78">
        <v>61.638779999999997</v>
      </c>
      <c r="BD701" s="78">
        <v>62.620040000000003</v>
      </c>
    </row>
    <row r="702" spans="1:56" x14ac:dyDescent="0.2">
      <c r="A702" s="78" t="s">
        <v>850</v>
      </c>
      <c r="B702" s="22">
        <v>40057</v>
      </c>
      <c r="C702" s="22"/>
      <c r="D702" s="22"/>
      <c r="E702" s="22">
        <v>39569</v>
      </c>
      <c r="F702" s="78" t="s">
        <v>834</v>
      </c>
      <c r="G702" s="78">
        <v>56.848529999999997</v>
      </c>
      <c r="I702" s="78">
        <v>37.160269999999997</v>
      </c>
      <c r="J702" s="78">
        <v>64.28837</v>
      </c>
      <c r="K702" s="78">
        <v>65.862430000000003</v>
      </c>
      <c r="L702" s="78">
        <v>45.601550000000003</v>
      </c>
      <c r="M702" s="78">
        <v>32.694920000000003</v>
      </c>
      <c r="N702" s="78">
        <v>41.400509999999997</v>
      </c>
      <c r="O702" s="78">
        <v>57.848439999999997</v>
      </c>
      <c r="P702" s="78">
        <v>69.972660000000005</v>
      </c>
      <c r="R702" s="78">
        <v>76.007230000000007</v>
      </c>
      <c r="S702" s="78">
        <v>85.034229999999994</v>
      </c>
      <c r="AA702" s="78">
        <v>81.956320000000005</v>
      </c>
      <c r="AC702" s="78">
        <v>77.543610000000001</v>
      </c>
      <c r="AD702" s="78">
        <v>38.008789999999998</v>
      </c>
      <c r="AE702" s="78">
        <v>37.114199999999997</v>
      </c>
      <c r="AG702" s="78">
        <v>77.154349999999994</v>
      </c>
      <c r="AH702" s="78">
        <v>56.48254</v>
      </c>
      <c r="AJ702" s="78">
        <v>84.491389999999996</v>
      </c>
      <c r="AK702" s="78">
        <v>59.996270000000003</v>
      </c>
      <c r="AO702" s="78">
        <v>42.74259</v>
      </c>
      <c r="AQ702" s="78">
        <v>71.423649999999995</v>
      </c>
      <c r="AR702" s="78">
        <v>63.677869999999999</v>
      </c>
      <c r="AS702" s="78">
        <v>127.4284</v>
      </c>
      <c r="AT702" s="78">
        <v>55.028559999999999</v>
      </c>
      <c r="AV702" s="78">
        <v>32.363349999999997</v>
      </c>
      <c r="AZ702" s="78">
        <v>78.368129999999994</v>
      </c>
      <c r="BA702" s="78">
        <v>34.107469999999999</v>
      </c>
      <c r="BB702" s="78">
        <v>63.964329999999997</v>
      </c>
      <c r="BC702" s="78">
        <v>62.708210000000001</v>
      </c>
      <c r="BD702" s="78">
        <v>62.878509999999999</v>
      </c>
    </row>
    <row r="703" spans="1:56" x14ac:dyDescent="0.2">
      <c r="A703" s="78" t="s">
        <v>851</v>
      </c>
      <c r="B703" s="22">
        <v>40087</v>
      </c>
      <c r="C703" s="22"/>
      <c r="D703" s="22"/>
      <c r="E703" s="22">
        <v>39600</v>
      </c>
      <c r="F703" s="78" t="s">
        <v>835</v>
      </c>
      <c r="G703" s="78">
        <v>57.49015</v>
      </c>
      <c r="I703" s="78">
        <v>37.708179999999999</v>
      </c>
      <c r="J703" s="78">
        <v>65.004810000000006</v>
      </c>
      <c r="K703" s="78">
        <v>65.336600000000004</v>
      </c>
      <c r="L703" s="78">
        <v>46.420589999999997</v>
      </c>
      <c r="M703" s="78">
        <v>33.1325</v>
      </c>
      <c r="N703" s="78">
        <v>41.498890000000003</v>
      </c>
      <c r="O703" s="78">
        <v>58.443150000000003</v>
      </c>
      <c r="P703" s="78">
        <v>70.137129999999999</v>
      </c>
      <c r="R703" s="78">
        <v>76.09008</v>
      </c>
      <c r="S703" s="78">
        <v>85.527950000000004</v>
      </c>
      <c r="AA703" s="78">
        <v>82.279799999999994</v>
      </c>
      <c r="AC703" s="78">
        <v>76.360420000000005</v>
      </c>
      <c r="AD703" s="78">
        <v>38.712090000000003</v>
      </c>
      <c r="AE703" s="78">
        <v>37.702750000000002</v>
      </c>
      <c r="AG703" s="78">
        <v>79.346760000000003</v>
      </c>
      <c r="AH703" s="78">
        <v>56.92803</v>
      </c>
      <c r="AJ703" s="78">
        <v>84.704059999999998</v>
      </c>
      <c r="AK703" s="78">
        <v>60.092680000000001</v>
      </c>
      <c r="AO703" s="78">
        <v>43.064320000000002</v>
      </c>
      <c r="AQ703" s="78">
        <v>71.433369999999996</v>
      </c>
      <c r="AR703" s="78">
        <v>63.881979999999999</v>
      </c>
      <c r="AS703" s="78">
        <v>128.893</v>
      </c>
      <c r="AT703" s="78">
        <v>55.584710000000001</v>
      </c>
      <c r="AV703" s="78">
        <v>32.565980000000003</v>
      </c>
      <c r="AZ703" s="78">
        <v>77.322559999999996</v>
      </c>
      <c r="BA703" s="78">
        <v>34.169240000000002</v>
      </c>
      <c r="BB703" s="78">
        <v>64.109759999999994</v>
      </c>
      <c r="BC703" s="78">
        <v>63.612029999999997</v>
      </c>
      <c r="BD703" s="78">
        <v>63.655560000000001</v>
      </c>
    </row>
    <row r="704" spans="1:56" x14ac:dyDescent="0.2">
      <c r="A704" s="78" t="s">
        <v>852</v>
      </c>
      <c r="B704" s="22">
        <v>40118</v>
      </c>
      <c r="C704" s="22"/>
      <c r="D704" s="22"/>
      <c r="E704" s="22">
        <v>39630</v>
      </c>
      <c r="F704" s="78" t="s">
        <v>836</v>
      </c>
      <c r="G704" s="78">
        <v>58.630479999999999</v>
      </c>
      <c r="I704" s="78">
        <v>38.336379999999998</v>
      </c>
      <c r="J704" s="78">
        <v>65.184910000000002</v>
      </c>
      <c r="K704" s="78">
        <v>64.908810000000003</v>
      </c>
      <c r="L704" s="78">
        <v>47.14602</v>
      </c>
      <c r="M704" s="78">
        <v>33.48122</v>
      </c>
      <c r="N704" s="78">
        <v>41.961770000000001</v>
      </c>
      <c r="O704" s="78">
        <v>59.167560000000002</v>
      </c>
      <c r="P704" s="78">
        <v>70.633399999999995</v>
      </c>
      <c r="R704" s="78">
        <v>76.083389999999994</v>
      </c>
      <c r="S704" s="78">
        <v>85.755499999999998</v>
      </c>
      <c r="AA704" s="78">
        <v>82.543549999999996</v>
      </c>
      <c r="AC704" s="78">
        <v>77.295810000000003</v>
      </c>
      <c r="AD704" s="78">
        <v>39.122340000000001</v>
      </c>
      <c r="AE704" s="78">
        <v>38.07385</v>
      </c>
      <c r="AG704" s="78">
        <v>81.384540000000001</v>
      </c>
      <c r="AH704" s="78">
        <v>57.630569999999999</v>
      </c>
      <c r="AJ704" s="78">
        <v>84.630439999999993</v>
      </c>
      <c r="AK704" s="78">
        <v>60.570259999999998</v>
      </c>
      <c r="AO704" s="78">
        <v>43.578139999999998</v>
      </c>
      <c r="AQ704" s="78">
        <v>71.630219999999994</v>
      </c>
      <c r="AR704" s="78">
        <v>64.247439999999997</v>
      </c>
      <c r="AS704" s="78">
        <v>129.85980000000001</v>
      </c>
      <c r="AT704" s="78">
        <v>56.544370000000001</v>
      </c>
      <c r="AV704" s="78">
        <v>33.780380000000001</v>
      </c>
      <c r="AZ704" s="78">
        <v>77.429209999999998</v>
      </c>
      <c r="BA704" s="78">
        <v>34.642740000000003</v>
      </c>
      <c r="BB704" s="78">
        <v>64.495350000000002</v>
      </c>
      <c r="BC704" s="78">
        <v>64.287080000000003</v>
      </c>
      <c r="BD704" s="78">
        <v>64.209029999999998</v>
      </c>
    </row>
    <row r="705" spans="1:56" x14ac:dyDescent="0.2">
      <c r="A705" s="78" t="s">
        <v>853</v>
      </c>
      <c r="B705" s="22">
        <v>40148</v>
      </c>
      <c r="C705" s="22"/>
      <c r="D705" s="22"/>
      <c r="E705" s="22">
        <v>39661</v>
      </c>
      <c r="F705" s="78" t="s">
        <v>837</v>
      </c>
      <c r="G705" s="78">
        <v>59.577489999999997</v>
      </c>
      <c r="I705" s="78">
        <v>39.118380000000002</v>
      </c>
      <c r="J705" s="78">
        <v>65.572839999999999</v>
      </c>
      <c r="K705" s="78">
        <v>64.898809999999997</v>
      </c>
      <c r="L705" s="78">
        <v>47.96604</v>
      </c>
      <c r="M705" s="78">
        <v>33.907310000000003</v>
      </c>
      <c r="N705" s="78">
        <v>42.71848</v>
      </c>
      <c r="O705" s="78">
        <v>59.955970000000001</v>
      </c>
      <c r="P705" s="78">
        <v>71.887429999999995</v>
      </c>
      <c r="R705" s="78">
        <v>76.348560000000006</v>
      </c>
      <c r="S705" s="78">
        <v>86.019930000000002</v>
      </c>
      <c r="AA705" s="78">
        <v>83.180989999999994</v>
      </c>
      <c r="AC705" s="78">
        <v>78.290869999999998</v>
      </c>
      <c r="AD705" s="78">
        <v>39.02028</v>
      </c>
      <c r="AE705" s="78">
        <v>38.668199999999999</v>
      </c>
      <c r="AG705" s="78">
        <v>83.357770000000002</v>
      </c>
      <c r="AH705" s="78">
        <v>58.264519999999997</v>
      </c>
      <c r="AJ705" s="78">
        <v>84.720420000000004</v>
      </c>
      <c r="AK705" s="78">
        <v>61.014539999999997</v>
      </c>
      <c r="AO705" s="78">
        <v>44.083019999999998</v>
      </c>
      <c r="AQ705" s="78">
        <v>72.062939999999998</v>
      </c>
      <c r="AR705" s="78">
        <v>64.549769999999995</v>
      </c>
      <c r="AS705" s="78">
        <v>130.8133</v>
      </c>
      <c r="AT705" s="78">
        <v>57.543460000000003</v>
      </c>
      <c r="AV705" s="78">
        <v>34.526200000000003</v>
      </c>
      <c r="AZ705" s="78">
        <v>78.196529999999996</v>
      </c>
      <c r="BA705" s="78">
        <v>34.801409999999997</v>
      </c>
      <c r="BB705" s="78">
        <v>64.62</v>
      </c>
      <c r="BC705" s="78">
        <v>64.587689999999995</v>
      </c>
      <c r="BD705" s="78">
        <v>64.684349999999995</v>
      </c>
    </row>
    <row r="706" spans="1:56" x14ac:dyDescent="0.2">
      <c r="A706" s="78" t="s">
        <v>854</v>
      </c>
      <c r="B706" s="22">
        <v>40179</v>
      </c>
      <c r="C706" s="22"/>
      <c r="D706" s="22"/>
      <c r="E706" s="22">
        <v>39692</v>
      </c>
      <c r="F706" s="78" t="s">
        <v>838</v>
      </c>
      <c r="G706" s="78">
        <v>60.479669999999999</v>
      </c>
      <c r="I706" s="78">
        <v>39.649090000000001</v>
      </c>
      <c r="J706" s="78">
        <v>65.986189999999993</v>
      </c>
      <c r="K706" s="78">
        <v>65.061040000000006</v>
      </c>
      <c r="L706" s="78">
        <v>48.948410000000003</v>
      </c>
      <c r="M706" s="78">
        <v>34.294800000000002</v>
      </c>
      <c r="N706" s="78">
        <v>43.735210000000002</v>
      </c>
      <c r="O706" s="78">
        <v>60.237969999999997</v>
      </c>
      <c r="P706" s="78">
        <v>72.443749999999994</v>
      </c>
      <c r="R706" s="78">
        <v>76.355500000000006</v>
      </c>
      <c r="S706" s="78">
        <v>86.444519999999997</v>
      </c>
      <c r="AA706" s="78">
        <v>83.614959999999996</v>
      </c>
      <c r="AC706" s="78">
        <v>78.338470000000001</v>
      </c>
      <c r="AD706" s="78">
        <v>39.88288</v>
      </c>
      <c r="AE706" s="78">
        <v>39.343510000000002</v>
      </c>
      <c r="AG706" s="78">
        <v>85.1036</v>
      </c>
      <c r="AH706" s="78">
        <v>58.74342</v>
      </c>
      <c r="AJ706" s="78">
        <v>84.744960000000006</v>
      </c>
      <c r="AK706" s="78">
        <v>61.394089999999998</v>
      </c>
      <c r="AO706" s="78">
        <v>44.230809999999998</v>
      </c>
      <c r="AQ706" s="78">
        <v>72.540660000000003</v>
      </c>
      <c r="AR706" s="78">
        <v>65.025419999999997</v>
      </c>
      <c r="AS706" s="78">
        <v>132.54169999999999</v>
      </c>
      <c r="AT706" s="78">
        <v>58.254370000000002</v>
      </c>
      <c r="AV706" s="78">
        <v>34.960659999999997</v>
      </c>
      <c r="AZ706" s="78">
        <v>77.588790000000003</v>
      </c>
      <c r="BA706" s="78">
        <v>35.525419999999997</v>
      </c>
      <c r="BB706" s="78">
        <v>65.200890000000001</v>
      </c>
      <c r="BC706" s="78">
        <v>65.023700000000005</v>
      </c>
      <c r="BD706" s="78">
        <v>65.164469999999994</v>
      </c>
    </row>
    <row r="707" spans="1:56" x14ac:dyDescent="0.2">
      <c r="A707" s="78" t="s">
        <v>855</v>
      </c>
      <c r="B707" s="22">
        <v>40210</v>
      </c>
      <c r="C707" s="22"/>
      <c r="D707" s="22"/>
      <c r="E707" s="22">
        <v>39722</v>
      </c>
      <c r="F707" s="78" t="s">
        <v>839</v>
      </c>
      <c r="G707" s="78">
        <v>61.41827</v>
      </c>
      <c r="I707" s="78">
        <v>39.989190000000001</v>
      </c>
      <c r="J707" s="78">
        <v>66.433819999999997</v>
      </c>
      <c r="K707" s="78">
        <v>65.254660000000001</v>
      </c>
      <c r="L707" s="78">
        <v>49.968670000000003</v>
      </c>
      <c r="M707" s="78">
        <v>34.72466</v>
      </c>
      <c r="N707" s="78">
        <v>44.486649999999997</v>
      </c>
      <c r="O707" s="78">
        <v>60.530009999999997</v>
      </c>
      <c r="P707" s="78">
        <v>73.061189999999996</v>
      </c>
      <c r="R707" s="78">
        <v>78.055049999999994</v>
      </c>
      <c r="S707" s="78">
        <v>87.356170000000006</v>
      </c>
      <c r="AA707" s="78">
        <v>85.232159999999993</v>
      </c>
      <c r="AC707" s="78">
        <v>79.194909999999993</v>
      </c>
      <c r="AD707" s="78">
        <v>41.230060000000002</v>
      </c>
      <c r="AE707" s="78">
        <v>39.96434</v>
      </c>
      <c r="AG707" s="78">
        <v>86.439819999999997</v>
      </c>
      <c r="AH707" s="78">
        <v>59.625109999999999</v>
      </c>
      <c r="AJ707" s="78">
        <v>84.646799999999999</v>
      </c>
      <c r="AK707" s="78">
        <v>61.702399999999997</v>
      </c>
      <c r="AO707" s="78">
        <v>44.43873</v>
      </c>
      <c r="AQ707" s="78">
        <v>72.887090000000001</v>
      </c>
      <c r="AR707" s="78">
        <v>65.780320000000003</v>
      </c>
      <c r="AS707" s="78">
        <v>133.8674</v>
      </c>
      <c r="AT707" s="78">
        <v>58.755850000000002</v>
      </c>
      <c r="AV707" s="78">
        <v>35.730930000000001</v>
      </c>
      <c r="AZ707" s="78">
        <v>76.96893</v>
      </c>
      <c r="BA707" s="78">
        <v>37.016970000000001</v>
      </c>
      <c r="BB707" s="78">
        <v>66.099220000000003</v>
      </c>
      <c r="BC707" s="78">
        <v>65.777119999999996</v>
      </c>
      <c r="BD707" s="78">
        <v>65.657200000000003</v>
      </c>
    </row>
    <row r="708" spans="1:56" x14ac:dyDescent="0.2">
      <c r="A708" s="78" t="s">
        <v>856</v>
      </c>
      <c r="B708" s="22">
        <v>40238</v>
      </c>
      <c r="C708" s="22"/>
      <c r="D708" s="22"/>
      <c r="E708" s="22">
        <v>39753</v>
      </c>
      <c r="F708" s="78" t="s">
        <v>840</v>
      </c>
      <c r="G708" s="78">
        <v>62.541789999999999</v>
      </c>
      <c r="I708" s="78">
        <v>40.457949999999997</v>
      </c>
      <c r="J708" s="78">
        <v>66.812579999999997</v>
      </c>
      <c r="K708" s="78">
        <v>65.657640000000001</v>
      </c>
      <c r="L708" s="78">
        <v>50.705489999999998</v>
      </c>
      <c r="M708" s="78">
        <v>35.167279999999998</v>
      </c>
      <c r="N708" s="78">
        <v>44.915170000000003</v>
      </c>
      <c r="O708" s="78">
        <v>60.858600000000003</v>
      </c>
      <c r="P708" s="78">
        <v>74.200630000000004</v>
      </c>
      <c r="R708" s="78">
        <v>80.162099999999995</v>
      </c>
      <c r="S708" s="78">
        <v>88.151110000000003</v>
      </c>
      <c r="AA708" s="78">
        <v>88.030270000000002</v>
      </c>
      <c r="AC708" s="78">
        <v>79.823269999999994</v>
      </c>
      <c r="AD708" s="78">
        <v>41.947180000000003</v>
      </c>
      <c r="AE708" s="78">
        <v>40.562559999999998</v>
      </c>
      <c r="AG708" s="78">
        <v>87.785269999999997</v>
      </c>
      <c r="AH708" s="78">
        <v>60.863939999999999</v>
      </c>
      <c r="AJ708" s="78">
        <v>84.834950000000006</v>
      </c>
      <c r="AK708" s="78">
        <v>61.68712</v>
      </c>
      <c r="AO708" s="78">
        <v>44.740789999999997</v>
      </c>
      <c r="AQ708" s="78">
        <v>73.17501</v>
      </c>
      <c r="AR708" s="78">
        <v>66.398949999999999</v>
      </c>
      <c r="AS708" s="78">
        <v>133.1754</v>
      </c>
      <c r="AT708" s="78">
        <v>59.515999999999998</v>
      </c>
      <c r="AV708" s="78">
        <v>35.16283</v>
      </c>
      <c r="AZ708" s="78">
        <v>76.757019999999997</v>
      </c>
      <c r="BA708" s="78">
        <v>38.01305</v>
      </c>
      <c r="BB708" s="78">
        <v>66.519710000000003</v>
      </c>
      <c r="BC708" s="78">
        <v>66.789069999999995</v>
      </c>
      <c r="BD708" s="78">
        <v>66.326660000000004</v>
      </c>
    </row>
    <row r="709" spans="1:56" x14ac:dyDescent="0.2">
      <c r="A709" s="78" t="s">
        <v>857</v>
      </c>
      <c r="B709" s="22">
        <v>40269</v>
      </c>
      <c r="C709" s="22"/>
      <c r="D709" s="22"/>
      <c r="E709" s="22">
        <v>39783</v>
      </c>
      <c r="F709" s="78" t="s">
        <v>841</v>
      </c>
      <c r="G709" s="78">
        <v>63.323500000000003</v>
      </c>
      <c r="I709" s="78">
        <v>40.846890000000002</v>
      </c>
      <c r="J709" s="78">
        <v>66.877260000000007</v>
      </c>
      <c r="K709" s="78">
        <v>66.135409999999993</v>
      </c>
      <c r="L709" s="78">
        <v>51.009050000000002</v>
      </c>
      <c r="M709" s="78">
        <v>35.849809999999998</v>
      </c>
      <c r="N709" s="78">
        <v>45.768569999999997</v>
      </c>
      <c r="O709" s="78">
        <v>61.654499999999999</v>
      </c>
      <c r="P709" s="78">
        <v>76.014039999999994</v>
      </c>
      <c r="R709" s="78">
        <v>78.928309999999996</v>
      </c>
      <c r="S709" s="78">
        <v>88.610529999999997</v>
      </c>
      <c r="AA709" s="78">
        <v>89.892300000000006</v>
      </c>
      <c r="AC709" s="78">
        <v>80.354590000000002</v>
      </c>
      <c r="AD709" s="78">
        <v>42.310470000000002</v>
      </c>
      <c r="AE709" s="78">
        <v>41.135579999999997</v>
      </c>
      <c r="AG709" s="78">
        <v>89.188609999999997</v>
      </c>
      <c r="AH709" s="78">
        <v>61.811210000000003</v>
      </c>
      <c r="AJ709" s="78">
        <v>85.047619999999995</v>
      </c>
      <c r="AK709" s="78">
        <v>62.046030000000002</v>
      </c>
      <c r="AO709" s="78">
        <v>45.579880000000003</v>
      </c>
      <c r="AQ709" s="78">
        <v>73.432730000000006</v>
      </c>
      <c r="AR709" s="78">
        <v>67.417770000000004</v>
      </c>
      <c r="AS709" s="78">
        <v>133.10310000000001</v>
      </c>
      <c r="AT709" s="78">
        <v>60.386090000000003</v>
      </c>
      <c r="AV709" s="78">
        <v>33.246169999999999</v>
      </c>
      <c r="AZ709" s="78">
        <v>77.929879999999997</v>
      </c>
      <c r="BA709" s="78">
        <v>38.51681</v>
      </c>
      <c r="BB709" s="78">
        <v>67.98563</v>
      </c>
      <c r="BC709" s="78">
        <v>67.210130000000007</v>
      </c>
      <c r="BD709" s="78">
        <v>66.494050000000001</v>
      </c>
    </row>
    <row r="710" spans="1:56" x14ac:dyDescent="0.2">
      <c r="A710" s="78" t="s">
        <v>858</v>
      </c>
      <c r="B710" s="22">
        <v>40299</v>
      </c>
      <c r="C710" s="22"/>
      <c r="D710" s="22"/>
      <c r="E710" s="22">
        <v>39814</v>
      </c>
      <c r="F710" s="78" t="s">
        <v>842</v>
      </c>
      <c r="G710" s="78">
        <v>63.760579999999997</v>
      </c>
      <c r="I710" s="78">
        <v>41.174280000000003</v>
      </c>
      <c r="J710" s="78">
        <v>66.68929</v>
      </c>
      <c r="K710" s="78">
        <v>66.689160000000001</v>
      </c>
      <c r="L710" s="78">
        <v>51.08314</v>
      </c>
      <c r="M710" s="78">
        <v>36.932560000000002</v>
      </c>
      <c r="N710" s="78">
        <v>46.643160000000002</v>
      </c>
      <c r="O710" s="78">
        <v>62.826340000000002</v>
      </c>
      <c r="P710" s="78">
        <v>77.455560000000006</v>
      </c>
      <c r="R710" s="78">
        <v>78.801190000000005</v>
      </c>
      <c r="S710" s="78">
        <v>88.764070000000004</v>
      </c>
      <c r="AA710" s="78">
        <v>91.395290000000003</v>
      </c>
      <c r="AC710" s="78">
        <v>81.905749999999998</v>
      </c>
      <c r="AD710" s="78">
        <v>42.644829999999999</v>
      </c>
      <c r="AE710" s="78">
        <v>41.979779999999998</v>
      </c>
      <c r="AG710" s="78">
        <v>90.444770000000005</v>
      </c>
      <c r="AH710" s="78">
        <v>62.940550000000002</v>
      </c>
      <c r="AJ710" s="78">
        <v>85.263509999999997</v>
      </c>
      <c r="AK710" s="78">
        <v>62.908119999999997</v>
      </c>
      <c r="AO710" s="78">
        <v>46.61365</v>
      </c>
      <c r="AQ710" s="78">
        <v>73.700429999999997</v>
      </c>
      <c r="AR710" s="78">
        <v>68.069599999999994</v>
      </c>
      <c r="AT710" s="78">
        <v>61.163269999999997</v>
      </c>
      <c r="AV710" s="78">
        <v>34.104990000000001</v>
      </c>
      <c r="AZ710" s="78">
        <v>79.145619999999994</v>
      </c>
      <c r="BA710" s="78">
        <v>39.107799999999997</v>
      </c>
      <c r="BB710" s="78">
        <v>68.662080000000003</v>
      </c>
      <c r="BC710" s="78">
        <v>67.218890000000002</v>
      </c>
      <c r="BD710" s="78">
        <v>65.958179999999999</v>
      </c>
    </row>
    <row r="711" spans="1:56" x14ac:dyDescent="0.2">
      <c r="A711" s="78" t="s">
        <v>859</v>
      </c>
      <c r="B711" s="22">
        <v>40330</v>
      </c>
      <c r="C711" s="22"/>
      <c r="D711" s="22"/>
      <c r="E711" s="22">
        <v>39845</v>
      </c>
      <c r="F711" s="78" t="s">
        <v>843</v>
      </c>
      <c r="G711" s="78">
        <v>64.682370000000006</v>
      </c>
      <c r="I711" s="78">
        <v>41.640169999999998</v>
      </c>
      <c r="J711" s="78">
        <v>66.243840000000006</v>
      </c>
      <c r="K711" s="78">
        <v>67.28407</v>
      </c>
      <c r="L711" s="78">
        <v>51.131720000000001</v>
      </c>
      <c r="M711" s="78">
        <v>37.976039999999998</v>
      </c>
      <c r="N711" s="78">
        <v>47.231619999999999</v>
      </c>
      <c r="O711" s="78">
        <v>63.574939999999998</v>
      </c>
      <c r="P711" s="78">
        <v>77.842709999999997</v>
      </c>
      <c r="R711" s="78">
        <v>80.507300000000001</v>
      </c>
      <c r="S711" s="78">
        <v>88.719819999999999</v>
      </c>
      <c r="AA711" s="78">
        <v>92.227199999999996</v>
      </c>
      <c r="AC711" s="78">
        <v>83.608450000000005</v>
      </c>
      <c r="AD711" s="78">
        <v>43.4848</v>
      </c>
      <c r="AE711" s="78">
        <v>42.794170000000001</v>
      </c>
      <c r="AG711" s="78">
        <v>91.631619999999998</v>
      </c>
      <c r="AH711" s="78">
        <v>64.466149999999999</v>
      </c>
      <c r="AJ711" s="78">
        <v>85.528570000000002</v>
      </c>
      <c r="AK711" s="78">
        <v>63.473219999999998</v>
      </c>
      <c r="AO711" s="78">
        <v>47.351819999999996</v>
      </c>
      <c r="AQ711" s="78">
        <v>73.811959999999999</v>
      </c>
      <c r="AR711" s="78">
        <v>68.495040000000003</v>
      </c>
      <c r="AT711" s="78">
        <v>62.030270000000002</v>
      </c>
      <c r="AV711" s="78">
        <v>35.638339999999999</v>
      </c>
      <c r="AZ711" s="78">
        <v>79.526210000000006</v>
      </c>
      <c r="BA711" s="78">
        <v>39.9133</v>
      </c>
      <c r="BB711" s="78">
        <v>68.904740000000004</v>
      </c>
      <c r="BC711" s="78">
        <v>67.699969999999993</v>
      </c>
      <c r="BD711" s="78">
        <v>65.923450000000003</v>
      </c>
    </row>
    <row r="712" spans="1:56" x14ac:dyDescent="0.2">
      <c r="A712" s="78" t="s">
        <v>860</v>
      </c>
      <c r="B712" s="22">
        <v>40360</v>
      </c>
      <c r="C712" s="22"/>
      <c r="D712" s="22"/>
      <c r="E712" s="22">
        <v>39873</v>
      </c>
      <c r="F712" s="78" t="s">
        <v>844</v>
      </c>
      <c r="G712" s="78">
        <v>64.603920000000002</v>
      </c>
      <c r="I712" s="78">
        <v>41.922710000000002</v>
      </c>
      <c r="J712" s="78">
        <v>66.316519999999997</v>
      </c>
      <c r="K712" s="78">
        <v>67.791970000000006</v>
      </c>
      <c r="L712" s="78">
        <v>51.198950000000004</v>
      </c>
      <c r="M712" s="78">
        <v>39.08728</v>
      </c>
      <c r="N712" s="78">
        <v>47.634509999999999</v>
      </c>
      <c r="O712" s="78">
        <v>64.240840000000006</v>
      </c>
      <c r="P712" s="78">
        <v>77.609030000000004</v>
      </c>
      <c r="R712" s="78">
        <v>80.210890000000006</v>
      </c>
      <c r="S712" s="78">
        <v>88.751620000000003</v>
      </c>
      <c r="AA712" s="78">
        <v>92.217510000000004</v>
      </c>
      <c r="AC712" s="78">
        <v>84.554460000000006</v>
      </c>
      <c r="AD712" s="78">
        <v>44.229869999999998</v>
      </c>
      <c r="AE712" s="78">
        <v>43.483890000000002</v>
      </c>
      <c r="AG712" s="78">
        <v>92.798580000000001</v>
      </c>
      <c r="AH712" s="78">
        <v>65.339209999999994</v>
      </c>
      <c r="AJ712" s="78">
        <v>85.629850000000005</v>
      </c>
      <c r="AK712" s="78">
        <v>63.75685</v>
      </c>
      <c r="AO712" s="78">
        <v>47.610779999999998</v>
      </c>
      <c r="AQ712" s="78">
        <v>74.070750000000004</v>
      </c>
      <c r="AR712" s="78">
        <v>68.875919999999994</v>
      </c>
      <c r="AT712" s="78">
        <v>62.673380000000002</v>
      </c>
      <c r="AV712" s="78">
        <v>35.250729999999997</v>
      </c>
      <c r="AZ712" s="78">
        <v>79.505560000000003</v>
      </c>
      <c r="BA712" s="78">
        <v>40.340409999999999</v>
      </c>
      <c r="BB712" s="78">
        <v>69.453209999999999</v>
      </c>
      <c r="BC712" s="78">
        <v>67.773089999999996</v>
      </c>
      <c r="BD712" s="78">
        <v>66.08954</v>
      </c>
    </row>
    <row r="713" spans="1:56" x14ac:dyDescent="0.2">
      <c r="A713" s="78" t="s">
        <v>861</v>
      </c>
      <c r="B713" s="22">
        <v>40391</v>
      </c>
      <c r="C713" s="22"/>
      <c r="D713" s="22"/>
      <c r="E713" s="22">
        <v>39904</v>
      </c>
      <c r="F713" s="78" t="s">
        <v>845</v>
      </c>
      <c r="G713" s="78">
        <v>64.536670000000001</v>
      </c>
      <c r="I713" s="78">
        <v>42.43177</v>
      </c>
      <c r="J713" s="78">
        <v>66.526499999999999</v>
      </c>
      <c r="K713" s="78">
        <v>68.232690000000005</v>
      </c>
      <c r="L713" s="78">
        <v>51.20411</v>
      </c>
      <c r="M713" s="78">
        <v>40.233649999999997</v>
      </c>
      <c r="N713" s="78">
        <v>47.646479999999997</v>
      </c>
      <c r="O713" s="78">
        <v>64.946749999999994</v>
      </c>
      <c r="P713" s="78">
        <v>77.533950000000004</v>
      </c>
      <c r="R713" s="78">
        <v>80.405850000000001</v>
      </c>
      <c r="S713" s="78">
        <v>89.108890000000002</v>
      </c>
      <c r="AA713" s="78">
        <v>91.5779</v>
      </c>
      <c r="AC713" s="78">
        <v>85.317920000000001</v>
      </c>
      <c r="AD713" s="78">
        <v>44.607529999999997</v>
      </c>
      <c r="AE713" s="78">
        <v>44.240369999999999</v>
      </c>
      <c r="AG713" s="78">
        <v>93.751999999999995</v>
      </c>
      <c r="AH713" s="78">
        <v>65.47681</v>
      </c>
      <c r="AJ713" s="78">
        <v>85.75909</v>
      </c>
      <c r="AK713" s="78">
        <v>64.131609999999995</v>
      </c>
      <c r="AO713" s="78">
        <v>47.669890000000002</v>
      </c>
      <c r="AQ713" s="78">
        <v>74.159599999999998</v>
      </c>
      <c r="AR713" s="78">
        <v>68.902569999999997</v>
      </c>
      <c r="AT713" s="78">
        <v>62.880319999999998</v>
      </c>
      <c r="AV713" s="78">
        <v>35.326720000000002</v>
      </c>
      <c r="AZ713" s="78">
        <v>79.378590000000003</v>
      </c>
      <c r="BA713" s="78">
        <v>40.225659999999998</v>
      </c>
      <c r="BB713" s="78">
        <v>69.478970000000004</v>
      </c>
      <c r="BC713" s="78">
        <v>67.663480000000007</v>
      </c>
      <c r="BD713" s="78">
        <v>65.851200000000006</v>
      </c>
    </row>
    <row r="714" spans="1:56" x14ac:dyDescent="0.2">
      <c r="A714" s="78" t="s">
        <v>862</v>
      </c>
      <c r="B714" s="22">
        <v>40422</v>
      </c>
      <c r="C714" s="22"/>
      <c r="D714" s="22"/>
      <c r="E714" s="22">
        <v>39934</v>
      </c>
      <c r="F714" s="78" t="s">
        <v>846</v>
      </c>
      <c r="G714" s="78">
        <v>65.25394</v>
      </c>
      <c r="I714" s="78">
        <v>43.224960000000003</v>
      </c>
      <c r="J714" s="78">
        <v>66.376080000000002</v>
      </c>
      <c r="K714" s="78">
        <v>68.397409999999994</v>
      </c>
      <c r="L714" s="78">
        <v>51.236249999999998</v>
      </c>
      <c r="M714" s="78">
        <v>41.082479999999997</v>
      </c>
      <c r="N714" s="78">
        <v>47.915089999999999</v>
      </c>
      <c r="O714" s="78">
        <v>65.603939999999994</v>
      </c>
      <c r="P714" s="78">
        <v>78.22072</v>
      </c>
      <c r="R714" s="78">
        <v>81.456429999999997</v>
      </c>
      <c r="S714" s="78">
        <v>89.373620000000003</v>
      </c>
      <c r="AA714" s="78">
        <v>90.734949999999998</v>
      </c>
      <c r="AC714" s="78">
        <v>85.655330000000006</v>
      </c>
      <c r="AD714" s="78">
        <v>44.853119999999997</v>
      </c>
      <c r="AE714" s="78">
        <v>44.972679999999997</v>
      </c>
      <c r="AG714" s="78">
        <v>94.215140000000005</v>
      </c>
      <c r="AH714" s="78">
        <v>65.619039999999998</v>
      </c>
      <c r="AJ714" s="78">
        <v>85.970640000000003</v>
      </c>
      <c r="AK714" s="78">
        <v>64.565700000000007</v>
      </c>
      <c r="AO714" s="78">
        <v>47.482259999999997</v>
      </c>
      <c r="AQ714" s="78">
        <v>74.437190000000001</v>
      </c>
      <c r="AR714" s="78">
        <v>69.153639999999996</v>
      </c>
      <c r="AT714" s="78">
        <v>62.976140000000001</v>
      </c>
      <c r="AV714" s="78">
        <v>35.330390000000001</v>
      </c>
      <c r="AZ714" s="78">
        <v>79.760069999999999</v>
      </c>
      <c r="BA714" s="78">
        <v>40.30639</v>
      </c>
      <c r="BB714" s="78">
        <v>69.956810000000004</v>
      </c>
      <c r="BC714" s="78">
        <v>68.00103</v>
      </c>
      <c r="BD714" s="78">
        <v>65.790279999999996</v>
      </c>
    </row>
    <row r="715" spans="1:56" x14ac:dyDescent="0.2">
      <c r="A715" s="78" t="s">
        <v>863</v>
      </c>
      <c r="B715" s="22">
        <v>40452</v>
      </c>
      <c r="C715" s="22"/>
      <c r="D715" s="22"/>
      <c r="E715" s="22">
        <v>39965</v>
      </c>
      <c r="F715" s="78" t="s">
        <v>847</v>
      </c>
      <c r="G715" s="78">
        <v>65.747060000000005</v>
      </c>
      <c r="I715" s="78">
        <v>43.788170000000001</v>
      </c>
      <c r="J715" s="78">
        <v>66.485309999999998</v>
      </c>
      <c r="K715" s="78">
        <v>68.65804</v>
      </c>
      <c r="L715" s="78">
        <v>51.317990000000002</v>
      </c>
      <c r="M715" s="78">
        <v>42.030270000000002</v>
      </c>
      <c r="N715" s="78">
        <v>48.454889999999999</v>
      </c>
      <c r="O715" s="78">
        <v>66.514560000000003</v>
      </c>
      <c r="P715" s="78">
        <v>77.754840000000002</v>
      </c>
      <c r="R715" s="78">
        <v>81.893230000000003</v>
      </c>
      <c r="S715" s="78">
        <v>89.219639999999998</v>
      </c>
      <c r="AA715" s="78">
        <v>90.342579999999998</v>
      </c>
      <c r="AC715" s="78">
        <v>85.824950000000001</v>
      </c>
      <c r="AD715" s="78">
        <v>45.155140000000003</v>
      </c>
      <c r="AE715" s="78">
        <v>45.54815</v>
      </c>
      <c r="AG715" s="78">
        <v>94.271159999999995</v>
      </c>
      <c r="AH715" s="78">
        <v>65.61206</v>
      </c>
      <c r="AJ715" s="78">
        <v>86.079769999999996</v>
      </c>
      <c r="AK715" s="78">
        <v>64.891400000000004</v>
      </c>
      <c r="AO715" s="78">
        <v>47.576450000000001</v>
      </c>
      <c r="AQ715" s="78">
        <v>74.72784</v>
      </c>
      <c r="AR715" s="78">
        <v>69.264039999999994</v>
      </c>
      <c r="AT715" s="78">
        <v>63.576000000000001</v>
      </c>
      <c r="AV715" s="78">
        <v>35.344729999999998</v>
      </c>
      <c r="AZ715" s="78">
        <v>79.147099999999995</v>
      </c>
      <c r="BA715" s="78">
        <v>40.567790000000002</v>
      </c>
      <c r="BB715" s="78">
        <v>70.036580000000001</v>
      </c>
      <c r="BC715" s="78">
        <v>68.161159999999995</v>
      </c>
      <c r="BD715" s="78">
        <v>65.792529999999999</v>
      </c>
    </row>
    <row r="716" spans="1:56" x14ac:dyDescent="0.2">
      <c r="A716" s="78" t="s">
        <v>864</v>
      </c>
      <c r="B716" s="22">
        <v>40483</v>
      </c>
      <c r="C716" s="22"/>
      <c r="D716" s="22"/>
      <c r="E716" s="22">
        <v>39995</v>
      </c>
      <c r="F716" s="78" t="s">
        <v>848</v>
      </c>
      <c r="G716" s="78">
        <v>66.116889999999998</v>
      </c>
      <c r="I716" s="78">
        <v>44.353920000000002</v>
      </c>
      <c r="J716" s="78">
        <v>66.784829999999999</v>
      </c>
      <c r="K716" s="78">
        <v>69.284480000000002</v>
      </c>
      <c r="L716" s="78">
        <v>51.475810000000003</v>
      </c>
      <c r="M716" s="78">
        <v>42.977919999999997</v>
      </c>
      <c r="N716" s="78">
        <v>48.912390000000002</v>
      </c>
      <c r="O716" s="78">
        <v>67.260760000000005</v>
      </c>
      <c r="P716" s="78">
        <v>76.729389999999995</v>
      </c>
      <c r="R716" s="78">
        <v>81.774259999999998</v>
      </c>
      <c r="S716" s="78">
        <v>89.021569999999997</v>
      </c>
      <c r="AA716" s="78">
        <v>90.482749999999996</v>
      </c>
      <c r="AC716" s="78">
        <v>85.601420000000005</v>
      </c>
      <c r="AD716" s="78">
        <v>45.433680000000003</v>
      </c>
      <c r="AE716" s="78">
        <v>46.12276</v>
      </c>
      <c r="AG716" s="78">
        <v>94.22166</v>
      </c>
      <c r="AH716" s="78">
        <v>65.402050000000003</v>
      </c>
      <c r="AJ716" s="78">
        <v>86.243229999999997</v>
      </c>
      <c r="AK716" s="78">
        <v>65.421869999999998</v>
      </c>
      <c r="AO716" s="78">
        <v>48.117249999999999</v>
      </c>
      <c r="AQ716" s="78">
        <v>74.654290000000003</v>
      </c>
      <c r="AR716" s="78">
        <v>69.41328</v>
      </c>
      <c r="AT716" s="78">
        <v>64.007720000000006</v>
      </c>
      <c r="AV716" s="78">
        <v>36.156260000000003</v>
      </c>
      <c r="AZ716" s="78">
        <v>78.331050000000005</v>
      </c>
      <c r="BA716" s="78">
        <v>40.853940000000001</v>
      </c>
      <c r="BB716" s="78">
        <v>70.075649999999996</v>
      </c>
      <c r="BC716" s="78">
        <v>68.100530000000006</v>
      </c>
      <c r="BD716" s="78">
        <v>65.941280000000006</v>
      </c>
    </row>
    <row r="717" spans="1:56" x14ac:dyDescent="0.2">
      <c r="A717" s="78" t="s">
        <v>865</v>
      </c>
      <c r="B717" s="22">
        <v>40513</v>
      </c>
      <c r="C717" s="22"/>
      <c r="D717" s="22"/>
      <c r="E717" s="22">
        <v>40026</v>
      </c>
      <c r="F717" s="78" t="s">
        <v>849</v>
      </c>
      <c r="G717" s="78">
        <v>66.293400000000005</v>
      </c>
      <c r="I717" s="78">
        <v>45.002809999999997</v>
      </c>
      <c r="J717" s="78">
        <v>66.809640000000002</v>
      </c>
      <c r="K717" s="78">
        <v>69.688999999999993</v>
      </c>
      <c r="L717" s="78">
        <v>51.654510000000002</v>
      </c>
      <c r="M717" s="78">
        <v>43.596069999999997</v>
      </c>
      <c r="N717" s="78">
        <v>49.174120000000002</v>
      </c>
      <c r="O717" s="78">
        <v>68.0929</v>
      </c>
      <c r="P717" s="78">
        <v>76.418869999999998</v>
      </c>
      <c r="R717" s="78">
        <v>81.953950000000006</v>
      </c>
      <c r="S717" s="78">
        <v>88.656090000000006</v>
      </c>
      <c r="AA717" s="78">
        <v>91.207890000000006</v>
      </c>
      <c r="AC717" s="78">
        <v>85.61515</v>
      </c>
      <c r="AD717" s="78">
        <v>45.822319999999998</v>
      </c>
      <c r="AE717" s="78">
        <v>46.66395</v>
      </c>
      <c r="AG717" s="78">
        <v>94.158900000000003</v>
      </c>
      <c r="AH717" s="78">
        <v>65.302090000000007</v>
      </c>
      <c r="AJ717" s="78">
        <v>86.425880000000006</v>
      </c>
      <c r="AK717" s="78">
        <v>65.909220000000005</v>
      </c>
      <c r="AO717" s="78">
        <v>48.190719999999999</v>
      </c>
      <c r="AQ717" s="78">
        <v>74.499260000000007</v>
      </c>
      <c r="AR717" s="78">
        <v>69.530879999999996</v>
      </c>
      <c r="AT717" s="78">
        <v>63.588540000000002</v>
      </c>
      <c r="AV717" s="78">
        <v>37.174520000000001</v>
      </c>
      <c r="AZ717" s="78">
        <v>78.292529999999999</v>
      </c>
      <c r="BA717" s="78">
        <v>41.251570000000001</v>
      </c>
      <c r="BB717" s="78">
        <v>70.073149999999998</v>
      </c>
      <c r="BC717" s="78">
        <v>68.153469999999999</v>
      </c>
      <c r="BD717" s="78">
        <v>66.156229999999994</v>
      </c>
    </row>
    <row r="718" spans="1:56" x14ac:dyDescent="0.2">
      <c r="A718" s="78" t="s">
        <v>866</v>
      </c>
      <c r="B718" s="22">
        <v>40544</v>
      </c>
      <c r="C718" s="22"/>
      <c r="D718" s="22"/>
      <c r="E718" s="22">
        <v>40057</v>
      </c>
      <c r="F718" s="78" t="s">
        <v>850</v>
      </c>
      <c r="G718" s="78">
        <v>66.399870000000007</v>
      </c>
      <c r="I718" s="78">
        <v>45.620510000000003</v>
      </c>
      <c r="J718" s="78">
        <v>67.084969999999998</v>
      </c>
      <c r="K718" s="78">
        <v>69.892150000000001</v>
      </c>
      <c r="L718" s="78">
        <v>51.740009999999998</v>
      </c>
      <c r="M718" s="78">
        <v>44.217109999999998</v>
      </c>
      <c r="N718" s="78">
        <v>49.140590000000003</v>
      </c>
      <c r="O718" s="78">
        <v>68.764809999999997</v>
      </c>
      <c r="P718" s="78">
        <v>75.792569999999998</v>
      </c>
      <c r="R718" s="78">
        <v>82.870609999999999</v>
      </c>
      <c r="S718" s="78">
        <v>88.454909999999998</v>
      </c>
      <c r="AA718" s="78">
        <v>92.121729999999999</v>
      </c>
      <c r="AC718" s="78">
        <v>85.658000000000001</v>
      </c>
      <c r="AD718" s="78">
        <v>46.283679999999997</v>
      </c>
      <c r="AE718" s="78">
        <v>47.143549999999998</v>
      </c>
      <c r="AG718" s="78">
        <v>94.092060000000004</v>
      </c>
      <c r="AH718" s="78">
        <v>65.528559999999999</v>
      </c>
      <c r="AJ718" s="78">
        <v>86.524600000000007</v>
      </c>
      <c r="AK718" s="78">
        <v>66.280550000000005</v>
      </c>
      <c r="AO718" s="78">
        <v>48.269329999999997</v>
      </c>
      <c r="AQ718" s="78">
        <v>74.29213</v>
      </c>
      <c r="AR718" s="78">
        <v>69.680620000000005</v>
      </c>
      <c r="AT718" s="78">
        <v>63.696640000000002</v>
      </c>
      <c r="AV718" s="78">
        <v>37.642200000000003</v>
      </c>
      <c r="AZ718" s="78">
        <v>78.056290000000004</v>
      </c>
      <c r="BA718" s="78">
        <v>41.863410000000002</v>
      </c>
      <c r="BB718" s="78">
        <v>70.067340000000002</v>
      </c>
      <c r="BC718" s="78">
        <v>68.068629999999999</v>
      </c>
      <c r="BD718" s="78">
        <v>66.296260000000004</v>
      </c>
    </row>
    <row r="719" spans="1:56" x14ac:dyDescent="0.2">
      <c r="A719" s="78" t="s">
        <v>867</v>
      </c>
      <c r="B719" s="22">
        <v>40575</v>
      </c>
      <c r="C719" s="22"/>
      <c r="D719" s="22"/>
      <c r="E719" s="22">
        <v>40087</v>
      </c>
      <c r="F719" s="78" t="s">
        <v>851</v>
      </c>
      <c r="G719" s="78">
        <v>66.352239999999995</v>
      </c>
      <c r="I719" s="78">
        <v>46.270090000000003</v>
      </c>
      <c r="J719" s="78">
        <v>67.234049999999996</v>
      </c>
      <c r="K719" s="78">
        <v>70.178939999999997</v>
      </c>
      <c r="L719" s="78">
        <v>51.550080000000001</v>
      </c>
      <c r="M719" s="78">
        <v>44.94162</v>
      </c>
      <c r="N719" s="78">
        <v>49.279789999999998</v>
      </c>
      <c r="O719" s="78">
        <v>69.270229999999998</v>
      </c>
      <c r="P719" s="78">
        <v>75.66386</v>
      </c>
      <c r="R719" s="78">
        <v>83.055499999999995</v>
      </c>
      <c r="S719" s="78">
        <v>88.370590000000007</v>
      </c>
      <c r="AA719" s="78">
        <v>93.127549999999999</v>
      </c>
      <c r="AC719" s="78">
        <v>85.183199999999999</v>
      </c>
      <c r="AD719" s="78">
        <v>46.468809999999998</v>
      </c>
      <c r="AE719" s="78">
        <v>47.687449999999998</v>
      </c>
      <c r="AG719" s="78">
        <v>93.964860000000002</v>
      </c>
      <c r="AH719" s="78">
        <v>65.672179999999997</v>
      </c>
      <c r="AJ719" s="78">
        <v>86.673029999999997</v>
      </c>
      <c r="AK719" s="78">
        <v>66.873990000000006</v>
      </c>
      <c r="AO719" s="78">
        <v>48.907499999999999</v>
      </c>
      <c r="AQ719" s="78">
        <v>74.21602</v>
      </c>
      <c r="AR719" s="78">
        <v>70.0077</v>
      </c>
      <c r="AT719" s="78">
        <v>65.074820000000003</v>
      </c>
      <c r="AV719" s="78">
        <v>38.294269999999997</v>
      </c>
      <c r="AZ719" s="78">
        <v>77.880740000000003</v>
      </c>
      <c r="BA719" s="78">
        <v>42.500120000000003</v>
      </c>
      <c r="BB719" s="78">
        <v>70.290049999999994</v>
      </c>
      <c r="BC719" s="78">
        <v>67.878489999999999</v>
      </c>
      <c r="BD719" s="78">
        <v>66.295429999999996</v>
      </c>
    </row>
    <row r="720" spans="1:56" x14ac:dyDescent="0.2">
      <c r="A720" s="78" t="s">
        <v>868</v>
      </c>
      <c r="B720" s="22">
        <v>40603</v>
      </c>
      <c r="C720" s="22"/>
      <c r="D720" s="22"/>
      <c r="E720" s="22">
        <v>40118</v>
      </c>
      <c r="F720" s="78" t="s">
        <v>852</v>
      </c>
      <c r="G720" s="78">
        <v>66.282200000000003</v>
      </c>
      <c r="I720" s="78">
        <v>46.85192</v>
      </c>
      <c r="J720" s="78">
        <v>67.338790000000003</v>
      </c>
      <c r="K720" s="78">
        <v>70.704049999999995</v>
      </c>
      <c r="L720" s="78">
        <v>51.249960000000002</v>
      </c>
      <c r="M720" s="78">
        <v>45.590560000000004</v>
      </c>
      <c r="N720" s="78">
        <v>49.604399999999998</v>
      </c>
      <c r="O720" s="78">
        <v>69.045829999999995</v>
      </c>
      <c r="P720" s="78">
        <v>76.287170000000003</v>
      </c>
      <c r="R720" s="78">
        <v>82.635999999999996</v>
      </c>
      <c r="S720" s="78">
        <v>88.195080000000004</v>
      </c>
      <c r="AA720" s="78">
        <v>93.688649999999996</v>
      </c>
      <c r="AC720" s="78">
        <v>84.786349999999999</v>
      </c>
      <c r="AD720" s="78">
        <v>46.850119999999997</v>
      </c>
      <c r="AE720" s="78">
        <v>48.27664</v>
      </c>
      <c r="AG720" s="78">
        <v>93.622020000000006</v>
      </c>
      <c r="AH720" s="78">
        <v>65.985069999999993</v>
      </c>
      <c r="AJ720" s="78">
        <v>86.84863</v>
      </c>
      <c r="AK720" s="78">
        <v>67.296459999999996</v>
      </c>
      <c r="AO720" s="78">
        <v>49.595039999999997</v>
      </c>
      <c r="AQ720" s="78">
        <v>73.853729999999999</v>
      </c>
      <c r="AR720" s="78">
        <v>70.327219999999997</v>
      </c>
      <c r="AT720" s="78">
        <v>65.385599999999997</v>
      </c>
      <c r="AV720" s="78">
        <v>38.724299999999999</v>
      </c>
      <c r="AZ720" s="78">
        <v>78.27843</v>
      </c>
      <c r="BA720" s="78">
        <v>43.240369999999999</v>
      </c>
      <c r="BB720" s="78">
        <v>70.540180000000007</v>
      </c>
      <c r="BC720" s="78">
        <v>67.69408</v>
      </c>
      <c r="BD720" s="78">
        <v>66.413129999999995</v>
      </c>
    </row>
    <row r="721" spans="1:56" x14ac:dyDescent="0.2">
      <c r="A721" s="78" t="s">
        <v>869</v>
      </c>
      <c r="B721" s="22">
        <v>40634</v>
      </c>
      <c r="C721" s="22"/>
      <c r="D721" s="22"/>
      <c r="E721" s="22">
        <v>40148</v>
      </c>
      <c r="F721" s="78" t="s">
        <v>853</v>
      </c>
      <c r="G721" s="78">
        <v>66.139309999999995</v>
      </c>
      <c r="I721" s="78">
        <v>47.290419999999997</v>
      </c>
      <c r="J721" s="78">
        <v>67.576329999999999</v>
      </c>
      <c r="K721" s="78">
        <v>70.841409999999996</v>
      </c>
      <c r="L721" s="78">
        <v>51.387309999999999</v>
      </c>
      <c r="M721" s="78">
        <v>46.089649999999999</v>
      </c>
      <c r="N721" s="78">
        <v>49.684579999999997</v>
      </c>
      <c r="O721" s="78">
        <v>68.15701</v>
      </c>
      <c r="P721" s="78">
        <v>77.108760000000004</v>
      </c>
      <c r="R721" s="78">
        <v>81.841740000000001</v>
      </c>
      <c r="S721" s="78">
        <v>88.290019999999998</v>
      </c>
      <c r="AA721" s="78">
        <v>93.358059999999995</v>
      </c>
      <c r="AC721" s="78">
        <v>84.395610000000005</v>
      </c>
      <c r="AD721" s="78">
        <v>47.476550000000003</v>
      </c>
      <c r="AE721" s="78">
        <v>48.75244</v>
      </c>
      <c r="AG721" s="78">
        <v>93.082409999999996</v>
      </c>
      <c r="AH721" s="78">
        <v>66.064089999999993</v>
      </c>
      <c r="AJ721" s="78">
        <v>86.950710000000001</v>
      </c>
      <c r="AK721" s="78">
        <v>67.824370000000002</v>
      </c>
      <c r="AO721" s="78">
        <v>49.653269999999999</v>
      </c>
      <c r="AQ721" s="78">
        <v>74.023089999999996</v>
      </c>
      <c r="AR721" s="78">
        <v>70.370649999999998</v>
      </c>
      <c r="AT721" s="78">
        <v>65.12603</v>
      </c>
      <c r="AV721" s="78">
        <v>38.163980000000002</v>
      </c>
      <c r="AZ721" s="78">
        <v>78.449569999999994</v>
      </c>
      <c r="BA721" s="78">
        <v>43.786790000000003</v>
      </c>
      <c r="BB721" s="78">
        <v>70.498630000000006</v>
      </c>
      <c r="BC721" s="78">
        <v>67.807839999999999</v>
      </c>
      <c r="BD721" s="78">
        <v>66.861900000000006</v>
      </c>
    </row>
    <row r="722" spans="1:56" x14ac:dyDescent="0.2">
      <c r="A722" s="78" t="s">
        <v>870</v>
      </c>
      <c r="B722" s="22">
        <v>40664</v>
      </c>
      <c r="C722" s="22"/>
      <c r="D722" s="22"/>
      <c r="E722" s="22">
        <v>40179</v>
      </c>
      <c r="F722" s="78" t="s">
        <v>854</v>
      </c>
      <c r="G722" s="78">
        <v>66.158919999999995</v>
      </c>
      <c r="I722" s="78">
        <v>49.113579999999999</v>
      </c>
      <c r="J722" s="78">
        <v>67.713530000000006</v>
      </c>
      <c r="K722" s="78">
        <v>70.857249999999993</v>
      </c>
      <c r="L722" s="78">
        <v>51.852899999999998</v>
      </c>
      <c r="M722" s="78">
        <v>46.832230000000003</v>
      </c>
      <c r="N722" s="78">
        <v>50.148870000000002</v>
      </c>
      <c r="O722" s="78">
        <v>67.497020000000006</v>
      </c>
      <c r="P722" s="78">
        <v>77.192120000000003</v>
      </c>
      <c r="R722" s="78">
        <v>80.95308</v>
      </c>
      <c r="S722" s="78">
        <v>88.220020000000005</v>
      </c>
      <c r="AA722" s="78">
        <v>96.979330000000004</v>
      </c>
      <c r="AC722" s="78">
        <v>84.467619999999997</v>
      </c>
      <c r="AD722" s="78">
        <v>47.647300000000001</v>
      </c>
      <c r="AE722" s="78">
        <v>49.362389999999998</v>
      </c>
      <c r="AG722" s="78">
        <v>92.459270000000004</v>
      </c>
      <c r="AH722" s="78">
        <v>66.146820000000005</v>
      </c>
      <c r="AJ722" s="78">
        <v>87.122020000000006</v>
      </c>
      <c r="AK722" s="78">
        <v>68.452449999999999</v>
      </c>
      <c r="AO722" s="78">
        <v>49.385719999999999</v>
      </c>
      <c r="AQ722" s="78">
        <v>74.413939999999997</v>
      </c>
      <c r="AR722" s="78">
        <v>70.491560000000007</v>
      </c>
      <c r="AT722" s="78">
        <v>65.476389999999995</v>
      </c>
      <c r="AV722" s="78">
        <v>39.904690000000002</v>
      </c>
      <c r="AZ722" s="78">
        <v>78.785200000000003</v>
      </c>
      <c r="BA722" s="78">
        <v>44.120330000000003</v>
      </c>
      <c r="BB722" s="78">
        <v>70.185339999999997</v>
      </c>
      <c r="BC722" s="78">
        <v>67.865009999999998</v>
      </c>
      <c r="BD722" s="78">
        <v>66.83981</v>
      </c>
    </row>
    <row r="723" spans="1:56" x14ac:dyDescent="0.2">
      <c r="A723" s="78" t="s">
        <v>871</v>
      </c>
      <c r="B723" s="22">
        <v>40695</v>
      </c>
      <c r="C723" s="22"/>
      <c r="D723" s="22"/>
      <c r="E723" s="22">
        <v>40210</v>
      </c>
      <c r="F723" s="78" t="s">
        <v>855</v>
      </c>
      <c r="G723" s="78">
        <v>66.649230000000003</v>
      </c>
      <c r="I723" s="78">
        <v>50.932009999999998</v>
      </c>
      <c r="J723" s="78">
        <v>68.340999999999994</v>
      </c>
      <c r="K723" s="78">
        <v>71.236750000000001</v>
      </c>
      <c r="L723" s="78">
        <v>52.443100000000001</v>
      </c>
      <c r="M723" s="78">
        <v>47.817120000000003</v>
      </c>
      <c r="N723" s="78">
        <v>50.722180000000002</v>
      </c>
      <c r="O723" s="78">
        <v>67.112340000000003</v>
      </c>
      <c r="P723" s="78">
        <v>76.534419999999997</v>
      </c>
      <c r="R723" s="78">
        <v>80.451859999999996</v>
      </c>
      <c r="S723" s="78">
        <v>87.848209999999995</v>
      </c>
      <c r="AA723" s="78">
        <v>101.4331</v>
      </c>
      <c r="AC723" s="78">
        <v>85.247150000000005</v>
      </c>
      <c r="AD723" s="78">
        <v>47.713360000000002</v>
      </c>
      <c r="AE723" s="78">
        <v>50.148870000000002</v>
      </c>
      <c r="AG723" s="78">
        <v>91.817120000000003</v>
      </c>
      <c r="AH723" s="78">
        <v>66.146709999999999</v>
      </c>
      <c r="AJ723" s="78">
        <v>87.247960000000006</v>
      </c>
      <c r="AK723" s="78">
        <v>69.117059999999995</v>
      </c>
      <c r="AO723" s="78">
        <v>49.430880000000002</v>
      </c>
      <c r="AQ723" s="78">
        <v>74.430700000000002</v>
      </c>
      <c r="AR723" s="78">
        <v>71.070689999999999</v>
      </c>
      <c r="AT723" s="78">
        <v>65.593500000000006</v>
      </c>
      <c r="AV723" s="78">
        <v>41.930210000000002</v>
      </c>
      <c r="AZ723" s="78">
        <v>79.358860000000007</v>
      </c>
      <c r="BA723" s="78">
        <v>44.817439999999998</v>
      </c>
      <c r="BB723" s="78">
        <v>70.597530000000006</v>
      </c>
      <c r="BC723" s="78">
        <v>67.923609999999996</v>
      </c>
      <c r="BD723" s="78">
        <v>66.643529999999998</v>
      </c>
    </row>
    <row r="724" spans="1:56" x14ac:dyDescent="0.2">
      <c r="A724" s="78" t="s">
        <v>872</v>
      </c>
      <c r="B724" s="22">
        <v>40725</v>
      </c>
      <c r="C724" s="22"/>
      <c r="D724" s="22"/>
      <c r="E724" s="22">
        <v>40238</v>
      </c>
      <c r="F724" s="78" t="s">
        <v>856</v>
      </c>
      <c r="G724" s="78">
        <v>67.39452</v>
      </c>
      <c r="I724" s="78">
        <v>51.371189999999999</v>
      </c>
      <c r="J724" s="78">
        <v>68.370369999999994</v>
      </c>
      <c r="K724" s="78">
        <v>71.669409999999999</v>
      </c>
      <c r="L724" s="78">
        <v>53.301290000000002</v>
      </c>
      <c r="M724" s="78">
        <v>48.454169999999998</v>
      </c>
      <c r="N724" s="78">
        <v>50.830080000000002</v>
      </c>
      <c r="O724" s="78">
        <v>66.733580000000003</v>
      </c>
      <c r="P724" s="78">
        <v>76.568470000000005</v>
      </c>
      <c r="R724" s="78">
        <v>80.414339999999996</v>
      </c>
      <c r="S724" s="78">
        <v>87.787000000000006</v>
      </c>
      <c r="AA724" s="78">
        <v>101.7574</v>
      </c>
      <c r="AC724" s="78">
        <v>85.849779999999996</v>
      </c>
      <c r="AD724" s="78">
        <v>48.393540000000002</v>
      </c>
      <c r="AE724" s="78">
        <v>50.89152</v>
      </c>
      <c r="AG724" s="78">
        <v>91.137280000000004</v>
      </c>
      <c r="AH724" s="78">
        <v>65.926919999999996</v>
      </c>
      <c r="AJ724" s="78">
        <v>87.309700000000007</v>
      </c>
      <c r="AK724" s="78">
        <v>69.759609999999995</v>
      </c>
      <c r="AO724" s="78">
        <v>49.875709999999998</v>
      </c>
      <c r="AQ724" s="78">
        <v>74.631420000000006</v>
      </c>
      <c r="AR724" s="78">
        <v>71.243279999999999</v>
      </c>
      <c r="AT724" s="78">
        <v>66.020099999999999</v>
      </c>
      <c r="AV724" s="78">
        <v>42.041350000000001</v>
      </c>
      <c r="AZ724" s="78">
        <v>79.608469999999997</v>
      </c>
      <c r="BA724" s="78">
        <v>45.362879999999997</v>
      </c>
      <c r="BB724" s="78">
        <v>70.573430000000002</v>
      </c>
      <c r="BC724" s="78">
        <v>68.446830000000006</v>
      </c>
      <c r="BD724" s="78">
        <v>66.820400000000006</v>
      </c>
    </row>
    <row r="725" spans="1:56" x14ac:dyDescent="0.2">
      <c r="A725" s="78" t="s">
        <v>873</v>
      </c>
      <c r="B725" s="22">
        <v>40756</v>
      </c>
      <c r="C725" s="22"/>
      <c r="D725" s="22"/>
      <c r="E725" s="22">
        <v>40269</v>
      </c>
      <c r="F725" s="78" t="s">
        <v>857</v>
      </c>
      <c r="G725" s="78">
        <v>67.977289999999996</v>
      </c>
      <c r="I725" s="78">
        <v>51.881950000000003</v>
      </c>
      <c r="J725" s="78">
        <v>69.22054</v>
      </c>
      <c r="K725" s="78">
        <v>72.088769999999997</v>
      </c>
      <c r="L725" s="78">
        <v>54.01538</v>
      </c>
      <c r="M725" s="78">
        <v>49.051049999999996</v>
      </c>
      <c r="N725" s="78">
        <v>51.11439</v>
      </c>
      <c r="O725" s="78">
        <v>66.247280000000003</v>
      </c>
      <c r="P725" s="78">
        <v>77.356449999999995</v>
      </c>
      <c r="R725" s="78">
        <v>81.212590000000006</v>
      </c>
      <c r="S725" s="78">
        <v>88.241969999999995</v>
      </c>
      <c r="AA725" s="78">
        <v>100.8651</v>
      </c>
      <c r="AC725" s="78">
        <v>86.683329999999998</v>
      </c>
      <c r="AD725" s="78">
        <v>49.186509999999998</v>
      </c>
      <c r="AE725" s="78">
        <v>51.371980000000001</v>
      </c>
      <c r="AG725" s="78">
        <v>90.359930000000006</v>
      </c>
      <c r="AH725" s="78">
        <v>66.267740000000003</v>
      </c>
      <c r="AJ725" s="78">
        <v>87.584460000000007</v>
      </c>
      <c r="AK725" s="78">
        <v>70.223590000000002</v>
      </c>
      <c r="AO725" s="78">
        <v>50.458939999999998</v>
      </c>
      <c r="AQ725" s="78">
        <v>74.790869999999998</v>
      </c>
      <c r="AR725" s="78">
        <v>71.549909999999997</v>
      </c>
      <c r="AT725" s="78">
        <v>66.537120000000002</v>
      </c>
      <c r="AV725" s="78">
        <v>42.775149999999996</v>
      </c>
      <c r="AZ725" s="78">
        <v>79.583849999999998</v>
      </c>
      <c r="BA725" s="78">
        <v>45.680199999999999</v>
      </c>
      <c r="BB725" s="78">
        <v>70.826049999999995</v>
      </c>
      <c r="BC725" s="78">
        <v>68.92953</v>
      </c>
      <c r="BD725" s="78">
        <v>67.183329999999998</v>
      </c>
    </row>
    <row r="726" spans="1:56" x14ac:dyDescent="0.2">
      <c r="A726" s="78" t="s">
        <v>874</v>
      </c>
      <c r="B726" s="22">
        <v>40787</v>
      </c>
      <c r="C726" s="22"/>
      <c r="D726" s="22"/>
      <c r="E726" s="22">
        <v>40299</v>
      </c>
      <c r="F726" s="78" t="s">
        <v>858</v>
      </c>
      <c r="G726" s="78">
        <v>68.313500000000005</v>
      </c>
      <c r="I726" s="78">
        <v>52.479329999999997</v>
      </c>
      <c r="J726" s="78">
        <v>70.028490000000005</v>
      </c>
      <c r="K726" s="78">
        <v>72.838679999999997</v>
      </c>
      <c r="L726" s="78">
        <v>54.414830000000002</v>
      </c>
      <c r="M726" s="78">
        <v>49.777670000000001</v>
      </c>
      <c r="N726" s="78">
        <v>51.495089999999998</v>
      </c>
      <c r="O726" s="78">
        <v>66.627449999999996</v>
      </c>
      <c r="P726" s="78">
        <v>78.685280000000006</v>
      </c>
      <c r="R726" s="78">
        <v>82.161739999999995</v>
      </c>
      <c r="S726" s="78">
        <v>88.779160000000005</v>
      </c>
      <c r="AA726" s="78">
        <v>100.2414</v>
      </c>
      <c r="AC726" s="78">
        <v>87.635959999999997</v>
      </c>
      <c r="AD726" s="78">
        <v>49.709139999999998</v>
      </c>
      <c r="AE726" s="78">
        <v>51.810949999999998</v>
      </c>
      <c r="AG726" s="78">
        <v>89.547110000000004</v>
      </c>
      <c r="AH726" s="78">
        <v>66.536000000000001</v>
      </c>
      <c r="AJ726" s="78">
        <v>87.953779999999995</v>
      </c>
      <c r="AK726" s="78">
        <v>70.554119999999998</v>
      </c>
      <c r="AO726" s="78">
        <v>51.113239999999998</v>
      </c>
      <c r="AQ726" s="78">
        <v>74.846919999999997</v>
      </c>
      <c r="AR726" s="78">
        <v>71.989819999999995</v>
      </c>
      <c r="AT726" s="78">
        <v>67.352199999999996</v>
      </c>
      <c r="AV726" s="78">
        <v>43.510249999999999</v>
      </c>
      <c r="AZ726" s="78">
        <v>79.667649999999995</v>
      </c>
      <c r="BA726" s="78">
        <v>46.18777</v>
      </c>
      <c r="BB726" s="78">
        <v>71.280619999999999</v>
      </c>
      <c r="BC726" s="78">
        <v>69.217529999999996</v>
      </c>
      <c r="BD726" s="78">
        <v>67.535060000000001</v>
      </c>
    </row>
    <row r="727" spans="1:56" x14ac:dyDescent="0.2">
      <c r="A727" s="78" t="s">
        <v>875</v>
      </c>
      <c r="B727" s="22">
        <v>40817</v>
      </c>
      <c r="C727" s="22"/>
      <c r="D727" s="22"/>
      <c r="E727" s="22">
        <v>40330</v>
      </c>
      <c r="F727" s="78" t="s">
        <v>859</v>
      </c>
      <c r="G727" s="78">
        <v>68.728170000000006</v>
      </c>
      <c r="I727" s="78">
        <v>53.151859999999999</v>
      </c>
      <c r="J727" s="78">
        <v>70.572730000000007</v>
      </c>
      <c r="K727" s="78">
        <v>73.771259999999998</v>
      </c>
      <c r="L727" s="78">
        <v>54.66339</v>
      </c>
      <c r="M727" s="78">
        <v>50.26099</v>
      </c>
      <c r="N727" s="78">
        <v>52.048430000000003</v>
      </c>
      <c r="O727" s="78">
        <v>67.715720000000005</v>
      </c>
      <c r="P727" s="78">
        <v>79.292019999999994</v>
      </c>
      <c r="R727" s="78">
        <v>82.904079999999993</v>
      </c>
      <c r="S727" s="78">
        <v>88.103139999999996</v>
      </c>
      <c r="AA727" s="78">
        <v>100.2081</v>
      </c>
      <c r="AC727" s="78">
        <v>88.336560000000006</v>
      </c>
      <c r="AD727" s="78">
        <v>50.566839999999999</v>
      </c>
      <c r="AE727" s="78">
        <v>52.446370000000002</v>
      </c>
      <c r="AG727" s="78">
        <v>88.767139999999998</v>
      </c>
      <c r="AH727" s="78">
        <v>67.04034</v>
      </c>
      <c r="AJ727" s="78">
        <v>87.923919999999995</v>
      </c>
      <c r="AK727" s="78">
        <v>70.646799999999999</v>
      </c>
      <c r="AO727" s="78">
        <v>51.705880000000001</v>
      </c>
      <c r="AQ727" s="78">
        <v>75.363979999999998</v>
      </c>
      <c r="AR727" s="78">
        <v>72.276700000000005</v>
      </c>
      <c r="AT727" s="78">
        <v>68.298090000000002</v>
      </c>
      <c r="AV727" s="78">
        <v>44.137169999999998</v>
      </c>
      <c r="AZ727" s="78">
        <v>79.74033</v>
      </c>
      <c r="BA727" s="78">
        <v>47.083840000000002</v>
      </c>
      <c r="BB727" s="78">
        <v>71.439350000000005</v>
      </c>
      <c r="BC727" s="78">
        <v>69.637969999999996</v>
      </c>
      <c r="BD727" s="78">
        <v>67.465299999999999</v>
      </c>
    </row>
    <row r="728" spans="1:56" x14ac:dyDescent="0.2">
      <c r="A728" s="78" t="s">
        <v>876</v>
      </c>
      <c r="B728" s="22">
        <v>40848</v>
      </c>
      <c r="C728" s="22"/>
      <c r="D728" s="22"/>
      <c r="E728" s="22">
        <v>40360</v>
      </c>
      <c r="F728" s="78" t="s">
        <v>860</v>
      </c>
      <c r="G728" s="78">
        <v>69.316550000000007</v>
      </c>
      <c r="I728" s="78">
        <v>53.858829999999998</v>
      </c>
      <c r="J728" s="78">
        <v>71.094080000000005</v>
      </c>
      <c r="K728" s="78">
        <v>74.085669999999993</v>
      </c>
      <c r="L728" s="78">
        <v>54.597639999999998</v>
      </c>
      <c r="M728" s="78">
        <v>50.779440000000001</v>
      </c>
      <c r="N728" s="78">
        <v>52.554690000000001</v>
      </c>
      <c r="O728" s="78">
        <v>67.774159999999995</v>
      </c>
      <c r="P728" s="78">
        <v>79.030609999999996</v>
      </c>
      <c r="R728" s="78">
        <v>84.566969999999998</v>
      </c>
      <c r="S728" s="78">
        <v>87.233959999999996</v>
      </c>
      <c r="AA728" s="78">
        <v>100.09399999999999</v>
      </c>
      <c r="AC728" s="78">
        <v>88.730959999999996</v>
      </c>
      <c r="AD728" s="78">
        <v>51.290669999999999</v>
      </c>
      <c r="AE728" s="78">
        <v>53.211269999999999</v>
      </c>
      <c r="AG728" s="78">
        <v>88.017139999999998</v>
      </c>
      <c r="AH728" s="78">
        <v>67.231769999999997</v>
      </c>
      <c r="AJ728" s="78">
        <v>88.026269999999997</v>
      </c>
      <c r="AK728" s="78">
        <v>70.763990000000007</v>
      </c>
      <c r="AO728" s="78">
        <v>52.33278</v>
      </c>
      <c r="AQ728" s="78">
        <v>76.280760000000001</v>
      </c>
      <c r="AR728" s="78">
        <v>72.503460000000004</v>
      </c>
      <c r="AT728" s="78">
        <v>68.808329999999998</v>
      </c>
      <c r="AV728" s="78">
        <v>45.124160000000003</v>
      </c>
      <c r="AZ728" s="78">
        <v>80.364620000000002</v>
      </c>
      <c r="BA728" s="78">
        <v>47.815480000000001</v>
      </c>
      <c r="BB728" s="78">
        <v>71.519120000000001</v>
      </c>
      <c r="BC728" s="78">
        <v>70.317179999999993</v>
      </c>
      <c r="BD728" s="78">
        <v>67.506259999999997</v>
      </c>
    </row>
    <row r="729" spans="1:56" x14ac:dyDescent="0.2">
      <c r="A729" s="78" t="s">
        <v>877</v>
      </c>
      <c r="B729" s="22">
        <v>40878</v>
      </c>
      <c r="C729" s="22"/>
      <c r="D729" s="22"/>
      <c r="E729" s="22">
        <v>40391</v>
      </c>
      <c r="F729" s="78" t="s">
        <v>861</v>
      </c>
      <c r="G729" s="78">
        <v>69.918940000000006</v>
      </c>
      <c r="I729" s="78">
        <v>54.662230000000001</v>
      </c>
      <c r="J729" s="78">
        <v>71.638840000000002</v>
      </c>
      <c r="K729" s="78">
        <v>74.108149999999995</v>
      </c>
      <c r="L729" s="78">
        <v>54.438270000000003</v>
      </c>
      <c r="M729" s="78">
        <v>51.707470000000001</v>
      </c>
      <c r="N729" s="78">
        <v>52.830480000000001</v>
      </c>
      <c r="O729" s="78">
        <v>67.250659999999996</v>
      </c>
      <c r="P729" s="78">
        <v>78.687640000000002</v>
      </c>
      <c r="R729" s="78">
        <v>87.090630000000004</v>
      </c>
      <c r="S729" s="78">
        <v>87.210830000000001</v>
      </c>
      <c r="AA729" s="78">
        <v>99.847269999999995</v>
      </c>
      <c r="AC729" s="78">
        <v>88.842020000000005</v>
      </c>
      <c r="AD729" s="78">
        <v>51.544910000000002</v>
      </c>
      <c r="AE729" s="78">
        <v>53.938360000000003</v>
      </c>
      <c r="AG729" s="78">
        <v>87.304519999999997</v>
      </c>
      <c r="AH729" s="78">
        <v>66.913039999999995</v>
      </c>
      <c r="AJ729" s="78">
        <v>88.236729999999994</v>
      </c>
      <c r="AK729" s="78">
        <v>70.953969999999998</v>
      </c>
      <c r="AO729" s="78">
        <v>53.335599999999999</v>
      </c>
      <c r="AQ729" s="78">
        <v>76.930269999999993</v>
      </c>
      <c r="AR729" s="78">
        <v>72.887259999999998</v>
      </c>
      <c r="AT729" s="78">
        <v>69.087509999999995</v>
      </c>
      <c r="AV729" s="78">
        <v>46.197769999999998</v>
      </c>
      <c r="AZ729" s="78">
        <v>80.582040000000006</v>
      </c>
      <c r="BA729" s="78">
        <v>48.131100000000004</v>
      </c>
      <c r="BB729" s="78">
        <v>71.937129999999996</v>
      </c>
      <c r="BC729" s="78">
        <v>70.898650000000004</v>
      </c>
      <c r="BD729" s="78">
        <v>68.008210000000005</v>
      </c>
    </row>
    <row r="730" spans="1:56" x14ac:dyDescent="0.2">
      <c r="A730" s="78" t="s">
        <v>878</v>
      </c>
      <c r="B730" s="22">
        <v>40909</v>
      </c>
      <c r="C730" s="22"/>
      <c r="D730" s="22"/>
      <c r="E730" s="22">
        <v>40422</v>
      </c>
      <c r="F730" s="78" t="s">
        <v>862</v>
      </c>
      <c r="G730" s="78">
        <v>70.431659999999994</v>
      </c>
      <c r="I730" s="78">
        <v>55.5124</v>
      </c>
      <c r="J730" s="78">
        <v>71.497600000000006</v>
      </c>
      <c r="K730" s="78">
        <v>74.338350000000005</v>
      </c>
      <c r="L730" s="78">
        <v>54.880560000000003</v>
      </c>
      <c r="M730" s="78">
        <v>52.644080000000002</v>
      </c>
      <c r="N730" s="78">
        <v>53.274630000000002</v>
      </c>
      <c r="O730" s="78">
        <v>66.887169999999998</v>
      </c>
      <c r="P730" s="78">
        <v>78.456860000000006</v>
      </c>
      <c r="R730" s="78">
        <v>86.90334</v>
      </c>
      <c r="S730" s="78">
        <v>87.235690000000005</v>
      </c>
      <c r="AA730" s="78">
        <v>99.692300000000003</v>
      </c>
      <c r="AC730" s="78">
        <v>88.305400000000006</v>
      </c>
      <c r="AD730" s="78">
        <v>52.02149</v>
      </c>
      <c r="AE730" s="78">
        <v>54.451839999999997</v>
      </c>
      <c r="AG730" s="78">
        <v>86.637529999999998</v>
      </c>
      <c r="AH730" s="78">
        <v>66.945650000000001</v>
      </c>
      <c r="AJ730" s="78">
        <v>88.376840000000001</v>
      </c>
      <c r="AK730" s="78">
        <v>71.256969999999995</v>
      </c>
      <c r="AO730" s="78">
        <v>54.148090000000003</v>
      </c>
      <c r="AQ730" s="78">
        <v>77.236999999999995</v>
      </c>
      <c r="AR730" s="78">
        <v>73.145449999999997</v>
      </c>
      <c r="AT730" s="78">
        <v>69.519880000000001</v>
      </c>
      <c r="AV730" s="78">
        <v>46.807949999999998</v>
      </c>
      <c r="AZ730" s="78">
        <v>80.401820000000001</v>
      </c>
      <c r="BA730" s="78">
        <v>48.581940000000003</v>
      </c>
      <c r="BB730" s="78">
        <v>72.196399999999997</v>
      </c>
      <c r="BC730" s="78">
        <v>71.22466</v>
      </c>
      <c r="BD730" s="78">
        <v>68.492829999999998</v>
      </c>
    </row>
    <row r="731" spans="1:56" x14ac:dyDescent="0.2">
      <c r="A731" s="78" t="s">
        <v>879</v>
      </c>
      <c r="B731" s="22">
        <v>40940</v>
      </c>
      <c r="C731" s="22"/>
      <c r="D731" s="22"/>
      <c r="E731" s="22">
        <v>40452</v>
      </c>
      <c r="F731" s="78" t="s">
        <v>863</v>
      </c>
      <c r="G731" s="78">
        <v>71.014430000000004</v>
      </c>
      <c r="I731" s="78">
        <v>56.622959999999999</v>
      </c>
      <c r="J731" s="78">
        <v>71.973870000000005</v>
      </c>
      <c r="K731" s="78">
        <v>74.630780000000001</v>
      </c>
      <c r="L731" s="78">
        <v>55.766210000000001</v>
      </c>
      <c r="M731" s="78">
        <v>53.51728</v>
      </c>
      <c r="N731" s="78">
        <v>53.739879999999999</v>
      </c>
      <c r="O731" s="78">
        <v>66.49933</v>
      </c>
      <c r="P731" s="78">
        <v>78.427639999999997</v>
      </c>
      <c r="R731" s="78">
        <v>85.87415</v>
      </c>
      <c r="S731" s="78">
        <v>87.262609999999995</v>
      </c>
      <c r="AA731" s="78">
        <v>99.884379999999993</v>
      </c>
      <c r="AC731" s="78">
        <v>87.660989999999998</v>
      </c>
      <c r="AD731" s="78">
        <v>52.782919999999997</v>
      </c>
      <c r="AE731" s="78">
        <v>55.493819999999999</v>
      </c>
      <c r="AG731" s="78">
        <v>86.01361</v>
      </c>
      <c r="AH731" s="78">
        <v>67.195049999999995</v>
      </c>
      <c r="AJ731" s="78">
        <v>88.520560000000003</v>
      </c>
      <c r="AK731" s="78">
        <v>71.714709999999997</v>
      </c>
      <c r="AO731" s="78">
        <v>55.03181</v>
      </c>
      <c r="AQ731" s="78">
        <v>77.600800000000007</v>
      </c>
      <c r="AR731" s="78">
        <v>73.560429999999997</v>
      </c>
      <c r="AT731" s="78">
        <v>69.979429999999994</v>
      </c>
      <c r="AV731" s="78">
        <v>47.779470000000003</v>
      </c>
      <c r="AZ731" s="78">
        <v>80.934970000000007</v>
      </c>
      <c r="BA731" s="78">
        <v>49.265770000000003</v>
      </c>
      <c r="BB731" s="78">
        <v>72.6036</v>
      </c>
      <c r="BC731" s="78">
        <v>71.672820000000002</v>
      </c>
      <c r="BD731" s="78">
        <v>69.078410000000005</v>
      </c>
    </row>
    <row r="732" spans="1:56" x14ac:dyDescent="0.2">
      <c r="A732" s="78" t="s">
        <v>880</v>
      </c>
      <c r="B732" s="22">
        <v>40969</v>
      </c>
      <c r="C732" s="22"/>
      <c r="D732" s="22"/>
      <c r="E732" s="22">
        <v>40483</v>
      </c>
      <c r="F732" s="78" t="s">
        <v>864</v>
      </c>
      <c r="G732" s="78">
        <v>71.953040000000001</v>
      </c>
      <c r="I732" s="78">
        <v>57.501820000000002</v>
      </c>
      <c r="J732" s="78">
        <v>72.135369999999995</v>
      </c>
      <c r="K732" s="78">
        <v>74.985399999999998</v>
      </c>
      <c r="L732" s="78">
        <v>56.605269999999997</v>
      </c>
      <c r="M732" s="78">
        <v>54.423099999999998</v>
      </c>
      <c r="N732" s="78">
        <v>54.181530000000002</v>
      </c>
      <c r="O732" s="78">
        <v>67.343119999999999</v>
      </c>
      <c r="P732" s="78">
        <v>78.443399999999997</v>
      </c>
      <c r="R732" s="78">
        <v>86.340400000000002</v>
      </c>
      <c r="S732" s="78">
        <v>87.366529999999997</v>
      </c>
      <c r="AA732" s="78">
        <v>99.537099999999995</v>
      </c>
      <c r="AC732" s="78">
        <v>87.788889999999995</v>
      </c>
      <c r="AD732" s="78">
        <v>53.526090000000003</v>
      </c>
      <c r="AE732" s="78">
        <v>56.39669</v>
      </c>
      <c r="AG732" s="78">
        <v>85.440569999999994</v>
      </c>
      <c r="AH732" s="78">
        <v>67.467160000000007</v>
      </c>
      <c r="AJ732" s="78">
        <v>88.561620000000005</v>
      </c>
      <c r="AK732" s="78">
        <v>71.698229999999995</v>
      </c>
      <c r="AO732" s="78">
        <v>55.505020000000002</v>
      </c>
      <c r="AQ732" s="78">
        <v>78.333820000000003</v>
      </c>
      <c r="AR732" s="78">
        <v>73.808719999999994</v>
      </c>
      <c r="AT732" s="78">
        <v>70.36121</v>
      </c>
      <c r="AV732" s="78">
        <v>48.524230000000003</v>
      </c>
      <c r="AZ732" s="78">
        <v>81.125140000000002</v>
      </c>
      <c r="BA732" s="78">
        <v>49.959919999999997</v>
      </c>
      <c r="BB732" s="78">
        <v>72.775620000000004</v>
      </c>
      <c r="BC732" s="78">
        <v>72.157039999999995</v>
      </c>
      <c r="BD732" s="78">
        <v>69.599770000000007</v>
      </c>
    </row>
    <row r="733" spans="1:56" x14ac:dyDescent="0.2">
      <c r="A733" s="78" t="s">
        <v>881</v>
      </c>
      <c r="B733" s="22">
        <v>41000</v>
      </c>
      <c r="C733" s="22"/>
      <c r="D733" s="22"/>
      <c r="E733" s="22">
        <v>40513</v>
      </c>
      <c r="F733" s="78" t="s">
        <v>865</v>
      </c>
      <c r="G733" s="78">
        <v>72.748760000000004</v>
      </c>
      <c r="I733" s="78">
        <v>57.869610000000002</v>
      </c>
      <c r="J733" s="78">
        <v>72.473399999999998</v>
      </c>
      <c r="K733" s="78">
        <v>75.434839999999994</v>
      </c>
      <c r="L733" s="78">
        <v>57.439830000000001</v>
      </c>
      <c r="M733" s="78">
        <v>55.056510000000003</v>
      </c>
      <c r="N733" s="78">
        <v>54.880580000000002</v>
      </c>
      <c r="O733" s="78">
        <v>68.263159999999999</v>
      </c>
      <c r="P733" s="78">
        <v>78.936809999999994</v>
      </c>
      <c r="R733" s="78">
        <v>87.160839999999993</v>
      </c>
      <c r="S733" s="78">
        <v>87.665700000000001</v>
      </c>
      <c r="AA733" s="78">
        <v>98.592669999999998</v>
      </c>
      <c r="AC733" s="78">
        <v>87.244010000000003</v>
      </c>
      <c r="AD733" s="78">
        <v>54.47383</v>
      </c>
      <c r="AE733" s="78">
        <v>57.233699999999999</v>
      </c>
      <c r="AG733" s="78">
        <v>84.948980000000006</v>
      </c>
      <c r="AH733" s="78">
        <v>67.693960000000004</v>
      </c>
      <c r="AJ733" s="78">
        <v>88.522220000000004</v>
      </c>
      <c r="AK733" s="78">
        <v>71.710840000000005</v>
      </c>
      <c r="AO733" s="78">
        <v>55.579880000000003</v>
      </c>
      <c r="AQ733" s="78">
        <v>79.029039999999995</v>
      </c>
      <c r="AR733" s="78">
        <v>74.038669999999996</v>
      </c>
      <c r="AT733" s="78">
        <v>70.842190000000002</v>
      </c>
      <c r="AV733" s="78">
        <v>47.791800000000002</v>
      </c>
      <c r="AZ733" s="78">
        <v>80.816519999999997</v>
      </c>
      <c r="BA733" s="78">
        <v>51.146850000000001</v>
      </c>
      <c r="BB733" s="78">
        <v>73.040719999999993</v>
      </c>
      <c r="BC733" s="78">
        <v>72.429779999999994</v>
      </c>
      <c r="BD733" s="78">
        <v>70.066860000000005</v>
      </c>
    </row>
    <row r="734" spans="1:56" x14ac:dyDescent="0.2">
      <c r="A734" s="78" t="s">
        <v>882</v>
      </c>
      <c r="B734" s="22">
        <v>41030</v>
      </c>
      <c r="C734" s="22"/>
      <c r="D734" s="22"/>
      <c r="E734" s="22">
        <v>40544</v>
      </c>
      <c r="F734" s="78" t="s">
        <v>866</v>
      </c>
      <c r="G734" s="78">
        <v>73.227860000000007</v>
      </c>
      <c r="I734" s="78">
        <v>58.44491</v>
      </c>
      <c r="J734" s="78">
        <v>73.035790000000006</v>
      </c>
      <c r="K734" s="78">
        <v>75.78989</v>
      </c>
      <c r="L734" s="78">
        <v>58.39902</v>
      </c>
      <c r="M734" s="78">
        <v>55.45617</v>
      </c>
      <c r="N734" s="78">
        <v>55.55912</v>
      </c>
      <c r="O734" s="78">
        <v>68.726020000000005</v>
      </c>
      <c r="P734" s="78">
        <v>79.09666</v>
      </c>
      <c r="R734" s="78">
        <v>81.306820000000002</v>
      </c>
      <c r="S734" s="78">
        <v>87.850070000000002</v>
      </c>
      <c r="AA734" s="78">
        <v>98.117189999999994</v>
      </c>
      <c r="AC734" s="78">
        <v>87.016760000000005</v>
      </c>
      <c r="AD734" s="78">
        <v>55.490070000000003</v>
      </c>
      <c r="AE734" s="78">
        <v>57.980420000000002</v>
      </c>
      <c r="AG734" s="78">
        <v>84.601150000000004</v>
      </c>
      <c r="AH734" s="78">
        <v>67.699420000000003</v>
      </c>
      <c r="AJ734" s="78">
        <v>88.696039999999996</v>
      </c>
      <c r="AK734" s="78">
        <v>72.205979999999997</v>
      </c>
      <c r="AO734" s="78">
        <v>56.110720000000001</v>
      </c>
      <c r="AQ734" s="78">
        <v>79.753749999999997</v>
      </c>
      <c r="AR734" s="78">
        <v>74.322239999999994</v>
      </c>
      <c r="AT734" s="78">
        <v>70.97681</v>
      </c>
      <c r="AV734" s="78">
        <v>49.702120000000001</v>
      </c>
      <c r="AZ734" s="78">
        <v>80.352609999999999</v>
      </c>
      <c r="BA734" s="78">
        <v>52.387540000000001</v>
      </c>
      <c r="BB734" s="78">
        <v>73.34487</v>
      </c>
      <c r="BC734" s="78">
        <v>72.86533</v>
      </c>
      <c r="BD734" s="78">
        <v>70.797330000000002</v>
      </c>
    </row>
    <row r="735" spans="1:56" x14ac:dyDescent="0.2">
      <c r="A735" s="78" t="s">
        <v>883</v>
      </c>
      <c r="B735" s="22">
        <v>41061</v>
      </c>
      <c r="C735" s="22"/>
      <c r="D735" s="22"/>
      <c r="E735" s="22">
        <v>40575</v>
      </c>
      <c r="F735" s="78" t="s">
        <v>867</v>
      </c>
      <c r="G735" s="78">
        <v>73.869479999999996</v>
      </c>
      <c r="I735" s="78">
        <v>59.540700000000001</v>
      </c>
      <c r="J735" s="78">
        <v>73.473590000000002</v>
      </c>
      <c r="K735" s="78">
        <v>76.295439999999999</v>
      </c>
      <c r="L735" s="78">
        <v>59.35181</v>
      </c>
      <c r="M735" s="78">
        <v>55.777149999999999</v>
      </c>
      <c r="N735" s="78">
        <v>56.086530000000003</v>
      </c>
      <c r="O735" s="78">
        <v>68.987009999999998</v>
      </c>
      <c r="P735" s="78">
        <v>78.797110000000004</v>
      </c>
      <c r="R735" s="78">
        <v>75.298310000000001</v>
      </c>
      <c r="S735" s="78">
        <v>87.745750000000001</v>
      </c>
      <c r="AA735" s="78">
        <v>98.270150000000001</v>
      </c>
      <c r="AC735" s="78">
        <v>87.528509999999997</v>
      </c>
      <c r="AD735" s="78">
        <v>56.016779999999997</v>
      </c>
      <c r="AE735" s="78">
        <v>58.487929999999999</v>
      </c>
      <c r="AG735" s="78">
        <v>84.43562</v>
      </c>
      <c r="AH735" s="78">
        <v>68.000360000000001</v>
      </c>
      <c r="AJ735" s="78">
        <v>88.856549999999999</v>
      </c>
      <c r="AK735" s="78">
        <v>72.499790000000004</v>
      </c>
      <c r="AO735" s="78">
        <v>56.763289999999998</v>
      </c>
      <c r="AQ735" s="78">
        <v>80.335059999999999</v>
      </c>
      <c r="AR735" s="78">
        <v>74.686019999999999</v>
      </c>
      <c r="AT735" s="78">
        <v>71.13297</v>
      </c>
      <c r="AV735" s="78">
        <v>51.771099999999997</v>
      </c>
      <c r="AZ735" s="78">
        <v>80.003960000000006</v>
      </c>
      <c r="BA735" s="78">
        <v>53.412300000000002</v>
      </c>
      <c r="BB735" s="78">
        <v>73.722980000000007</v>
      </c>
      <c r="BC735" s="78">
        <v>73.295349999999999</v>
      </c>
      <c r="BD735" s="78">
        <v>71.342560000000006</v>
      </c>
    </row>
    <row r="736" spans="1:56" x14ac:dyDescent="0.2">
      <c r="A736" s="78" t="s">
        <v>884</v>
      </c>
      <c r="B736" s="22">
        <v>41091</v>
      </c>
      <c r="C736" s="22"/>
      <c r="D736" s="22"/>
      <c r="E736" s="22">
        <v>40603</v>
      </c>
      <c r="F736" s="78" t="s">
        <v>868</v>
      </c>
      <c r="G736" s="78">
        <v>74.491470000000007</v>
      </c>
      <c r="I736" s="78">
        <v>60.427799999999998</v>
      </c>
      <c r="J736" s="78">
        <v>74.117199999999997</v>
      </c>
      <c r="K736" s="78">
        <v>76.76052</v>
      </c>
      <c r="L736" s="78">
        <v>60.047989999999999</v>
      </c>
      <c r="M736" s="78">
        <v>56.316839999999999</v>
      </c>
      <c r="N736" s="78">
        <v>56.892699999999998</v>
      </c>
      <c r="O736" s="78">
        <v>69.092100000000002</v>
      </c>
      <c r="P736" s="78">
        <v>78.641220000000004</v>
      </c>
      <c r="R736" s="78">
        <v>76.028739999999999</v>
      </c>
      <c r="S736" s="78">
        <v>87.838419999999999</v>
      </c>
      <c r="AA736" s="78">
        <v>98.800539999999998</v>
      </c>
      <c r="AC736" s="78">
        <v>87.461579999999998</v>
      </c>
      <c r="AD736" s="78">
        <v>56.442340000000002</v>
      </c>
      <c r="AE736" s="78">
        <v>59.302880000000002</v>
      </c>
      <c r="AG736" s="78">
        <v>84.497730000000004</v>
      </c>
      <c r="AH736" s="78">
        <v>68.414019999999994</v>
      </c>
      <c r="AJ736" s="78">
        <v>89.058329999999998</v>
      </c>
      <c r="AK736" s="78">
        <v>72.805509999999998</v>
      </c>
      <c r="AO736" s="78">
        <v>57.438940000000002</v>
      </c>
      <c r="AQ736" s="78">
        <v>80.568240000000003</v>
      </c>
      <c r="AR736" s="78">
        <v>75.152150000000006</v>
      </c>
      <c r="AT736" s="78">
        <v>72.530090000000001</v>
      </c>
      <c r="AV736" s="78">
        <v>51.658259999999999</v>
      </c>
      <c r="AZ736" s="78">
        <v>80.574529999999996</v>
      </c>
      <c r="BA736" s="78">
        <v>54.484259999999999</v>
      </c>
      <c r="BB736" s="78">
        <v>74.091130000000007</v>
      </c>
      <c r="BC736" s="78">
        <v>73.384960000000007</v>
      </c>
      <c r="BD736" s="78">
        <v>71.772319999999993</v>
      </c>
    </row>
    <row r="737" spans="1:56" x14ac:dyDescent="0.2">
      <c r="A737" s="78" t="s">
        <v>885</v>
      </c>
      <c r="B737" s="22">
        <v>41122</v>
      </c>
      <c r="C737" s="22"/>
      <c r="D737" s="22"/>
      <c r="E737" s="22">
        <v>40634</v>
      </c>
      <c r="F737" s="78" t="s">
        <v>869</v>
      </c>
      <c r="G737" s="78">
        <v>74.981790000000004</v>
      </c>
      <c r="I737" s="78">
        <v>61.110570000000003</v>
      </c>
      <c r="J737" s="78">
        <v>74.651830000000004</v>
      </c>
      <c r="K737" s="78">
        <v>77.101900000000001</v>
      </c>
      <c r="L737" s="78">
        <v>60.684460000000001</v>
      </c>
      <c r="M737" s="78">
        <v>56.89611</v>
      </c>
      <c r="N737" s="78">
        <v>57.31344</v>
      </c>
      <c r="O737" s="78">
        <v>69.859539999999996</v>
      </c>
      <c r="P737" s="78">
        <v>78.888319999999993</v>
      </c>
      <c r="R737" s="78">
        <v>75.616489999999999</v>
      </c>
      <c r="S737" s="78">
        <v>88.276309999999995</v>
      </c>
      <c r="AA737" s="78">
        <v>99.017139999999998</v>
      </c>
      <c r="AC737" s="78">
        <v>87.447730000000007</v>
      </c>
      <c r="AD737" s="78">
        <v>56.774380000000001</v>
      </c>
      <c r="AE737" s="78">
        <v>60.110480000000003</v>
      </c>
      <c r="AG737" s="78">
        <v>84.785499999999999</v>
      </c>
      <c r="AH737" s="78">
        <v>68.595370000000003</v>
      </c>
      <c r="AJ737" s="78">
        <v>89.423789999999997</v>
      </c>
      <c r="AK737" s="78">
        <v>73.107230000000001</v>
      </c>
      <c r="AO737" s="78">
        <v>58.311680000000003</v>
      </c>
      <c r="AQ737" s="78">
        <v>81.108720000000005</v>
      </c>
      <c r="AR737" s="78">
        <v>75.670969999999997</v>
      </c>
      <c r="AT737" s="78">
        <v>73.424120000000002</v>
      </c>
      <c r="AV737" s="78">
        <v>52.415329999999997</v>
      </c>
      <c r="AZ737" s="78">
        <v>80.998750000000001</v>
      </c>
      <c r="BA737" s="78">
        <v>55.412619999999997</v>
      </c>
      <c r="BB737" s="78">
        <v>74.608019999999996</v>
      </c>
      <c r="BC737" s="78">
        <v>73.365039999999993</v>
      </c>
      <c r="BD737" s="78">
        <v>72.400720000000007</v>
      </c>
    </row>
    <row r="738" spans="1:56" x14ac:dyDescent="0.2">
      <c r="A738" s="78" t="s">
        <v>886</v>
      </c>
      <c r="B738" s="22">
        <v>41153</v>
      </c>
      <c r="C738" s="22"/>
      <c r="D738" s="22"/>
      <c r="E738" s="22">
        <v>40664</v>
      </c>
      <c r="F738" s="78" t="s">
        <v>870</v>
      </c>
      <c r="G738" s="78">
        <v>75.379649999999998</v>
      </c>
      <c r="I738" s="78">
        <v>61.974769999999999</v>
      </c>
      <c r="J738" s="78">
        <v>74.843620000000001</v>
      </c>
      <c r="K738" s="78">
        <v>77.583370000000002</v>
      </c>
      <c r="L738" s="78">
        <v>61.377899999999997</v>
      </c>
      <c r="M738" s="78">
        <v>57.37191</v>
      </c>
      <c r="N738" s="78">
        <v>58.033630000000002</v>
      </c>
      <c r="O738" s="78">
        <v>69.647189999999995</v>
      </c>
      <c r="P738" s="78">
        <v>79.557500000000005</v>
      </c>
      <c r="R738" s="78">
        <v>75.286749999999998</v>
      </c>
      <c r="S738" s="78">
        <v>88.574100000000001</v>
      </c>
      <c r="AA738" s="78">
        <v>99.050929999999994</v>
      </c>
      <c r="AC738" s="78">
        <v>87.853700000000003</v>
      </c>
      <c r="AD738" s="78">
        <v>57.20158</v>
      </c>
      <c r="AE738" s="78">
        <v>60.80894</v>
      </c>
      <c r="AG738" s="78">
        <v>85.168620000000004</v>
      </c>
      <c r="AH738" s="78">
        <v>69.29419</v>
      </c>
      <c r="AJ738" s="78">
        <v>89.836519999999993</v>
      </c>
      <c r="AK738" s="78">
        <v>73.310159999999996</v>
      </c>
      <c r="AO738" s="78">
        <v>59.364280000000001</v>
      </c>
      <c r="AQ738" s="78">
        <v>81.909610000000001</v>
      </c>
      <c r="AR738" s="78">
        <v>76.124080000000006</v>
      </c>
      <c r="AT738" s="78">
        <v>73.234049999999996</v>
      </c>
      <c r="AV738" s="78">
        <v>52.749839999999999</v>
      </c>
      <c r="AZ738" s="78">
        <v>80.879329999999996</v>
      </c>
      <c r="BA738" s="78">
        <v>56.449210000000001</v>
      </c>
      <c r="BB738" s="78">
        <v>75.034329999999997</v>
      </c>
      <c r="BC738" s="78">
        <v>73.579440000000005</v>
      </c>
      <c r="BD738" s="78">
        <v>72.868930000000006</v>
      </c>
    </row>
    <row r="739" spans="1:56" x14ac:dyDescent="0.2">
      <c r="A739" s="78" t="s">
        <v>887</v>
      </c>
      <c r="B739" s="22">
        <v>41183</v>
      </c>
      <c r="C739" s="22"/>
      <c r="D739" s="22"/>
      <c r="E739" s="22">
        <v>40695</v>
      </c>
      <c r="F739" s="78" t="s">
        <v>871</v>
      </c>
      <c r="G739" s="78">
        <v>75.404859999999999</v>
      </c>
      <c r="I739" s="78">
        <v>62.630650000000003</v>
      </c>
      <c r="J739" s="78">
        <v>75.239239999999995</v>
      </c>
      <c r="K739" s="78">
        <v>77.881320000000002</v>
      </c>
      <c r="L739" s="78">
        <v>62.241079999999997</v>
      </c>
      <c r="M739" s="78">
        <v>58.018689999999999</v>
      </c>
      <c r="N739" s="78">
        <v>59.273110000000003</v>
      </c>
      <c r="O739" s="78">
        <v>68.591549999999998</v>
      </c>
      <c r="P739" s="78">
        <v>79.348050000000001</v>
      </c>
      <c r="R739" s="78">
        <v>75.7316</v>
      </c>
      <c r="S739" s="78">
        <v>88.634860000000003</v>
      </c>
      <c r="AA739" s="78">
        <v>98.978459999999998</v>
      </c>
      <c r="AC739" s="78">
        <v>88.018280000000004</v>
      </c>
      <c r="AD739" s="78">
        <v>57.727600000000002</v>
      </c>
      <c r="AE739" s="78">
        <v>61.422400000000003</v>
      </c>
      <c r="AG739" s="78">
        <v>85.619029999999995</v>
      </c>
      <c r="AH739" s="78">
        <v>69.961370000000002</v>
      </c>
      <c r="AJ739" s="78">
        <v>89.89958</v>
      </c>
      <c r="AK739" s="78">
        <v>73.905100000000004</v>
      </c>
      <c r="AO739" s="78">
        <v>60.274340000000002</v>
      </c>
      <c r="AQ739" s="78">
        <v>81.928240000000002</v>
      </c>
      <c r="AR739" s="78">
        <v>76.641840000000002</v>
      </c>
      <c r="AT739" s="78">
        <v>73.481960000000001</v>
      </c>
      <c r="AV739" s="78">
        <v>52.991950000000003</v>
      </c>
      <c r="AZ739" s="78">
        <v>81.795400000000001</v>
      </c>
      <c r="BA739" s="78">
        <v>57.246090000000002</v>
      </c>
      <c r="BB739" s="78">
        <v>75.734049999999996</v>
      </c>
      <c r="BC739" s="78">
        <v>74.028000000000006</v>
      </c>
      <c r="BD739" s="78">
        <v>73.336460000000002</v>
      </c>
    </row>
    <row r="740" spans="1:56" x14ac:dyDescent="0.2">
      <c r="A740" s="78" t="s">
        <v>888</v>
      </c>
      <c r="B740" s="22">
        <v>41214</v>
      </c>
      <c r="C740" s="22"/>
      <c r="D740" s="22"/>
      <c r="E740" s="22">
        <v>40725</v>
      </c>
      <c r="F740" s="78" t="s">
        <v>872</v>
      </c>
      <c r="G740" s="78">
        <v>75.539339999999996</v>
      </c>
      <c r="I740" s="78">
        <v>63.466819999999998</v>
      </c>
      <c r="J740" s="78">
        <v>75.433880000000002</v>
      </c>
      <c r="K740" s="78">
        <v>78.143230000000003</v>
      </c>
      <c r="L740" s="78">
        <v>63.313220000000001</v>
      </c>
      <c r="M740" s="78">
        <v>58.555579999999999</v>
      </c>
      <c r="N740" s="78">
        <v>59.775820000000003</v>
      </c>
      <c r="O740" s="78">
        <v>68.566469999999995</v>
      </c>
      <c r="P740" s="78">
        <v>79.313860000000005</v>
      </c>
      <c r="R740" s="78">
        <v>76.347269999999995</v>
      </c>
      <c r="S740" s="78">
        <v>88.700209999999998</v>
      </c>
      <c r="AA740" s="78">
        <v>98.634429999999995</v>
      </c>
      <c r="AC740" s="78">
        <v>88.704769999999996</v>
      </c>
      <c r="AD740" s="78">
        <v>58.601509999999998</v>
      </c>
      <c r="AE740" s="78">
        <v>62.209029999999998</v>
      </c>
      <c r="AG740" s="78">
        <v>86.246610000000004</v>
      </c>
      <c r="AH740" s="78">
        <v>70.720910000000003</v>
      </c>
      <c r="AJ740" s="78">
        <v>90.118549999999999</v>
      </c>
      <c r="AK740" s="78">
        <v>74.517750000000007</v>
      </c>
      <c r="AO740" s="78">
        <v>61.069070000000004</v>
      </c>
      <c r="AQ740" s="78">
        <v>81.942939999999993</v>
      </c>
      <c r="AR740" s="78">
        <v>77.585009999999997</v>
      </c>
      <c r="AT740" s="78">
        <v>73.922070000000005</v>
      </c>
      <c r="AV740" s="78">
        <v>53.86195</v>
      </c>
      <c r="AZ740" s="78">
        <v>82.353260000000006</v>
      </c>
      <c r="BA740" s="78">
        <v>57.992319999999999</v>
      </c>
      <c r="BB740" s="78">
        <v>77.296360000000007</v>
      </c>
      <c r="BC740" s="78">
        <v>74.424359999999993</v>
      </c>
      <c r="BD740" s="78">
        <v>73.716800000000006</v>
      </c>
    </row>
    <row r="741" spans="1:56" x14ac:dyDescent="0.2">
      <c r="A741" s="78" t="s">
        <v>889</v>
      </c>
      <c r="B741" s="22">
        <v>41244</v>
      </c>
      <c r="C741" s="22"/>
      <c r="D741" s="22"/>
      <c r="E741" s="22">
        <v>40756</v>
      </c>
      <c r="F741" s="78" t="s">
        <v>873</v>
      </c>
      <c r="G741" s="78">
        <v>76.374279999999999</v>
      </c>
      <c r="I741" s="78">
        <v>64.481790000000004</v>
      </c>
      <c r="J741" s="78">
        <v>76.317499999999995</v>
      </c>
      <c r="K741" s="78">
        <v>79.108959999999996</v>
      </c>
      <c r="L741" s="78">
        <v>64.473029999999994</v>
      </c>
      <c r="M741" s="78">
        <v>59.069279999999999</v>
      </c>
      <c r="N741" s="78">
        <v>60.91628</v>
      </c>
      <c r="O741" s="78">
        <v>69.055660000000003</v>
      </c>
      <c r="P741" s="78">
        <v>79.575239999999994</v>
      </c>
      <c r="R741" s="78">
        <v>76.931740000000005</v>
      </c>
      <c r="S741" s="78">
        <v>88.897080000000003</v>
      </c>
      <c r="AA741" s="78">
        <v>98.568659999999994</v>
      </c>
      <c r="AC741" s="78">
        <v>89.481390000000005</v>
      </c>
      <c r="AD741" s="78">
        <v>59.963760000000001</v>
      </c>
      <c r="AE741" s="78">
        <v>63.008519999999997</v>
      </c>
      <c r="AG741" s="78">
        <v>87.047449999999998</v>
      </c>
      <c r="AH741" s="78">
        <v>71.893810000000002</v>
      </c>
      <c r="AJ741" s="78">
        <v>90.188959999999994</v>
      </c>
      <c r="AK741" s="78">
        <v>74.994960000000006</v>
      </c>
      <c r="AO741" s="78">
        <v>62.41095</v>
      </c>
      <c r="AQ741" s="78">
        <v>82.446520000000007</v>
      </c>
      <c r="AR741" s="78">
        <v>78.766620000000003</v>
      </c>
      <c r="AT741" s="78">
        <v>74.76437</v>
      </c>
      <c r="AV741" s="78">
        <v>54.840260000000001</v>
      </c>
      <c r="AZ741" s="78">
        <v>83.024889999999999</v>
      </c>
      <c r="BA741" s="78">
        <v>59.053730000000002</v>
      </c>
      <c r="BB741" s="78">
        <v>79.072249999999997</v>
      </c>
      <c r="BC741" s="78">
        <v>75.008129999999994</v>
      </c>
      <c r="BD741" s="78">
        <v>73.563699999999997</v>
      </c>
    </row>
    <row r="742" spans="1:56" x14ac:dyDescent="0.2">
      <c r="A742" s="78" t="s">
        <v>890</v>
      </c>
      <c r="B742" s="22">
        <v>41275</v>
      </c>
      <c r="C742" s="22"/>
      <c r="D742" s="22"/>
      <c r="E742" s="22">
        <v>40787</v>
      </c>
      <c r="F742" s="78" t="s">
        <v>874</v>
      </c>
      <c r="G742" s="78">
        <v>77.245639999999995</v>
      </c>
      <c r="I742" s="78">
        <v>65.261099999999999</v>
      </c>
      <c r="J742" s="78">
        <v>77.239369999999994</v>
      </c>
      <c r="K742" s="78">
        <v>80.054599999999994</v>
      </c>
      <c r="L742" s="78">
        <v>65.790440000000004</v>
      </c>
      <c r="M742" s="78">
        <v>59.621490000000001</v>
      </c>
      <c r="N742" s="78">
        <v>62.125520000000002</v>
      </c>
      <c r="O742" s="78">
        <v>69.361890000000002</v>
      </c>
      <c r="P742" s="78">
        <v>79.906229999999994</v>
      </c>
      <c r="R742" s="78">
        <v>79.091520000000003</v>
      </c>
      <c r="S742" s="78">
        <v>89.18056</v>
      </c>
      <c r="AA742" s="78">
        <v>98.658799999999999</v>
      </c>
      <c r="AC742" s="78">
        <v>90.896770000000004</v>
      </c>
      <c r="AD742" s="78">
        <v>60.70778</v>
      </c>
      <c r="AE742" s="78">
        <v>63.65287</v>
      </c>
      <c r="AG742" s="78">
        <v>87.821539999999999</v>
      </c>
      <c r="AH742" s="78">
        <v>73.139359999999996</v>
      </c>
      <c r="AJ742" s="78">
        <v>90.381039999999999</v>
      </c>
      <c r="AK742" s="78">
        <v>75.572819999999993</v>
      </c>
      <c r="AO742" s="78">
        <v>63.492359999999998</v>
      </c>
      <c r="AQ742" s="78">
        <v>83.233230000000006</v>
      </c>
      <c r="AR742" s="78">
        <v>79.21387</v>
      </c>
      <c r="AT742" s="78">
        <v>76.124290000000002</v>
      </c>
      <c r="AV742" s="78">
        <v>55.557560000000002</v>
      </c>
      <c r="AZ742" s="78">
        <v>84.503140000000002</v>
      </c>
      <c r="BA742" s="78">
        <v>59.579230000000003</v>
      </c>
      <c r="BB742" s="78">
        <v>79.276679999999999</v>
      </c>
      <c r="BC742" s="78">
        <v>75.721800000000002</v>
      </c>
      <c r="BD742" s="78">
        <v>73.473820000000003</v>
      </c>
    </row>
    <row r="743" spans="1:56" x14ac:dyDescent="0.2">
      <c r="A743" s="78" t="s">
        <v>891</v>
      </c>
      <c r="B743" s="22">
        <v>41306</v>
      </c>
      <c r="C743" s="22"/>
      <c r="D743" s="22"/>
      <c r="E743" s="22">
        <v>40817</v>
      </c>
      <c r="F743" s="78" t="s">
        <v>875</v>
      </c>
      <c r="G743" s="78">
        <v>77.72475</v>
      </c>
      <c r="I743" s="78">
        <v>65.941040000000001</v>
      </c>
      <c r="J743" s="78">
        <v>77.170569999999998</v>
      </c>
      <c r="K743" s="78">
        <v>80.433189999999996</v>
      </c>
      <c r="L743" s="78">
        <v>67.348659999999995</v>
      </c>
      <c r="M743" s="78">
        <v>61.434959999999997</v>
      </c>
      <c r="N743" s="78">
        <v>62.604970000000002</v>
      </c>
      <c r="O743" s="78">
        <v>70.037149999999997</v>
      </c>
      <c r="P743" s="78">
        <v>80.453950000000006</v>
      </c>
      <c r="R743" s="78">
        <v>79.447620000000001</v>
      </c>
      <c r="S743" s="78">
        <v>89.137079999999997</v>
      </c>
      <c r="AA743" s="78">
        <v>98.063190000000006</v>
      </c>
      <c r="AC743" s="78">
        <v>92.352260000000001</v>
      </c>
      <c r="AD743" s="78">
        <v>61.289969999999997</v>
      </c>
      <c r="AE743" s="78">
        <v>64.268789999999996</v>
      </c>
      <c r="AG743" s="78">
        <v>88.460340000000002</v>
      </c>
      <c r="AH743" s="78">
        <v>73.850620000000006</v>
      </c>
      <c r="AJ743" s="78">
        <v>90.579610000000002</v>
      </c>
      <c r="AK743" s="78">
        <v>75.988590000000002</v>
      </c>
      <c r="AO743" s="78">
        <v>64.121920000000003</v>
      </c>
      <c r="AQ743" s="78">
        <v>84.111080000000001</v>
      </c>
      <c r="AR743" s="78">
        <v>79.498159999999999</v>
      </c>
      <c r="AT743" s="78">
        <v>77.108919999999998</v>
      </c>
      <c r="AV743" s="78">
        <v>57.120649999999998</v>
      </c>
      <c r="AZ743" s="78">
        <v>85.237719999999996</v>
      </c>
      <c r="BA743" s="78">
        <v>59.395060000000001</v>
      </c>
      <c r="BB743" s="78">
        <v>79.539280000000005</v>
      </c>
      <c r="BC743" s="78">
        <v>76.585380000000001</v>
      </c>
      <c r="BD743" s="78">
        <v>74.191019999999995</v>
      </c>
    </row>
    <row r="744" spans="1:56" x14ac:dyDescent="0.2">
      <c r="A744" s="78" t="s">
        <v>892</v>
      </c>
      <c r="B744" s="22">
        <v>41334</v>
      </c>
      <c r="C744" s="22"/>
      <c r="D744" s="22"/>
      <c r="E744" s="22">
        <v>40848</v>
      </c>
      <c r="F744" s="78" t="s">
        <v>876</v>
      </c>
      <c r="G744" s="78">
        <v>78.069370000000006</v>
      </c>
      <c r="I744" s="78">
        <v>66.537120000000002</v>
      </c>
      <c r="J744" s="78">
        <v>77.599999999999994</v>
      </c>
      <c r="K744" s="78">
        <v>80.619749999999996</v>
      </c>
      <c r="L744" s="78">
        <v>68.591040000000007</v>
      </c>
      <c r="M744" s="78">
        <v>63.387520000000002</v>
      </c>
      <c r="N744" s="78">
        <v>63.658160000000002</v>
      </c>
      <c r="O744" s="78">
        <v>70.822720000000004</v>
      </c>
      <c r="P744" s="78">
        <v>80.844350000000006</v>
      </c>
      <c r="R744" s="78">
        <v>79.292540000000002</v>
      </c>
      <c r="S744" s="78">
        <v>89.053970000000007</v>
      </c>
      <c r="AA744" s="78">
        <v>97.302390000000003</v>
      </c>
      <c r="AC744" s="78">
        <v>92.575540000000004</v>
      </c>
      <c r="AD744" s="78">
        <v>62.237560000000002</v>
      </c>
      <c r="AE744" s="78">
        <v>64.917529999999999</v>
      </c>
      <c r="AG744" s="78">
        <v>89.096639999999994</v>
      </c>
      <c r="AH744" s="78">
        <v>74.153589999999994</v>
      </c>
      <c r="AJ744" s="78">
        <v>90.752709999999993</v>
      </c>
      <c r="AK744" s="78">
        <v>76.114379999999997</v>
      </c>
      <c r="AO744" s="78">
        <v>64.89573</v>
      </c>
      <c r="AQ744" s="78">
        <v>84.409180000000006</v>
      </c>
      <c r="AR744" s="78">
        <v>79.814139999999995</v>
      </c>
      <c r="AT744" s="78">
        <v>78.113309999999998</v>
      </c>
      <c r="AV744" s="78">
        <v>58.728679999999997</v>
      </c>
      <c r="AZ744" s="78">
        <v>85.40746</v>
      </c>
      <c r="BA744" s="78">
        <v>59.53266</v>
      </c>
      <c r="BB744" s="78">
        <v>79.88</v>
      </c>
      <c r="BC744" s="78">
        <v>77.283559999999994</v>
      </c>
      <c r="BD744" s="78">
        <v>75.157550000000001</v>
      </c>
    </row>
    <row r="745" spans="1:56" x14ac:dyDescent="0.2">
      <c r="A745" s="78" t="s">
        <v>893</v>
      </c>
      <c r="B745" s="22">
        <v>41365</v>
      </c>
      <c r="C745" s="22"/>
      <c r="D745" s="22"/>
      <c r="E745" s="22">
        <v>40878</v>
      </c>
      <c r="F745" s="78" t="s">
        <v>877</v>
      </c>
      <c r="G745" s="78">
        <v>78.52046</v>
      </c>
      <c r="I745" s="78">
        <v>67.294539999999998</v>
      </c>
      <c r="J745" s="78">
        <v>78.059049999999999</v>
      </c>
      <c r="K745" s="78">
        <v>80.892080000000007</v>
      </c>
      <c r="L745" s="78">
        <v>69.53398</v>
      </c>
      <c r="M745" s="78">
        <v>64.243189999999998</v>
      </c>
      <c r="N745" s="78">
        <v>64.899609999999996</v>
      </c>
      <c r="O745" s="78">
        <v>71.434079999999994</v>
      </c>
      <c r="P745" s="78">
        <v>81.920829999999995</v>
      </c>
      <c r="R745" s="78">
        <v>81.768659999999997</v>
      </c>
      <c r="S745" s="78">
        <v>89.516689999999997</v>
      </c>
      <c r="AA745" s="78">
        <v>96.451350000000005</v>
      </c>
      <c r="AC745" s="78">
        <v>92.214489999999998</v>
      </c>
      <c r="AD745" s="78">
        <v>63.490589999999997</v>
      </c>
      <c r="AE745" s="78">
        <v>66.117779999999996</v>
      </c>
      <c r="AG745" s="78">
        <v>89.765690000000006</v>
      </c>
      <c r="AH745" s="78">
        <v>75.068920000000006</v>
      </c>
      <c r="AJ745" s="78">
        <v>90.8215</v>
      </c>
      <c r="AK745" s="78">
        <v>76.371129999999994</v>
      </c>
      <c r="AO745" s="78">
        <v>65.936899999999994</v>
      </c>
      <c r="AQ745" s="78">
        <v>84.417230000000004</v>
      </c>
      <c r="AR745" s="78">
        <v>80.154160000000005</v>
      </c>
      <c r="AT745" s="78">
        <v>79.384219999999999</v>
      </c>
      <c r="AV745" s="78">
        <v>57.460389999999997</v>
      </c>
      <c r="AZ745" s="78">
        <v>85.878720000000001</v>
      </c>
      <c r="BA745" s="78">
        <v>59.894730000000003</v>
      </c>
      <c r="BB745" s="78">
        <v>80.202439999999996</v>
      </c>
      <c r="BC745" s="78">
        <v>77.966089999999994</v>
      </c>
      <c r="BD745" s="78">
        <v>75.628389999999996</v>
      </c>
    </row>
    <row r="746" spans="1:56" x14ac:dyDescent="0.2">
      <c r="A746" s="78" t="s">
        <v>894</v>
      </c>
      <c r="B746" s="22">
        <v>41395</v>
      </c>
      <c r="C746" s="22"/>
      <c r="D746" s="22"/>
      <c r="E746" s="22">
        <v>40909</v>
      </c>
      <c r="F746" s="78" t="s">
        <v>878</v>
      </c>
      <c r="G746" s="78">
        <v>79.097629999999995</v>
      </c>
      <c r="I746" s="78">
        <v>68.714560000000006</v>
      </c>
      <c r="J746" s="78">
        <v>78.764330000000001</v>
      </c>
      <c r="K746" s="78">
        <v>81.320819999999998</v>
      </c>
      <c r="L746" s="78">
        <v>70.521900000000002</v>
      </c>
      <c r="M746" s="78">
        <v>64.821160000000006</v>
      </c>
      <c r="N746" s="78">
        <v>65.653220000000005</v>
      </c>
      <c r="O746" s="78">
        <v>71.907619999999994</v>
      </c>
      <c r="P746" s="78">
        <v>82.563280000000006</v>
      </c>
      <c r="R746" s="78">
        <v>84.164910000000006</v>
      </c>
      <c r="S746" s="78">
        <v>89.737949999999998</v>
      </c>
      <c r="AA746" s="78">
        <v>96.289860000000004</v>
      </c>
      <c r="AC746" s="78">
        <v>90.484759999999994</v>
      </c>
      <c r="AD746" s="78">
        <v>64.913659999999993</v>
      </c>
      <c r="AE746" s="78">
        <v>66.796229999999994</v>
      </c>
      <c r="AG746" s="78">
        <v>90.311769999999996</v>
      </c>
      <c r="AH746" s="78">
        <v>75.985990000000001</v>
      </c>
      <c r="AJ746" s="78">
        <v>90.987790000000004</v>
      </c>
      <c r="AK746" s="78">
        <v>76.966729999999998</v>
      </c>
      <c r="AO746" s="78">
        <v>67.238950000000003</v>
      </c>
      <c r="AQ746" s="78">
        <v>84.643460000000005</v>
      </c>
      <c r="AR746" s="78">
        <v>80.711399999999998</v>
      </c>
      <c r="AT746" s="78">
        <v>80.271339999999995</v>
      </c>
      <c r="AV746" s="78">
        <v>59.104199999999999</v>
      </c>
      <c r="AZ746" s="78">
        <v>87.25421</v>
      </c>
      <c r="BA746" s="78">
        <v>59.843649999999997</v>
      </c>
      <c r="BB746" s="78">
        <v>80.860600000000005</v>
      </c>
      <c r="BC746" s="78">
        <v>78.316019999999995</v>
      </c>
      <c r="BD746" s="78">
        <v>75.877989999999997</v>
      </c>
    </row>
    <row r="747" spans="1:56" x14ac:dyDescent="0.2">
      <c r="A747" s="78" t="s">
        <v>895</v>
      </c>
      <c r="B747" s="22">
        <v>41426</v>
      </c>
      <c r="C747" s="22"/>
      <c r="D747" s="22"/>
      <c r="E747" s="22">
        <v>40940</v>
      </c>
      <c r="F747" s="78" t="s">
        <v>879</v>
      </c>
      <c r="G747" s="78">
        <v>79.587950000000006</v>
      </c>
      <c r="I747" s="78">
        <v>70.073099999999997</v>
      </c>
      <c r="J747" s="78">
        <v>78.923450000000003</v>
      </c>
      <c r="K747" s="78">
        <v>81.523849999999996</v>
      </c>
      <c r="L747" s="78">
        <v>71.192629999999994</v>
      </c>
      <c r="M747" s="78">
        <v>65.410769999999999</v>
      </c>
      <c r="N747" s="78">
        <v>66.275859999999994</v>
      </c>
      <c r="O747" s="78">
        <v>72.408460000000005</v>
      </c>
      <c r="P747" s="78">
        <v>82.830960000000005</v>
      </c>
      <c r="R747" s="78">
        <v>86.092870000000005</v>
      </c>
      <c r="S747" s="78">
        <v>89.598780000000005</v>
      </c>
      <c r="AA747" s="78">
        <v>96.25864</v>
      </c>
      <c r="AC747" s="78">
        <v>88.771929999999998</v>
      </c>
      <c r="AD747" s="78">
        <v>65.89452</v>
      </c>
      <c r="AE747" s="78">
        <v>66.89743</v>
      </c>
      <c r="AG747" s="78">
        <v>90.663600000000002</v>
      </c>
      <c r="AH747" s="78">
        <v>76.535550000000001</v>
      </c>
      <c r="AJ747" s="78">
        <v>91.11139</v>
      </c>
      <c r="AK747" s="78">
        <v>78.086860000000001</v>
      </c>
      <c r="AO747" s="78">
        <v>68.118110000000001</v>
      </c>
      <c r="AQ747" s="78">
        <v>85.243290000000002</v>
      </c>
      <c r="AR747" s="78">
        <v>81.050030000000007</v>
      </c>
      <c r="AT747" s="78">
        <v>80.518090000000001</v>
      </c>
      <c r="AV747" s="78">
        <v>61.815719999999999</v>
      </c>
      <c r="AZ747" s="78">
        <v>88.350129999999993</v>
      </c>
      <c r="BA747" s="78">
        <v>59.86065</v>
      </c>
      <c r="BB747" s="78">
        <v>81.216279999999998</v>
      </c>
      <c r="BC747" s="78">
        <v>77.987669999999994</v>
      </c>
      <c r="BD747" s="78">
        <v>76.248599999999996</v>
      </c>
    </row>
    <row r="748" spans="1:56" x14ac:dyDescent="0.2">
      <c r="A748" s="78" t="s">
        <v>896</v>
      </c>
      <c r="B748" s="22">
        <v>41456</v>
      </c>
      <c r="C748" s="22"/>
      <c r="D748" s="22"/>
      <c r="E748" s="22">
        <v>40969</v>
      </c>
      <c r="F748" s="78" t="s">
        <v>880</v>
      </c>
      <c r="G748" s="78">
        <v>80.061449999999994</v>
      </c>
      <c r="I748" s="78">
        <v>71.131789999999995</v>
      </c>
      <c r="J748" s="78">
        <v>79.48527</v>
      </c>
      <c r="K748" s="78">
        <v>81.749359999999996</v>
      </c>
      <c r="L748" s="78">
        <v>71.871449999999996</v>
      </c>
      <c r="M748" s="78">
        <v>66.485339999999994</v>
      </c>
      <c r="N748" s="78">
        <v>66.94547</v>
      </c>
      <c r="O748" s="78">
        <v>73.105000000000004</v>
      </c>
      <c r="P748" s="78">
        <v>83.134190000000004</v>
      </c>
      <c r="R748" s="78">
        <v>87.401340000000005</v>
      </c>
      <c r="S748" s="78">
        <v>90.120220000000003</v>
      </c>
      <c r="AA748" s="78">
        <v>95.755380000000002</v>
      </c>
      <c r="AC748" s="78">
        <v>88.355249999999998</v>
      </c>
      <c r="AD748" s="78">
        <v>66.834519999999998</v>
      </c>
      <c r="AE748" s="78">
        <v>67.429280000000006</v>
      </c>
      <c r="AG748" s="78">
        <v>90.824430000000007</v>
      </c>
      <c r="AH748" s="78">
        <v>77.012439999999998</v>
      </c>
      <c r="AJ748" s="78">
        <v>91.349209999999999</v>
      </c>
      <c r="AK748" s="78">
        <v>78.856290000000001</v>
      </c>
      <c r="AO748" s="78">
        <v>69.255049999999997</v>
      </c>
      <c r="AQ748" s="78">
        <v>85.863990000000001</v>
      </c>
      <c r="AR748" s="78">
        <v>81.458430000000007</v>
      </c>
      <c r="AT748" s="78">
        <v>80.399450000000002</v>
      </c>
      <c r="AV748" s="78">
        <v>61.392940000000003</v>
      </c>
      <c r="AZ748" s="78">
        <v>88.593729999999994</v>
      </c>
      <c r="BA748" s="78">
        <v>60.388669999999998</v>
      </c>
      <c r="BB748" s="78">
        <v>81.58775</v>
      </c>
      <c r="BC748" s="78">
        <v>78.026809999999998</v>
      </c>
      <c r="BD748" s="78">
        <v>76.814779999999999</v>
      </c>
    </row>
    <row r="749" spans="1:56" x14ac:dyDescent="0.2">
      <c r="A749" s="78" t="s">
        <v>897</v>
      </c>
      <c r="B749" s="22">
        <v>41487</v>
      </c>
      <c r="C749" s="22"/>
      <c r="D749" s="22"/>
      <c r="E749" s="22">
        <v>41000</v>
      </c>
      <c r="F749" s="78" t="s">
        <v>881</v>
      </c>
      <c r="G749" s="78">
        <v>80.484530000000007</v>
      </c>
      <c r="I749" s="78">
        <v>72.237179999999995</v>
      </c>
      <c r="J749" s="78">
        <v>79.927049999999994</v>
      </c>
      <c r="K749" s="78">
        <v>82.086399999999998</v>
      </c>
      <c r="L749" s="78">
        <v>72.857849999999999</v>
      </c>
      <c r="M749" s="78">
        <v>67.080280000000002</v>
      </c>
      <c r="N749" s="78">
        <v>67.669340000000005</v>
      </c>
      <c r="O749" s="78">
        <v>73.667140000000003</v>
      </c>
      <c r="P749" s="78">
        <v>83.372720000000001</v>
      </c>
      <c r="R749" s="78">
        <v>88.920509999999993</v>
      </c>
      <c r="S749" s="78">
        <v>90.605130000000003</v>
      </c>
      <c r="AA749" s="78">
        <v>96.113919999999993</v>
      </c>
      <c r="AC749" s="78">
        <v>87.720550000000003</v>
      </c>
      <c r="AD749" s="78">
        <v>67.846599999999995</v>
      </c>
      <c r="AE749" s="78">
        <v>68.090890000000002</v>
      </c>
      <c r="AG749" s="78">
        <v>88.871399999999994</v>
      </c>
      <c r="AH749" s="78">
        <v>77.376549999999995</v>
      </c>
      <c r="AJ749" s="78">
        <v>91.480999999999995</v>
      </c>
      <c r="AK749" s="78">
        <v>79.043400000000005</v>
      </c>
      <c r="AO749" s="78">
        <v>70.319320000000005</v>
      </c>
      <c r="AQ749" s="78">
        <v>86.130309999999994</v>
      </c>
      <c r="AR749" s="78">
        <v>81.930970000000002</v>
      </c>
      <c r="AT749" s="78">
        <v>80.511989999999997</v>
      </c>
      <c r="AV749" s="78">
        <v>62.162570000000002</v>
      </c>
      <c r="AZ749" s="78">
        <v>88.722819999999999</v>
      </c>
      <c r="BA749" s="78">
        <v>61.153689999999997</v>
      </c>
      <c r="BB749" s="78">
        <v>82.038989999999998</v>
      </c>
      <c r="BC749" s="78">
        <v>78.045659999999998</v>
      </c>
      <c r="BD749" s="78">
        <v>77.517589999999998</v>
      </c>
    </row>
    <row r="750" spans="1:56" x14ac:dyDescent="0.2">
      <c r="A750" s="78" t="s">
        <v>898</v>
      </c>
      <c r="B750" s="22">
        <v>41518</v>
      </c>
      <c r="C750" s="22"/>
      <c r="D750" s="22"/>
      <c r="E750" s="22">
        <v>41030</v>
      </c>
      <c r="F750" s="78" t="s">
        <v>882</v>
      </c>
      <c r="G750" s="78">
        <v>81.154150000000001</v>
      </c>
      <c r="I750" s="78">
        <v>73.230440000000002</v>
      </c>
      <c r="J750" s="78">
        <v>80.360309999999998</v>
      </c>
      <c r="K750" s="78">
        <v>82.470209999999994</v>
      </c>
      <c r="L750" s="78">
        <v>73.787520000000001</v>
      </c>
      <c r="M750" s="78">
        <v>67.524289999999993</v>
      </c>
      <c r="N750" s="78">
        <v>68.543009999999995</v>
      </c>
      <c r="O750" s="78">
        <v>74.037649999999999</v>
      </c>
      <c r="P750" s="78">
        <v>84.006159999999994</v>
      </c>
      <c r="R750" s="78">
        <v>89.344070000000002</v>
      </c>
      <c r="S750" s="78">
        <v>90.796610000000001</v>
      </c>
      <c r="AA750" s="78">
        <v>96.546859999999995</v>
      </c>
      <c r="AC750" s="78">
        <v>87.645359999999997</v>
      </c>
      <c r="AD750" s="78">
        <v>68.899559999999994</v>
      </c>
      <c r="AE750" s="78">
        <v>68.917850000000001</v>
      </c>
      <c r="AG750" s="78">
        <v>86.735039999999998</v>
      </c>
      <c r="AH750" s="78">
        <v>77.799130000000005</v>
      </c>
      <c r="AJ750" s="78">
        <v>91.534360000000007</v>
      </c>
      <c r="AK750" s="78">
        <v>79.50264</v>
      </c>
      <c r="AO750" s="78">
        <v>71.107789999999994</v>
      </c>
      <c r="AQ750" s="78">
        <v>85.738290000000006</v>
      </c>
      <c r="AR750" s="78">
        <v>82.26061</v>
      </c>
      <c r="AT750" s="78">
        <v>81.051060000000007</v>
      </c>
      <c r="AV750" s="78">
        <v>62.876640000000002</v>
      </c>
      <c r="AZ750" s="78">
        <v>88.263239999999996</v>
      </c>
      <c r="BA750" s="78">
        <v>61.820300000000003</v>
      </c>
      <c r="BB750" s="78">
        <v>82.302419999999998</v>
      </c>
      <c r="BC750" s="78">
        <v>78.238590000000002</v>
      </c>
      <c r="BD750" s="78">
        <v>78.065550000000002</v>
      </c>
    </row>
    <row r="751" spans="1:56" x14ac:dyDescent="0.2">
      <c r="A751" s="78" t="s">
        <v>899</v>
      </c>
      <c r="B751" s="22">
        <v>41548</v>
      </c>
      <c r="C751" s="22"/>
      <c r="D751" s="22"/>
      <c r="E751" s="22">
        <v>41061</v>
      </c>
      <c r="F751" s="78" t="s">
        <v>883</v>
      </c>
      <c r="G751" s="78">
        <v>81.888229999999993</v>
      </c>
      <c r="I751" s="78">
        <v>73.975269999999995</v>
      </c>
      <c r="J751" s="78">
        <v>80.712459999999993</v>
      </c>
      <c r="K751" s="78">
        <v>83.651759999999996</v>
      </c>
      <c r="L751" s="78">
        <v>74.407089999999997</v>
      </c>
      <c r="M751" s="78">
        <v>68.557280000000006</v>
      </c>
      <c r="N751" s="78">
        <v>69.030159999999995</v>
      </c>
      <c r="O751" s="78">
        <v>74.441800000000001</v>
      </c>
      <c r="P751" s="78">
        <v>84.246189999999999</v>
      </c>
      <c r="R751" s="78">
        <v>89.508700000000005</v>
      </c>
      <c r="S751" s="78">
        <v>91.149150000000006</v>
      </c>
      <c r="AA751" s="78">
        <v>96.560050000000004</v>
      </c>
      <c r="AC751" s="78">
        <v>88.148960000000002</v>
      </c>
      <c r="AD751" s="78">
        <v>69.808859999999996</v>
      </c>
      <c r="AE751" s="78">
        <v>70.327579999999998</v>
      </c>
      <c r="AG751" s="78">
        <v>86.403660000000002</v>
      </c>
      <c r="AH751" s="78">
        <v>78.546629999999993</v>
      </c>
      <c r="AJ751" s="78">
        <v>91.650260000000003</v>
      </c>
      <c r="AK751" s="78">
        <v>80.068420000000003</v>
      </c>
      <c r="AO751" s="78">
        <v>72.502880000000005</v>
      </c>
      <c r="AQ751" s="78">
        <v>85.982929999999996</v>
      </c>
      <c r="AR751" s="78">
        <v>82.786940000000001</v>
      </c>
      <c r="AT751" s="78">
        <v>81.63194</v>
      </c>
      <c r="AV751" s="78">
        <v>63.482840000000003</v>
      </c>
      <c r="AZ751" s="78">
        <v>87.539090000000002</v>
      </c>
      <c r="BA751" s="78">
        <v>62.51052</v>
      </c>
      <c r="BB751" s="78">
        <v>82.882469999999998</v>
      </c>
      <c r="BC751" s="78">
        <v>78.962249999999997</v>
      </c>
      <c r="BD751" s="78">
        <v>78.537869999999998</v>
      </c>
    </row>
    <row r="752" spans="1:56" x14ac:dyDescent="0.2">
      <c r="A752" s="78" t="s">
        <v>900</v>
      </c>
      <c r="B752" s="22">
        <v>41579</v>
      </c>
      <c r="C752" s="22"/>
      <c r="D752" s="22"/>
      <c r="E752" s="22">
        <v>41091</v>
      </c>
      <c r="F752" s="78" t="s">
        <v>884</v>
      </c>
      <c r="G752" s="78">
        <v>82.302890000000005</v>
      </c>
      <c r="I752" s="78">
        <v>74.722750000000005</v>
      </c>
      <c r="J752" s="78">
        <v>81.138940000000005</v>
      </c>
      <c r="K752" s="78">
        <v>85.176509999999993</v>
      </c>
      <c r="L752" s="78">
        <v>74.869249999999994</v>
      </c>
      <c r="M752" s="78">
        <v>69.498750000000001</v>
      </c>
      <c r="N752" s="78">
        <v>69.103740000000002</v>
      </c>
      <c r="O752" s="78">
        <v>74.860730000000004</v>
      </c>
      <c r="P752" s="78">
        <v>84.402000000000001</v>
      </c>
      <c r="R752" s="78">
        <v>89.129220000000004</v>
      </c>
      <c r="S752" s="78">
        <v>91.459479999999999</v>
      </c>
      <c r="AA752" s="78">
        <v>96.70111</v>
      </c>
      <c r="AC752" s="78">
        <v>87.879350000000002</v>
      </c>
      <c r="AD752" s="78">
        <v>70.313360000000003</v>
      </c>
      <c r="AE752" s="78">
        <v>71.292079999999999</v>
      </c>
      <c r="AG752" s="78">
        <v>85.980860000000007</v>
      </c>
      <c r="AH752" s="78">
        <v>79.427520000000001</v>
      </c>
      <c r="AJ752" s="78">
        <v>91.888310000000004</v>
      </c>
      <c r="AK752" s="78">
        <v>80.489930000000001</v>
      </c>
      <c r="AO752" s="78">
        <v>73.883870000000002</v>
      </c>
      <c r="AQ752" s="78">
        <v>86.767439999999993</v>
      </c>
      <c r="AR752" s="78">
        <v>83.333839999999995</v>
      </c>
      <c r="AT752" s="78">
        <v>82.020430000000005</v>
      </c>
      <c r="AV752" s="78">
        <v>64.554730000000006</v>
      </c>
      <c r="AZ752" s="78">
        <v>87.232100000000003</v>
      </c>
      <c r="BA752" s="78">
        <v>62.95073</v>
      </c>
      <c r="BB752" s="78">
        <v>83.490780000000001</v>
      </c>
      <c r="BC752" s="78">
        <v>79.983590000000007</v>
      </c>
      <c r="BD752" s="78">
        <v>79.460329999999999</v>
      </c>
    </row>
    <row r="753" spans="1:56" x14ac:dyDescent="0.2">
      <c r="A753" s="78" t="s">
        <v>901</v>
      </c>
      <c r="B753" s="22">
        <v>41609</v>
      </c>
      <c r="C753" s="22"/>
      <c r="D753" s="22"/>
      <c r="E753" s="22">
        <v>41122</v>
      </c>
      <c r="F753" s="78" t="s">
        <v>885</v>
      </c>
      <c r="G753" s="78">
        <v>82.793210000000002</v>
      </c>
      <c r="I753" s="78">
        <v>75.663470000000004</v>
      </c>
      <c r="J753" s="78">
        <v>81.260530000000003</v>
      </c>
      <c r="K753" s="78">
        <v>86.088139999999996</v>
      </c>
      <c r="L753" s="78">
        <v>75.021429999999995</v>
      </c>
      <c r="M753" s="78">
        <v>70.10145</v>
      </c>
      <c r="N753" s="78">
        <v>69.981350000000006</v>
      </c>
      <c r="O753" s="78">
        <v>75.392489999999995</v>
      </c>
      <c r="P753" s="78">
        <v>84.525850000000005</v>
      </c>
      <c r="R753" s="78">
        <v>88.965090000000004</v>
      </c>
      <c r="S753" s="78">
        <v>91.480779999999996</v>
      </c>
      <c r="AA753" s="78">
        <v>96.867890000000003</v>
      </c>
      <c r="AC753" s="78">
        <v>87.837280000000007</v>
      </c>
      <c r="AD753" s="78">
        <v>71.001949999999994</v>
      </c>
      <c r="AE753" s="78">
        <v>71.691779999999994</v>
      </c>
      <c r="AG753" s="78">
        <v>85.456789999999998</v>
      </c>
      <c r="AH753" s="78">
        <v>80.176659999999998</v>
      </c>
      <c r="AJ753" s="78">
        <v>92.084299999999999</v>
      </c>
      <c r="AK753" s="78">
        <v>80.716669999999993</v>
      </c>
      <c r="AO753" s="78">
        <v>74.63194</v>
      </c>
      <c r="AQ753" s="78">
        <v>87.102580000000003</v>
      </c>
      <c r="AR753" s="78">
        <v>83.799509999999998</v>
      </c>
      <c r="AT753" s="78">
        <v>82.527439999999999</v>
      </c>
      <c r="AV753" s="78">
        <v>65.270049999999998</v>
      </c>
      <c r="AZ753" s="78">
        <v>87.512659999999997</v>
      </c>
      <c r="BA753" s="78">
        <v>63.366289999999999</v>
      </c>
      <c r="BB753" s="78">
        <v>84.081630000000004</v>
      </c>
      <c r="BC753" s="78">
        <v>80.876850000000005</v>
      </c>
      <c r="BD753" s="78">
        <v>79.956699999999998</v>
      </c>
    </row>
    <row r="754" spans="1:56" x14ac:dyDescent="0.2">
      <c r="A754" s="78" t="s">
        <v>902</v>
      </c>
      <c r="B754" s="22">
        <v>41640</v>
      </c>
      <c r="C754" s="22"/>
      <c r="D754" s="22"/>
      <c r="E754" s="22">
        <v>41153</v>
      </c>
      <c r="F754" s="78" t="s">
        <v>886</v>
      </c>
      <c r="G754" s="78">
        <v>83.249899999999997</v>
      </c>
      <c r="I754" s="78">
        <v>76.325040000000001</v>
      </c>
      <c r="J754" s="78">
        <v>81.272360000000006</v>
      </c>
      <c r="K754" s="78">
        <v>86.836389999999994</v>
      </c>
      <c r="L754" s="78">
        <v>75.127319999999997</v>
      </c>
      <c r="M754" s="78">
        <v>71.000950000000003</v>
      </c>
      <c r="N754" s="78">
        <v>71.633110000000002</v>
      </c>
      <c r="O754" s="78">
        <v>76.649770000000004</v>
      </c>
      <c r="P754" s="78">
        <v>84.283439999999999</v>
      </c>
      <c r="R754" s="78">
        <v>90.061319999999995</v>
      </c>
      <c r="S754" s="78">
        <v>91.423839999999998</v>
      </c>
      <c r="AA754" s="78">
        <v>96.94435</v>
      </c>
      <c r="AC754" s="78">
        <v>88.205020000000005</v>
      </c>
      <c r="AD754" s="78">
        <v>71.673029999999997</v>
      </c>
      <c r="AE754" s="78">
        <v>72.33672</v>
      </c>
      <c r="AG754" s="78">
        <v>85.010850000000005</v>
      </c>
      <c r="AH754" s="78">
        <v>80.493399999999994</v>
      </c>
      <c r="AJ754" s="78">
        <v>92.266949999999994</v>
      </c>
      <c r="AK754" s="78">
        <v>81.079740000000001</v>
      </c>
      <c r="AO754" s="78">
        <v>75.417010000000005</v>
      </c>
      <c r="AQ754" s="78">
        <v>87.637630000000001</v>
      </c>
      <c r="AR754" s="78">
        <v>84.312359999999998</v>
      </c>
      <c r="AT754" s="78">
        <v>82.724019999999996</v>
      </c>
      <c r="AV754" s="78">
        <v>65.500579999999999</v>
      </c>
      <c r="AZ754" s="78">
        <v>88.437029999999993</v>
      </c>
      <c r="BA754" s="78">
        <v>64.183199999999999</v>
      </c>
      <c r="BB754" s="78">
        <v>84.765559999999994</v>
      </c>
      <c r="BC754" s="78">
        <v>81.331270000000004</v>
      </c>
      <c r="BD754" s="78">
        <v>79.976190000000003</v>
      </c>
    </row>
    <row r="755" spans="1:56" x14ac:dyDescent="0.2">
      <c r="A755" s="78" t="s">
        <v>903</v>
      </c>
      <c r="B755" s="22">
        <v>41671</v>
      </c>
      <c r="C755" s="22"/>
      <c r="D755" s="22"/>
      <c r="E755" s="22">
        <v>41183</v>
      </c>
      <c r="F755" s="78" t="s">
        <v>887</v>
      </c>
      <c r="G755" s="78">
        <v>83.602930000000001</v>
      </c>
      <c r="I755" s="78">
        <v>77.17089</v>
      </c>
      <c r="J755" s="78">
        <v>81.796189999999996</v>
      </c>
      <c r="K755" s="78">
        <v>87.505570000000006</v>
      </c>
      <c r="L755" s="78">
        <v>75.508420000000001</v>
      </c>
      <c r="M755" s="78">
        <v>71.915700000000001</v>
      </c>
      <c r="N755" s="78">
        <v>72.843729999999994</v>
      </c>
      <c r="O755" s="78">
        <v>77.376180000000005</v>
      </c>
      <c r="P755" s="78">
        <v>84.624539999999996</v>
      </c>
      <c r="R755" s="78">
        <v>88.238619999999997</v>
      </c>
      <c r="S755" s="78">
        <v>91.740300000000005</v>
      </c>
      <c r="AA755" s="78">
        <v>97.226309999999998</v>
      </c>
      <c r="AC755" s="78">
        <v>88.821820000000002</v>
      </c>
      <c r="AD755" s="78">
        <v>72.458619999999996</v>
      </c>
      <c r="AE755" s="78">
        <v>72.805260000000004</v>
      </c>
      <c r="AG755" s="78">
        <v>84.740430000000003</v>
      </c>
      <c r="AH755" s="78">
        <v>80.471599999999995</v>
      </c>
      <c r="AJ755" s="78">
        <v>92.360050000000001</v>
      </c>
      <c r="AK755" s="78">
        <v>81.585239999999999</v>
      </c>
      <c r="AO755" s="78">
        <v>76.164609999999996</v>
      </c>
      <c r="AQ755" s="78">
        <v>87.971140000000005</v>
      </c>
      <c r="AR755" s="78">
        <v>84.756299999999996</v>
      </c>
      <c r="AT755" s="78">
        <v>83.041139999999999</v>
      </c>
      <c r="AV755" s="78">
        <v>66.177790000000002</v>
      </c>
      <c r="AZ755" s="78">
        <v>88.61036</v>
      </c>
      <c r="BA755" s="78">
        <v>65.134299999999996</v>
      </c>
      <c r="BB755" s="78">
        <v>85.273319999999998</v>
      </c>
      <c r="BC755" s="78">
        <v>81.548000000000002</v>
      </c>
      <c r="BD755" s="78">
        <v>80.317549999999997</v>
      </c>
    </row>
    <row r="756" spans="1:56" x14ac:dyDescent="0.2">
      <c r="A756" s="78" t="s">
        <v>904</v>
      </c>
      <c r="B756" s="22">
        <v>41699</v>
      </c>
      <c r="C756" s="22"/>
      <c r="D756" s="22"/>
      <c r="E756" s="22">
        <v>41214</v>
      </c>
      <c r="F756" s="78" t="s">
        <v>888</v>
      </c>
      <c r="G756" s="78">
        <v>83.927940000000007</v>
      </c>
      <c r="I756" s="78">
        <v>78.170360000000002</v>
      </c>
      <c r="J756" s="78">
        <v>82.058949999999996</v>
      </c>
      <c r="K756" s="78">
        <v>87.965509999999995</v>
      </c>
      <c r="L756" s="78">
        <v>75.922780000000003</v>
      </c>
      <c r="M756" s="78">
        <v>72.585139999999996</v>
      </c>
      <c r="N756" s="78">
        <v>73.392759999999996</v>
      </c>
      <c r="O756" s="78">
        <v>77.552350000000004</v>
      </c>
      <c r="P756" s="78">
        <v>85.260090000000005</v>
      </c>
      <c r="R756" s="78">
        <v>84.888369999999995</v>
      </c>
      <c r="S756" s="78">
        <v>92.019729999999996</v>
      </c>
      <c r="AA756" s="78">
        <v>97.087590000000006</v>
      </c>
      <c r="AC756" s="78">
        <v>88.839179999999999</v>
      </c>
      <c r="AD756" s="78">
        <v>73.422020000000003</v>
      </c>
      <c r="AE756" s="78">
        <v>73.488200000000006</v>
      </c>
      <c r="AG756" s="78">
        <v>84.571430000000007</v>
      </c>
      <c r="AH756" s="78">
        <v>80.531459999999996</v>
      </c>
      <c r="AJ756" s="78">
        <v>92.396889999999999</v>
      </c>
      <c r="AK756" s="78">
        <v>82.100809999999996</v>
      </c>
      <c r="AO756" s="78">
        <v>76.85172</v>
      </c>
      <c r="AQ756" s="78">
        <v>88.402600000000007</v>
      </c>
      <c r="AR756" s="78">
        <v>85.114509999999996</v>
      </c>
      <c r="AT756" s="78">
        <v>83.375489999999999</v>
      </c>
      <c r="AV756" s="78">
        <v>66.687610000000006</v>
      </c>
      <c r="AZ756" s="78">
        <v>88.185490000000001</v>
      </c>
      <c r="BA756" s="78">
        <v>65.778660000000002</v>
      </c>
      <c r="BB756" s="78">
        <v>85.760289999999998</v>
      </c>
      <c r="BC756" s="78">
        <v>81.966059999999999</v>
      </c>
      <c r="BD756" s="78">
        <v>80.933760000000007</v>
      </c>
    </row>
    <row r="757" spans="1:56" x14ac:dyDescent="0.2">
      <c r="A757" s="78" t="s">
        <v>905</v>
      </c>
      <c r="B757" s="22">
        <v>41730</v>
      </c>
      <c r="C757" s="22"/>
      <c r="D757" s="22"/>
      <c r="E757" s="22">
        <v>41244</v>
      </c>
      <c r="F757" s="78" t="s">
        <v>889</v>
      </c>
      <c r="G757" s="78">
        <v>84.292180000000002</v>
      </c>
      <c r="I757" s="78">
        <v>78.492130000000003</v>
      </c>
      <c r="J757" s="78">
        <v>82.42165</v>
      </c>
      <c r="K757" s="78">
        <v>88.681290000000004</v>
      </c>
      <c r="L757" s="78">
        <v>76.284739999999999</v>
      </c>
      <c r="M757" s="78">
        <v>73.515339999999995</v>
      </c>
      <c r="N757" s="78">
        <v>74.658230000000003</v>
      </c>
      <c r="O757" s="78">
        <v>78.278120000000001</v>
      </c>
      <c r="P757" s="78">
        <v>85.968890000000002</v>
      </c>
      <c r="R757" s="78">
        <v>84.089079999999996</v>
      </c>
      <c r="S757" s="78">
        <v>92.270629999999997</v>
      </c>
      <c r="AA757" s="78">
        <v>97.625950000000003</v>
      </c>
      <c r="AC757" s="78">
        <v>88.566760000000002</v>
      </c>
      <c r="AD757" s="78">
        <v>73.951710000000006</v>
      </c>
      <c r="AE757" s="78">
        <v>74.177090000000007</v>
      </c>
      <c r="AG757" s="78">
        <v>84.503119999999996</v>
      </c>
      <c r="AH757" s="78">
        <v>80.540350000000004</v>
      </c>
      <c r="AJ757" s="78">
        <v>92.775620000000004</v>
      </c>
      <c r="AK757" s="78">
        <v>82.555260000000004</v>
      </c>
      <c r="AO757" s="78">
        <v>77.705619999999996</v>
      </c>
      <c r="AQ757" s="78">
        <v>88.506230000000002</v>
      </c>
      <c r="AR757" s="78">
        <v>85.837720000000004</v>
      </c>
      <c r="AT757" s="78">
        <v>83.416150000000002</v>
      </c>
      <c r="AV757" s="78">
        <v>64.975650000000002</v>
      </c>
      <c r="AZ757" s="78">
        <v>88.602800000000002</v>
      </c>
      <c r="BA757" s="78">
        <v>66.178309999999996</v>
      </c>
      <c r="BB757" s="78">
        <v>86.805710000000005</v>
      </c>
      <c r="BC757" s="78">
        <v>82.646609999999995</v>
      </c>
      <c r="BD757" s="78">
        <v>81.973309999999998</v>
      </c>
    </row>
    <row r="758" spans="1:56" x14ac:dyDescent="0.2">
      <c r="A758" s="78" t="s">
        <v>906</v>
      </c>
      <c r="B758" s="22">
        <v>41760</v>
      </c>
      <c r="C758" s="22"/>
      <c r="D758" s="22"/>
      <c r="E758" s="22">
        <v>41275</v>
      </c>
      <c r="F758" s="78" t="s">
        <v>890</v>
      </c>
      <c r="G758" s="78">
        <v>84.818910000000002</v>
      </c>
      <c r="I758" s="78">
        <v>79.042259999999999</v>
      </c>
      <c r="J758" s="78">
        <v>82.793490000000006</v>
      </c>
      <c r="K758" s="78">
        <v>89.15607</v>
      </c>
      <c r="L758" s="78">
        <v>76.694410000000005</v>
      </c>
      <c r="M758" s="78">
        <v>74.643979999999999</v>
      </c>
      <c r="N758" s="78">
        <v>75.819909999999993</v>
      </c>
      <c r="O758" s="78">
        <v>78.938890000000001</v>
      </c>
      <c r="P758" s="78">
        <v>86.496269999999996</v>
      </c>
      <c r="R758" s="78">
        <v>80.803929999999994</v>
      </c>
      <c r="S758" s="78">
        <v>92.213750000000005</v>
      </c>
      <c r="AA758" s="78">
        <v>98.977810000000005</v>
      </c>
      <c r="AC758" s="78">
        <v>89.263030000000001</v>
      </c>
      <c r="AD758" s="78">
        <v>74.591449999999995</v>
      </c>
      <c r="AE758" s="78">
        <v>74.866039999999998</v>
      </c>
      <c r="AG758" s="78">
        <v>84.529929999999993</v>
      </c>
      <c r="AH758" s="78">
        <v>80.558679999999995</v>
      </c>
      <c r="AJ758" s="78">
        <v>93.018460000000005</v>
      </c>
      <c r="AK758" s="78">
        <v>83.071569999999994</v>
      </c>
      <c r="AO758" s="78">
        <v>78.755600000000001</v>
      </c>
      <c r="AQ758" s="78">
        <v>88.536600000000007</v>
      </c>
      <c r="AR758" s="78">
        <v>86.237849999999995</v>
      </c>
      <c r="AT758" s="78">
        <v>83.883260000000007</v>
      </c>
      <c r="AV758" s="78">
        <v>66.854389999999995</v>
      </c>
      <c r="AZ758" s="78">
        <v>89.103650000000002</v>
      </c>
      <c r="BA758" s="78">
        <v>66.967160000000007</v>
      </c>
      <c r="BB758" s="78">
        <v>87.017619999999994</v>
      </c>
      <c r="BC758" s="78">
        <v>83.257390000000001</v>
      </c>
      <c r="BD758" s="78">
        <v>82.804580000000001</v>
      </c>
    </row>
    <row r="759" spans="1:56" x14ac:dyDescent="0.2">
      <c r="A759" s="78" t="s">
        <v>907</v>
      </c>
      <c r="B759" s="22">
        <v>41791</v>
      </c>
      <c r="C759" s="22"/>
      <c r="D759" s="22"/>
      <c r="E759" s="22">
        <v>41306</v>
      </c>
      <c r="F759" s="78" t="s">
        <v>891</v>
      </c>
      <c r="G759" s="78">
        <v>85.188749999999999</v>
      </c>
      <c r="I759" s="78">
        <v>79.904499999999999</v>
      </c>
      <c r="J759" s="78">
        <v>83.552009999999996</v>
      </c>
      <c r="K759" s="78">
        <v>89.326580000000007</v>
      </c>
      <c r="L759" s="78">
        <v>77.329639999999998</v>
      </c>
      <c r="M759" s="78">
        <v>75.587429999999998</v>
      </c>
      <c r="N759" s="78">
        <v>76.291690000000003</v>
      </c>
      <c r="O759" s="78">
        <v>78.845129999999997</v>
      </c>
      <c r="P759" s="78">
        <v>86.722160000000002</v>
      </c>
      <c r="R759" s="78">
        <v>76.570059999999998</v>
      </c>
      <c r="S759" s="78">
        <v>91.961280000000002</v>
      </c>
      <c r="AA759" s="78">
        <v>99.735720000000001</v>
      </c>
      <c r="AC759" s="78">
        <v>90.444010000000006</v>
      </c>
      <c r="AD759" s="78">
        <v>75.65025</v>
      </c>
      <c r="AE759" s="78">
        <v>75.505309999999994</v>
      </c>
      <c r="AG759" s="78">
        <v>84.602969999999999</v>
      </c>
      <c r="AH759" s="78">
        <v>80.692580000000007</v>
      </c>
      <c r="AJ759" s="78">
        <v>93.315280000000001</v>
      </c>
      <c r="AK759" s="78">
        <v>83.653880000000001</v>
      </c>
      <c r="AO759" s="78">
        <v>79.490269999999995</v>
      </c>
      <c r="AQ759" s="78">
        <v>88.914550000000006</v>
      </c>
      <c r="AR759" s="78">
        <v>86.489980000000003</v>
      </c>
      <c r="AT759" s="78">
        <v>84.598650000000006</v>
      </c>
      <c r="AV759" s="78">
        <v>69.893410000000003</v>
      </c>
      <c r="AZ759" s="78">
        <v>89.149429999999995</v>
      </c>
      <c r="BA759" s="78">
        <v>67.826639999999998</v>
      </c>
      <c r="BB759" s="78">
        <v>86.992689999999996</v>
      </c>
      <c r="BC759" s="78">
        <v>83.846379999999996</v>
      </c>
      <c r="BD759" s="78">
        <v>83.397480000000002</v>
      </c>
    </row>
    <row r="760" spans="1:56" x14ac:dyDescent="0.2">
      <c r="A760" s="78" t="s">
        <v>908</v>
      </c>
      <c r="B760" s="22">
        <v>41821</v>
      </c>
      <c r="C760" s="22"/>
      <c r="D760" s="22"/>
      <c r="E760" s="22">
        <v>41334</v>
      </c>
      <c r="F760" s="78" t="s">
        <v>892</v>
      </c>
      <c r="G760" s="78">
        <v>85.583799999999997</v>
      </c>
      <c r="I760" s="78">
        <v>80.457470000000001</v>
      </c>
      <c r="J760" s="78">
        <v>83.89873</v>
      </c>
      <c r="K760" s="78">
        <v>89.752529999999993</v>
      </c>
      <c r="L760" s="78">
        <v>78.251580000000004</v>
      </c>
      <c r="M760" s="78">
        <v>76.812389999999994</v>
      </c>
      <c r="N760" s="78">
        <v>77.563389999999998</v>
      </c>
      <c r="O760" s="78">
        <v>79.024090000000001</v>
      </c>
      <c r="P760" s="78">
        <v>87.026730000000001</v>
      </c>
      <c r="R760" s="78">
        <v>75.794849999999997</v>
      </c>
      <c r="S760" s="78">
        <v>92.224909999999994</v>
      </c>
      <c r="AA760" s="78">
        <v>99.966089999999994</v>
      </c>
      <c r="AC760" s="78">
        <v>92.165629999999993</v>
      </c>
      <c r="AD760" s="78">
        <v>76.573350000000005</v>
      </c>
      <c r="AE760" s="78">
        <v>76.468500000000006</v>
      </c>
      <c r="AG760" s="78">
        <v>84.74718</v>
      </c>
      <c r="AH760" s="78">
        <v>81.429299999999998</v>
      </c>
      <c r="AJ760" s="78">
        <v>93.638919999999999</v>
      </c>
      <c r="AK760" s="78">
        <v>84.171620000000004</v>
      </c>
      <c r="AO760" s="78">
        <v>80.500020000000006</v>
      </c>
      <c r="AQ760" s="78">
        <v>89.162379999999999</v>
      </c>
      <c r="AR760" s="78">
        <v>87.044430000000006</v>
      </c>
      <c r="AT760" s="78">
        <v>85.350459999999998</v>
      </c>
      <c r="AV760" s="78">
        <v>70.137259999999998</v>
      </c>
      <c r="AZ760" s="78">
        <v>89.346010000000007</v>
      </c>
      <c r="BA760" s="78">
        <v>68.660799999999995</v>
      </c>
      <c r="BB760" s="78">
        <v>87.586870000000005</v>
      </c>
      <c r="BC760" s="78">
        <v>84.27158</v>
      </c>
      <c r="BD760" s="78">
        <v>84.030140000000003</v>
      </c>
    </row>
    <row r="761" spans="1:56" x14ac:dyDescent="0.2">
      <c r="A761" s="78" t="s">
        <v>909</v>
      </c>
      <c r="B761" s="22">
        <v>41852</v>
      </c>
      <c r="C761" s="22"/>
      <c r="D761" s="22"/>
      <c r="E761" s="22">
        <v>41365</v>
      </c>
      <c r="F761" s="78" t="s">
        <v>893</v>
      </c>
      <c r="G761" s="78">
        <v>86.228219999999993</v>
      </c>
      <c r="I761" s="78">
        <v>81.180369999999996</v>
      </c>
      <c r="J761" s="78">
        <v>84.508420000000001</v>
      </c>
      <c r="K761" s="78">
        <v>90.349209999999999</v>
      </c>
      <c r="L761" s="78">
        <v>79.287930000000003</v>
      </c>
      <c r="M761" s="78">
        <v>77.81362</v>
      </c>
      <c r="N761" s="78">
        <v>78.736760000000004</v>
      </c>
      <c r="O761" s="78">
        <v>79.854690000000005</v>
      </c>
      <c r="P761" s="78">
        <v>87.294880000000006</v>
      </c>
      <c r="R761" s="78">
        <v>74.7774</v>
      </c>
      <c r="S761" s="78">
        <v>92.687889999999996</v>
      </c>
      <c r="AA761" s="78">
        <v>100.16970000000001</v>
      </c>
      <c r="AC761" s="78">
        <v>93.01155</v>
      </c>
      <c r="AD761" s="78">
        <v>77.555070000000001</v>
      </c>
      <c r="AE761" s="78">
        <v>77.279039999999995</v>
      </c>
      <c r="AG761" s="78">
        <v>84.976070000000007</v>
      </c>
      <c r="AH761" s="78">
        <v>82.590819999999994</v>
      </c>
      <c r="AJ761" s="78">
        <v>93.849230000000006</v>
      </c>
      <c r="AK761" s="78">
        <v>84.547290000000004</v>
      </c>
      <c r="AO761" s="78">
        <v>81.536249999999995</v>
      </c>
      <c r="AQ761" s="78">
        <v>89.541020000000003</v>
      </c>
      <c r="AR761" s="78">
        <v>87.468829999999997</v>
      </c>
      <c r="AT761" s="78">
        <v>86.147919999999999</v>
      </c>
      <c r="AV761" s="78">
        <v>71.845079999999996</v>
      </c>
      <c r="AZ761" s="78">
        <v>89.462119999999999</v>
      </c>
      <c r="BA761" s="78">
        <v>69.630830000000003</v>
      </c>
      <c r="BB761" s="78">
        <v>87.881050000000002</v>
      </c>
      <c r="BC761" s="78">
        <v>84.913349999999994</v>
      </c>
      <c r="BD761" s="78">
        <v>84.399640000000005</v>
      </c>
    </row>
    <row r="762" spans="1:56" x14ac:dyDescent="0.2">
      <c r="A762" s="78" t="s">
        <v>910</v>
      </c>
      <c r="B762" s="22">
        <v>41883</v>
      </c>
      <c r="C762" s="22"/>
      <c r="D762" s="22"/>
      <c r="E762" s="22">
        <v>41395</v>
      </c>
      <c r="F762" s="78" t="s">
        <v>894</v>
      </c>
      <c r="G762" s="78">
        <v>87.00712</v>
      </c>
      <c r="I762" s="78">
        <v>82.071460000000002</v>
      </c>
      <c r="J762" s="78">
        <v>85.055719999999994</v>
      </c>
      <c r="K762" s="78">
        <v>90.762829999999994</v>
      </c>
      <c r="L762" s="78">
        <v>80.269530000000003</v>
      </c>
      <c r="M762" s="78">
        <v>78.28904</v>
      </c>
      <c r="N762" s="78">
        <v>79.603790000000004</v>
      </c>
      <c r="O762" s="78">
        <v>80.646609999999995</v>
      </c>
      <c r="P762" s="78">
        <v>87.513750000000002</v>
      </c>
      <c r="R762" s="78">
        <v>73.796099999999996</v>
      </c>
      <c r="S762" s="78">
        <v>92.929500000000004</v>
      </c>
      <c r="AA762" s="78">
        <v>100.6309</v>
      </c>
      <c r="AC762" s="78">
        <v>92.574709999999996</v>
      </c>
      <c r="AD762" s="78">
        <v>78.808999999999997</v>
      </c>
      <c r="AE762" s="78">
        <v>78.24915</v>
      </c>
      <c r="AG762" s="78">
        <v>85.244659999999996</v>
      </c>
      <c r="AH762" s="78">
        <v>83.533259999999999</v>
      </c>
      <c r="AJ762" s="78">
        <v>94.119829999999993</v>
      </c>
      <c r="AK762" s="78">
        <v>84.771850000000001</v>
      </c>
      <c r="AO762" s="78">
        <v>81.948369999999997</v>
      </c>
      <c r="AQ762" s="78">
        <v>90.079430000000002</v>
      </c>
      <c r="AR762" s="78">
        <v>87.873949999999994</v>
      </c>
      <c r="AT762" s="78">
        <v>86.691230000000004</v>
      </c>
      <c r="AV762" s="78">
        <v>73.167280000000005</v>
      </c>
      <c r="AZ762" s="78">
        <v>89.723339999999993</v>
      </c>
      <c r="BA762" s="78">
        <v>70.86833</v>
      </c>
      <c r="BB762" s="78">
        <v>88.181880000000007</v>
      </c>
      <c r="BC762" s="78">
        <v>85.649439999999998</v>
      </c>
      <c r="BD762" s="78">
        <v>85.097899999999996</v>
      </c>
    </row>
    <row r="763" spans="1:56" x14ac:dyDescent="0.2">
      <c r="A763" s="78" t="s">
        <v>911</v>
      </c>
      <c r="B763" s="22">
        <v>41913</v>
      </c>
      <c r="C763" s="22"/>
      <c r="D763" s="22"/>
      <c r="E763" s="22">
        <v>41426</v>
      </c>
      <c r="F763" s="78" t="s">
        <v>895</v>
      </c>
      <c r="G763" s="78">
        <v>87.475009999999997</v>
      </c>
      <c r="I763" s="78">
        <v>82.778630000000007</v>
      </c>
      <c r="J763" s="78">
        <v>85.591639999999998</v>
      </c>
      <c r="K763" s="78">
        <v>92.480279999999993</v>
      </c>
      <c r="L763" s="78">
        <v>81.261589999999998</v>
      </c>
      <c r="M763" s="78">
        <v>78.775149999999996</v>
      </c>
      <c r="N763" s="78">
        <v>80.815520000000006</v>
      </c>
      <c r="O763" s="78">
        <v>81.766580000000005</v>
      </c>
      <c r="P763" s="78">
        <v>87.486140000000006</v>
      </c>
      <c r="R763" s="78">
        <v>73.850350000000006</v>
      </c>
      <c r="S763" s="78">
        <v>92.901380000000003</v>
      </c>
      <c r="AA763" s="78">
        <v>101.1767</v>
      </c>
      <c r="AC763" s="78">
        <v>92.283670000000001</v>
      </c>
      <c r="AD763" s="78">
        <v>78.878219999999999</v>
      </c>
      <c r="AE763" s="78">
        <v>79.797359999999998</v>
      </c>
      <c r="AG763" s="78">
        <v>85.539879999999997</v>
      </c>
      <c r="AH763" s="78">
        <v>84.093299999999999</v>
      </c>
      <c r="AJ763" s="78">
        <v>94.465000000000003</v>
      </c>
      <c r="AK763" s="78">
        <v>85.069500000000005</v>
      </c>
      <c r="AO763" s="78">
        <v>82.003630000000001</v>
      </c>
      <c r="AQ763" s="78">
        <v>90.535589999999999</v>
      </c>
      <c r="AR763" s="78">
        <v>88.349559999999997</v>
      </c>
      <c r="AT763" s="78">
        <v>87.167580000000001</v>
      </c>
      <c r="AV763" s="78">
        <v>73.799899999999994</v>
      </c>
      <c r="AZ763" s="78">
        <v>90.378500000000003</v>
      </c>
      <c r="BA763" s="78">
        <v>72.178989999999999</v>
      </c>
      <c r="BB763" s="78">
        <v>88.63561</v>
      </c>
      <c r="BC763" s="78">
        <v>86.133539999999996</v>
      </c>
      <c r="BD763" s="78">
        <v>85.650279999999995</v>
      </c>
    </row>
    <row r="764" spans="1:56" x14ac:dyDescent="0.2">
      <c r="A764" s="78" t="s">
        <v>912</v>
      </c>
      <c r="B764" s="22">
        <v>41944</v>
      </c>
      <c r="C764" s="22"/>
      <c r="D764" s="22"/>
      <c r="E764" s="22">
        <v>41456</v>
      </c>
      <c r="F764" s="78" t="s">
        <v>896</v>
      </c>
      <c r="G764" s="78">
        <v>87.615099999999998</v>
      </c>
      <c r="I764" s="78">
        <v>83.34008</v>
      </c>
      <c r="J764" s="78">
        <v>85.541910000000001</v>
      </c>
      <c r="K764" s="78">
        <v>94.555239999999998</v>
      </c>
      <c r="L764" s="78">
        <v>82.216909999999999</v>
      </c>
      <c r="M764" s="78">
        <v>79.378910000000005</v>
      </c>
      <c r="N764" s="78">
        <v>81.940119999999993</v>
      </c>
      <c r="O764" s="78">
        <v>82.650450000000006</v>
      </c>
      <c r="P764" s="78">
        <v>88.127660000000006</v>
      </c>
      <c r="R764" s="78">
        <v>74.052999999999997</v>
      </c>
      <c r="S764" s="78">
        <v>92.825019999999995</v>
      </c>
      <c r="AA764" s="78">
        <v>101.5278</v>
      </c>
      <c r="AC764" s="78">
        <v>91.844899999999996</v>
      </c>
      <c r="AD764" s="78">
        <v>79.542010000000005</v>
      </c>
      <c r="AE764" s="78">
        <v>80.428899999999999</v>
      </c>
      <c r="AG764" s="78">
        <v>85.922539999999998</v>
      </c>
      <c r="AH764" s="78">
        <v>84.378270000000001</v>
      </c>
      <c r="AJ764" s="78">
        <v>94.673869999999994</v>
      </c>
      <c r="AK764" s="78">
        <v>85.588189999999997</v>
      </c>
      <c r="AO764" s="78">
        <v>82.011709999999994</v>
      </c>
      <c r="AQ764" s="78">
        <v>90.969179999999994</v>
      </c>
      <c r="AR764" s="78">
        <v>88.764830000000003</v>
      </c>
      <c r="AT764" s="78">
        <v>87.531289999999998</v>
      </c>
      <c r="AV764" s="78">
        <v>75.161500000000004</v>
      </c>
      <c r="AZ764" s="78">
        <v>90.552859999999995</v>
      </c>
      <c r="BA764" s="78">
        <v>73.485470000000007</v>
      </c>
      <c r="BB764" s="78">
        <v>89.100980000000007</v>
      </c>
      <c r="BC764" s="78">
        <v>86.376019999999997</v>
      </c>
      <c r="BD764" s="78">
        <v>86.144549999999995</v>
      </c>
    </row>
    <row r="765" spans="1:56" x14ac:dyDescent="0.2">
      <c r="A765" s="78" t="s">
        <v>913</v>
      </c>
      <c r="B765" s="22">
        <v>41974</v>
      </c>
      <c r="C765" s="22"/>
      <c r="D765" s="22"/>
      <c r="E765" s="22">
        <v>41487</v>
      </c>
      <c r="F765" s="78" t="s">
        <v>897</v>
      </c>
      <c r="G765" s="78">
        <v>87.774810000000002</v>
      </c>
      <c r="I765" s="78">
        <v>83.669070000000005</v>
      </c>
      <c r="J765" s="78">
        <v>86.451120000000003</v>
      </c>
      <c r="K765" s="78">
        <v>95.175489999999996</v>
      </c>
      <c r="L765" s="78">
        <v>83.218440000000001</v>
      </c>
      <c r="M765" s="78">
        <v>80.250399999999999</v>
      </c>
      <c r="N765" s="78">
        <v>82.782129999999995</v>
      </c>
      <c r="O765" s="78">
        <v>82.930840000000003</v>
      </c>
      <c r="P765" s="78">
        <v>88.573779999999999</v>
      </c>
      <c r="R765" s="78">
        <v>73.555250000000001</v>
      </c>
      <c r="S765" s="78">
        <v>92.992599999999996</v>
      </c>
      <c r="AA765" s="78">
        <v>101.8516</v>
      </c>
      <c r="AC765" s="78">
        <v>91.522310000000004</v>
      </c>
      <c r="AD765" s="78">
        <v>80.853870000000001</v>
      </c>
      <c r="AE765" s="78">
        <v>80.675579999999997</v>
      </c>
      <c r="AG765" s="78">
        <v>86.419820000000001</v>
      </c>
      <c r="AH765" s="78">
        <v>84.855490000000003</v>
      </c>
      <c r="AJ765" s="78">
        <v>94.900210000000001</v>
      </c>
      <c r="AK765" s="78">
        <v>86.116420000000005</v>
      </c>
      <c r="AO765" s="78">
        <v>82.767499999999998</v>
      </c>
      <c r="AQ765" s="78">
        <v>92.026740000000004</v>
      </c>
      <c r="AR765" s="78">
        <v>89.284970000000001</v>
      </c>
      <c r="AT765" s="78">
        <v>87.720410000000001</v>
      </c>
      <c r="AV765" s="78">
        <v>76.766270000000006</v>
      </c>
      <c r="AZ765" s="78">
        <v>90.449960000000004</v>
      </c>
      <c r="BA765" s="78">
        <v>75.061070000000001</v>
      </c>
      <c r="BB765" s="78">
        <v>89.587130000000002</v>
      </c>
      <c r="BC765" s="78">
        <v>86.612620000000007</v>
      </c>
      <c r="BD765" s="78">
        <v>87.088999999999999</v>
      </c>
    </row>
    <row r="766" spans="1:56" x14ac:dyDescent="0.2">
      <c r="A766" s="78" t="s">
        <v>914</v>
      </c>
      <c r="B766" s="22">
        <v>42005</v>
      </c>
      <c r="C766" s="22"/>
      <c r="D766" s="22"/>
      <c r="E766" s="22">
        <v>41518</v>
      </c>
      <c r="F766" s="78" t="s">
        <v>898</v>
      </c>
      <c r="G766" s="78">
        <v>88.125039999999998</v>
      </c>
      <c r="I766" s="78">
        <v>83.945959999999999</v>
      </c>
      <c r="J766" s="78">
        <v>87.223960000000005</v>
      </c>
      <c r="K766" s="78">
        <v>95.430819999999997</v>
      </c>
      <c r="L766" s="78">
        <v>84.096699999999998</v>
      </c>
      <c r="M766" s="78">
        <v>81.226039999999998</v>
      </c>
      <c r="N766" s="78">
        <v>83.472489999999993</v>
      </c>
      <c r="O766" s="78">
        <v>83.543139999999994</v>
      </c>
      <c r="P766" s="78">
        <v>88.364410000000007</v>
      </c>
      <c r="R766" s="78">
        <v>77.860439999999997</v>
      </c>
      <c r="S766" s="78">
        <v>93.019300000000001</v>
      </c>
      <c r="AA766" s="78">
        <v>101.5615</v>
      </c>
      <c r="AC766" s="78">
        <v>91.439959999999999</v>
      </c>
      <c r="AD766" s="78">
        <v>81.606009999999998</v>
      </c>
      <c r="AE766" s="78">
        <v>81.558409999999995</v>
      </c>
      <c r="AG766" s="78">
        <v>86.926280000000006</v>
      </c>
      <c r="AH766" s="78">
        <v>85.57011</v>
      </c>
      <c r="AJ766" s="78">
        <v>95.152429999999995</v>
      </c>
      <c r="AK766" s="78">
        <v>86.532160000000005</v>
      </c>
      <c r="AO766" s="78">
        <v>83.769009999999994</v>
      </c>
      <c r="AQ766" s="78">
        <v>92.127489999999995</v>
      </c>
      <c r="AR766" s="78">
        <v>89.762450000000001</v>
      </c>
      <c r="AT766" s="78">
        <v>87.772829999999999</v>
      </c>
      <c r="AV766" s="78">
        <v>77.497249999999994</v>
      </c>
      <c r="AZ766" s="78">
        <v>90.367040000000003</v>
      </c>
      <c r="BA766" s="78">
        <v>76.370609999999999</v>
      </c>
      <c r="BB766" s="78">
        <v>90.020920000000004</v>
      </c>
      <c r="BC766" s="78">
        <v>86.986800000000002</v>
      </c>
      <c r="BD766" s="78">
        <v>87.83314</v>
      </c>
    </row>
    <row r="767" spans="1:56" x14ac:dyDescent="0.2">
      <c r="A767" s="78" t="s">
        <v>915</v>
      </c>
      <c r="B767" s="22">
        <v>42036</v>
      </c>
      <c r="C767" s="22"/>
      <c r="D767" s="22"/>
      <c r="E767" s="22">
        <v>41548</v>
      </c>
      <c r="F767" s="78" t="s">
        <v>899</v>
      </c>
      <c r="G767" s="78">
        <v>88.763850000000005</v>
      </c>
      <c r="I767" s="78">
        <v>84.557820000000007</v>
      </c>
      <c r="J767" s="78">
        <v>88.031649999999999</v>
      </c>
      <c r="K767" s="78">
        <v>95.533330000000007</v>
      </c>
      <c r="L767" s="78">
        <v>84.393600000000006</v>
      </c>
      <c r="M767" s="78">
        <v>82.106340000000003</v>
      </c>
      <c r="N767" s="78">
        <v>84.338819999999998</v>
      </c>
      <c r="O767" s="78">
        <v>84.455539999999999</v>
      </c>
      <c r="P767" s="78">
        <v>88.596419999999995</v>
      </c>
      <c r="R767" s="78">
        <v>82.667689999999993</v>
      </c>
      <c r="S767" s="78">
        <v>92.902760000000001</v>
      </c>
      <c r="AA767" s="78">
        <v>101.17570000000001</v>
      </c>
      <c r="AC767" s="78">
        <v>91.663259999999994</v>
      </c>
      <c r="AD767" s="78">
        <v>82.414860000000004</v>
      </c>
      <c r="AE767" s="78">
        <v>82.463930000000005</v>
      </c>
      <c r="AG767" s="78">
        <v>87.398690000000002</v>
      </c>
      <c r="AH767" s="78">
        <v>86.153909999999996</v>
      </c>
      <c r="AJ767" s="78">
        <v>95.413340000000005</v>
      </c>
      <c r="AK767" s="78">
        <v>86.902010000000004</v>
      </c>
      <c r="AO767" s="78">
        <v>84.735600000000005</v>
      </c>
      <c r="AQ767" s="78">
        <v>91.769710000000003</v>
      </c>
      <c r="AR767" s="78">
        <v>90.453680000000006</v>
      </c>
      <c r="AT767" s="78">
        <v>87.967830000000006</v>
      </c>
      <c r="AV767" s="78">
        <v>77.954059999999998</v>
      </c>
      <c r="AZ767" s="78">
        <v>90.557360000000003</v>
      </c>
      <c r="BA767" s="78">
        <v>77.380099999999999</v>
      </c>
      <c r="BB767" s="78">
        <v>90.956649999999996</v>
      </c>
      <c r="BC767" s="78">
        <v>87.192089999999993</v>
      </c>
      <c r="BD767" s="78">
        <v>88.28783</v>
      </c>
    </row>
    <row r="768" spans="1:56" x14ac:dyDescent="0.2">
      <c r="A768" s="78" t="s">
        <v>916</v>
      </c>
      <c r="B768" s="22">
        <v>42064</v>
      </c>
      <c r="C768" s="22"/>
      <c r="D768" s="22"/>
      <c r="E768" s="22">
        <v>41579</v>
      </c>
      <c r="F768" s="78" t="s">
        <v>900</v>
      </c>
      <c r="G768" s="78">
        <v>89.366230000000002</v>
      </c>
      <c r="I768" s="78">
        <v>85.055449999999993</v>
      </c>
      <c r="J768" s="78">
        <v>89.047510000000003</v>
      </c>
      <c r="K768" s="78">
        <v>95.829809999999995</v>
      </c>
      <c r="L768" s="78">
        <v>84.633240000000001</v>
      </c>
      <c r="M768" s="78">
        <v>82.839110000000005</v>
      </c>
      <c r="N768" s="78">
        <v>85.37379</v>
      </c>
      <c r="O768" s="78">
        <v>84.6387</v>
      </c>
      <c r="P768" s="78">
        <v>89.445030000000003</v>
      </c>
      <c r="R768" s="78">
        <v>82.591579999999993</v>
      </c>
      <c r="S768" s="78">
        <v>93.098110000000005</v>
      </c>
      <c r="AA768" s="78">
        <v>101.2208</v>
      </c>
      <c r="AC768" s="78">
        <v>92.000500000000002</v>
      </c>
      <c r="AD768" s="78">
        <v>82.905010000000004</v>
      </c>
      <c r="AE768" s="78">
        <v>83.697929999999999</v>
      </c>
      <c r="AG768" s="78">
        <v>87.860879999999995</v>
      </c>
      <c r="AH768" s="78">
        <v>86.656130000000005</v>
      </c>
      <c r="AJ768" s="78">
        <v>95.570509999999999</v>
      </c>
      <c r="AK768" s="78">
        <v>87.345169999999996</v>
      </c>
      <c r="AO768" s="78">
        <v>85.886290000000002</v>
      </c>
      <c r="AQ768" s="78">
        <v>92.379080000000002</v>
      </c>
      <c r="AR768" s="78">
        <v>90.767780000000002</v>
      </c>
      <c r="AT768" s="78">
        <v>88.1614</v>
      </c>
      <c r="AV768" s="78">
        <v>77.734120000000004</v>
      </c>
      <c r="AZ768" s="78">
        <v>91.333780000000004</v>
      </c>
      <c r="BA768" s="78">
        <v>78.549790000000002</v>
      </c>
      <c r="BB768" s="78">
        <v>91.021469999999994</v>
      </c>
      <c r="BC768" s="78">
        <v>87.414919999999995</v>
      </c>
      <c r="BD768" s="78">
        <v>88.606049999999996</v>
      </c>
    </row>
    <row r="769" spans="1:56" x14ac:dyDescent="0.2">
      <c r="A769" s="78" t="s">
        <v>917</v>
      </c>
      <c r="B769" s="22">
        <v>42095</v>
      </c>
      <c r="C769" s="22"/>
      <c r="D769" s="22"/>
      <c r="E769" s="22">
        <v>41609</v>
      </c>
      <c r="F769" s="78" t="s">
        <v>901</v>
      </c>
      <c r="G769" s="78">
        <v>90.035870000000003</v>
      </c>
      <c r="I769" s="78">
        <v>85.550740000000005</v>
      </c>
      <c r="J769" s="78">
        <v>89.823759999999993</v>
      </c>
      <c r="K769" s="78">
        <v>96.060329999999993</v>
      </c>
      <c r="L769" s="78">
        <v>85.121809999999996</v>
      </c>
      <c r="M769" s="78">
        <v>83.733789999999999</v>
      </c>
      <c r="N769" s="78">
        <v>85.914599999999993</v>
      </c>
      <c r="O769" s="78">
        <v>85.271709999999999</v>
      </c>
      <c r="P769" s="78">
        <v>90.476429999999993</v>
      </c>
      <c r="R769" s="78">
        <v>82.657060000000001</v>
      </c>
      <c r="S769" s="78">
        <v>93.060379999999995</v>
      </c>
      <c r="AA769" s="78">
        <v>100.62439999999999</v>
      </c>
      <c r="AC769" s="78">
        <v>92.798810000000003</v>
      </c>
      <c r="AD769" s="78">
        <v>83.562049999999999</v>
      </c>
      <c r="AE769" s="78">
        <v>84.974239999999995</v>
      </c>
      <c r="AG769" s="78">
        <v>88.252170000000007</v>
      </c>
      <c r="AH769" s="78">
        <v>87.227919999999997</v>
      </c>
      <c r="AJ769" s="78">
        <v>95.889660000000006</v>
      </c>
      <c r="AK769" s="78">
        <v>87.978890000000007</v>
      </c>
      <c r="AO769" s="78">
        <v>86.614660000000001</v>
      </c>
      <c r="AQ769" s="78">
        <v>93.534260000000003</v>
      </c>
      <c r="AR769" s="78">
        <v>91.263760000000005</v>
      </c>
      <c r="AT769" s="78">
        <v>88.421800000000005</v>
      </c>
      <c r="AV769" s="78">
        <v>75.783199999999994</v>
      </c>
      <c r="AZ769" s="78">
        <v>91.934420000000003</v>
      </c>
      <c r="BA769" s="78">
        <v>79.922690000000003</v>
      </c>
      <c r="BB769" s="78">
        <v>91.536699999999996</v>
      </c>
      <c r="BC769" s="78">
        <v>87.870840000000001</v>
      </c>
      <c r="BD769" s="78">
        <v>88.91001</v>
      </c>
    </row>
    <row r="770" spans="1:56" x14ac:dyDescent="0.2">
      <c r="A770" s="78" t="s">
        <v>918</v>
      </c>
      <c r="B770" s="22">
        <v>42125</v>
      </c>
      <c r="C770" s="22"/>
      <c r="D770" s="22"/>
      <c r="E770" s="22">
        <v>41640</v>
      </c>
      <c r="F770" s="78" t="s">
        <v>902</v>
      </c>
      <c r="G770" s="78">
        <v>90.657859999999999</v>
      </c>
      <c r="I770" s="78">
        <v>86.223590000000002</v>
      </c>
      <c r="J770" s="78">
        <v>91.006699999999995</v>
      </c>
      <c r="K770" s="78">
        <v>96.429239999999993</v>
      </c>
      <c r="L770" s="78">
        <v>85.412009999999995</v>
      </c>
      <c r="M770" s="78">
        <v>84.701809999999995</v>
      </c>
      <c r="N770" s="78">
        <v>86.674629999999993</v>
      </c>
      <c r="O770" s="78">
        <v>86.620480000000001</v>
      </c>
      <c r="P770" s="78">
        <v>90.742609999999999</v>
      </c>
      <c r="R770" s="78">
        <v>81.288730000000001</v>
      </c>
      <c r="S770" s="78">
        <v>92.90446</v>
      </c>
      <c r="AA770" s="78">
        <v>100.69759999999999</v>
      </c>
      <c r="AC770" s="78">
        <v>93.457449999999994</v>
      </c>
      <c r="AD770" s="78">
        <v>83.968270000000004</v>
      </c>
      <c r="AE770" s="78">
        <v>85.741969999999995</v>
      </c>
      <c r="AG770" s="78">
        <v>88.589839999999995</v>
      </c>
      <c r="AH770" s="78">
        <v>87.860339999999994</v>
      </c>
      <c r="AJ770" s="78">
        <v>96.203410000000005</v>
      </c>
      <c r="AK770" s="78">
        <v>88.643140000000002</v>
      </c>
      <c r="AO770" s="78">
        <v>86.470680000000002</v>
      </c>
      <c r="AQ770" s="78">
        <v>94.422669999999997</v>
      </c>
      <c r="AR770" s="78">
        <v>91.724990000000005</v>
      </c>
      <c r="AT770" s="78">
        <v>88.78416</v>
      </c>
      <c r="AV770" s="78">
        <v>77.90222</v>
      </c>
      <c r="AZ770" s="78">
        <v>91.77261</v>
      </c>
      <c r="BA770" s="78">
        <v>81.724879999999999</v>
      </c>
      <c r="BB770" s="78">
        <v>91.957189999999997</v>
      </c>
      <c r="BC770" s="78">
        <v>88.571740000000005</v>
      </c>
      <c r="BD770" s="78">
        <v>89.527720000000002</v>
      </c>
    </row>
    <row r="771" spans="1:56" x14ac:dyDescent="0.2">
      <c r="A771" s="78" t="s">
        <v>919</v>
      </c>
      <c r="B771" s="22">
        <v>42156</v>
      </c>
      <c r="C771" s="22"/>
      <c r="D771" s="22"/>
      <c r="E771" s="22">
        <v>41671</v>
      </c>
      <c r="F771" s="78" t="s">
        <v>903</v>
      </c>
      <c r="G771" s="78">
        <v>91.164990000000003</v>
      </c>
      <c r="I771" s="78">
        <v>86.81353</v>
      </c>
      <c r="J771" s="78">
        <v>90.687119999999993</v>
      </c>
      <c r="K771" s="78">
        <v>97.055710000000005</v>
      </c>
      <c r="L771" s="78">
        <v>86.356279999999998</v>
      </c>
      <c r="M771" s="78">
        <v>85.601169999999996</v>
      </c>
      <c r="N771" s="78">
        <v>88.019000000000005</v>
      </c>
      <c r="O771" s="78">
        <v>89.514520000000005</v>
      </c>
      <c r="P771" s="78">
        <v>91.016980000000004</v>
      </c>
      <c r="R771" s="78">
        <v>80.718890000000002</v>
      </c>
      <c r="S771" s="78">
        <v>92.976519999999994</v>
      </c>
      <c r="AA771" s="78">
        <v>101.8283</v>
      </c>
      <c r="AC771" s="78">
        <v>93.785139999999998</v>
      </c>
      <c r="AD771" s="78">
        <v>84.236500000000007</v>
      </c>
      <c r="AE771" s="78">
        <v>86.460750000000004</v>
      </c>
      <c r="AG771" s="78">
        <v>88.955410000000001</v>
      </c>
      <c r="AH771" s="78">
        <v>88.503659999999996</v>
      </c>
      <c r="AJ771" s="78">
        <v>96.267979999999994</v>
      </c>
      <c r="AK771" s="78">
        <v>89.112110000000001</v>
      </c>
      <c r="AO771" s="78">
        <v>87.240110000000001</v>
      </c>
      <c r="AQ771" s="78">
        <v>94.716560000000001</v>
      </c>
      <c r="AR771" s="78">
        <v>92.302059999999997</v>
      </c>
      <c r="AT771" s="78">
        <v>89.102649999999997</v>
      </c>
      <c r="AV771" s="78">
        <v>81.532420000000002</v>
      </c>
      <c r="AZ771" s="78">
        <v>91.894329999999997</v>
      </c>
      <c r="BA771" s="78">
        <v>82.763440000000003</v>
      </c>
      <c r="BB771" s="78">
        <v>92.647769999999994</v>
      </c>
      <c r="BC771" s="78">
        <v>89.152500000000003</v>
      </c>
      <c r="BD771" s="78">
        <v>90.478890000000007</v>
      </c>
    </row>
    <row r="772" spans="1:56" x14ac:dyDescent="0.2">
      <c r="A772" s="78" t="s">
        <v>920</v>
      </c>
      <c r="B772" s="22">
        <v>42186</v>
      </c>
      <c r="C772" s="22"/>
      <c r="D772" s="22"/>
      <c r="E772" s="22">
        <v>41699</v>
      </c>
      <c r="F772" s="78" t="s">
        <v>904</v>
      </c>
      <c r="G772" s="78">
        <v>91.571250000000006</v>
      </c>
      <c r="I772" s="78">
        <v>87.164580000000001</v>
      </c>
      <c r="J772" s="78">
        <v>91.136960000000002</v>
      </c>
      <c r="K772" s="78">
        <v>97.670959999999994</v>
      </c>
      <c r="L772" s="78">
        <v>87.619579999999999</v>
      </c>
      <c r="M772" s="78">
        <v>86.624960000000002</v>
      </c>
      <c r="N772" s="78">
        <v>88.862639999999999</v>
      </c>
      <c r="O772" s="78">
        <v>91.77843</v>
      </c>
      <c r="P772" s="78">
        <v>91.574010000000001</v>
      </c>
      <c r="R772" s="78">
        <v>81.369110000000006</v>
      </c>
      <c r="S772" s="78">
        <v>93.100489999999994</v>
      </c>
      <c r="AA772" s="78">
        <v>101.31100000000001</v>
      </c>
      <c r="AC772" s="78">
        <v>94.085620000000006</v>
      </c>
      <c r="AD772" s="78">
        <v>84.512990000000002</v>
      </c>
      <c r="AE772" s="78">
        <v>86.981899999999996</v>
      </c>
      <c r="AG772" s="78">
        <v>89.316739999999996</v>
      </c>
      <c r="AH772" s="78">
        <v>89.407970000000006</v>
      </c>
      <c r="AJ772" s="78">
        <v>96.333759999999998</v>
      </c>
      <c r="AK772" s="78">
        <v>89.502660000000006</v>
      </c>
      <c r="AO772" s="78">
        <v>88.349559999999997</v>
      </c>
      <c r="AQ772" s="78">
        <v>95.018370000000004</v>
      </c>
      <c r="AR772" s="78">
        <v>92.630240000000001</v>
      </c>
      <c r="AT772" s="78">
        <v>89.83784</v>
      </c>
      <c r="AV772" s="78">
        <v>82.453540000000004</v>
      </c>
      <c r="AZ772" s="78">
        <v>92.265649999999994</v>
      </c>
      <c r="BA772" s="78">
        <v>82.786529999999999</v>
      </c>
      <c r="BB772" s="78">
        <v>92.993480000000005</v>
      </c>
      <c r="BC772" s="78">
        <v>90.100070000000002</v>
      </c>
      <c r="BD772" s="78">
        <v>90.509900000000002</v>
      </c>
    </row>
    <row r="773" spans="1:56" x14ac:dyDescent="0.2">
      <c r="A773" s="78" t="s">
        <v>921</v>
      </c>
      <c r="B773" s="22">
        <v>42217</v>
      </c>
      <c r="C773" s="22"/>
      <c r="D773" s="22"/>
      <c r="E773" s="22">
        <v>41730</v>
      </c>
      <c r="F773" s="78" t="s">
        <v>905</v>
      </c>
      <c r="G773" s="78">
        <v>92.050349999999995</v>
      </c>
      <c r="I773" s="78">
        <v>87.764880000000005</v>
      </c>
      <c r="J773" s="78">
        <v>91.586399999999998</v>
      </c>
      <c r="K773" s="78">
        <v>98.006990000000002</v>
      </c>
      <c r="L773" s="78">
        <v>88.204350000000005</v>
      </c>
      <c r="M773" s="78">
        <v>87.810580000000002</v>
      </c>
      <c r="N773" s="78">
        <v>89.365309999999994</v>
      </c>
      <c r="O773" s="78">
        <v>92.371449999999996</v>
      </c>
      <c r="P773" s="78">
        <v>92.034480000000002</v>
      </c>
      <c r="R773" s="78">
        <v>81.718789999999998</v>
      </c>
      <c r="S773" s="78">
        <v>93.268039999999999</v>
      </c>
      <c r="AA773" s="78">
        <v>100.2861</v>
      </c>
      <c r="AC773" s="78">
        <v>94.781199999999998</v>
      </c>
      <c r="AD773" s="78">
        <v>85.632099999999994</v>
      </c>
      <c r="AE773" s="78">
        <v>87.79392</v>
      </c>
      <c r="AG773" s="78">
        <v>89.791600000000003</v>
      </c>
      <c r="AH773" s="78">
        <v>90.197640000000007</v>
      </c>
      <c r="AJ773" s="78">
        <v>96.493089999999995</v>
      </c>
      <c r="AK773" s="78">
        <v>89.978650000000002</v>
      </c>
      <c r="AO773" s="78">
        <v>88.944890000000001</v>
      </c>
      <c r="AQ773" s="78">
        <v>95.481800000000007</v>
      </c>
      <c r="AR773" s="78">
        <v>92.968360000000004</v>
      </c>
      <c r="AT773" s="78">
        <v>90.717730000000003</v>
      </c>
      <c r="AV773" s="78">
        <v>83.103620000000006</v>
      </c>
      <c r="AZ773" s="78">
        <v>92.617570000000001</v>
      </c>
      <c r="BA773" s="78">
        <v>83.106549999999999</v>
      </c>
      <c r="BB773" s="78">
        <v>93.460509999999999</v>
      </c>
      <c r="BC773" s="78">
        <v>91.070530000000005</v>
      </c>
      <c r="BD773" s="78">
        <v>90.485249999999994</v>
      </c>
    </row>
    <row r="774" spans="1:56" x14ac:dyDescent="0.2">
      <c r="A774" s="78" t="s">
        <v>922</v>
      </c>
      <c r="B774" s="22">
        <v>42248</v>
      </c>
      <c r="C774" s="22"/>
      <c r="D774" s="22"/>
      <c r="E774" s="22">
        <v>41760</v>
      </c>
      <c r="F774" s="78" t="s">
        <v>906</v>
      </c>
      <c r="G774" s="78">
        <v>92.739599999999996</v>
      </c>
      <c r="I774" s="78">
        <v>88.745080000000002</v>
      </c>
      <c r="J774" s="78">
        <v>91.942989999999995</v>
      </c>
      <c r="K774" s="78">
        <v>98.088260000000005</v>
      </c>
      <c r="L774" s="78">
        <v>88.696269999999998</v>
      </c>
      <c r="M774" s="78">
        <v>88.802400000000006</v>
      </c>
      <c r="N774" s="78">
        <v>89.899159999999995</v>
      </c>
      <c r="O774" s="78">
        <v>93.31026</v>
      </c>
      <c r="P774" s="78">
        <v>92.614090000000004</v>
      </c>
      <c r="R774" s="78">
        <v>82.459059999999994</v>
      </c>
      <c r="S774" s="78">
        <v>93.702870000000004</v>
      </c>
      <c r="AA774" s="78">
        <v>100.1232</v>
      </c>
      <c r="AC774" s="78">
        <v>95.312070000000006</v>
      </c>
      <c r="AD774" s="78">
        <v>87.206890000000001</v>
      </c>
      <c r="AE774" s="78">
        <v>88.679829999999995</v>
      </c>
      <c r="AG774" s="78">
        <v>90.50658</v>
      </c>
      <c r="AH774" s="78">
        <v>90.841470000000001</v>
      </c>
      <c r="AJ774" s="78">
        <v>96.598500000000001</v>
      </c>
      <c r="AK774" s="78">
        <v>90.441220000000001</v>
      </c>
      <c r="AO774" s="78">
        <v>89.95129</v>
      </c>
      <c r="AQ774" s="78">
        <v>95.968850000000003</v>
      </c>
      <c r="AR774" s="78">
        <v>93.412440000000004</v>
      </c>
      <c r="AT774" s="78">
        <v>91.313839999999999</v>
      </c>
      <c r="AV774" s="78">
        <v>83.054829999999995</v>
      </c>
      <c r="AZ774" s="78">
        <v>93.256010000000003</v>
      </c>
      <c r="BA774" s="78">
        <v>83.086730000000003</v>
      </c>
      <c r="BB774" s="78">
        <v>94.028090000000006</v>
      </c>
      <c r="BC774" s="78">
        <v>91.710359999999994</v>
      </c>
      <c r="BD774" s="78">
        <v>91.169849999999997</v>
      </c>
    </row>
    <row r="775" spans="1:56" x14ac:dyDescent="0.2">
      <c r="A775" s="78" t="s">
        <v>923</v>
      </c>
      <c r="B775" s="22">
        <v>42278</v>
      </c>
      <c r="C775" s="22"/>
      <c r="D775" s="22"/>
      <c r="E775" s="22">
        <v>41791</v>
      </c>
      <c r="F775" s="78" t="s">
        <v>907</v>
      </c>
      <c r="G775" s="78">
        <v>93.308359999999993</v>
      </c>
      <c r="I775" s="78">
        <v>89.597620000000006</v>
      </c>
      <c r="J775" s="78">
        <v>92.437460000000002</v>
      </c>
      <c r="K775" s="78">
        <v>98.068460000000002</v>
      </c>
      <c r="L775" s="78">
        <v>89.260319999999993</v>
      </c>
      <c r="M775" s="78">
        <v>89.930480000000003</v>
      </c>
      <c r="N775" s="78">
        <v>90.423180000000002</v>
      </c>
      <c r="O775" s="78">
        <v>93.386979999999994</v>
      </c>
      <c r="P775" s="78">
        <v>92.528949999999995</v>
      </c>
      <c r="R775" s="78">
        <v>83.025210000000001</v>
      </c>
      <c r="S775" s="78">
        <v>94.111130000000003</v>
      </c>
      <c r="AA775" s="78">
        <v>99.853610000000003</v>
      </c>
      <c r="AC775" s="78">
        <v>95.139169999999993</v>
      </c>
      <c r="AD775" s="78">
        <v>88.182209999999998</v>
      </c>
      <c r="AE775" s="78">
        <v>89.311599999999999</v>
      </c>
      <c r="AG775" s="78">
        <v>91.225729999999999</v>
      </c>
      <c r="AH775" s="78">
        <v>91.707229999999996</v>
      </c>
      <c r="AJ775" s="78">
        <v>96.820790000000002</v>
      </c>
      <c r="AK775" s="78">
        <v>91.082130000000006</v>
      </c>
      <c r="AO775" s="78">
        <v>91.321650000000005</v>
      </c>
      <c r="AQ775" s="78">
        <v>96.682400000000001</v>
      </c>
      <c r="AR775" s="78">
        <v>93.845339999999993</v>
      </c>
      <c r="AT775" s="78">
        <v>91.753730000000004</v>
      </c>
      <c r="AV775" s="78">
        <v>83.309169999999995</v>
      </c>
      <c r="AZ775" s="78">
        <v>93.953289999999996</v>
      </c>
      <c r="BA775" s="78">
        <v>83.658720000000002</v>
      </c>
      <c r="BB775" s="78">
        <v>94.462720000000004</v>
      </c>
      <c r="BC775" s="78">
        <v>92.300830000000005</v>
      </c>
      <c r="BD775" s="78">
        <v>91.680239999999998</v>
      </c>
    </row>
    <row r="776" spans="1:56" x14ac:dyDescent="0.2">
      <c r="A776" s="78" t="s">
        <v>924</v>
      </c>
      <c r="B776" s="22">
        <v>42309</v>
      </c>
      <c r="C776" s="22"/>
      <c r="D776" s="22"/>
      <c r="E776" s="22">
        <v>41821</v>
      </c>
      <c r="F776" s="78" t="s">
        <v>908</v>
      </c>
      <c r="G776" s="78">
        <v>93.860320000000002</v>
      </c>
      <c r="I776" s="78">
        <v>90.705770000000001</v>
      </c>
      <c r="J776" s="78">
        <v>93.198099999999997</v>
      </c>
      <c r="K776" s="78">
        <v>98.092749999999995</v>
      </c>
      <c r="L776" s="78">
        <v>89.766189999999995</v>
      </c>
      <c r="M776" s="78">
        <v>90.572649999999996</v>
      </c>
      <c r="N776" s="78">
        <v>91.183369999999996</v>
      </c>
      <c r="O776" s="78">
        <v>93.873130000000003</v>
      </c>
      <c r="P776" s="78">
        <v>92.557270000000003</v>
      </c>
      <c r="R776" s="78">
        <v>83.904619999999994</v>
      </c>
      <c r="S776" s="78">
        <v>94.332980000000006</v>
      </c>
      <c r="AA776" s="78">
        <v>99.622720000000001</v>
      </c>
      <c r="AC776" s="78">
        <v>95.615499999999997</v>
      </c>
      <c r="AD776" s="78">
        <v>89.131259999999997</v>
      </c>
      <c r="AE776" s="78">
        <v>90.135140000000007</v>
      </c>
      <c r="AG776" s="78">
        <v>91.774029999999996</v>
      </c>
      <c r="AH776" s="78">
        <v>91.934070000000006</v>
      </c>
      <c r="AJ776" s="78">
        <v>97.009299999999996</v>
      </c>
      <c r="AK776" s="78">
        <v>91.765280000000004</v>
      </c>
      <c r="AO776" s="78">
        <v>92.695729999999998</v>
      </c>
      <c r="AQ776" s="78">
        <v>97.027919999999995</v>
      </c>
      <c r="AR776" s="78">
        <v>94.385670000000005</v>
      </c>
      <c r="AT776" s="78">
        <v>92.41628</v>
      </c>
      <c r="AV776" s="78">
        <v>83.183530000000005</v>
      </c>
      <c r="AZ776" s="78">
        <v>94.449250000000006</v>
      </c>
      <c r="BA776" s="78">
        <v>85.245159999999998</v>
      </c>
      <c r="BB776" s="78">
        <v>94.972130000000007</v>
      </c>
      <c r="BC776" s="78">
        <v>92.334900000000005</v>
      </c>
      <c r="BD776" s="78">
        <v>92.019040000000004</v>
      </c>
    </row>
    <row r="777" spans="1:56" x14ac:dyDescent="0.2">
      <c r="A777" s="78" t="s">
        <v>925</v>
      </c>
      <c r="B777" s="22">
        <v>42339</v>
      </c>
      <c r="C777" s="22"/>
      <c r="D777" s="22"/>
      <c r="E777" s="22">
        <v>41852</v>
      </c>
      <c r="F777" s="78" t="s">
        <v>909</v>
      </c>
      <c r="G777" s="78">
        <v>94.552369999999996</v>
      </c>
      <c r="I777" s="78">
        <v>92.33466</v>
      </c>
      <c r="J777" s="78">
        <v>93.895520000000005</v>
      </c>
      <c r="K777" s="78">
        <v>98.374700000000004</v>
      </c>
      <c r="L777" s="78">
        <v>90.420029999999997</v>
      </c>
      <c r="M777" s="78">
        <v>90.670230000000004</v>
      </c>
      <c r="N777" s="78">
        <v>91.823809999999995</v>
      </c>
      <c r="O777" s="78">
        <v>95.433090000000007</v>
      </c>
      <c r="P777" s="78">
        <v>92.952079999999995</v>
      </c>
      <c r="R777" s="78">
        <v>85.687259999999995</v>
      </c>
      <c r="S777" s="78">
        <v>94.716470000000001</v>
      </c>
      <c r="AA777" s="78">
        <v>99.850449999999995</v>
      </c>
      <c r="AC777" s="78">
        <v>96.474469999999997</v>
      </c>
      <c r="AD777" s="78">
        <v>89.811490000000006</v>
      </c>
      <c r="AE777" s="78">
        <v>91.093469999999996</v>
      </c>
      <c r="AG777" s="78">
        <v>92.292439999999999</v>
      </c>
      <c r="AH777" s="78">
        <v>92.789320000000004</v>
      </c>
      <c r="AJ777" s="78">
        <v>97.240560000000002</v>
      </c>
      <c r="AK777" s="78">
        <v>92.274109999999993</v>
      </c>
      <c r="AO777" s="78">
        <v>93.500860000000003</v>
      </c>
      <c r="AQ777" s="78">
        <v>97.718180000000004</v>
      </c>
      <c r="AR777" s="78">
        <v>94.810569999999998</v>
      </c>
      <c r="AT777" s="78">
        <v>93.619590000000002</v>
      </c>
      <c r="AV777" s="78">
        <v>83.510859999999994</v>
      </c>
      <c r="AZ777" s="78">
        <v>94.503870000000006</v>
      </c>
      <c r="BA777" s="78">
        <v>86.237889999999993</v>
      </c>
      <c r="BB777" s="78">
        <v>95.214789999999994</v>
      </c>
      <c r="BC777" s="78">
        <v>92.286829999999995</v>
      </c>
      <c r="BD777" s="78">
        <v>92.567089999999993</v>
      </c>
    </row>
    <row r="778" spans="1:56" x14ac:dyDescent="0.2">
      <c r="A778" s="78" t="s">
        <v>926</v>
      </c>
      <c r="B778" s="22">
        <v>42370</v>
      </c>
      <c r="C778" s="22"/>
      <c r="D778" s="22"/>
      <c r="E778" s="22">
        <v>41883</v>
      </c>
      <c r="F778" s="78" t="s">
        <v>910</v>
      </c>
      <c r="G778" s="78">
        <v>95.261219999999994</v>
      </c>
      <c r="I778" s="78">
        <v>93.664540000000002</v>
      </c>
      <c r="J778" s="78">
        <v>94.612009999999998</v>
      </c>
      <c r="K778" s="78">
        <v>98.595579999999998</v>
      </c>
      <c r="L778" s="78">
        <v>91.112120000000004</v>
      </c>
      <c r="M778" s="78">
        <v>91.094459999999998</v>
      </c>
      <c r="N778" s="78">
        <v>92.124610000000004</v>
      </c>
      <c r="O778" s="78">
        <v>96.332490000000007</v>
      </c>
      <c r="P778" s="78">
        <v>93.005340000000004</v>
      </c>
      <c r="R778" s="78">
        <v>87.393910000000005</v>
      </c>
      <c r="S778" s="78">
        <v>94.995369999999994</v>
      </c>
      <c r="AA778" s="78">
        <v>100.0724</v>
      </c>
      <c r="AC778" s="78">
        <v>96.772760000000005</v>
      </c>
      <c r="AD778" s="78">
        <v>90.967830000000006</v>
      </c>
      <c r="AE778" s="78">
        <v>91.92004</v>
      </c>
      <c r="AG778" s="78">
        <v>92.964489999999998</v>
      </c>
      <c r="AH778" s="78">
        <v>94.112219999999994</v>
      </c>
      <c r="AJ778" s="78">
        <v>97.548580000000001</v>
      </c>
      <c r="AK778" s="78">
        <v>93.037220000000005</v>
      </c>
      <c r="AO778" s="78">
        <v>93.521280000000004</v>
      </c>
      <c r="AQ778" s="78">
        <v>98.243470000000002</v>
      </c>
      <c r="AR778" s="78">
        <v>95.214550000000003</v>
      </c>
      <c r="AT778" s="78">
        <v>94.535759999999996</v>
      </c>
      <c r="AV778" s="78">
        <v>84.316540000000003</v>
      </c>
      <c r="AZ778" s="78">
        <v>94.891850000000005</v>
      </c>
      <c r="BA778" s="78">
        <v>87.464619999999996</v>
      </c>
      <c r="BB778" s="78">
        <v>95.500659999999996</v>
      </c>
      <c r="BC778" s="78">
        <v>93.152950000000004</v>
      </c>
      <c r="BD778" s="78">
        <v>93.521109999999993</v>
      </c>
    </row>
    <row r="779" spans="1:56" x14ac:dyDescent="0.2">
      <c r="A779" s="78" t="s">
        <v>927</v>
      </c>
      <c r="B779" s="22">
        <v>42401</v>
      </c>
      <c r="C779" s="22"/>
      <c r="D779" s="22"/>
      <c r="E779" s="22">
        <v>41913</v>
      </c>
      <c r="F779" s="78" t="s">
        <v>911</v>
      </c>
      <c r="G779" s="78">
        <v>95.782359999999997</v>
      </c>
      <c r="I779" s="78">
        <v>94.564509999999999</v>
      </c>
      <c r="J779" s="78">
        <v>95.135120000000001</v>
      </c>
      <c r="K779" s="78">
        <v>98.764849999999996</v>
      </c>
      <c r="L779" s="78">
        <v>91.537859999999995</v>
      </c>
      <c r="M779" s="78">
        <v>91.767910000000001</v>
      </c>
      <c r="N779" s="78">
        <v>92.746650000000002</v>
      </c>
      <c r="O779" s="78">
        <v>96.516229999999993</v>
      </c>
      <c r="P779" s="78">
        <v>93.487570000000005</v>
      </c>
      <c r="R779" s="78">
        <v>89.221279999999993</v>
      </c>
      <c r="S779" s="78">
        <v>95.159710000000004</v>
      </c>
      <c r="AA779" s="78">
        <v>99.723799999999997</v>
      </c>
      <c r="AC779" s="78">
        <v>96.722539999999995</v>
      </c>
      <c r="AD779" s="78">
        <v>92.441289999999995</v>
      </c>
      <c r="AE779" s="78">
        <v>92.894289999999998</v>
      </c>
      <c r="AG779" s="78">
        <v>93.799350000000004</v>
      </c>
      <c r="AH779" s="78">
        <v>94.618049999999997</v>
      </c>
      <c r="AJ779" s="78">
        <v>97.877390000000005</v>
      </c>
      <c r="AK779" s="78">
        <v>93.915409999999994</v>
      </c>
      <c r="AO779" s="78">
        <v>94.323700000000002</v>
      </c>
      <c r="AQ779" s="78">
        <v>97.848489999999998</v>
      </c>
      <c r="AR779" s="78">
        <v>95.672300000000007</v>
      </c>
      <c r="AT779" s="78">
        <v>94.796679999999995</v>
      </c>
      <c r="AV779" s="78">
        <v>85.471729999999994</v>
      </c>
      <c r="AZ779" s="78">
        <v>95.298959999999994</v>
      </c>
      <c r="BA779" s="78">
        <v>88.278930000000003</v>
      </c>
      <c r="BB779" s="78">
        <v>95.994290000000007</v>
      </c>
      <c r="BC779" s="78">
        <v>94.067700000000002</v>
      </c>
      <c r="BD779" s="78">
        <v>94.108249999999998</v>
      </c>
    </row>
    <row r="780" spans="1:56" x14ac:dyDescent="0.2">
      <c r="A780" s="78" t="s">
        <v>928</v>
      </c>
      <c r="B780" s="22">
        <v>42430</v>
      </c>
      <c r="C780" s="22"/>
      <c r="D780" s="22"/>
      <c r="E780" s="22">
        <v>41944</v>
      </c>
      <c r="F780" s="78" t="s">
        <v>912</v>
      </c>
      <c r="G780" s="78">
        <v>96.079350000000005</v>
      </c>
      <c r="I780" s="78">
        <v>95.534289999999999</v>
      </c>
      <c r="J780" s="78">
        <v>95.431690000000003</v>
      </c>
      <c r="K780" s="78">
        <v>99.12509</v>
      </c>
      <c r="L780" s="78">
        <v>92.362269999999995</v>
      </c>
      <c r="M780" s="78">
        <v>92.591409999999996</v>
      </c>
      <c r="N780" s="78">
        <v>93.481110000000001</v>
      </c>
      <c r="O780" s="78">
        <v>97.213629999999995</v>
      </c>
      <c r="P780" s="78">
        <v>94.465109999999996</v>
      </c>
      <c r="R780" s="78">
        <v>91.31644</v>
      </c>
      <c r="S780" s="78">
        <v>95.721649999999997</v>
      </c>
      <c r="AA780" s="78">
        <v>99.578050000000005</v>
      </c>
      <c r="AC780" s="78">
        <v>96.728890000000007</v>
      </c>
      <c r="AD780" s="78">
        <v>93.381309999999999</v>
      </c>
      <c r="AE780" s="78">
        <v>93.987759999999994</v>
      </c>
      <c r="AG780" s="78">
        <v>94.694820000000007</v>
      </c>
      <c r="AH780" s="78">
        <v>96.090209999999999</v>
      </c>
      <c r="AJ780" s="78">
        <v>98.295000000000002</v>
      </c>
      <c r="AK780" s="78">
        <v>94.751589999999993</v>
      </c>
      <c r="AO780" s="78">
        <v>96.112219999999994</v>
      </c>
      <c r="AQ780" s="78">
        <v>98.4602</v>
      </c>
      <c r="AR780" s="78">
        <v>96.12679</v>
      </c>
      <c r="AT780" s="78">
        <v>95.207639999999998</v>
      </c>
      <c r="AV780" s="78">
        <v>86.590580000000003</v>
      </c>
      <c r="AZ780" s="78">
        <v>95.423789999999997</v>
      </c>
      <c r="BA780" s="78">
        <v>88.525279999999995</v>
      </c>
      <c r="BB780" s="78">
        <v>96.320049999999995</v>
      </c>
      <c r="BC780" s="78">
        <v>94.506110000000007</v>
      </c>
      <c r="BD780" s="78">
        <v>94.475380000000001</v>
      </c>
    </row>
    <row r="781" spans="1:56" x14ac:dyDescent="0.2">
      <c r="A781" s="78" t="s">
        <v>929</v>
      </c>
      <c r="B781" s="22">
        <v>42461</v>
      </c>
      <c r="C781" s="22"/>
      <c r="D781" s="22"/>
      <c r="E781" s="22">
        <v>41974</v>
      </c>
      <c r="F781" s="78" t="s">
        <v>913</v>
      </c>
      <c r="G781" s="78">
        <v>96.594880000000003</v>
      </c>
      <c r="I781" s="78">
        <v>96.31953</v>
      </c>
      <c r="J781" s="78">
        <v>95.728880000000004</v>
      </c>
      <c r="K781" s="78">
        <v>99.311130000000006</v>
      </c>
      <c r="L781" s="78">
        <v>93.935270000000003</v>
      </c>
      <c r="M781" s="78">
        <v>93.300790000000006</v>
      </c>
      <c r="N781" s="78">
        <v>93.989930000000001</v>
      </c>
      <c r="O781" s="78">
        <v>97.978549999999998</v>
      </c>
      <c r="P781" s="78">
        <v>95.919479999999993</v>
      </c>
      <c r="R781" s="78">
        <v>92.518060000000006</v>
      </c>
      <c r="S781" s="78">
        <v>96.783100000000005</v>
      </c>
      <c r="AA781" s="78">
        <v>99.713229999999996</v>
      </c>
      <c r="AC781" s="78">
        <v>97.445430000000002</v>
      </c>
      <c r="AD781" s="78">
        <v>93.973179999999999</v>
      </c>
      <c r="AE781" s="78">
        <v>94.743089999999995</v>
      </c>
      <c r="AG781" s="78">
        <v>95.634240000000005</v>
      </c>
      <c r="AH781" s="78">
        <v>97.695179999999993</v>
      </c>
      <c r="AJ781" s="78">
        <v>98.634590000000003</v>
      </c>
      <c r="AK781" s="78">
        <v>95.390519999999995</v>
      </c>
      <c r="AO781" s="78">
        <v>96.753559999999993</v>
      </c>
      <c r="AQ781" s="78">
        <v>99.820980000000006</v>
      </c>
      <c r="AR781" s="78">
        <v>96.737020000000001</v>
      </c>
      <c r="AT781" s="78">
        <v>95.751279999999994</v>
      </c>
      <c r="AV781" s="78">
        <v>88.782589999999999</v>
      </c>
      <c r="AZ781" s="78">
        <v>95.868449999999996</v>
      </c>
      <c r="BA781" s="78">
        <v>89.596279999999993</v>
      </c>
      <c r="BB781" s="78">
        <v>96.963250000000002</v>
      </c>
      <c r="BC781" s="78">
        <v>94.643330000000006</v>
      </c>
      <c r="BD781" s="78">
        <v>94.931920000000005</v>
      </c>
    </row>
    <row r="782" spans="1:56" x14ac:dyDescent="0.2">
      <c r="A782" s="78" t="s">
        <v>930</v>
      </c>
      <c r="B782" s="22">
        <v>42491</v>
      </c>
      <c r="C782" s="22"/>
      <c r="D782" s="22"/>
      <c r="E782" s="22">
        <v>42005</v>
      </c>
      <c r="F782" s="78" t="s">
        <v>914</v>
      </c>
      <c r="G782" s="78">
        <v>97.107600000000005</v>
      </c>
      <c r="I782" s="78">
        <v>96.937089999999998</v>
      </c>
      <c r="J782" s="78">
        <v>96.454939999999993</v>
      </c>
      <c r="K782" s="78">
        <v>99.39546</v>
      </c>
      <c r="L782" s="78">
        <v>95.002039999999994</v>
      </c>
      <c r="M782" s="78">
        <v>93.899870000000007</v>
      </c>
      <c r="N782" s="78">
        <v>94.763660000000002</v>
      </c>
      <c r="O782" s="78">
        <v>98.198800000000006</v>
      </c>
      <c r="P782" s="78">
        <v>96.710679999999996</v>
      </c>
      <c r="R782" s="78">
        <v>94.684420000000003</v>
      </c>
      <c r="S782" s="78">
        <v>97.724090000000004</v>
      </c>
      <c r="AA782" s="78">
        <v>99.567149999999998</v>
      </c>
      <c r="AC782" s="78">
        <v>98.448670000000007</v>
      </c>
      <c r="AD782" s="78">
        <v>95.193799999999996</v>
      </c>
      <c r="AE782" s="78">
        <v>95.434560000000005</v>
      </c>
      <c r="AG782" s="78">
        <v>96.660929999999993</v>
      </c>
      <c r="AH782" s="78">
        <v>98.417649999999995</v>
      </c>
      <c r="AJ782" s="78">
        <v>98.844909999999999</v>
      </c>
      <c r="AK782" s="78">
        <v>95.948130000000006</v>
      </c>
      <c r="AO782" s="78">
        <v>97.468090000000004</v>
      </c>
      <c r="AQ782" s="78">
        <v>100.6729</v>
      </c>
      <c r="AR782" s="78">
        <v>97.265339999999995</v>
      </c>
      <c r="AT782" s="78">
        <v>96.217020000000005</v>
      </c>
      <c r="AV782" s="78">
        <v>94.512410000000003</v>
      </c>
      <c r="AZ782" s="78">
        <v>95.837100000000007</v>
      </c>
      <c r="BA782" s="78">
        <v>90.922719999999998</v>
      </c>
      <c r="BB782" s="78">
        <v>97.495930000000001</v>
      </c>
      <c r="BC782" s="78">
        <v>95.026989999999998</v>
      </c>
      <c r="BD782" s="78">
        <v>95.519450000000006</v>
      </c>
    </row>
    <row r="783" spans="1:56" x14ac:dyDescent="0.2">
      <c r="A783" s="78" t="s">
        <v>931</v>
      </c>
      <c r="B783" s="22">
        <v>42522</v>
      </c>
      <c r="C783" s="22"/>
      <c r="D783" s="22"/>
      <c r="E783" s="22">
        <v>42036</v>
      </c>
      <c r="F783" s="78" t="s">
        <v>915</v>
      </c>
      <c r="G783" s="78">
        <v>97.802449999999993</v>
      </c>
      <c r="I783" s="78">
        <v>97.322590000000005</v>
      </c>
      <c r="J783" s="78">
        <v>96.968320000000006</v>
      </c>
      <c r="K783" s="78">
        <v>99.57056</v>
      </c>
      <c r="L783" s="78">
        <v>95.618260000000006</v>
      </c>
      <c r="M783" s="78">
        <v>94.819149999999993</v>
      </c>
      <c r="N783" s="78">
        <v>95.811989999999994</v>
      </c>
      <c r="O783" s="78">
        <v>98.252750000000006</v>
      </c>
      <c r="P783" s="78">
        <v>97.133799999999994</v>
      </c>
      <c r="R783" s="78">
        <v>97.183999999999997</v>
      </c>
      <c r="S783" s="78">
        <v>98.14461</v>
      </c>
      <c r="AA783" s="78">
        <v>99.235370000000003</v>
      </c>
      <c r="AC783" s="78">
        <v>98.876909999999995</v>
      </c>
      <c r="AD783" s="78">
        <v>97.142489999999995</v>
      </c>
      <c r="AE783" s="78">
        <v>96.156660000000002</v>
      </c>
      <c r="AG783" s="78">
        <v>97.733459999999994</v>
      </c>
      <c r="AH783" s="78">
        <v>99.062740000000005</v>
      </c>
      <c r="AJ783" s="78">
        <v>99.044880000000006</v>
      </c>
      <c r="AK783" s="78">
        <v>97.214650000000006</v>
      </c>
      <c r="AO783" s="78">
        <v>98.565700000000007</v>
      </c>
      <c r="AQ783" s="78">
        <v>100.6039</v>
      </c>
      <c r="AR783" s="78">
        <v>98.0214</v>
      </c>
      <c r="AT783" s="78">
        <v>96.775999999999996</v>
      </c>
      <c r="AV783" s="78">
        <v>97.416470000000004</v>
      </c>
      <c r="AZ783" s="78">
        <v>96.315200000000004</v>
      </c>
      <c r="BA783" s="78">
        <v>92.751230000000007</v>
      </c>
      <c r="BB783" s="78">
        <v>98.496480000000005</v>
      </c>
      <c r="BC783" s="78">
        <v>96.032330000000002</v>
      </c>
      <c r="BD783" s="78">
        <v>96.405969999999996</v>
      </c>
    </row>
    <row r="784" spans="1:56" x14ac:dyDescent="0.2">
      <c r="A784" s="78" t="s">
        <v>932</v>
      </c>
      <c r="B784" s="22">
        <v>42552</v>
      </c>
      <c r="C784" s="22"/>
      <c r="D784" s="22"/>
      <c r="E784" s="22">
        <v>42064</v>
      </c>
      <c r="F784" s="78" t="s">
        <v>916</v>
      </c>
      <c r="G784" s="78">
        <v>98.458079999999995</v>
      </c>
      <c r="I784" s="78">
        <v>97.651150000000001</v>
      </c>
      <c r="J784" s="78">
        <v>97.598690000000005</v>
      </c>
      <c r="K784" s="78">
        <v>99.833709999999996</v>
      </c>
      <c r="L784" s="78">
        <v>96.23169</v>
      </c>
      <c r="M784" s="78">
        <v>95.74342</v>
      </c>
      <c r="N784" s="78">
        <v>96.675049999999999</v>
      </c>
      <c r="O784" s="78">
        <v>98.042249999999996</v>
      </c>
      <c r="P784" s="78">
        <v>97.723519999999994</v>
      </c>
      <c r="R784" s="78">
        <v>96.837609999999998</v>
      </c>
      <c r="S784" s="78">
        <v>98.451269999999994</v>
      </c>
      <c r="AA784" s="78">
        <v>99.608159999999998</v>
      </c>
      <c r="AC784" s="78">
        <v>98.792289999999994</v>
      </c>
      <c r="AD784" s="78">
        <v>98.168390000000002</v>
      </c>
      <c r="AE784" s="78">
        <v>97.024379999999994</v>
      </c>
      <c r="AG784" s="78">
        <v>98.747020000000006</v>
      </c>
      <c r="AH784" s="78">
        <v>99.37191</v>
      </c>
      <c r="AJ784" s="78">
        <v>99.271090000000001</v>
      </c>
      <c r="AK784" s="78">
        <v>98.580529999999996</v>
      </c>
      <c r="AO784" s="78">
        <v>98.369290000000007</v>
      </c>
      <c r="AQ784" s="78">
        <v>101.12439999999999</v>
      </c>
      <c r="AR784" s="78">
        <v>98.411379999999994</v>
      </c>
      <c r="AT784" s="78">
        <v>97.691019999999995</v>
      </c>
      <c r="AV784" s="78">
        <v>96.213939999999994</v>
      </c>
      <c r="AZ784" s="78">
        <v>97.489779999999996</v>
      </c>
      <c r="BA784" s="78">
        <v>94.893829999999994</v>
      </c>
      <c r="BB784" s="78">
        <v>98.636920000000003</v>
      </c>
      <c r="BC784" s="78">
        <v>96.880340000000004</v>
      </c>
      <c r="BD784" s="78">
        <v>97.355130000000003</v>
      </c>
    </row>
    <row r="785" spans="1:56" x14ac:dyDescent="0.2">
      <c r="A785" s="78" t="s">
        <v>933</v>
      </c>
      <c r="B785" s="22">
        <v>42583</v>
      </c>
      <c r="C785" s="22"/>
      <c r="D785" s="22"/>
      <c r="E785" s="22">
        <v>42095</v>
      </c>
      <c r="F785" s="78" t="s">
        <v>917</v>
      </c>
      <c r="G785" s="78">
        <v>98.855930000000001</v>
      </c>
      <c r="I785" s="78">
        <v>98.233500000000006</v>
      </c>
      <c r="J785" s="78">
        <v>97.808779999999999</v>
      </c>
      <c r="K785" s="78">
        <v>99.785780000000003</v>
      </c>
      <c r="L785" s="78">
        <v>96.787540000000007</v>
      </c>
      <c r="M785" s="78">
        <v>96.575490000000002</v>
      </c>
      <c r="N785" s="78">
        <v>97.217330000000004</v>
      </c>
      <c r="O785" s="78">
        <v>98.029949999999999</v>
      </c>
      <c r="P785" s="78">
        <v>98.283420000000007</v>
      </c>
      <c r="R785" s="78">
        <v>97.606459999999998</v>
      </c>
      <c r="S785" s="78">
        <v>99.132900000000006</v>
      </c>
      <c r="AA785" s="78">
        <v>100.1562</v>
      </c>
      <c r="AC785" s="78">
        <v>98.747749999999996</v>
      </c>
      <c r="AD785" s="78">
        <v>98.785480000000007</v>
      </c>
      <c r="AE785" s="78">
        <v>97.818929999999995</v>
      </c>
      <c r="AG785" s="78">
        <v>99.598529999999997</v>
      </c>
      <c r="AH785" s="78">
        <v>99.556259999999995</v>
      </c>
      <c r="AJ785" s="78">
        <v>99.435079999999999</v>
      </c>
      <c r="AK785" s="78">
        <v>99.430440000000004</v>
      </c>
      <c r="AO785" s="78">
        <v>98.74409</v>
      </c>
      <c r="AQ785" s="78">
        <v>99.810180000000003</v>
      </c>
      <c r="AR785" s="78">
        <v>98.896569999999997</v>
      </c>
      <c r="AT785" s="78">
        <v>97.888419999999996</v>
      </c>
      <c r="AV785" s="78">
        <v>95.783249999999995</v>
      </c>
      <c r="AZ785" s="78">
        <v>98.281459999999996</v>
      </c>
      <c r="BA785" s="78">
        <v>97.050049999999999</v>
      </c>
      <c r="BB785" s="78">
        <v>99.029160000000005</v>
      </c>
      <c r="BC785" s="78">
        <v>98.013099999999994</v>
      </c>
      <c r="BD785" s="78">
        <v>98.06644</v>
      </c>
    </row>
    <row r="786" spans="1:56" x14ac:dyDescent="0.2">
      <c r="A786" s="78" t="s">
        <v>934</v>
      </c>
      <c r="B786" s="22">
        <v>42614</v>
      </c>
      <c r="C786" s="22"/>
      <c r="D786" s="22"/>
      <c r="E786" s="22">
        <v>42125</v>
      </c>
      <c r="F786" s="78" t="s">
        <v>918</v>
      </c>
      <c r="G786" s="78">
        <v>99.259389999999996</v>
      </c>
      <c r="I786" s="78">
        <v>99.163799999999995</v>
      </c>
      <c r="J786" s="78">
        <v>98.124070000000003</v>
      </c>
      <c r="K786" s="78">
        <v>99.571910000000003</v>
      </c>
      <c r="L786" s="78">
        <v>97.696110000000004</v>
      </c>
      <c r="M786" s="78">
        <v>97.947140000000005</v>
      </c>
      <c r="N786" s="78">
        <v>98.294020000000003</v>
      </c>
      <c r="O786" s="78">
        <v>98.816059999999993</v>
      </c>
      <c r="P786" s="78">
        <v>99.130399999999995</v>
      </c>
      <c r="R786" s="78">
        <v>99.971469999999997</v>
      </c>
      <c r="S786" s="78">
        <v>99.780950000000004</v>
      </c>
      <c r="AA786" s="78">
        <v>100.1247</v>
      </c>
      <c r="AC786" s="78">
        <v>99.438950000000006</v>
      </c>
      <c r="AD786" s="78">
        <v>99.235799999999998</v>
      </c>
      <c r="AE786" s="78">
        <v>98.578680000000006</v>
      </c>
      <c r="AG786" s="78">
        <v>100.31950000000001</v>
      </c>
      <c r="AH786" s="78">
        <v>99.541600000000003</v>
      </c>
      <c r="AJ786" s="78">
        <v>99.759749999999997</v>
      </c>
      <c r="AK786" s="78">
        <v>100.1588</v>
      </c>
      <c r="AO786" s="78">
        <v>100.16970000000001</v>
      </c>
      <c r="AQ786" s="78">
        <v>98.529349999999994</v>
      </c>
      <c r="AR786" s="78">
        <v>99.33511</v>
      </c>
      <c r="AT786" s="78">
        <v>97.969700000000003</v>
      </c>
      <c r="AV786" s="78">
        <v>95.677800000000005</v>
      </c>
      <c r="AZ786" s="78">
        <v>99.367750000000001</v>
      </c>
      <c r="BA786" s="78">
        <v>98.607569999999996</v>
      </c>
      <c r="BB786" s="78">
        <v>99.300899999999999</v>
      </c>
      <c r="BC786" s="78">
        <v>99.231639999999999</v>
      </c>
      <c r="BD786" s="78">
        <v>98.561440000000005</v>
      </c>
    </row>
    <row r="787" spans="1:56" x14ac:dyDescent="0.2">
      <c r="A787" s="78" t="s">
        <v>935</v>
      </c>
      <c r="B787" s="22">
        <v>42644</v>
      </c>
      <c r="C787" s="22"/>
      <c r="D787" s="22"/>
      <c r="E787" s="22">
        <v>42156</v>
      </c>
      <c r="F787" s="78" t="s">
        <v>919</v>
      </c>
      <c r="G787" s="78">
        <v>99.59</v>
      </c>
      <c r="I787" s="78">
        <v>99.947450000000003</v>
      </c>
      <c r="J787" s="78">
        <v>98.629130000000004</v>
      </c>
      <c r="K787" s="78">
        <v>99.807400000000001</v>
      </c>
      <c r="L787" s="78">
        <v>98.499309999999994</v>
      </c>
      <c r="M787" s="78">
        <v>99.419240000000002</v>
      </c>
      <c r="N787" s="78">
        <v>99.522130000000004</v>
      </c>
      <c r="O787" s="78">
        <v>100.76560000000001</v>
      </c>
      <c r="P787" s="78">
        <v>99.266940000000005</v>
      </c>
      <c r="R787" s="78">
        <v>100.1371</v>
      </c>
      <c r="S787" s="78">
        <v>99.954080000000005</v>
      </c>
      <c r="AA787" s="78">
        <v>99.712469999999996</v>
      </c>
      <c r="AC787" s="78">
        <v>99.402760000000001</v>
      </c>
      <c r="AD787" s="78">
        <v>99.485230000000001</v>
      </c>
      <c r="AE787" s="78">
        <v>99.84487</v>
      </c>
      <c r="AG787" s="78">
        <v>100.97329999999999</v>
      </c>
      <c r="AH787" s="78">
        <v>99.215170000000001</v>
      </c>
      <c r="AJ787" s="78">
        <v>99.877399999999994</v>
      </c>
      <c r="AK787" s="78">
        <v>100.8933</v>
      </c>
      <c r="AO787" s="78">
        <v>100.56270000000001</v>
      </c>
      <c r="AQ787" s="78">
        <v>99.212940000000003</v>
      </c>
      <c r="AR787" s="78">
        <v>99.691310000000001</v>
      </c>
      <c r="AT787" s="78">
        <v>98.967140000000001</v>
      </c>
      <c r="AV787" s="78">
        <v>96.779520000000005</v>
      </c>
      <c r="AZ787" s="78">
        <v>100.1168</v>
      </c>
      <c r="BA787" s="78">
        <v>99.512799999999999</v>
      </c>
      <c r="BB787" s="78">
        <v>99.677359999999993</v>
      </c>
      <c r="BC787" s="78">
        <v>100.1425</v>
      </c>
      <c r="BD787" s="78">
        <v>99.607280000000003</v>
      </c>
    </row>
    <row r="788" spans="1:56" x14ac:dyDescent="0.2">
      <c r="A788" s="78" t="s">
        <v>936</v>
      </c>
      <c r="B788" s="22">
        <v>42675</v>
      </c>
      <c r="C788" s="22"/>
      <c r="D788" s="22"/>
      <c r="E788" s="22">
        <v>42186</v>
      </c>
      <c r="F788" s="78" t="s">
        <v>920</v>
      </c>
      <c r="G788" s="78">
        <v>100.254</v>
      </c>
      <c r="I788" s="78">
        <v>100.4726</v>
      </c>
      <c r="J788" s="78">
        <v>100.6713</v>
      </c>
      <c r="K788" s="78">
        <v>99.971800000000002</v>
      </c>
      <c r="L788" s="78">
        <v>99.823040000000006</v>
      </c>
      <c r="M788" s="78">
        <v>101.28879999999999</v>
      </c>
      <c r="N788" s="78">
        <v>100.2627</v>
      </c>
      <c r="O788" s="78">
        <v>102.1236</v>
      </c>
      <c r="P788" s="78">
        <v>99.694190000000006</v>
      </c>
      <c r="R788" s="78">
        <v>101.2812</v>
      </c>
      <c r="S788" s="78">
        <v>100.309</v>
      </c>
      <c r="AA788" s="78">
        <v>99.781589999999994</v>
      </c>
      <c r="AC788" s="78">
        <v>99.021029999999996</v>
      </c>
      <c r="AD788" s="78">
        <v>100.1818</v>
      </c>
      <c r="AE788" s="78">
        <v>100.6861</v>
      </c>
      <c r="AG788" s="78">
        <v>101.4503</v>
      </c>
      <c r="AH788" s="78">
        <v>99.077600000000004</v>
      </c>
      <c r="AJ788" s="78">
        <v>100.12430000000001</v>
      </c>
      <c r="AK788" s="78">
        <v>101.6247</v>
      </c>
      <c r="AO788" s="78">
        <v>100.6583</v>
      </c>
      <c r="AQ788" s="78">
        <v>99.461550000000003</v>
      </c>
      <c r="AR788" s="78">
        <v>100.2226</v>
      </c>
      <c r="AT788" s="78">
        <v>100.0967</v>
      </c>
      <c r="AV788" s="78">
        <v>98.546459999999996</v>
      </c>
      <c r="AZ788" s="78">
        <v>100.5607</v>
      </c>
      <c r="BA788" s="78">
        <v>101.0185</v>
      </c>
      <c r="BB788" s="78">
        <v>100.1095</v>
      </c>
      <c r="BC788" s="78">
        <v>101.14879999999999</v>
      </c>
      <c r="BD788" s="78">
        <v>100.7188</v>
      </c>
    </row>
    <row r="789" spans="1:56" x14ac:dyDescent="0.2">
      <c r="A789" s="78" t="s">
        <v>937</v>
      </c>
      <c r="B789" s="22">
        <v>42705</v>
      </c>
      <c r="C789" s="22"/>
      <c r="D789" s="22"/>
      <c r="E789" s="22">
        <v>42217</v>
      </c>
      <c r="F789" s="78" t="s">
        <v>921</v>
      </c>
      <c r="G789" s="78">
        <v>100.764</v>
      </c>
      <c r="I789" s="78">
        <v>100.53660000000001</v>
      </c>
      <c r="J789" s="78">
        <v>101.7996</v>
      </c>
      <c r="K789" s="78">
        <v>99.945589999999996</v>
      </c>
      <c r="L789" s="78">
        <v>101.80540000000001</v>
      </c>
      <c r="M789" s="78">
        <v>102.6123</v>
      </c>
      <c r="N789" s="78">
        <v>101.43219999999999</v>
      </c>
      <c r="O789" s="78">
        <v>101.1634</v>
      </c>
      <c r="P789" s="78">
        <v>100.4667</v>
      </c>
      <c r="R789" s="78">
        <v>101.65470000000001</v>
      </c>
      <c r="S789" s="78">
        <v>100.6511</v>
      </c>
      <c r="AA789" s="78">
        <v>100.277</v>
      </c>
      <c r="AC789" s="78">
        <v>99.539519999999996</v>
      </c>
      <c r="AD789" s="78">
        <v>101.1357</v>
      </c>
      <c r="AE789" s="78">
        <v>101.3252</v>
      </c>
      <c r="AG789" s="78">
        <v>101.6116</v>
      </c>
      <c r="AH789" s="78">
        <v>99.475620000000006</v>
      </c>
      <c r="AJ789" s="78">
        <v>100.4721</v>
      </c>
      <c r="AK789" s="78">
        <v>102.1083</v>
      </c>
      <c r="AO789" s="78">
        <v>101.3523</v>
      </c>
      <c r="AQ789" s="78">
        <v>99.669669999999996</v>
      </c>
      <c r="AR789" s="78">
        <v>100.8173</v>
      </c>
      <c r="AT789" s="78">
        <v>101.0039</v>
      </c>
      <c r="AV789" s="78">
        <v>101.749</v>
      </c>
      <c r="AZ789" s="78">
        <v>101.22709999999999</v>
      </c>
      <c r="BA789" s="78">
        <v>103.06950000000001</v>
      </c>
      <c r="BB789" s="78">
        <v>100.5333</v>
      </c>
      <c r="BC789" s="78">
        <v>101.7364</v>
      </c>
      <c r="BD789" s="78">
        <v>101.3967</v>
      </c>
    </row>
    <row r="790" spans="1:56" x14ac:dyDescent="0.2">
      <c r="A790" s="78" t="s">
        <v>938</v>
      </c>
      <c r="B790" s="22">
        <v>42736</v>
      </c>
      <c r="C790" s="22"/>
      <c r="D790" s="22"/>
      <c r="E790" s="22">
        <v>42248</v>
      </c>
      <c r="F790" s="78" t="s">
        <v>922</v>
      </c>
      <c r="G790" s="78">
        <v>101.2094</v>
      </c>
      <c r="I790" s="78">
        <v>100.7946</v>
      </c>
      <c r="J790" s="78">
        <v>102.5078</v>
      </c>
      <c r="K790" s="78">
        <v>99.935980000000001</v>
      </c>
      <c r="L790" s="78">
        <v>102.9774</v>
      </c>
      <c r="M790" s="78">
        <v>103.0397</v>
      </c>
      <c r="N790" s="78">
        <v>102.74930000000001</v>
      </c>
      <c r="O790" s="78">
        <v>100.35590000000001</v>
      </c>
      <c r="P790" s="78">
        <v>101.16670000000001</v>
      </c>
      <c r="R790" s="78">
        <v>101.4876</v>
      </c>
      <c r="S790" s="78">
        <v>100.6182</v>
      </c>
      <c r="AA790" s="78">
        <v>100.2484</v>
      </c>
      <c r="AC790" s="78">
        <v>100.2856</v>
      </c>
      <c r="AD790" s="78">
        <v>102.5197</v>
      </c>
      <c r="AE790" s="78">
        <v>102.15730000000001</v>
      </c>
      <c r="AG790" s="78">
        <v>101.41070000000001</v>
      </c>
      <c r="AH790" s="78">
        <v>100.4311</v>
      </c>
      <c r="AJ790" s="78">
        <v>100.52079999999999</v>
      </c>
      <c r="AK790" s="78">
        <v>102.48569999999999</v>
      </c>
      <c r="AO790" s="78">
        <v>101.3167</v>
      </c>
      <c r="AQ790" s="78">
        <v>99.703800000000001</v>
      </c>
      <c r="AR790" s="78">
        <v>101.28100000000001</v>
      </c>
      <c r="AT790" s="78">
        <v>101.9448</v>
      </c>
      <c r="AV790" s="78">
        <v>104.72150000000001</v>
      </c>
      <c r="AZ790" s="78">
        <v>101.4928</v>
      </c>
      <c r="BA790" s="78">
        <v>105.408</v>
      </c>
      <c r="BB790" s="78">
        <v>100.9945</v>
      </c>
      <c r="BC790" s="78">
        <v>101.8069</v>
      </c>
      <c r="BD790" s="78">
        <v>102.1661</v>
      </c>
    </row>
    <row r="791" spans="1:56" x14ac:dyDescent="0.2">
      <c r="A791" s="78" t="s">
        <v>939</v>
      </c>
      <c r="B791" s="22">
        <v>42767</v>
      </c>
      <c r="C791" s="22"/>
      <c r="D791" s="22"/>
      <c r="E791" s="22">
        <v>42278</v>
      </c>
      <c r="F791" s="78" t="s">
        <v>923</v>
      </c>
      <c r="G791" s="78">
        <v>101.72499999999999</v>
      </c>
      <c r="I791" s="78">
        <v>101.7761</v>
      </c>
      <c r="J791" s="78">
        <v>102.33199999999999</v>
      </c>
      <c r="K791" s="78">
        <v>100.1404</v>
      </c>
      <c r="L791" s="78">
        <v>103.9624</v>
      </c>
      <c r="M791" s="78">
        <v>103.8956</v>
      </c>
      <c r="N791" s="78">
        <v>103.8098</v>
      </c>
      <c r="O791" s="78">
        <v>100.79730000000001</v>
      </c>
      <c r="P791" s="78">
        <v>102.2316</v>
      </c>
      <c r="R791" s="78">
        <v>102.5333</v>
      </c>
      <c r="S791" s="78">
        <v>101.10299999999999</v>
      </c>
      <c r="AA791" s="78">
        <v>100.2689</v>
      </c>
      <c r="AC791" s="78">
        <v>101.1078</v>
      </c>
      <c r="AD791" s="78">
        <v>102.9776</v>
      </c>
      <c r="AE791" s="78">
        <v>102.7561</v>
      </c>
      <c r="AG791" s="78">
        <v>100.98950000000001</v>
      </c>
      <c r="AH791" s="78">
        <v>101.53830000000001</v>
      </c>
      <c r="AJ791" s="78">
        <v>100.7015</v>
      </c>
      <c r="AK791" s="78">
        <v>102.8468</v>
      </c>
      <c r="AO791" s="78">
        <v>101.1859</v>
      </c>
      <c r="AQ791" s="78">
        <v>100.15470000000001</v>
      </c>
      <c r="AR791" s="78">
        <v>101.5754</v>
      </c>
      <c r="AT791" s="78">
        <v>102.99679999999999</v>
      </c>
      <c r="AV791" s="78">
        <v>105.3665</v>
      </c>
      <c r="AZ791" s="78">
        <v>102.36190000000001</v>
      </c>
      <c r="BA791" s="78">
        <v>106.19840000000001</v>
      </c>
      <c r="BB791" s="78">
        <v>101.25960000000001</v>
      </c>
      <c r="BC791" s="78">
        <v>102.6019</v>
      </c>
      <c r="BD791" s="78">
        <v>102.5672</v>
      </c>
    </row>
    <row r="792" spans="1:56" x14ac:dyDescent="0.2">
      <c r="A792" s="78" t="s">
        <v>940</v>
      </c>
      <c r="B792" s="22">
        <v>42795</v>
      </c>
      <c r="C792" s="22"/>
      <c r="D792" s="22"/>
      <c r="E792" s="22">
        <v>42309</v>
      </c>
      <c r="F792" s="78" t="s">
        <v>924</v>
      </c>
      <c r="G792" s="78">
        <v>102.2461</v>
      </c>
      <c r="I792" s="78">
        <v>102.7135</v>
      </c>
      <c r="J792" s="78">
        <v>103.10680000000001</v>
      </c>
      <c r="K792" s="78">
        <v>100.863</v>
      </c>
      <c r="L792" s="78">
        <v>105.38679999999999</v>
      </c>
      <c r="M792" s="78">
        <v>104.9367</v>
      </c>
      <c r="N792" s="78">
        <v>104.48260000000001</v>
      </c>
      <c r="O792" s="78">
        <v>101.48950000000001</v>
      </c>
      <c r="P792" s="78">
        <v>103.5442</v>
      </c>
      <c r="R792" s="78">
        <v>102.9909</v>
      </c>
      <c r="S792" s="78">
        <v>101.9152</v>
      </c>
      <c r="AA792" s="78">
        <v>100.31019999999999</v>
      </c>
      <c r="AC792" s="78">
        <v>102.4743</v>
      </c>
      <c r="AD792" s="78">
        <v>102.5325</v>
      </c>
      <c r="AE792" s="78">
        <v>103.58110000000001</v>
      </c>
      <c r="AG792" s="78">
        <v>100.5141</v>
      </c>
      <c r="AH792" s="78">
        <v>102.102</v>
      </c>
      <c r="AJ792" s="78">
        <v>100.86579999999999</v>
      </c>
      <c r="AK792" s="78">
        <v>103.3182</v>
      </c>
      <c r="AO792" s="78">
        <v>100.78579999999999</v>
      </c>
      <c r="AQ792" s="78">
        <v>100.4422</v>
      </c>
      <c r="AR792" s="78">
        <v>102.04470000000001</v>
      </c>
      <c r="AT792" s="78">
        <v>103.90689999999999</v>
      </c>
      <c r="AV792" s="78">
        <v>105.8497</v>
      </c>
      <c r="AZ792" s="78">
        <v>103.28489999999999</v>
      </c>
      <c r="BA792" s="78">
        <v>105.4862</v>
      </c>
      <c r="BB792" s="78">
        <v>102.0009</v>
      </c>
      <c r="BC792" s="78">
        <v>103.4956</v>
      </c>
      <c r="BD792" s="78">
        <v>103.3274</v>
      </c>
    </row>
    <row r="793" spans="1:56" x14ac:dyDescent="0.2">
      <c r="A793" s="78" t="s">
        <v>941</v>
      </c>
      <c r="B793" s="22">
        <v>42826</v>
      </c>
      <c r="C793" s="22"/>
      <c r="D793" s="22"/>
      <c r="E793" s="22">
        <v>42339</v>
      </c>
      <c r="F793" s="78" t="s">
        <v>925</v>
      </c>
      <c r="G793" s="78">
        <v>102.72799999999999</v>
      </c>
      <c r="I793" s="78">
        <v>104.4511</v>
      </c>
      <c r="J793" s="78">
        <v>103.99850000000001</v>
      </c>
      <c r="K793" s="78">
        <v>101.1784</v>
      </c>
      <c r="L793" s="78">
        <v>106.2101</v>
      </c>
      <c r="M793" s="78">
        <v>105.82259999999999</v>
      </c>
      <c r="N793" s="78">
        <v>104.97920000000001</v>
      </c>
      <c r="O793" s="78">
        <v>101.9648</v>
      </c>
      <c r="P793" s="78">
        <v>104.6478</v>
      </c>
      <c r="R793" s="78">
        <v>103.63120000000001</v>
      </c>
      <c r="S793" s="78">
        <v>102.2157</v>
      </c>
      <c r="AA793" s="78">
        <v>100.71</v>
      </c>
      <c r="AC793" s="78">
        <v>103.8644</v>
      </c>
      <c r="AD793" s="78">
        <v>102.6416</v>
      </c>
      <c r="AE793" s="78">
        <v>104.636</v>
      </c>
      <c r="AG793" s="78">
        <v>99.99091</v>
      </c>
      <c r="AH793" s="78">
        <v>102.21</v>
      </c>
      <c r="AJ793" s="78">
        <v>101.0825</v>
      </c>
      <c r="AK793" s="78">
        <v>103.9216</v>
      </c>
      <c r="AO793" s="78">
        <v>100.8215</v>
      </c>
      <c r="AQ793" s="78">
        <v>100.6144</v>
      </c>
      <c r="AR793" s="78">
        <v>102.4379</v>
      </c>
      <c r="AT793" s="78">
        <v>104.5416</v>
      </c>
      <c r="AV793" s="78">
        <v>107.38339999999999</v>
      </c>
      <c r="AZ793" s="78">
        <v>103.6645</v>
      </c>
      <c r="BA793" s="78">
        <v>105.0813</v>
      </c>
      <c r="BB793" s="78">
        <v>102.4654</v>
      </c>
      <c r="BC793" s="78">
        <v>103.8835</v>
      </c>
      <c r="BD793" s="78">
        <v>104.3082</v>
      </c>
    </row>
    <row r="794" spans="1:56" x14ac:dyDescent="0.2">
      <c r="A794" s="78" t="s">
        <v>942</v>
      </c>
      <c r="B794" s="22">
        <v>42856</v>
      </c>
      <c r="C794" s="22"/>
      <c r="D794" s="22"/>
      <c r="E794" s="22">
        <v>42370</v>
      </c>
      <c r="F794" s="78" t="s">
        <v>926</v>
      </c>
      <c r="G794" s="78">
        <v>103.1259</v>
      </c>
      <c r="I794" s="78">
        <v>105.6399</v>
      </c>
      <c r="J794" s="78">
        <v>104.99079999999999</v>
      </c>
      <c r="K794" s="78">
        <v>101.003</v>
      </c>
      <c r="L794" s="78">
        <v>106.4915</v>
      </c>
      <c r="M794" s="78">
        <v>106.7303</v>
      </c>
      <c r="N794" s="78">
        <v>105.8082</v>
      </c>
      <c r="O794" s="78">
        <v>101.7316</v>
      </c>
      <c r="P794" s="78">
        <v>105.2835</v>
      </c>
      <c r="R794" s="78">
        <v>101.5668</v>
      </c>
      <c r="S794" s="78">
        <v>102.5261</v>
      </c>
      <c r="AA794" s="78">
        <v>101.6015</v>
      </c>
      <c r="AC794" s="78">
        <v>104.08540000000001</v>
      </c>
      <c r="AD794" s="78">
        <v>103.3395</v>
      </c>
      <c r="AE794" s="78">
        <v>105.6285</v>
      </c>
      <c r="AG794" s="78">
        <v>99.40437</v>
      </c>
      <c r="AH794" s="78">
        <v>102.57980000000001</v>
      </c>
      <c r="AJ794" s="78">
        <v>101.3419</v>
      </c>
      <c r="AK794" s="78">
        <v>104.5882</v>
      </c>
      <c r="AO794" s="78">
        <v>102.07510000000001</v>
      </c>
      <c r="AQ794" s="78">
        <v>100.8831</v>
      </c>
      <c r="AR794" s="78">
        <v>103.2452</v>
      </c>
      <c r="AT794" s="78">
        <v>105.4562</v>
      </c>
      <c r="AV794" s="78">
        <v>109.6157</v>
      </c>
      <c r="AZ794" s="78">
        <v>104.51560000000001</v>
      </c>
      <c r="BA794" s="78">
        <v>105.6236</v>
      </c>
      <c r="BB794" s="78">
        <v>103.5283</v>
      </c>
      <c r="BC794" s="78">
        <v>103.8933</v>
      </c>
      <c r="BD794" s="78">
        <v>104.8233</v>
      </c>
    </row>
    <row r="795" spans="1:56" x14ac:dyDescent="0.2">
      <c r="A795" s="78" t="s">
        <v>943</v>
      </c>
      <c r="B795" s="22">
        <v>42887</v>
      </c>
      <c r="C795" s="22"/>
      <c r="D795" s="22"/>
      <c r="E795" s="22">
        <v>42401</v>
      </c>
      <c r="F795" s="78" t="s">
        <v>927</v>
      </c>
      <c r="G795" s="78">
        <v>103.5882</v>
      </c>
      <c r="I795" s="78">
        <v>106.2466</v>
      </c>
      <c r="J795" s="78">
        <v>105.57899999999999</v>
      </c>
      <c r="K795" s="78">
        <v>101.1289</v>
      </c>
      <c r="L795" s="78">
        <v>107.0367</v>
      </c>
      <c r="M795" s="78">
        <v>107.6444</v>
      </c>
      <c r="N795" s="78">
        <v>106.7278</v>
      </c>
      <c r="O795" s="78">
        <v>101.3751</v>
      </c>
      <c r="P795" s="78">
        <v>105.9415</v>
      </c>
      <c r="R795" s="78">
        <v>99.397540000000006</v>
      </c>
      <c r="S795" s="78">
        <v>103.0043</v>
      </c>
      <c r="AA795" s="78">
        <v>102.47620000000001</v>
      </c>
      <c r="AC795" s="78">
        <v>103.47750000000001</v>
      </c>
      <c r="AD795" s="78">
        <v>104.4958</v>
      </c>
      <c r="AE795" s="78">
        <v>106.63809999999999</v>
      </c>
      <c r="AG795" s="78">
        <v>98.756680000000003</v>
      </c>
      <c r="AH795" s="78">
        <v>103.1788</v>
      </c>
      <c r="AJ795" s="78">
        <v>101.54</v>
      </c>
      <c r="AK795" s="78">
        <v>105.8999</v>
      </c>
      <c r="AO795" s="78">
        <v>102.6425</v>
      </c>
      <c r="AQ795" s="78">
        <v>101.41630000000001</v>
      </c>
      <c r="AR795" s="78">
        <v>103.8325</v>
      </c>
      <c r="AT795" s="78">
        <v>106.5334</v>
      </c>
      <c r="AV795" s="78">
        <v>111.5479</v>
      </c>
      <c r="AZ795" s="78">
        <v>105.3663</v>
      </c>
      <c r="BA795" s="78">
        <v>106.7955</v>
      </c>
      <c r="BB795" s="78">
        <v>104.16240000000001</v>
      </c>
      <c r="BC795" s="78">
        <v>104.09439999999999</v>
      </c>
      <c r="BD795" s="78">
        <v>105.6437</v>
      </c>
    </row>
    <row r="796" spans="1:56" x14ac:dyDescent="0.2">
      <c r="A796" s="78" t="s">
        <v>944</v>
      </c>
      <c r="B796" s="22">
        <v>42917</v>
      </c>
      <c r="C796" s="22"/>
      <c r="D796" s="22"/>
      <c r="E796" s="22">
        <v>42430</v>
      </c>
      <c r="F796" s="78" t="s">
        <v>928</v>
      </c>
      <c r="G796" s="78">
        <v>104.0757</v>
      </c>
      <c r="I796" s="78">
        <v>107.6048</v>
      </c>
      <c r="J796" s="78">
        <v>105.0585</v>
      </c>
      <c r="K796" s="78">
        <v>101.4918</v>
      </c>
      <c r="L796" s="78">
        <v>107.5934</v>
      </c>
      <c r="M796" s="78">
        <v>108.52330000000001</v>
      </c>
      <c r="N796" s="78">
        <v>107.75449999999999</v>
      </c>
      <c r="O796" s="78">
        <v>102.4328</v>
      </c>
      <c r="P796" s="78">
        <v>106.41840000000001</v>
      </c>
      <c r="R796" s="78">
        <v>99.337890000000002</v>
      </c>
      <c r="S796" s="78">
        <v>103.29040000000001</v>
      </c>
      <c r="AA796" s="78">
        <v>103.1397</v>
      </c>
      <c r="AC796" s="78">
        <v>103.3159</v>
      </c>
      <c r="AD796" s="78">
        <v>105.3177</v>
      </c>
      <c r="AE796" s="78">
        <v>107.2807</v>
      </c>
      <c r="AG796" s="78">
        <v>98.055809999999994</v>
      </c>
      <c r="AH796" s="78">
        <v>103.3215</v>
      </c>
      <c r="AJ796" s="78">
        <v>101.78</v>
      </c>
      <c r="AK796" s="78">
        <v>106.8244</v>
      </c>
      <c r="AO796" s="78">
        <v>102.8263</v>
      </c>
      <c r="AQ796" s="78">
        <v>101.9165</v>
      </c>
      <c r="AR796" s="78">
        <v>104.3185</v>
      </c>
      <c r="AT796" s="78">
        <v>107.01900000000001</v>
      </c>
      <c r="AV796" s="78">
        <v>111.91370000000001</v>
      </c>
      <c r="AZ796" s="78">
        <v>106.0192</v>
      </c>
      <c r="BA796" s="78">
        <v>107.8456</v>
      </c>
      <c r="BB796" s="78">
        <v>104.6909</v>
      </c>
      <c r="BC796" s="78">
        <v>105.069</v>
      </c>
      <c r="BD796" s="78">
        <v>106.571</v>
      </c>
    </row>
    <row r="797" spans="1:56" x14ac:dyDescent="0.2">
      <c r="A797" s="78" t="s">
        <v>945</v>
      </c>
      <c r="B797" s="22">
        <v>42948</v>
      </c>
      <c r="C797" s="22"/>
      <c r="D797" s="22"/>
      <c r="E797" s="22">
        <v>42461</v>
      </c>
      <c r="F797" s="78" t="s">
        <v>929</v>
      </c>
      <c r="G797" s="78">
        <v>104.5408</v>
      </c>
      <c r="I797" s="78">
        <v>108.7242</v>
      </c>
      <c r="J797" s="78">
        <v>105.861</v>
      </c>
      <c r="K797" s="78">
        <v>101.8302</v>
      </c>
      <c r="L797" s="78">
        <v>107.9816</v>
      </c>
      <c r="M797" s="78">
        <v>109.4211</v>
      </c>
      <c r="N797" s="78">
        <v>108.7542</v>
      </c>
      <c r="O797" s="78">
        <v>102.7851</v>
      </c>
      <c r="P797" s="78">
        <v>106.9884</v>
      </c>
      <c r="R797" s="78">
        <v>100.125</v>
      </c>
      <c r="S797" s="78">
        <v>103.8903</v>
      </c>
      <c r="AA797" s="78">
        <v>103.24460000000001</v>
      </c>
      <c r="AC797" s="78">
        <v>103.2794</v>
      </c>
      <c r="AD797" s="78">
        <v>105.9277</v>
      </c>
      <c r="AE797" s="78">
        <v>108.4104</v>
      </c>
      <c r="AG797" s="78">
        <v>97.298079999999999</v>
      </c>
      <c r="AH797" s="78">
        <v>103.7684</v>
      </c>
      <c r="AJ797" s="78">
        <v>102.1553</v>
      </c>
      <c r="AK797" s="78">
        <v>107.2851</v>
      </c>
      <c r="AO797" s="78">
        <v>103.27070000000001</v>
      </c>
      <c r="AQ797" s="78">
        <v>102.4327</v>
      </c>
      <c r="AR797" s="78">
        <v>104.9379</v>
      </c>
      <c r="AT797" s="78">
        <v>107.9957</v>
      </c>
      <c r="AV797" s="78">
        <v>111.3922</v>
      </c>
      <c r="AZ797" s="78">
        <v>106.7122</v>
      </c>
      <c r="BA797" s="78">
        <v>108.5829</v>
      </c>
      <c r="BB797" s="78">
        <v>105.43300000000001</v>
      </c>
      <c r="BC797" s="78">
        <v>105.7873</v>
      </c>
      <c r="BD797" s="78">
        <v>107.4952</v>
      </c>
    </row>
    <row r="798" spans="1:56" x14ac:dyDescent="0.2">
      <c r="A798" s="78" t="s">
        <v>946</v>
      </c>
      <c r="B798" s="22">
        <v>42979</v>
      </c>
      <c r="C798" s="22"/>
      <c r="D798" s="22"/>
      <c r="E798" s="22">
        <v>42491</v>
      </c>
      <c r="F798" s="78" t="s">
        <v>930</v>
      </c>
      <c r="G798" s="78">
        <v>104.92740000000001</v>
      </c>
      <c r="I798" s="78">
        <v>109.43429999999999</v>
      </c>
      <c r="J798" s="78">
        <v>107.4119</v>
      </c>
      <c r="K798" s="78">
        <v>101.8831</v>
      </c>
      <c r="L798" s="78">
        <v>108.7839</v>
      </c>
      <c r="M798" s="78">
        <v>110.2642</v>
      </c>
      <c r="N798" s="78">
        <v>109.48390000000001</v>
      </c>
      <c r="O798" s="78">
        <v>102.15600000000001</v>
      </c>
      <c r="P798" s="78">
        <v>108.0234</v>
      </c>
      <c r="R798" s="78">
        <v>101.3857</v>
      </c>
      <c r="S798" s="78">
        <v>104.5536</v>
      </c>
      <c r="AA798" s="78">
        <v>103.40349999999999</v>
      </c>
      <c r="AC798" s="78">
        <v>103.36750000000001</v>
      </c>
      <c r="AD798" s="78">
        <v>106.5111</v>
      </c>
      <c r="AE798" s="78">
        <v>109.3104</v>
      </c>
      <c r="AG798" s="78">
        <v>96.468530000000001</v>
      </c>
      <c r="AH798" s="78">
        <v>104.81270000000001</v>
      </c>
      <c r="AJ798" s="78">
        <v>102.5132</v>
      </c>
      <c r="AK798" s="78">
        <v>107.95780000000001</v>
      </c>
      <c r="AO798" s="78">
        <v>103.6686</v>
      </c>
      <c r="AQ798" s="78">
        <v>102.76649999999999</v>
      </c>
      <c r="AR798" s="78">
        <v>105.52379999999999</v>
      </c>
      <c r="AT798" s="78">
        <v>109.3193</v>
      </c>
      <c r="AV798" s="78">
        <v>111.97920000000001</v>
      </c>
      <c r="AZ798" s="78">
        <v>107.2761</v>
      </c>
      <c r="BA798" s="78">
        <v>109.80119999999999</v>
      </c>
      <c r="BB798" s="78">
        <v>106.0047</v>
      </c>
      <c r="BC798" s="78">
        <v>105.941</v>
      </c>
      <c r="BD798" s="78">
        <v>108.2645</v>
      </c>
    </row>
    <row r="799" spans="1:56" x14ac:dyDescent="0.2">
      <c r="A799" s="78" t="s">
        <v>947</v>
      </c>
      <c r="B799" s="22">
        <v>43009</v>
      </c>
      <c r="C799" s="22"/>
      <c r="D799" s="22"/>
      <c r="E799" s="22">
        <v>42522</v>
      </c>
      <c r="F799" s="78" t="s">
        <v>931</v>
      </c>
      <c r="G799" s="78">
        <v>105.37569999999999</v>
      </c>
      <c r="I799" s="78">
        <v>110.1798</v>
      </c>
      <c r="J799" s="78">
        <v>108.24760000000001</v>
      </c>
      <c r="K799" s="78">
        <v>102.06780000000001</v>
      </c>
      <c r="L799" s="78">
        <v>109.7694</v>
      </c>
      <c r="M799" s="78">
        <v>111.3419</v>
      </c>
      <c r="N799" s="78">
        <v>109.9579</v>
      </c>
      <c r="O799" s="78">
        <v>102.57089999999999</v>
      </c>
      <c r="P799" s="78">
        <v>108.4391</v>
      </c>
      <c r="R799" s="78">
        <v>101.5321</v>
      </c>
      <c r="S799" s="78">
        <v>104.8455</v>
      </c>
      <c r="AA799" s="78">
        <v>105.408</v>
      </c>
      <c r="AC799" s="78">
        <v>103.9226</v>
      </c>
      <c r="AD799" s="78">
        <v>107.4927</v>
      </c>
      <c r="AE799" s="78">
        <v>109.3151</v>
      </c>
      <c r="AG799" s="78">
        <v>95.723179999999999</v>
      </c>
      <c r="AH799" s="78">
        <v>105.5962</v>
      </c>
      <c r="AJ799" s="78">
        <v>102.7394</v>
      </c>
      <c r="AK799" s="78">
        <v>108.6904</v>
      </c>
      <c r="AO799" s="78">
        <v>104.1071</v>
      </c>
      <c r="AQ799" s="78">
        <v>103.1657</v>
      </c>
      <c r="AR799" s="78">
        <v>106.20359999999999</v>
      </c>
      <c r="AT799" s="78">
        <v>110.3683</v>
      </c>
      <c r="AV799" s="78">
        <v>112.1842</v>
      </c>
      <c r="AZ799" s="78">
        <v>107.25960000000001</v>
      </c>
      <c r="BA799" s="78">
        <v>111.48860000000001</v>
      </c>
      <c r="BB799" s="78">
        <v>106.5665</v>
      </c>
      <c r="BC799" s="78">
        <v>106.1618</v>
      </c>
      <c r="BD799" s="78">
        <v>108.7921</v>
      </c>
    </row>
    <row r="800" spans="1:56" x14ac:dyDescent="0.2">
      <c r="A800" s="78" t="s">
        <v>948</v>
      </c>
      <c r="B800" s="22">
        <v>43040</v>
      </c>
      <c r="C800" s="22"/>
      <c r="D800" s="22"/>
      <c r="E800" s="22">
        <v>42552</v>
      </c>
      <c r="F800" s="78" t="s">
        <v>932</v>
      </c>
      <c r="G800" s="78">
        <v>106.10420000000001</v>
      </c>
      <c r="I800" s="78">
        <v>111.1833</v>
      </c>
      <c r="J800" s="78">
        <v>109.6005</v>
      </c>
      <c r="K800" s="78">
        <v>102.4401</v>
      </c>
      <c r="L800" s="78">
        <v>110.6949</v>
      </c>
      <c r="M800" s="78">
        <v>112.5014</v>
      </c>
      <c r="N800" s="78">
        <v>110.5654</v>
      </c>
      <c r="O800" s="78">
        <v>103.5001</v>
      </c>
      <c r="P800" s="78">
        <v>108.7743</v>
      </c>
      <c r="R800" s="78">
        <v>101.3673</v>
      </c>
      <c r="S800" s="78">
        <v>105.38809999999999</v>
      </c>
      <c r="AA800" s="78">
        <v>107.76349999999999</v>
      </c>
      <c r="AC800" s="78">
        <v>104.2315</v>
      </c>
      <c r="AD800" s="78">
        <v>108.5878</v>
      </c>
      <c r="AE800" s="78">
        <v>110.2634</v>
      </c>
      <c r="AG800" s="78">
        <v>95.273030000000006</v>
      </c>
      <c r="AH800" s="78">
        <v>106.3809</v>
      </c>
      <c r="AJ800" s="78">
        <v>103.0076</v>
      </c>
      <c r="AK800" s="78">
        <v>109.65170000000001</v>
      </c>
      <c r="AO800" s="78">
        <v>104.6474</v>
      </c>
      <c r="AQ800" s="78">
        <v>103.9729</v>
      </c>
      <c r="AR800" s="78">
        <v>106.9055</v>
      </c>
      <c r="AT800" s="78">
        <v>111.1972</v>
      </c>
      <c r="AV800" s="78">
        <v>111.8858</v>
      </c>
      <c r="AZ800" s="78">
        <v>108.161</v>
      </c>
      <c r="BA800" s="78">
        <v>112.7543</v>
      </c>
      <c r="BB800" s="78">
        <v>107.0543</v>
      </c>
      <c r="BC800" s="78">
        <v>106.4057</v>
      </c>
      <c r="BD800" s="78">
        <v>109.4333</v>
      </c>
    </row>
    <row r="801" spans="1:56" x14ac:dyDescent="0.2">
      <c r="A801" s="78" t="s">
        <v>949</v>
      </c>
      <c r="B801" s="22">
        <v>43070</v>
      </c>
      <c r="C801" s="22"/>
      <c r="D801" s="22"/>
      <c r="E801" s="22">
        <v>42583</v>
      </c>
      <c r="F801" s="78" t="s">
        <v>933</v>
      </c>
      <c r="G801" s="78">
        <v>106.84950000000001</v>
      </c>
      <c r="I801" s="78">
        <v>112.20310000000001</v>
      </c>
      <c r="J801" s="78">
        <v>110.0335</v>
      </c>
      <c r="K801" s="78">
        <v>102.6681</v>
      </c>
      <c r="L801" s="78">
        <v>111.8022</v>
      </c>
      <c r="M801" s="78">
        <v>113.6486</v>
      </c>
      <c r="N801" s="78">
        <v>111.3103</v>
      </c>
      <c r="O801" s="78">
        <v>104.31399999999999</v>
      </c>
      <c r="P801" s="78">
        <v>109.5771</v>
      </c>
      <c r="R801" s="78">
        <v>100.8535</v>
      </c>
      <c r="S801" s="78">
        <v>105.774</v>
      </c>
      <c r="AA801" s="78">
        <v>108.7431</v>
      </c>
      <c r="AC801" s="78">
        <v>104.24509999999999</v>
      </c>
      <c r="AD801" s="78">
        <v>109.1512</v>
      </c>
      <c r="AE801" s="78">
        <v>111.66379999999999</v>
      </c>
      <c r="AG801" s="78">
        <v>95.126559999999998</v>
      </c>
      <c r="AH801" s="78">
        <v>106.83710000000001</v>
      </c>
      <c r="AJ801" s="78">
        <v>103.2486</v>
      </c>
      <c r="AK801" s="78">
        <v>110.3708</v>
      </c>
      <c r="AO801" s="78">
        <v>104.9644</v>
      </c>
      <c r="AQ801" s="78">
        <v>104.7256</v>
      </c>
      <c r="AR801" s="78">
        <v>107.5433</v>
      </c>
      <c r="AT801" s="78">
        <v>111.55459999999999</v>
      </c>
      <c r="AV801" s="78">
        <v>111.8096</v>
      </c>
      <c r="AZ801" s="78">
        <v>109.64530000000001</v>
      </c>
      <c r="BA801" s="78">
        <v>113.48860000000001</v>
      </c>
      <c r="BB801" s="78">
        <v>107.78060000000001</v>
      </c>
      <c r="BC801" s="78">
        <v>106.8796</v>
      </c>
      <c r="BD801" s="78">
        <v>109.9494</v>
      </c>
    </row>
    <row r="802" spans="1:56" x14ac:dyDescent="0.2">
      <c r="A802" s="78" t="s">
        <v>950</v>
      </c>
      <c r="B802" s="22">
        <v>43101</v>
      </c>
      <c r="C802" s="22"/>
      <c r="D802" s="22"/>
      <c r="E802" s="22">
        <v>42614</v>
      </c>
      <c r="F802" s="78" t="s">
        <v>934</v>
      </c>
      <c r="G802" s="78">
        <v>107.1969</v>
      </c>
      <c r="I802" s="78">
        <v>113.2471</v>
      </c>
      <c r="J802" s="78">
        <v>110.7548</v>
      </c>
      <c r="K802" s="78">
        <v>102.8135</v>
      </c>
      <c r="L802" s="78">
        <v>112.7641</v>
      </c>
      <c r="M802" s="78">
        <v>114.73309999999999</v>
      </c>
      <c r="N802" s="78">
        <v>111.8796</v>
      </c>
      <c r="O802" s="78">
        <v>104.8117</v>
      </c>
      <c r="P802" s="78">
        <v>110.0626</v>
      </c>
      <c r="R802" s="78">
        <v>100.2302</v>
      </c>
      <c r="S802" s="78">
        <v>105.7385</v>
      </c>
      <c r="AA802" s="78">
        <v>109.5196</v>
      </c>
      <c r="AC802" s="78">
        <v>104.53740000000001</v>
      </c>
      <c r="AD802" s="78">
        <v>109.0556</v>
      </c>
      <c r="AE802" s="78">
        <v>112.9333</v>
      </c>
      <c r="AG802" s="78">
        <v>95.297839999999994</v>
      </c>
      <c r="AH802" s="78">
        <v>106.7906</v>
      </c>
      <c r="AJ802" s="78">
        <v>103.4743</v>
      </c>
      <c r="AK802" s="78">
        <v>110.78149999999999</v>
      </c>
      <c r="AO802" s="78">
        <v>106.4222</v>
      </c>
      <c r="AQ802" s="78">
        <v>105.67700000000001</v>
      </c>
      <c r="AR802" s="78">
        <v>108.1046</v>
      </c>
      <c r="AT802" s="78">
        <v>111.90940000000001</v>
      </c>
      <c r="AV802" s="78">
        <v>111.37820000000001</v>
      </c>
      <c r="AZ802" s="78">
        <v>110.2269</v>
      </c>
      <c r="BA802" s="78">
        <v>114.33499999999999</v>
      </c>
      <c r="BB802" s="78">
        <v>108.28749999999999</v>
      </c>
      <c r="BC802" s="78">
        <v>107.4494</v>
      </c>
      <c r="BD802" s="78">
        <v>110.0643</v>
      </c>
    </row>
    <row r="803" spans="1:56" x14ac:dyDescent="0.2">
      <c r="A803" s="78" t="s">
        <v>951</v>
      </c>
      <c r="B803" s="22">
        <v>43132</v>
      </c>
      <c r="C803" s="22"/>
      <c r="D803" s="22"/>
      <c r="E803" s="22">
        <v>42644</v>
      </c>
      <c r="F803" s="78" t="s">
        <v>935</v>
      </c>
      <c r="G803" s="78">
        <v>107.648</v>
      </c>
      <c r="I803" s="78">
        <v>114.04689999999999</v>
      </c>
      <c r="J803" s="78">
        <v>111.5642</v>
      </c>
      <c r="K803" s="78">
        <v>103.0622</v>
      </c>
      <c r="L803" s="78">
        <v>113.59220000000001</v>
      </c>
      <c r="M803" s="78">
        <v>115.78319999999999</v>
      </c>
      <c r="N803" s="78">
        <v>112.0154</v>
      </c>
      <c r="O803" s="78">
        <v>105.0057</v>
      </c>
      <c r="P803" s="78">
        <v>110.6374</v>
      </c>
      <c r="R803" s="78">
        <v>99.680880000000002</v>
      </c>
      <c r="S803" s="78">
        <v>105.9027</v>
      </c>
      <c r="AA803" s="78">
        <v>110.56319999999999</v>
      </c>
      <c r="AC803" s="78">
        <v>105.1534</v>
      </c>
      <c r="AD803" s="78">
        <v>109.4764</v>
      </c>
      <c r="AE803" s="78">
        <v>113.9786</v>
      </c>
      <c r="AG803" s="78">
        <v>95.744619999999998</v>
      </c>
      <c r="AH803" s="78">
        <v>107.17740000000001</v>
      </c>
      <c r="AJ803" s="78">
        <v>103.76179999999999</v>
      </c>
      <c r="AK803" s="78">
        <v>111.21510000000001</v>
      </c>
      <c r="AO803" s="78">
        <v>107.40479999999999</v>
      </c>
      <c r="AQ803" s="78">
        <v>106.19110000000001</v>
      </c>
      <c r="AR803" s="78">
        <v>108.7368</v>
      </c>
      <c r="AT803" s="78">
        <v>112.34529999999999</v>
      </c>
      <c r="AV803" s="78">
        <v>111.1182</v>
      </c>
      <c r="AZ803" s="78">
        <v>110.8456</v>
      </c>
      <c r="BA803" s="78">
        <v>116.08329999999999</v>
      </c>
      <c r="BB803" s="78">
        <v>108.85760000000001</v>
      </c>
      <c r="BC803" s="78">
        <v>108.8939</v>
      </c>
      <c r="BD803" s="78">
        <v>110.77889999999999</v>
      </c>
    </row>
    <row r="804" spans="1:56" x14ac:dyDescent="0.2">
      <c r="A804" s="78" t="s">
        <v>952</v>
      </c>
      <c r="B804" s="22">
        <v>43160</v>
      </c>
      <c r="E804" s="22">
        <v>42675</v>
      </c>
      <c r="F804" s="78" t="s">
        <v>936</v>
      </c>
      <c r="G804" s="78">
        <v>108.4409</v>
      </c>
      <c r="I804" s="78">
        <v>114.7641</v>
      </c>
      <c r="J804" s="78">
        <v>111.90819999999999</v>
      </c>
      <c r="K804" s="78">
        <v>103.21420000000001</v>
      </c>
      <c r="L804" s="78">
        <v>114.3704</v>
      </c>
      <c r="M804" s="78">
        <v>116.8109</v>
      </c>
      <c r="N804" s="78">
        <v>112.44450000000001</v>
      </c>
      <c r="O804" s="78">
        <v>104.8443</v>
      </c>
      <c r="P804" s="78">
        <v>111.96259999999999</v>
      </c>
      <c r="R804" s="78">
        <v>99.737570000000005</v>
      </c>
      <c r="S804" s="78">
        <v>106.50190000000001</v>
      </c>
      <c r="AA804" s="78">
        <v>111.08</v>
      </c>
      <c r="AC804" s="78">
        <v>106.0009</v>
      </c>
      <c r="AD804" s="78">
        <v>111.18049999999999</v>
      </c>
      <c r="AE804" s="78">
        <v>114.4473</v>
      </c>
      <c r="AG804" s="78">
        <v>96.190539999999999</v>
      </c>
      <c r="AH804" s="78">
        <v>107.67749999999999</v>
      </c>
      <c r="AJ804" s="78">
        <v>104.12179999999999</v>
      </c>
      <c r="AK804" s="78">
        <v>111.4933</v>
      </c>
      <c r="AO804" s="78">
        <v>107.4286</v>
      </c>
      <c r="AQ804" s="78">
        <v>106.49890000000001</v>
      </c>
      <c r="AR804" s="78">
        <v>109.3779</v>
      </c>
      <c r="AT804" s="78">
        <v>113.4661</v>
      </c>
      <c r="AV804" s="78">
        <v>111.25</v>
      </c>
      <c r="AZ804" s="78">
        <v>111.9196</v>
      </c>
      <c r="BA804" s="78">
        <v>119.124</v>
      </c>
      <c r="BB804" s="78">
        <v>109.4418</v>
      </c>
      <c r="BC804" s="78">
        <v>109.57</v>
      </c>
      <c r="BD804" s="78">
        <v>111.6204</v>
      </c>
    </row>
    <row r="805" spans="1:56" x14ac:dyDescent="0.2">
      <c r="A805" s="78" t="s">
        <v>953</v>
      </c>
      <c r="B805" s="22">
        <v>43191</v>
      </c>
      <c r="E805" s="22">
        <v>42705</v>
      </c>
      <c r="F805" s="78" t="s">
        <v>937</v>
      </c>
      <c r="G805" s="78">
        <v>109.38509999999999</v>
      </c>
      <c r="I805" s="78">
        <v>116.0733</v>
      </c>
      <c r="J805" s="78">
        <v>112.5724</v>
      </c>
      <c r="K805" s="78">
        <v>103.62009999999999</v>
      </c>
      <c r="L805" s="78">
        <v>114.84180000000001</v>
      </c>
      <c r="M805" s="78">
        <v>117.7696</v>
      </c>
      <c r="N805" s="78">
        <v>112.8905</v>
      </c>
      <c r="O805" s="78">
        <v>104.9572</v>
      </c>
      <c r="P805" s="78">
        <v>112.38679999999999</v>
      </c>
      <c r="R805" s="78">
        <v>99.985799999999998</v>
      </c>
      <c r="S805" s="78">
        <v>107.19840000000001</v>
      </c>
      <c r="AA805" s="78">
        <v>111.0193</v>
      </c>
      <c r="AC805" s="78">
        <v>109.1631</v>
      </c>
      <c r="AD805" s="78">
        <v>112.6748</v>
      </c>
      <c r="AE805" s="78">
        <v>113.1645</v>
      </c>
      <c r="AG805" s="78">
        <v>96.53201</v>
      </c>
      <c r="AH805" s="78">
        <v>108.0424</v>
      </c>
      <c r="AJ805" s="78">
        <v>104.47029999999999</v>
      </c>
      <c r="AK805" s="78">
        <v>111.76</v>
      </c>
      <c r="AO805" s="78">
        <v>108.1177</v>
      </c>
      <c r="AQ805" s="78">
        <v>106.36109999999999</v>
      </c>
      <c r="AR805" s="78">
        <v>109.87139999999999</v>
      </c>
      <c r="AT805" s="78">
        <v>114.5689</v>
      </c>
      <c r="AV805" s="78">
        <v>109.5448</v>
      </c>
      <c r="AZ805" s="78">
        <v>112.42659999999999</v>
      </c>
      <c r="BA805" s="78">
        <v>122.3516</v>
      </c>
      <c r="BB805" s="78">
        <v>109.6853</v>
      </c>
      <c r="BC805" s="78">
        <v>109.50539999999999</v>
      </c>
      <c r="BD805" s="78">
        <v>112.1229</v>
      </c>
    </row>
    <row r="806" spans="1:56" x14ac:dyDescent="0.2">
      <c r="A806" s="78" t="s">
        <v>954</v>
      </c>
      <c r="B806" s="22">
        <v>43221</v>
      </c>
      <c r="E806" s="22">
        <v>42736</v>
      </c>
      <c r="F806" s="78" t="s">
        <v>938</v>
      </c>
      <c r="G806" s="78">
        <v>110.22839999999999</v>
      </c>
      <c r="I806" s="78">
        <v>117.4995</v>
      </c>
      <c r="J806" s="78">
        <v>112.86239999999999</v>
      </c>
      <c r="K806" s="78">
        <v>104.06659999999999</v>
      </c>
      <c r="L806" s="78">
        <v>115.2863</v>
      </c>
      <c r="M806" s="78">
        <v>118.7757</v>
      </c>
      <c r="N806" s="78">
        <v>113.5608</v>
      </c>
      <c r="O806" s="78">
        <v>105.6105</v>
      </c>
      <c r="P806" s="78">
        <v>113.00279999999999</v>
      </c>
      <c r="R806" s="78">
        <v>99.499979999999994</v>
      </c>
      <c r="S806" s="78">
        <v>107.5622</v>
      </c>
      <c r="AA806" s="78">
        <v>111.4924</v>
      </c>
      <c r="AC806" s="78">
        <v>111.1553</v>
      </c>
      <c r="AD806" s="78">
        <v>113.6743</v>
      </c>
      <c r="AE806" s="78">
        <v>112.252</v>
      </c>
      <c r="AG806" s="78">
        <v>96.868129999999994</v>
      </c>
      <c r="AH806" s="78">
        <v>108.6681</v>
      </c>
      <c r="AJ806" s="78">
        <v>104.801</v>
      </c>
      <c r="AK806" s="78">
        <v>112.4896</v>
      </c>
      <c r="AO806" s="78">
        <v>108.5231</v>
      </c>
      <c r="AQ806" s="78">
        <v>106.63760000000001</v>
      </c>
      <c r="AR806" s="78">
        <v>110.4931</v>
      </c>
      <c r="AT806" s="78">
        <v>114.9385</v>
      </c>
      <c r="AV806" s="78">
        <v>109.5886</v>
      </c>
      <c r="AZ806" s="78">
        <v>114</v>
      </c>
      <c r="BA806" s="78">
        <v>124.66840000000001</v>
      </c>
      <c r="BB806" s="78">
        <v>110.321</v>
      </c>
      <c r="BC806" s="78">
        <v>110.9233</v>
      </c>
      <c r="BD806" s="78">
        <v>112.7332</v>
      </c>
    </row>
    <row r="807" spans="1:56" x14ac:dyDescent="0.2">
      <c r="A807" s="78" t="s">
        <v>955</v>
      </c>
      <c r="B807" s="22">
        <v>43252</v>
      </c>
      <c r="E807" s="22">
        <v>42767</v>
      </c>
      <c r="F807" s="78" t="s">
        <v>939</v>
      </c>
      <c r="G807" s="78">
        <v>110.84480000000001</v>
      </c>
      <c r="I807" s="78">
        <v>118.423</v>
      </c>
      <c r="J807" s="78">
        <v>112.85850000000001</v>
      </c>
      <c r="K807" s="78">
        <v>104.3103</v>
      </c>
      <c r="L807" s="78">
        <v>115.95659999999999</v>
      </c>
      <c r="M807" s="78">
        <v>119.5943</v>
      </c>
      <c r="N807" s="78">
        <v>114.30110000000001</v>
      </c>
      <c r="O807" s="78">
        <v>106.322</v>
      </c>
      <c r="P807" s="78">
        <v>114.9421</v>
      </c>
      <c r="R807" s="78">
        <v>100.024</v>
      </c>
      <c r="S807" s="78">
        <v>107.8459</v>
      </c>
      <c r="AA807" s="78">
        <v>112.5848</v>
      </c>
      <c r="AC807" s="78">
        <v>110.3412</v>
      </c>
      <c r="AD807" s="78">
        <v>114.5266</v>
      </c>
      <c r="AE807" s="78">
        <v>113.28789999999999</v>
      </c>
      <c r="AG807" s="78">
        <v>97.209230000000005</v>
      </c>
      <c r="AH807" s="78">
        <v>109.0887</v>
      </c>
      <c r="AJ807" s="78">
        <v>105.1431</v>
      </c>
      <c r="AK807" s="78">
        <v>113.7022</v>
      </c>
      <c r="AO807" s="78">
        <v>109.01739999999999</v>
      </c>
      <c r="AQ807" s="78">
        <v>107.7745</v>
      </c>
      <c r="AR807" s="78">
        <v>111.04810000000001</v>
      </c>
      <c r="AT807" s="78">
        <v>115.36369999999999</v>
      </c>
      <c r="AV807" s="78">
        <v>111.9546</v>
      </c>
      <c r="AZ807" s="78">
        <v>115.7784</v>
      </c>
      <c r="BA807" s="78">
        <v>125.1601</v>
      </c>
      <c r="BB807" s="78">
        <v>110.867</v>
      </c>
      <c r="BC807" s="78">
        <v>111.5116</v>
      </c>
      <c r="BD807" s="78">
        <v>113.0228</v>
      </c>
    </row>
    <row r="808" spans="1:56" x14ac:dyDescent="0.2">
      <c r="A808" s="78" t="s">
        <v>956</v>
      </c>
      <c r="B808" s="22">
        <v>43282</v>
      </c>
      <c r="E808" s="22">
        <v>42795</v>
      </c>
      <c r="F808" s="78" t="s">
        <v>940</v>
      </c>
      <c r="G808" s="78">
        <v>111.2119</v>
      </c>
      <c r="I808" s="78">
        <v>119.5359</v>
      </c>
      <c r="J808" s="78">
        <v>113.76990000000001</v>
      </c>
      <c r="K808" s="78">
        <v>104.67310000000001</v>
      </c>
      <c r="L808" s="78">
        <v>116.9821</v>
      </c>
      <c r="M808" s="78">
        <v>120.2932</v>
      </c>
      <c r="N808" s="78">
        <v>114.393</v>
      </c>
      <c r="O808" s="78">
        <v>106.5762</v>
      </c>
      <c r="P808" s="78">
        <v>116.79600000000001</v>
      </c>
      <c r="R808" s="78">
        <v>101.1495</v>
      </c>
      <c r="S808" s="78">
        <v>108.4999</v>
      </c>
      <c r="AA808" s="78">
        <v>113.8531</v>
      </c>
      <c r="AC808" s="78">
        <v>110.7197</v>
      </c>
      <c r="AD808" s="78">
        <v>115.4727</v>
      </c>
      <c r="AE808" s="78">
        <v>116.21599999999999</v>
      </c>
      <c r="AG808" s="78">
        <v>97.619069999999994</v>
      </c>
      <c r="AH808" s="78">
        <v>109.4183</v>
      </c>
      <c r="AJ808" s="78">
        <v>105.42870000000001</v>
      </c>
      <c r="AK808" s="78">
        <v>114.76900000000001</v>
      </c>
      <c r="AO808" s="78">
        <v>110.1095</v>
      </c>
      <c r="AQ808" s="78">
        <v>108.8466</v>
      </c>
      <c r="AR808" s="78">
        <v>111.7406</v>
      </c>
      <c r="AT808" s="78">
        <v>115.5592</v>
      </c>
      <c r="AV808" s="78">
        <v>112.69929999999999</v>
      </c>
      <c r="AZ808" s="78">
        <v>116.497</v>
      </c>
      <c r="BA808" s="78">
        <v>126.2807</v>
      </c>
      <c r="BB808" s="78">
        <v>111.4512</v>
      </c>
      <c r="BC808" s="78">
        <v>111.35850000000001</v>
      </c>
      <c r="BD808" s="78">
        <v>113.46250000000001</v>
      </c>
    </row>
    <row r="809" spans="1:56" x14ac:dyDescent="0.2">
      <c r="A809" s="78" t="s">
        <v>957</v>
      </c>
      <c r="B809" s="22">
        <v>43313</v>
      </c>
      <c r="E809" s="22">
        <v>42826</v>
      </c>
      <c r="F809" s="78" t="s">
        <v>941</v>
      </c>
      <c r="G809" s="78">
        <v>111.8843</v>
      </c>
      <c r="I809" s="78">
        <v>120.20780000000001</v>
      </c>
      <c r="J809" s="78">
        <v>115.0069</v>
      </c>
      <c r="K809" s="78">
        <v>104.99590000000001</v>
      </c>
      <c r="L809" s="78">
        <v>118.152</v>
      </c>
      <c r="M809" s="78">
        <v>121.0492</v>
      </c>
      <c r="N809" s="78">
        <v>115.43210000000001</v>
      </c>
      <c r="O809" s="78">
        <v>106.80119999999999</v>
      </c>
      <c r="P809" s="78">
        <v>118.8035</v>
      </c>
      <c r="R809" s="78">
        <v>101.17610000000001</v>
      </c>
      <c r="S809" s="78">
        <v>109.2167</v>
      </c>
      <c r="AA809" s="78">
        <v>114.7972</v>
      </c>
      <c r="AC809" s="78">
        <v>111.6465</v>
      </c>
      <c r="AD809" s="78">
        <v>116.4062</v>
      </c>
      <c r="AE809" s="78">
        <v>117.1298</v>
      </c>
      <c r="AG809" s="78">
        <v>98.131420000000006</v>
      </c>
      <c r="AH809" s="78">
        <v>109.619</v>
      </c>
      <c r="AJ809" s="78">
        <v>105.57850000000001</v>
      </c>
      <c r="AK809" s="78">
        <v>115.2159</v>
      </c>
      <c r="AO809" s="78">
        <v>111.036</v>
      </c>
      <c r="AQ809" s="78">
        <v>109.6681</v>
      </c>
      <c r="AR809" s="78">
        <v>112.45829999999999</v>
      </c>
      <c r="AT809" s="78">
        <v>115.8415</v>
      </c>
      <c r="AV809" s="78">
        <v>113.587</v>
      </c>
      <c r="AZ809" s="78">
        <v>117.50360000000001</v>
      </c>
      <c r="BA809" s="78">
        <v>129.19470000000001</v>
      </c>
      <c r="BB809" s="78">
        <v>111.99469999999999</v>
      </c>
      <c r="BC809" s="78">
        <v>111.5445</v>
      </c>
      <c r="BD809" s="78">
        <v>114.1808</v>
      </c>
    </row>
    <row r="810" spans="1:56" x14ac:dyDescent="0.2">
      <c r="A810" s="78" t="s">
        <v>958</v>
      </c>
      <c r="B810" s="22">
        <v>43344</v>
      </c>
      <c r="E810" s="22">
        <v>42856</v>
      </c>
      <c r="F810" s="78" t="s">
        <v>942</v>
      </c>
      <c r="G810" s="78">
        <v>112.71080000000001</v>
      </c>
      <c r="I810" s="78">
        <v>120.26730000000001</v>
      </c>
      <c r="J810" s="78">
        <v>115.89579999999999</v>
      </c>
      <c r="K810" s="78">
        <v>105.5074</v>
      </c>
      <c r="L810" s="78">
        <v>118.52760000000001</v>
      </c>
      <c r="M810" s="78">
        <v>121.4682</v>
      </c>
      <c r="N810" s="78">
        <v>116.19629999999999</v>
      </c>
      <c r="O810" s="78">
        <v>107.20189999999999</v>
      </c>
      <c r="P810" s="78">
        <v>119.92829999999999</v>
      </c>
      <c r="R810" s="78">
        <v>101.1185</v>
      </c>
      <c r="S810" s="78">
        <v>109.52549999999999</v>
      </c>
      <c r="AA810" s="78">
        <v>115.1259</v>
      </c>
      <c r="AC810" s="78">
        <v>112.267</v>
      </c>
      <c r="AD810" s="78">
        <v>117.6562</v>
      </c>
      <c r="AE810" s="78">
        <v>116.5616</v>
      </c>
      <c r="AG810" s="78">
        <v>98.631410000000002</v>
      </c>
      <c r="AH810" s="78">
        <v>109.9247</v>
      </c>
      <c r="AJ810" s="78">
        <v>105.8043</v>
      </c>
      <c r="AK810" s="78">
        <v>115.4355</v>
      </c>
      <c r="AO810" s="78">
        <v>111.04559999999999</v>
      </c>
      <c r="AQ810" s="78">
        <v>109.7945</v>
      </c>
      <c r="AR810" s="78">
        <v>112.9311</v>
      </c>
      <c r="AT810" s="78">
        <v>116.40009999999999</v>
      </c>
      <c r="AV810" s="78">
        <v>114.5637</v>
      </c>
      <c r="AZ810" s="78">
        <v>118.0493</v>
      </c>
      <c r="BA810" s="78">
        <v>130.9375</v>
      </c>
      <c r="BB810" s="78">
        <v>112.441</v>
      </c>
      <c r="BC810" s="78">
        <v>112.0506</v>
      </c>
      <c r="BD810" s="78">
        <v>114.8325</v>
      </c>
    </row>
    <row r="811" spans="1:56" x14ac:dyDescent="0.2">
      <c r="A811" s="78" t="s">
        <v>959</v>
      </c>
      <c r="B811" s="22">
        <v>43374</v>
      </c>
      <c r="E811" s="22">
        <v>42887</v>
      </c>
      <c r="F811" s="78" t="s">
        <v>943</v>
      </c>
      <c r="G811" s="78">
        <v>113.3777</v>
      </c>
      <c r="I811" s="78">
        <v>120.78830000000001</v>
      </c>
      <c r="J811" s="78">
        <v>115.57040000000001</v>
      </c>
      <c r="K811" s="78">
        <v>106.084</v>
      </c>
      <c r="L811" s="78">
        <v>118.7702</v>
      </c>
      <c r="M811" s="78">
        <v>122.0975</v>
      </c>
      <c r="N811" s="78">
        <v>116.4376</v>
      </c>
      <c r="O811" s="78">
        <v>107.7355</v>
      </c>
      <c r="P811" s="78">
        <v>119.60680000000001</v>
      </c>
      <c r="R811" s="78">
        <v>101.5493</v>
      </c>
      <c r="S811" s="78">
        <v>109.7787</v>
      </c>
      <c r="AA811" s="78">
        <v>115.2471</v>
      </c>
      <c r="AC811" s="78">
        <v>113.5042</v>
      </c>
      <c r="AD811" s="78">
        <v>118.9115</v>
      </c>
      <c r="AE811" s="78">
        <v>117.44329999999999</v>
      </c>
      <c r="AG811" s="78">
        <v>99.068560000000005</v>
      </c>
      <c r="AH811" s="78">
        <v>111.12179999999999</v>
      </c>
      <c r="AJ811" s="78">
        <v>106.15940000000001</v>
      </c>
      <c r="AK811" s="78">
        <v>116.08029999999999</v>
      </c>
      <c r="AO811" s="78">
        <v>111.75490000000001</v>
      </c>
      <c r="AQ811" s="78">
        <v>110.1177</v>
      </c>
      <c r="AR811" s="78">
        <v>113.26179999999999</v>
      </c>
      <c r="AT811" s="78">
        <v>116.56829999999999</v>
      </c>
      <c r="AV811" s="78">
        <v>115.7345</v>
      </c>
      <c r="AZ811" s="78">
        <v>118.68470000000001</v>
      </c>
      <c r="BA811" s="78">
        <v>132.3237</v>
      </c>
      <c r="BB811" s="78">
        <v>112.6703</v>
      </c>
      <c r="BC811" s="78">
        <v>112.74760000000001</v>
      </c>
      <c r="BD811" s="78">
        <v>115.4979</v>
      </c>
    </row>
    <row r="812" spans="1:56" x14ac:dyDescent="0.2">
      <c r="A812" s="78" t="s">
        <v>960</v>
      </c>
      <c r="B812" s="22">
        <v>43405</v>
      </c>
      <c r="E812" s="22">
        <v>42917</v>
      </c>
      <c r="F812" s="78" t="s">
        <v>944</v>
      </c>
      <c r="G812" s="78">
        <v>113.9128</v>
      </c>
      <c r="I812" s="78">
        <v>121.36839999999999</v>
      </c>
      <c r="J812" s="78">
        <v>115.2299</v>
      </c>
      <c r="K812" s="78">
        <v>106.44880000000001</v>
      </c>
      <c r="L812" s="78">
        <v>119.431</v>
      </c>
      <c r="M812" s="78">
        <v>123.1019</v>
      </c>
      <c r="N812" s="78">
        <v>117.23</v>
      </c>
      <c r="O812" s="78">
        <v>108.1062</v>
      </c>
      <c r="P812" s="78">
        <v>119.6142</v>
      </c>
      <c r="R812" s="78">
        <v>101.5377</v>
      </c>
      <c r="S812" s="78">
        <v>110.1246</v>
      </c>
      <c r="AA812" s="78">
        <v>115.5544</v>
      </c>
      <c r="AC812" s="78">
        <v>114.4876</v>
      </c>
      <c r="AD812" s="78">
        <v>119.3028</v>
      </c>
      <c r="AE812" s="78">
        <v>118.0385</v>
      </c>
      <c r="AG812" s="78">
        <v>99.465149999999994</v>
      </c>
      <c r="AH812" s="78">
        <v>112.24469999999999</v>
      </c>
      <c r="AJ812" s="78">
        <v>106.4682</v>
      </c>
      <c r="AK812" s="78">
        <v>116.66370000000001</v>
      </c>
      <c r="AO812" s="78">
        <v>113.16500000000001</v>
      </c>
      <c r="AQ812" s="78">
        <v>110.9978</v>
      </c>
      <c r="AR812" s="78">
        <v>113.78440000000001</v>
      </c>
      <c r="AT812" s="78">
        <v>116.7728</v>
      </c>
      <c r="AV812" s="78">
        <v>116.1896</v>
      </c>
      <c r="AZ812" s="78">
        <v>119.32680000000001</v>
      </c>
      <c r="BA812" s="78">
        <v>133.6095</v>
      </c>
      <c r="BB812" s="78">
        <v>113.1698</v>
      </c>
      <c r="BC812" s="78">
        <v>113.5125</v>
      </c>
      <c r="BD812" s="78">
        <v>116.3419</v>
      </c>
    </row>
    <row r="813" spans="1:56" x14ac:dyDescent="0.2">
      <c r="A813" s="78" t="s">
        <v>961</v>
      </c>
      <c r="B813" s="22">
        <v>43435</v>
      </c>
      <c r="E813" s="22">
        <v>42948</v>
      </c>
      <c r="F813" s="78" t="s">
        <v>945</v>
      </c>
      <c r="G813" s="78">
        <v>114.21259999999999</v>
      </c>
      <c r="I813" s="78">
        <v>122.25790000000001</v>
      </c>
      <c r="J813" s="78">
        <v>115.51779999999999</v>
      </c>
      <c r="K813" s="78">
        <v>106.75749999999999</v>
      </c>
      <c r="L813" s="78">
        <v>119.3856</v>
      </c>
      <c r="M813" s="78">
        <v>123.9585</v>
      </c>
      <c r="N813" s="78">
        <v>117.3616</v>
      </c>
      <c r="O813" s="78">
        <v>109.1221</v>
      </c>
      <c r="P813" s="78">
        <v>120.5217</v>
      </c>
      <c r="R813" s="78">
        <v>101.7094</v>
      </c>
      <c r="S813" s="78">
        <v>110.54559999999999</v>
      </c>
      <c r="AA813" s="78">
        <v>116.3779</v>
      </c>
      <c r="AC813" s="78">
        <v>115.2758</v>
      </c>
      <c r="AD813" s="78">
        <v>119.7398</v>
      </c>
      <c r="AE813" s="78">
        <v>118.535</v>
      </c>
      <c r="AG813" s="78">
        <v>99.862729999999999</v>
      </c>
      <c r="AH813" s="78">
        <v>113.20910000000001</v>
      </c>
      <c r="AJ813" s="78">
        <v>106.7076</v>
      </c>
      <c r="AK813" s="78">
        <v>116.83540000000001</v>
      </c>
      <c r="AO813" s="78">
        <v>113.556</v>
      </c>
      <c r="AQ813" s="78">
        <v>111.2591</v>
      </c>
      <c r="AR813" s="78">
        <v>114.2859</v>
      </c>
      <c r="AT813" s="78">
        <v>117.40689999999999</v>
      </c>
      <c r="AV813" s="78">
        <v>115.90689999999999</v>
      </c>
      <c r="AZ813" s="78">
        <v>120.0205</v>
      </c>
      <c r="BA813" s="78">
        <v>135.16900000000001</v>
      </c>
      <c r="BB813" s="78">
        <v>113.631</v>
      </c>
      <c r="BC813" s="78">
        <v>114.3184</v>
      </c>
      <c r="BD813" s="78">
        <v>117.0651</v>
      </c>
    </row>
    <row r="814" spans="1:56" x14ac:dyDescent="0.2">
      <c r="A814" s="78" t="s">
        <v>962</v>
      </c>
      <c r="B814" s="22">
        <v>43466</v>
      </c>
      <c r="E814" s="22">
        <v>42979</v>
      </c>
      <c r="F814" s="78" t="s">
        <v>946</v>
      </c>
      <c r="G814" s="78">
        <v>114.5376</v>
      </c>
      <c r="I814" s="78">
        <v>123.5425</v>
      </c>
      <c r="J814" s="78">
        <v>115.9006</v>
      </c>
      <c r="K814" s="78">
        <v>107.1083</v>
      </c>
      <c r="L814" s="78">
        <v>119.48090000000001</v>
      </c>
      <c r="M814" s="78">
        <v>125.0239</v>
      </c>
      <c r="N814" s="78">
        <v>117.6009</v>
      </c>
      <c r="O814" s="78">
        <v>108.8998</v>
      </c>
      <c r="P814" s="78">
        <v>121.0099</v>
      </c>
      <c r="R814" s="78">
        <v>102.4581</v>
      </c>
      <c r="S814" s="78">
        <v>110.8762</v>
      </c>
      <c r="AA814" s="78">
        <v>117.333</v>
      </c>
      <c r="AC814" s="78">
        <v>117.1414</v>
      </c>
      <c r="AD814" s="78">
        <v>120.42740000000001</v>
      </c>
      <c r="AE814" s="78">
        <v>119.24420000000001</v>
      </c>
      <c r="AG814" s="78">
        <v>100.20010000000001</v>
      </c>
      <c r="AH814" s="78">
        <v>113.71040000000001</v>
      </c>
      <c r="AJ814" s="78">
        <v>106.98869999999999</v>
      </c>
      <c r="AK814" s="78">
        <v>117.1985</v>
      </c>
      <c r="AO814" s="78">
        <v>114.443</v>
      </c>
      <c r="AQ814" s="78">
        <v>111.5446</v>
      </c>
      <c r="AR814" s="78">
        <v>114.795</v>
      </c>
      <c r="AT814" s="78">
        <v>118.0416</v>
      </c>
      <c r="AV814" s="78">
        <v>116.10039999999999</v>
      </c>
      <c r="AZ814" s="78">
        <v>121.0692</v>
      </c>
      <c r="BA814" s="78">
        <v>137.1482</v>
      </c>
      <c r="BB814" s="78">
        <v>113.9858</v>
      </c>
      <c r="BC814" s="78">
        <v>114.93519999999999</v>
      </c>
      <c r="BD814" s="78">
        <v>117.5615</v>
      </c>
    </row>
    <row r="815" spans="1:56" x14ac:dyDescent="0.2">
      <c r="A815" s="78" t="s">
        <v>963</v>
      </c>
      <c r="B815" s="22">
        <v>43497</v>
      </c>
      <c r="E815" s="22">
        <v>43009</v>
      </c>
      <c r="F815" s="78" t="s">
        <v>947</v>
      </c>
      <c r="G815" s="78">
        <v>114.9046</v>
      </c>
      <c r="I815" s="78">
        <v>124.5115</v>
      </c>
      <c r="J815" s="78">
        <v>116.7075</v>
      </c>
      <c r="K815" s="78">
        <v>107.3775</v>
      </c>
      <c r="L815" s="78">
        <v>120.1206</v>
      </c>
      <c r="M815" s="78">
        <v>126.0675</v>
      </c>
      <c r="N815" s="78">
        <v>118.2607</v>
      </c>
      <c r="O815" s="78">
        <v>107.5805</v>
      </c>
      <c r="P815" s="78">
        <v>120.8254</v>
      </c>
      <c r="R815" s="78">
        <v>102.0365</v>
      </c>
      <c r="S815" s="78">
        <v>111.0502</v>
      </c>
      <c r="AA815" s="78">
        <v>117.94750000000001</v>
      </c>
      <c r="AC815" s="78">
        <v>118.575</v>
      </c>
      <c r="AD815" s="78">
        <v>121.2595</v>
      </c>
      <c r="AE815" s="78">
        <v>121.0234</v>
      </c>
      <c r="AG815" s="78">
        <v>100.3614</v>
      </c>
      <c r="AH815" s="78">
        <v>113.3625</v>
      </c>
      <c r="AJ815" s="78">
        <v>107.313</v>
      </c>
      <c r="AK815" s="78">
        <v>117.68559999999999</v>
      </c>
      <c r="AO815" s="78">
        <v>115.27800000000001</v>
      </c>
      <c r="AQ815" s="78">
        <v>112.50920000000001</v>
      </c>
      <c r="AR815" s="78">
        <v>115.38809999999999</v>
      </c>
      <c r="AT815" s="78">
        <v>118.6555</v>
      </c>
      <c r="AV815" s="78">
        <v>116.64530000000001</v>
      </c>
      <c r="AZ815" s="78">
        <v>121.66500000000001</v>
      </c>
      <c r="BA815" s="78">
        <v>140.4015</v>
      </c>
      <c r="BB815" s="78">
        <v>114.4221</v>
      </c>
      <c r="BC815" s="78">
        <v>115.4873</v>
      </c>
      <c r="BD815" s="78">
        <v>118.5497</v>
      </c>
    </row>
    <row r="816" spans="1:56" x14ac:dyDescent="0.2">
      <c r="A816" s="78" t="s">
        <v>964</v>
      </c>
      <c r="B816" s="22">
        <v>43525</v>
      </c>
      <c r="E816" s="22">
        <v>43040</v>
      </c>
      <c r="F816" s="78" t="s">
        <v>948</v>
      </c>
      <c r="G816" s="78">
        <v>115.22410000000001</v>
      </c>
      <c r="I816" s="78">
        <v>124.9764</v>
      </c>
      <c r="J816" s="78">
        <v>117.35550000000001</v>
      </c>
      <c r="K816" s="78">
        <v>107.5197</v>
      </c>
      <c r="L816" s="78">
        <v>120.6163</v>
      </c>
      <c r="M816" s="78">
        <v>127.1524</v>
      </c>
      <c r="N816" s="78">
        <v>118.9709</v>
      </c>
      <c r="O816" s="78">
        <v>107.3398</v>
      </c>
      <c r="P816" s="78">
        <v>121.0119</v>
      </c>
      <c r="R816" s="78">
        <v>101.29</v>
      </c>
      <c r="S816" s="78">
        <v>111.4739</v>
      </c>
      <c r="AA816" s="78">
        <v>118.1964</v>
      </c>
      <c r="AC816" s="78">
        <v>119.58710000000001</v>
      </c>
      <c r="AD816" s="78">
        <v>122.20359999999999</v>
      </c>
      <c r="AE816" s="78">
        <v>122.2668</v>
      </c>
      <c r="AG816" s="78">
        <v>100.5153</v>
      </c>
      <c r="AH816" s="78">
        <v>113.1769</v>
      </c>
      <c r="AJ816" s="78">
        <v>107.60420000000001</v>
      </c>
      <c r="AK816" s="78">
        <v>118.3541</v>
      </c>
      <c r="AO816" s="78">
        <v>115.8947</v>
      </c>
      <c r="AQ816" s="78">
        <v>113.09780000000001</v>
      </c>
      <c r="AR816" s="78">
        <v>115.8163</v>
      </c>
      <c r="AT816" s="78">
        <v>119.2572</v>
      </c>
      <c r="AV816" s="78">
        <v>117.2754</v>
      </c>
      <c r="AZ816" s="78">
        <v>122.1007</v>
      </c>
      <c r="BA816" s="78">
        <v>143.56110000000001</v>
      </c>
      <c r="BB816" s="78">
        <v>114.62990000000001</v>
      </c>
      <c r="BC816" s="78">
        <v>115.9802</v>
      </c>
      <c r="BD816" s="78">
        <v>119.586</v>
      </c>
    </row>
    <row r="817" spans="1:56" x14ac:dyDescent="0.2">
      <c r="A817" s="78" t="s">
        <v>965</v>
      </c>
      <c r="B817" s="22">
        <v>43556</v>
      </c>
      <c r="E817" s="22">
        <v>43070</v>
      </c>
      <c r="F817" s="78" t="s">
        <v>949</v>
      </c>
      <c r="G817" s="78">
        <v>115.1344</v>
      </c>
      <c r="I817" s="78">
        <v>125.33540000000001</v>
      </c>
      <c r="J817" s="78">
        <v>118.0461</v>
      </c>
      <c r="K817" s="78">
        <v>107.6446</v>
      </c>
      <c r="L817" s="78">
        <v>120.6695</v>
      </c>
      <c r="M817" s="78">
        <v>127.9033</v>
      </c>
      <c r="N817" s="78">
        <v>120.2474</v>
      </c>
      <c r="O817" s="78">
        <v>106.96299999999999</v>
      </c>
      <c r="P817" s="78">
        <v>121.4602</v>
      </c>
      <c r="R817" s="78">
        <v>101.94119999999999</v>
      </c>
      <c r="S817" s="78">
        <v>111.8837</v>
      </c>
      <c r="AA817" s="78">
        <v>118.11109999999999</v>
      </c>
      <c r="AC817" s="78">
        <v>120.4308</v>
      </c>
      <c r="AD817" s="78">
        <v>122.6267</v>
      </c>
      <c r="AE817" s="78">
        <v>122.8887</v>
      </c>
      <c r="AG817" s="78">
        <v>100.8441</v>
      </c>
      <c r="AH817" s="78">
        <v>113.63120000000001</v>
      </c>
      <c r="AJ817" s="78">
        <v>107.67310000000001</v>
      </c>
      <c r="AK817" s="78">
        <v>119.37479999999999</v>
      </c>
      <c r="AO817" s="78">
        <v>117.0107</v>
      </c>
      <c r="AQ817" s="78">
        <v>113.03959999999999</v>
      </c>
      <c r="AR817" s="78">
        <v>116.1559</v>
      </c>
      <c r="AT817" s="78">
        <v>119.77290000000001</v>
      </c>
      <c r="AV817" s="78">
        <v>116.62690000000001</v>
      </c>
      <c r="AZ817" s="78">
        <v>122.11969999999999</v>
      </c>
      <c r="BA817" s="78">
        <v>143.8664</v>
      </c>
      <c r="BB817" s="78">
        <v>114.9764</v>
      </c>
      <c r="BC817" s="78">
        <v>116.5945</v>
      </c>
      <c r="BD817" s="78">
        <v>120.2818</v>
      </c>
    </row>
    <row r="818" spans="1:56" x14ac:dyDescent="0.2">
      <c r="A818" s="78" t="s">
        <v>966</v>
      </c>
      <c r="B818" s="22">
        <v>43586</v>
      </c>
      <c r="E818" s="22">
        <v>43101</v>
      </c>
      <c r="F818" s="78" t="s">
        <v>950</v>
      </c>
      <c r="G818" s="78">
        <v>115.14279999999999</v>
      </c>
      <c r="I818" s="78">
        <v>125.8874</v>
      </c>
      <c r="J818" s="78">
        <v>117.5758</v>
      </c>
      <c r="K818" s="78">
        <v>107.9691</v>
      </c>
      <c r="L818" s="78">
        <v>120.58110000000001</v>
      </c>
      <c r="M818" s="78">
        <v>129.08590000000001</v>
      </c>
      <c r="N818" s="78">
        <v>120.91249999999999</v>
      </c>
      <c r="O818" s="78">
        <v>106.4319</v>
      </c>
      <c r="P818" s="78">
        <v>121.7839</v>
      </c>
      <c r="R818" s="78">
        <v>101.854</v>
      </c>
      <c r="S818" s="78">
        <v>111.9444</v>
      </c>
      <c r="AA818" s="78">
        <v>118.6173</v>
      </c>
      <c r="AC818" s="78">
        <v>122.1551</v>
      </c>
      <c r="AD818" s="78">
        <v>123.2196</v>
      </c>
      <c r="AE818" s="78">
        <v>123.8216</v>
      </c>
      <c r="AG818" s="78">
        <v>101.27549999999999</v>
      </c>
      <c r="AH818" s="78">
        <v>113.9534</v>
      </c>
      <c r="AJ818" s="78">
        <v>107.8683</v>
      </c>
      <c r="AK818" s="78">
        <v>120.3098</v>
      </c>
      <c r="AO818" s="78">
        <v>116.0421</v>
      </c>
      <c r="AQ818" s="78">
        <v>113.6738</v>
      </c>
      <c r="AR818" s="78">
        <v>116.29219999999999</v>
      </c>
      <c r="AT818" s="78">
        <v>120.33150000000001</v>
      </c>
      <c r="AV818" s="78">
        <v>116.8532</v>
      </c>
      <c r="AZ818" s="78">
        <v>121.8634</v>
      </c>
      <c r="BA818" s="78">
        <v>143.25569999999999</v>
      </c>
      <c r="BB818" s="78">
        <v>115.1651</v>
      </c>
      <c r="BC818" s="78">
        <v>117.6014</v>
      </c>
      <c r="BD818" s="78">
        <v>120.9593</v>
      </c>
    </row>
    <row r="819" spans="1:56" x14ac:dyDescent="0.2">
      <c r="A819" s="78" t="s">
        <v>967</v>
      </c>
      <c r="B819" s="22">
        <v>43617</v>
      </c>
      <c r="E819" s="22">
        <v>43132</v>
      </c>
      <c r="F819" s="78" t="s">
        <v>951</v>
      </c>
      <c r="G819" s="78">
        <v>115.3361</v>
      </c>
      <c r="I819" s="78">
        <v>126.5311</v>
      </c>
      <c r="J819" s="78">
        <v>118.8625</v>
      </c>
      <c r="K819" s="78">
        <v>108.2808</v>
      </c>
      <c r="L819" s="78">
        <v>120.81619999999999</v>
      </c>
      <c r="M819" s="78">
        <v>130.56950000000001</v>
      </c>
      <c r="N819" s="78">
        <v>121.012</v>
      </c>
      <c r="O819" s="78">
        <v>106.2227</v>
      </c>
      <c r="P819" s="78">
        <v>122.73009999999999</v>
      </c>
      <c r="R819" s="78">
        <v>100.85769999999999</v>
      </c>
      <c r="S819" s="78">
        <v>111.9121</v>
      </c>
      <c r="AA819" s="78">
        <v>119.13549999999999</v>
      </c>
      <c r="AC819" s="78">
        <v>124.3065</v>
      </c>
      <c r="AD819" s="78">
        <v>124.0943</v>
      </c>
      <c r="AE819" s="78">
        <v>124.7564</v>
      </c>
      <c r="AG819" s="78">
        <v>101.7775</v>
      </c>
      <c r="AH819" s="78">
        <v>113.7367</v>
      </c>
      <c r="AJ819" s="78">
        <v>108.0381</v>
      </c>
      <c r="AK819" s="78">
        <v>121.32980000000001</v>
      </c>
      <c r="AO819" s="78">
        <v>115.15</v>
      </c>
      <c r="AQ819" s="78">
        <v>114.31480000000001</v>
      </c>
      <c r="AR819" s="78">
        <v>116.6331</v>
      </c>
      <c r="AT819" s="78">
        <v>120.9332</v>
      </c>
      <c r="AV819" s="78">
        <v>118.4037</v>
      </c>
      <c r="AZ819" s="78">
        <v>122.6075</v>
      </c>
      <c r="BA819" s="78">
        <v>144.28880000000001</v>
      </c>
      <c r="BB819" s="78">
        <v>115.45180000000001</v>
      </c>
      <c r="BC819" s="78">
        <v>118.5463</v>
      </c>
      <c r="BD819" s="78">
        <v>121.4188</v>
      </c>
    </row>
    <row r="820" spans="1:56" x14ac:dyDescent="0.2">
      <c r="A820" s="78" t="s">
        <v>968</v>
      </c>
      <c r="B820" s="22">
        <v>43647</v>
      </c>
      <c r="E820" s="22">
        <v>43160</v>
      </c>
      <c r="F820" s="78" t="s">
        <v>952</v>
      </c>
      <c r="G820" s="78">
        <v>115.3445</v>
      </c>
      <c r="I820" s="78">
        <v>127.3854</v>
      </c>
      <c r="J820" s="78">
        <v>119.0548</v>
      </c>
      <c r="K820" s="78">
        <v>108.2908</v>
      </c>
      <c r="L820" s="78">
        <v>121.526</v>
      </c>
      <c r="M820" s="78">
        <v>131.11259999999999</v>
      </c>
      <c r="N820" s="78">
        <v>121.52930000000001</v>
      </c>
      <c r="O820" s="78">
        <v>106.1429</v>
      </c>
      <c r="P820" s="78">
        <v>123.4866</v>
      </c>
      <c r="R820" s="78">
        <v>100.47369999999999</v>
      </c>
      <c r="S820" s="78">
        <v>112.2069</v>
      </c>
      <c r="AA820" s="78">
        <v>118.4816</v>
      </c>
      <c r="AC820" s="78">
        <v>125.7015</v>
      </c>
      <c r="AD820" s="78">
        <v>124.57129999999999</v>
      </c>
      <c r="AE820" s="78">
        <v>125.6895</v>
      </c>
      <c r="AG820" s="78">
        <v>102.3663</v>
      </c>
      <c r="AH820" s="78">
        <v>114.2504</v>
      </c>
      <c r="AJ820" s="78">
        <v>108.22499999999999</v>
      </c>
      <c r="AK820" s="78">
        <v>122.38509999999999</v>
      </c>
      <c r="AO820" s="78">
        <v>117.4669</v>
      </c>
      <c r="AQ820" s="78">
        <v>114.8058</v>
      </c>
      <c r="AR820" s="78">
        <v>117.239</v>
      </c>
      <c r="AT820" s="78">
        <v>121.7213</v>
      </c>
      <c r="AV820" s="78">
        <v>120.4944</v>
      </c>
      <c r="AZ820" s="78">
        <v>123.89709999999999</v>
      </c>
      <c r="BA820" s="78">
        <v>147.42259999999999</v>
      </c>
      <c r="BB820" s="78">
        <v>115.9487</v>
      </c>
      <c r="BC820" s="78">
        <v>118.7359</v>
      </c>
      <c r="BD820" s="78">
        <v>121.84229999999999</v>
      </c>
    </row>
    <row r="821" spans="1:56" x14ac:dyDescent="0.2">
      <c r="A821" s="78" t="s">
        <v>969</v>
      </c>
      <c r="B821" s="22">
        <v>43678</v>
      </c>
      <c r="E821" s="22">
        <v>43191</v>
      </c>
      <c r="F821" s="78" t="s">
        <v>953</v>
      </c>
      <c r="G821" s="78">
        <v>115.28570000000001</v>
      </c>
      <c r="I821" s="78">
        <v>128.2491</v>
      </c>
      <c r="J821" s="78">
        <v>119.2642</v>
      </c>
      <c r="K821" s="78">
        <v>108.42019999999999</v>
      </c>
      <c r="L821" s="78">
        <v>123.4717</v>
      </c>
      <c r="M821" s="78">
        <v>131.73650000000001</v>
      </c>
      <c r="N821" s="78">
        <v>121.8336</v>
      </c>
      <c r="O821" s="78">
        <v>106.4297</v>
      </c>
      <c r="P821" s="78">
        <v>124.02800000000001</v>
      </c>
      <c r="R821" s="78">
        <v>100.727</v>
      </c>
      <c r="S821" s="78">
        <v>112.78700000000001</v>
      </c>
      <c r="AA821" s="78">
        <v>117.8296</v>
      </c>
      <c r="AC821" s="78">
        <v>127.346</v>
      </c>
      <c r="AD821" s="78">
        <v>125.1125</v>
      </c>
      <c r="AE821" s="78">
        <v>126.8122</v>
      </c>
      <c r="AG821" s="78">
        <v>103.0184</v>
      </c>
      <c r="AH821" s="78">
        <v>115.11579999999999</v>
      </c>
      <c r="AJ821" s="78">
        <v>108.4751</v>
      </c>
      <c r="AK821" s="78">
        <v>123.03959999999999</v>
      </c>
      <c r="AO821" s="78">
        <v>119.63800000000001</v>
      </c>
      <c r="AQ821" s="78">
        <v>116.1414</v>
      </c>
      <c r="AR821" s="78">
        <v>117.79819999999999</v>
      </c>
      <c r="AT821" s="78">
        <v>122.5093</v>
      </c>
      <c r="AV821" s="78">
        <v>124.2325</v>
      </c>
      <c r="AZ821" s="78">
        <v>124.9401</v>
      </c>
      <c r="BA821" s="78">
        <v>150.93799999999999</v>
      </c>
      <c r="BB821" s="78">
        <v>116.252</v>
      </c>
      <c r="BC821" s="78">
        <v>118.7085</v>
      </c>
      <c r="BD821" s="78">
        <v>122.3045</v>
      </c>
    </row>
    <row r="822" spans="1:56" x14ac:dyDescent="0.2">
      <c r="A822" s="78" t="s">
        <v>970</v>
      </c>
      <c r="B822" s="22">
        <v>43709</v>
      </c>
      <c r="E822" s="22">
        <v>43221</v>
      </c>
      <c r="F822" s="78" t="s">
        <v>954</v>
      </c>
      <c r="G822" s="78">
        <v>115.437</v>
      </c>
      <c r="I822" s="78">
        <v>128.69569999999999</v>
      </c>
      <c r="J822" s="78">
        <v>119.8767</v>
      </c>
      <c r="K822" s="78">
        <v>108.7153</v>
      </c>
      <c r="L822" s="78">
        <v>124.9933</v>
      </c>
      <c r="M822" s="78">
        <v>132.29750000000001</v>
      </c>
      <c r="N822" s="78">
        <v>122.0946</v>
      </c>
      <c r="O822" s="78">
        <v>106.7765</v>
      </c>
      <c r="P822" s="78">
        <v>125.259</v>
      </c>
      <c r="R822" s="78">
        <v>100.62479999999999</v>
      </c>
      <c r="S822" s="78">
        <v>113.4357</v>
      </c>
      <c r="AA822" s="78">
        <v>118.7461</v>
      </c>
      <c r="AC822" s="78">
        <v>128.6508</v>
      </c>
      <c r="AD822" s="78">
        <v>125.5814</v>
      </c>
      <c r="AE822" s="78">
        <v>127.9901</v>
      </c>
      <c r="AG822" s="78">
        <v>103.7161</v>
      </c>
      <c r="AH822" s="78">
        <v>115.3095</v>
      </c>
      <c r="AJ822" s="78">
        <v>108.6508</v>
      </c>
      <c r="AK822" s="78">
        <v>123.3544</v>
      </c>
      <c r="AO822" s="78">
        <v>120.6596</v>
      </c>
      <c r="AQ822" s="78">
        <v>117.0081</v>
      </c>
      <c r="AR822" s="78">
        <v>118.5397</v>
      </c>
      <c r="AT822" s="78">
        <v>123.5361</v>
      </c>
      <c r="AV822" s="78">
        <v>126.46429999999999</v>
      </c>
      <c r="AZ822" s="78">
        <v>125.19540000000001</v>
      </c>
      <c r="BA822" s="78">
        <v>155.64439999999999</v>
      </c>
      <c r="BB822" s="78">
        <v>116.7988</v>
      </c>
      <c r="BC822" s="78">
        <v>118.89230000000001</v>
      </c>
      <c r="BD822" s="78">
        <v>122.7216</v>
      </c>
    </row>
    <row r="823" spans="1:56" x14ac:dyDescent="0.2">
      <c r="A823" s="78" t="s">
        <v>971</v>
      </c>
      <c r="B823" s="22">
        <v>43739</v>
      </c>
      <c r="E823" s="22">
        <v>43252</v>
      </c>
      <c r="F823" s="78" t="s">
        <v>955</v>
      </c>
      <c r="G823" s="78">
        <v>115.762</v>
      </c>
      <c r="I823" s="78">
        <v>129.57599999999999</v>
      </c>
      <c r="J823" s="78">
        <v>120.6148</v>
      </c>
      <c r="K823" s="78">
        <v>108.7727</v>
      </c>
      <c r="L823" s="78">
        <v>125.7396</v>
      </c>
      <c r="M823" s="78">
        <v>132.8013</v>
      </c>
      <c r="N823" s="78">
        <v>122.57170000000001</v>
      </c>
      <c r="O823" s="78">
        <v>106.5861</v>
      </c>
      <c r="P823" s="78">
        <v>125.7526</v>
      </c>
      <c r="R823" s="78">
        <v>100.30159999999999</v>
      </c>
      <c r="S823" s="78">
        <v>114.2886</v>
      </c>
      <c r="AA823" s="78">
        <v>119.5351</v>
      </c>
      <c r="AC823" s="78">
        <v>130.7664</v>
      </c>
      <c r="AD823" s="78">
        <v>125.9678</v>
      </c>
      <c r="AE823" s="78">
        <v>128.86449999999999</v>
      </c>
      <c r="AG823" s="78">
        <v>104.3891</v>
      </c>
      <c r="AH823" s="78">
        <v>115.14109999999999</v>
      </c>
      <c r="AJ823" s="78">
        <v>108.9838</v>
      </c>
      <c r="AK823" s="78">
        <v>123.9101</v>
      </c>
      <c r="AO823" s="78">
        <v>121.7346</v>
      </c>
      <c r="AQ823" s="78">
        <v>117.34780000000001</v>
      </c>
      <c r="AR823" s="78">
        <v>119.25020000000001</v>
      </c>
      <c r="AT823" s="78">
        <v>124.62569999999999</v>
      </c>
      <c r="AV823" s="78">
        <v>127.1953</v>
      </c>
      <c r="AZ823" s="78">
        <v>125.4083</v>
      </c>
      <c r="BA823" s="78">
        <v>159.89019999999999</v>
      </c>
      <c r="BB823" s="78">
        <v>117.3398</v>
      </c>
      <c r="BC823" s="78">
        <v>119.3146</v>
      </c>
      <c r="BD823" s="78">
        <v>123.514</v>
      </c>
    </row>
    <row r="824" spans="1:56" x14ac:dyDescent="0.2">
      <c r="A824" s="78" t="s">
        <v>972</v>
      </c>
      <c r="B824" s="22">
        <v>43770</v>
      </c>
      <c r="E824" s="22">
        <v>43282</v>
      </c>
      <c r="F824" s="78" t="s">
        <v>956</v>
      </c>
      <c r="G824" s="78">
        <v>116.0954</v>
      </c>
      <c r="I824" s="78">
        <v>130.4622</v>
      </c>
      <c r="J824" s="78">
        <v>121.1386</v>
      </c>
      <c r="K824" s="78">
        <v>108.90349999999999</v>
      </c>
      <c r="L824" s="78">
        <v>126.8182</v>
      </c>
      <c r="M824" s="78">
        <v>133.95939999999999</v>
      </c>
      <c r="N824" s="78">
        <v>123.28400000000001</v>
      </c>
      <c r="O824" s="78">
        <v>106.14100000000001</v>
      </c>
      <c r="P824" s="78">
        <v>125.6151</v>
      </c>
      <c r="R824" s="78">
        <v>100.98309999999999</v>
      </c>
      <c r="S824" s="78">
        <v>114.718</v>
      </c>
      <c r="AA824" s="78">
        <v>119.461</v>
      </c>
      <c r="AC824" s="78">
        <v>133.09180000000001</v>
      </c>
      <c r="AD824" s="78">
        <v>126.6165</v>
      </c>
      <c r="AE824" s="78">
        <v>129.64660000000001</v>
      </c>
      <c r="AG824" s="78">
        <v>105.0022</v>
      </c>
      <c r="AH824" s="78">
        <v>115.504</v>
      </c>
      <c r="AJ824" s="78">
        <v>109.17270000000001</v>
      </c>
      <c r="AK824" s="78">
        <v>124.6952</v>
      </c>
      <c r="AO824" s="78">
        <v>121.6698</v>
      </c>
      <c r="AQ824" s="78">
        <v>117.48699999999999</v>
      </c>
      <c r="AR824" s="78">
        <v>119.66459999999999</v>
      </c>
      <c r="AT824" s="78">
        <v>125.30719999999999</v>
      </c>
      <c r="AV824" s="78">
        <v>127.24760000000001</v>
      </c>
      <c r="AZ824" s="78">
        <v>125.7689</v>
      </c>
      <c r="BA824" s="78">
        <v>163.38579999999999</v>
      </c>
      <c r="BB824" s="78">
        <v>117.61409999999999</v>
      </c>
      <c r="BC824" s="78">
        <v>120.26649999999999</v>
      </c>
      <c r="BD824" s="78">
        <v>124.4688</v>
      </c>
    </row>
    <row r="825" spans="1:56" x14ac:dyDescent="0.2">
      <c r="A825" s="78" t="s">
        <v>973</v>
      </c>
      <c r="B825" s="22">
        <v>43800</v>
      </c>
      <c r="E825" s="22">
        <v>43313</v>
      </c>
      <c r="F825" s="78" t="s">
        <v>957</v>
      </c>
      <c r="G825" s="78">
        <v>116.78749999999999</v>
      </c>
      <c r="I825" s="78">
        <v>131.38560000000001</v>
      </c>
      <c r="J825" s="78">
        <v>121.8608</v>
      </c>
      <c r="K825" s="78">
        <v>109.3182</v>
      </c>
      <c r="L825" s="78">
        <v>127.7573</v>
      </c>
      <c r="M825" s="78">
        <v>134.99959999999999</v>
      </c>
      <c r="N825" s="78">
        <v>124.0697</v>
      </c>
      <c r="O825" s="78">
        <v>106.10509999999999</v>
      </c>
      <c r="P825" s="78">
        <v>126.3211</v>
      </c>
      <c r="R825" s="78">
        <v>101.7587</v>
      </c>
      <c r="S825" s="78">
        <v>114.7097</v>
      </c>
      <c r="AA825" s="78">
        <v>119.54470000000001</v>
      </c>
      <c r="AC825" s="78">
        <v>133.93440000000001</v>
      </c>
      <c r="AD825" s="78">
        <v>127.0985</v>
      </c>
      <c r="AE825" s="78">
        <v>130.83869999999999</v>
      </c>
      <c r="AG825" s="78">
        <v>105.5971</v>
      </c>
      <c r="AH825" s="78">
        <v>116.1133</v>
      </c>
      <c r="AJ825" s="78">
        <v>109.3604</v>
      </c>
      <c r="AK825" s="78">
        <v>125.0406</v>
      </c>
      <c r="AO825" s="78">
        <v>121.9145</v>
      </c>
      <c r="AQ825" s="78">
        <v>117.56789999999999</v>
      </c>
      <c r="AR825" s="78">
        <v>120.1682</v>
      </c>
      <c r="AT825" s="78">
        <v>126.1469</v>
      </c>
      <c r="AV825" s="78">
        <v>128.14269999999999</v>
      </c>
      <c r="AZ825" s="78">
        <v>125.9273</v>
      </c>
      <c r="BA825" s="78">
        <v>166.4898</v>
      </c>
      <c r="BB825" s="78">
        <v>117.97969999999999</v>
      </c>
      <c r="BC825" s="78">
        <v>121.7115</v>
      </c>
      <c r="BD825" s="78">
        <v>125.5168</v>
      </c>
    </row>
    <row r="826" spans="1:56" x14ac:dyDescent="0.2">
      <c r="A826" s="78" t="s">
        <v>974</v>
      </c>
      <c r="B826" s="78">
        <v>43831</v>
      </c>
      <c r="E826" s="22">
        <v>43344</v>
      </c>
      <c r="F826" s="78" t="s">
        <v>958</v>
      </c>
      <c r="G826" s="78">
        <v>117.2217</v>
      </c>
      <c r="I826" s="78">
        <v>132.89340000000001</v>
      </c>
      <c r="J826" s="78">
        <v>122.5326</v>
      </c>
      <c r="K826" s="78">
        <v>109.6353</v>
      </c>
      <c r="L826" s="78">
        <v>128.89060000000001</v>
      </c>
      <c r="M826" s="78">
        <v>135.97040000000001</v>
      </c>
      <c r="N826" s="78">
        <v>124.42919999999999</v>
      </c>
      <c r="O826" s="78">
        <v>106.87739999999999</v>
      </c>
      <c r="P826" s="78">
        <v>126.4563</v>
      </c>
      <c r="R826" s="78">
        <v>101.8344</v>
      </c>
      <c r="S826" s="78">
        <v>114.8325</v>
      </c>
      <c r="AA826" s="78">
        <v>119.9935</v>
      </c>
      <c r="AC826" s="78">
        <v>133.92930000000001</v>
      </c>
      <c r="AD826" s="78">
        <v>128.0515</v>
      </c>
      <c r="AE826" s="78">
        <v>131.76740000000001</v>
      </c>
      <c r="AG826" s="78">
        <v>106.2291</v>
      </c>
      <c r="AH826" s="78">
        <v>116.6631</v>
      </c>
      <c r="AJ826" s="78">
        <v>109.6052</v>
      </c>
      <c r="AK826" s="78">
        <v>125.723</v>
      </c>
      <c r="AO826" s="78">
        <v>122.6511</v>
      </c>
      <c r="AQ826" s="78">
        <v>117.8121</v>
      </c>
      <c r="AR826" s="78">
        <v>120.7795</v>
      </c>
      <c r="AT826" s="78">
        <v>127.163</v>
      </c>
      <c r="AV826" s="78">
        <v>129.35329999999999</v>
      </c>
      <c r="AZ826" s="78">
        <v>126.5857</v>
      </c>
      <c r="BA826" s="78">
        <v>172.6841</v>
      </c>
      <c r="BB826" s="78">
        <v>118.2415</v>
      </c>
      <c r="BC826" s="78">
        <v>122.9136</v>
      </c>
      <c r="BD826" s="78">
        <v>126.5449</v>
      </c>
    </row>
    <row r="827" spans="1:56" x14ac:dyDescent="0.2">
      <c r="A827" s="78" t="s">
        <v>975</v>
      </c>
      <c r="B827" s="78">
        <v>43862</v>
      </c>
      <c r="E827" s="22">
        <v>43374</v>
      </c>
      <c r="F827" s="78" t="s">
        <v>959</v>
      </c>
      <c r="G827" s="78">
        <v>117.34780000000001</v>
      </c>
      <c r="I827" s="78">
        <v>133.8896</v>
      </c>
      <c r="J827" s="78">
        <v>123.1293</v>
      </c>
      <c r="K827" s="78">
        <v>109.9593</v>
      </c>
      <c r="L827" s="78">
        <v>129.67779999999999</v>
      </c>
      <c r="M827" s="78">
        <v>136.97499999999999</v>
      </c>
      <c r="N827" s="78">
        <v>124.81959999999999</v>
      </c>
      <c r="O827" s="78">
        <v>108.43859999999999</v>
      </c>
      <c r="P827" s="78">
        <v>126.6618</v>
      </c>
      <c r="R827" s="78">
        <v>101.2509</v>
      </c>
      <c r="S827" s="78">
        <v>115.1092</v>
      </c>
      <c r="AA827" s="78">
        <v>121.0412</v>
      </c>
      <c r="AC827" s="78">
        <v>134.26900000000001</v>
      </c>
      <c r="AD827" s="78">
        <v>129.76079999999999</v>
      </c>
      <c r="AE827" s="78">
        <v>132.5771</v>
      </c>
      <c r="AG827" s="78">
        <v>106.94540000000001</v>
      </c>
      <c r="AH827" s="78">
        <v>117.39190000000001</v>
      </c>
      <c r="AJ827" s="78">
        <v>109.7963</v>
      </c>
      <c r="AK827" s="78">
        <v>126.5008</v>
      </c>
      <c r="AO827" s="78">
        <v>122.3772</v>
      </c>
      <c r="AQ827" s="78">
        <v>117.8309</v>
      </c>
      <c r="AR827" s="78">
        <v>121.1506</v>
      </c>
      <c r="AT827" s="78">
        <v>128.27950000000001</v>
      </c>
      <c r="AV827" s="78">
        <v>129.499</v>
      </c>
      <c r="AZ827" s="78">
        <v>127.25830000000001</v>
      </c>
      <c r="BA827" s="78">
        <v>176.09710000000001</v>
      </c>
      <c r="BB827" s="78">
        <v>118.2988</v>
      </c>
      <c r="BC827" s="78">
        <v>122.9701</v>
      </c>
      <c r="BD827" s="78">
        <v>127.0077</v>
      </c>
    </row>
    <row r="828" spans="1:56" x14ac:dyDescent="0.2">
      <c r="B828" s="78">
        <v>43891</v>
      </c>
      <c r="E828" s="22">
        <v>43405</v>
      </c>
      <c r="F828" s="78" t="s">
        <v>960</v>
      </c>
      <c r="G828" s="78">
        <v>117.5103</v>
      </c>
      <c r="I828" s="78">
        <v>134.43709999999999</v>
      </c>
      <c r="J828" s="78">
        <v>123.9555</v>
      </c>
      <c r="K828" s="78">
        <v>110.3706</v>
      </c>
      <c r="L828" s="78">
        <v>130.98849999999999</v>
      </c>
      <c r="M828" s="78">
        <v>137.9958</v>
      </c>
      <c r="N828" s="78">
        <v>125.3905</v>
      </c>
      <c r="O828" s="78">
        <v>109.7899</v>
      </c>
      <c r="P828" s="78">
        <v>128.1019</v>
      </c>
      <c r="R828" s="78">
        <v>101.3955</v>
      </c>
      <c r="S828" s="78">
        <v>115.7175</v>
      </c>
      <c r="AA828" s="78">
        <v>121.5468</v>
      </c>
      <c r="AC828" s="78">
        <v>135.11369999999999</v>
      </c>
      <c r="AD828" s="78">
        <v>130.63499999999999</v>
      </c>
      <c r="AE828" s="78">
        <v>133.78989999999999</v>
      </c>
      <c r="AG828" s="78">
        <v>107.6995</v>
      </c>
      <c r="AH828" s="78">
        <v>118.55589999999999</v>
      </c>
      <c r="AJ828" s="78">
        <v>109.8229</v>
      </c>
      <c r="AK828" s="78">
        <v>127.28400000000001</v>
      </c>
      <c r="AO828" s="78">
        <v>122.81399999999999</v>
      </c>
      <c r="AQ828" s="78">
        <v>118.1682</v>
      </c>
      <c r="AR828" s="78">
        <v>121.1863</v>
      </c>
      <c r="AT828" s="78">
        <v>129.4469</v>
      </c>
      <c r="AV828" s="78">
        <v>130.22200000000001</v>
      </c>
      <c r="AZ828" s="78">
        <v>127.8643</v>
      </c>
      <c r="BA828" s="78">
        <v>170.54839999999999</v>
      </c>
      <c r="BB828" s="78">
        <v>118.3819</v>
      </c>
      <c r="BC828" s="78">
        <v>122.75879999999999</v>
      </c>
      <c r="BD828" s="78">
        <v>127.355</v>
      </c>
    </row>
    <row r="829" spans="1:56" x14ac:dyDescent="0.2">
      <c r="E829" s="22">
        <v>43435</v>
      </c>
      <c r="F829" s="78" t="s">
        <v>961</v>
      </c>
      <c r="G829" s="78">
        <v>117.6784</v>
      </c>
      <c r="I829" s="78">
        <v>136.17949999999999</v>
      </c>
      <c r="J829" s="78">
        <v>125.5599</v>
      </c>
      <c r="K829" s="78">
        <v>110.79430000000001</v>
      </c>
      <c r="L829" s="78">
        <v>132.93719999999999</v>
      </c>
      <c r="M829" s="78">
        <v>139.0737</v>
      </c>
      <c r="N829" s="78">
        <v>126.68049999999999</v>
      </c>
      <c r="O829" s="78">
        <v>109.5078</v>
      </c>
      <c r="P829" s="78">
        <v>128.6249</v>
      </c>
      <c r="R829" s="78">
        <v>100.7769</v>
      </c>
      <c r="S829" s="78">
        <v>116.369</v>
      </c>
      <c r="AA829" s="78">
        <v>121.9855</v>
      </c>
      <c r="AC829" s="78">
        <v>135.178</v>
      </c>
      <c r="AD829" s="78">
        <v>130.50659999999999</v>
      </c>
      <c r="AE829" s="78">
        <v>134.80189999999999</v>
      </c>
      <c r="AG829" s="78">
        <v>108.3908</v>
      </c>
      <c r="AH829" s="78">
        <v>119.2406</v>
      </c>
      <c r="AJ829" s="78">
        <v>109.9443</v>
      </c>
      <c r="AK829" s="78">
        <v>128.14789999999999</v>
      </c>
      <c r="AO829" s="78">
        <v>123.21040000000001</v>
      </c>
      <c r="AQ829" s="78">
        <v>118.9401</v>
      </c>
      <c r="AR829" s="78">
        <v>121.7636</v>
      </c>
      <c r="AT829" s="78">
        <v>130.5016</v>
      </c>
      <c r="AV829" s="78">
        <v>130.35290000000001</v>
      </c>
      <c r="AZ829" s="78">
        <v>128.65090000000001</v>
      </c>
      <c r="BA829" s="78">
        <v>168.3227</v>
      </c>
      <c r="BB829" s="78">
        <v>119.2653</v>
      </c>
      <c r="BC829" s="78">
        <v>123.1177</v>
      </c>
      <c r="BD829" s="78">
        <v>127.9911</v>
      </c>
    </row>
    <row r="830" spans="1:56" x14ac:dyDescent="0.2">
      <c r="E830" s="22">
        <v>43466</v>
      </c>
      <c r="F830" s="78" t="s">
        <v>962</v>
      </c>
      <c r="G830" s="78">
        <v>118.12949999999999</v>
      </c>
      <c r="J830" s="78">
        <v>125.012</v>
      </c>
      <c r="N830" s="78">
        <v>127.3775</v>
      </c>
      <c r="O830" s="78">
        <v>109.3017</v>
      </c>
      <c r="P830" s="78">
        <v>128.84450000000001</v>
      </c>
      <c r="S830" s="78">
        <v>116.5331</v>
      </c>
      <c r="AA830" s="78">
        <v>121.7976</v>
      </c>
      <c r="AC830" s="78">
        <v>135.33699999999999</v>
      </c>
      <c r="AG830" s="78">
        <v>108.9879</v>
      </c>
      <c r="AH830" s="78">
        <v>119.9513</v>
      </c>
      <c r="AJ830" s="78">
        <v>110.0916</v>
      </c>
      <c r="AK830" s="78">
        <v>128.8485</v>
      </c>
      <c r="AQ830" s="78">
        <v>119.258</v>
      </c>
      <c r="AR830" s="78">
        <v>122.2276</v>
      </c>
      <c r="BB830" s="78">
        <v>119.9542</v>
      </c>
      <c r="BC830" s="78">
        <v>123.78189999999999</v>
      </c>
    </row>
    <row r="831" spans="1:56" x14ac:dyDescent="0.2">
      <c r="E831" s="22">
        <v>43497</v>
      </c>
      <c r="F831" s="78" t="s">
        <v>963</v>
      </c>
      <c r="G831" s="78">
        <v>118.6955</v>
      </c>
      <c r="J831" s="78">
        <v>126.27500000000001</v>
      </c>
      <c r="N831" s="78">
        <v>127.479</v>
      </c>
      <c r="O831" s="78">
        <v>109.8396</v>
      </c>
      <c r="P831" s="78">
        <v>130.0882</v>
      </c>
      <c r="S831" s="78">
        <v>116.65309999999999</v>
      </c>
      <c r="AA831" s="78">
        <v>120.49979999999999</v>
      </c>
      <c r="AC831" s="78">
        <v>136.24199999999999</v>
      </c>
      <c r="AG831" s="78">
        <v>109.50660000000001</v>
      </c>
      <c r="AH831" s="78">
        <v>121.3121</v>
      </c>
      <c r="AJ831" s="78">
        <v>110.2889</v>
      </c>
      <c r="AK831" s="78">
        <v>130.27860000000001</v>
      </c>
      <c r="AQ831" s="78">
        <v>119.5294</v>
      </c>
      <c r="AR831" s="78">
        <v>122.458</v>
      </c>
      <c r="BB831" s="78">
        <v>120.20189999999999</v>
      </c>
      <c r="BC831" s="78">
        <v>124.6473</v>
      </c>
    </row>
    <row r="832" spans="1:56" x14ac:dyDescent="0.2">
      <c r="E832" s="22">
        <v>43525</v>
      </c>
      <c r="F832" s="78" t="s">
        <v>964</v>
      </c>
      <c r="G832" s="78">
        <v>119.43519999999999</v>
      </c>
      <c r="J832" s="78">
        <v>127.8008</v>
      </c>
      <c r="N832" s="78">
        <v>128.69829999999999</v>
      </c>
      <c r="O832" s="78">
        <v>109.9597</v>
      </c>
      <c r="P832" s="78">
        <v>130.8682</v>
      </c>
      <c r="S832" s="78">
        <v>117.45569999999999</v>
      </c>
      <c r="AA832" s="78">
        <v>120.27719999999999</v>
      </c>
      <c r="AC832" s="78">
        <v>137.18190000000001</v>
      </c>
      <c r="AG832" s="78">
        <v>109.95359999999999</v>
      </c>
      <c r="AH832" s="78">
        <v>122.0823</v>
      </c>
      <c r="AJ832" s="78">
        <v>110.4823</v>
      </c>
      <c r="AK832" s="78">
        <v>131.911</v>
      </c>
      <c r="AQ832" s="78">
        <v>120.1408</v>
      </c>
      <c r="AR832" s="78">
        <v>122.92</v>
      </c>
      <c r="BB832" s="78">
        <v>120.5958</v>
      </c>
      <c r="BC832" s="78">
        <v>125.95010000000001</v>
      </c>
    </row>
    <row r="833" spans="5:55" x14ac:dyDescent="0.2">
      <c r="E833" s="22">
        <v>43556</v>
      </c>
      <c r="F833" s="78" t="s">
        <v>965</v>
      </c>
      <c r="G833" s="78">
        <v>120.04600000000001</v>
      </c>
      <c r="J833" s="78">
        <v>128.7808</v>
      </c>
      <c r="N833" s="78">
        <v>130.2542</v>
      </c>
      <c r="O833" s="78">
        <v>109.4699</v>
      </c>
      <c r="P833" s="78">
        <v>131.68</v>
      </c>
      <c r="S833" s="78">
        <v>118.4097</v>
      </c>
      <c r="AA833" s="78">
        <v>120.7488</v>
      </c>
      <c r="AC833" s="78">
        <v>137.9212</v>
      </c>
      <c r="AG833" s="78">
        <v>110.33240000000001</v>
      </c>
      <c r="AH833" s="78">
        <v>122.98399999999999</v>
      </c>
      <c r="AJ833" s="78">
        <v>110.7959</v>
      </c>
      <c r="AK833" s="78">
        <v>132.6781</v>
      </c>
      <c r="AQ833" s="78">
        <v>120.3567</v>
      </c>
      <c r="AR833" s="78">
        <v>123.4325</v>
      </c>
      <c r="BB833" s="78">
        <v>120.98220000000001</v>
      </c>
      <c r="BC833" s="78">
        <v>127.9987</v>
      </c>
    </row>
    <row r="834" spans="5:55" x14ac:dyDescent="0.2">
      <c r="E834" s="22">
        <v>43586</v>
      </c>
      <c r="F834" s="78" t="s">
        <v>966</v>
      </c>
      <c r="G834" s="78">
        <v>120.2225</v>
      </c>
      <c r="J834" s="78">
        <v>129.23859999999999</v>
      </c>
      <c r="N834" s="78">
        <v>131.34020000000001</v>
      </c>
      <c r="O834" s="78">
        <v>108.9413</v>
      </c>
      <c r="P834" s="78">
        <v>133.33750000000001</v>
      </c>
      <c r="S834" s="78">
        <v>119.145</v>
      </c>
      <c r="AA834" s="78">
        <v>121.1347</v>
      </c>
      <c r="AC834" s="78">
        <v>139.42740000000001</v>
      </c>
      <c r="AG834" s="78">
        <v>110.645</v>
      </c>
      <c r="AH834" s="78">
        <v>124.018</v>
      </c>
      <c r="AJ834" s="78">
        <v>111.0873</v>
      </c>
      <c r="AK834" s="78">
        <v>133.0505</v>
      </c>
      <c r="AQ834" s="78">
        <v>120.98480000000001</v>
      </c>
      <c r="AR834" s="78">
        <v>124.09480000000001</v>
      </c>
      <c r="BB834" s="78">
        <v>121.77079999999999</v>
      </c>
      <c r="BC834" s="78">
        <v>129.49350000000001</v>
      </c>
    </row>
    <row r="835" spans="5:55" x14ac:dyDescent="0.2">
      <c r="E835" s="22">
        <v>43617</v>
      </c>
      <c r="F835" s="78" t="s">
        <v>967</v>
      </c>
      <c r="G835" s="78">
        <v>120.33450000000001</v>
      </c>
      <c r="J835" s="78">
        <v>129.68219999999999</v>
      </c>
      <c r="N835" s="78">
        <v>132.15979999999999</v>
      </c>
      <c r="O835" s="78">
        <v>108.8036</v>
      </c>
      <c r="P835" s="78">
        <v>134.12370000000001</v>
      </c>
      <c r="S835" s="78">
        <v>119.85169999999999</v>
      </c>
      <c r="AA835" s="78">
        <v>121.42359999999999</v>
      </c>
      <c r="AC835" s="78">
        <v>139.73929999999999</v>
      </c>
      <c r="AG835" s="78">
        <v>111.00069999999999</v>
      </c>
      <c r="AH835" s="78">
        <v>124.58499999999999</v>
      </c>
      <c r="AJ835" s="78">
        <v>111.1465</v>
      </c>
      <c r="AK835" s="78">
        <v>133.93969999999999</v>
      </c>
      <c r="AQ835" s="78">
        <v>121.61279999999999</v>
      </c>
      <c r="AR835" s="78">
        <v>124.8171</v>
      </c>
      <c r="BB835" s="78">
        <v>122.8304</v>
      </c>
      <c r="BC835" s="78">
        <v>130.11689999999999</v>
      </c>
    </row>
    <row r="836" spans="5:55" x14ac:dyDescent="0.2">
      <c r="E836" s="22">
        <v>43647</v>
      </c>
      <c r="F836" s="78" t="s">
        <v>968</v>
      </c>
      <c r="G836" s="78">
        <v>119.8386</v>
      </c>
      <c r="J836" s="78">
        <v>130.82640000000001</v>
      </c>
      <c r="N836" s="78">
        <v>133.00989999999999</v>
      </c>
      <c r="O836" s="78">
        <v>109.0732</v>
      </c>
      <c r="P836" s="78">
        <v>134.34219999999999</v>
      </c>
      <c r="S836" s="78">
        <v>120.4301</v>
      </c>
      <c r="AA836" s="78">
        <v>121.7456</v>
      </c>
      <c r="AC836" s="78">
        <v>139.57910000000001</v>
      </c>
      <c r="AG836" s="78">
        <v>111.4567</v>
      </c>
      <c r="AH836" s="78">
        <v>124.58159999999999</v>
      </c>
      <c r="AJ836" s="78">
        <v>111.3233</v>
      </c>
      <c r="AK836" s="78">
        <v>134.95160000000001</v>
      </c>
      <c r="AQ836" s="78">
        <v>122.0004</v>
      </c>
      <c r="AR836" s="78">
        <v>125.3587</v>
      </c>
      <c r="BB836" s="78">
        <v>123.49679999999999</v>
      </c>
      <c r="BC836" s="78">
        <v>130.673</v>
      </c>
    </row>
    <row r="837" spans="5:55" x14ac:dyDescent="0.2">
      <c r="E837" s="22">
        <v>43678</v>
      </c>
      <c r="F837" s="78" t="s">
        <v>969</v>
      </c>
      <c r="G837" s="78">
        <v>119.3875</v>
      </c>
      <c r="J837" s="78">
        <v>131.92840000000001</v>
      </c>
      <c r="N837" s="78">
        <v>133.99289999999999</v>
      </c>
      <c r="O837" s="78">
        <v>109.5753</v>
      </c>
      <c r="P837" s="78">
        <v>135.4203</v>
      </c>
      <c r="S837" s="78">
        <v>121.24509999999999</v>
      </c>
      <c r="AA837" s="78">
        <v>122.10209999999999</v>
      </c>
      <c r="AC837" s="78">
        <v>140.9171</v>
      </c>
      <c r="AG837" s="78">
        <v>111.8946</v>
      </c>
      <c r="AH837" s="78">
        <v>124.85760000000001</v>
      </c>
      <c r="AJ837" s="78">
        <v>111.5476</v>
      </c>
      <c r="AK837" s="78">
        <v>135.53829999999999</v>
      </c>
      <c r="AQ837" s="78">
        <v>123.41240000000001</v>
      </c>
      <c r="AR837" s="78">
        <v>125.9179</v>
      </c>
      <c r="BB837" s="78">
        <v>124.1027</v>
      </c>
      <c r="BC837" s="78">
        <v>131.24449999999999</v>
      </c>
    </row>
    <row r="838" spans="5:55" x14ac:dyDescent="0.2">
      <c r="E838" s="22">
        <v>43709</v>
      </c>
      <c r="F838" s="78" t="s">
        <v>970</v>
      </c>
      <c r="G838" s="78">
        <v>119.65649999999999</v>
      </c>
      <c r="J838" s="78">
        <v>132.7681</v>
      </c>
      <c r="N838" s="78">
        <v>135.59639999999999</v>
      </c>
      <c r="O838" s="78">
        <v>110.1035</v>
      </c>
      <c r="P838" s="78">
        <v>136.1405</v>
      </c>
      <c r="S838" s="78">
        <v>121.646</v>
      </c>
      <c r="AA838" s="78">
        <v>121.9776</v>
      </c>
      <c r="AC838" s="78">
        <v>142.1634</v>
      </c>
      <c r="AG838" s="78">
        <v>112.2428</v>
      </c>
      <c r="AH838" s="78">
        <v>125.5307</v>
      </c>
      <c r="AJ838" s="78">
        <v>111.78400000000001</v>
      </c>
      <c r="AK838" s="78">
        <v>135.989</v>
      </c>
      <c r="AQ838" s="78">
        <v>123.7409</v>
      </c>
      <c r="AR838" s="78">
        <v>126.5034</v>
      </c>
      <c r="BB838" s="78">
        <v>124.8614</v>
      </c>
      <c r="BC838" s="78">
        <v>131.19479999999999</v>
      </c>
    </row>
    <row r="839" spans="5:55" x14ac:dyDescent="0.2">
      <c r="E839" s="22">
        <v>43739</v>
      </c>
      <c r="F839" s="78" t="s">
        <v>971</v>
      </c>
      <c r="G839" s="78">
        <v>120.02070000000001</v>
      </c>
      <c r="J839" s="78">
        <v>133.61670000000001</v>
      </c>
      <c r="N839" s="78">
        <v>136.6858</v>
      </c>
      <c r="O839" s="78">
        <v>109.3617</v>
      </c>
      <c r="P839" s="78">
        <v>136.7449</v>
      </c>
      <c r="S839" s="78">
        <v>121.751</v>
      </c>
      <c r="AA839" s="78">
        <v>121.4123</v>
      </c>
      <c r="AC839" s="78">
        <v>143.41929999999999</v>
      </c>
      <c r="AG839" s="78">
        <v>112.4932</v>
      </c>
      <c r="AH839" s="78">
        <v>126.2932</v>
      </c>
      <c r="AJ839" s="78">
        <v>111.97490000000001</v>
      </c>
      <c r="AK839" s="78">
        <v>137.25059999999999</v>
      </c>
      <c r="AQ839" s="78">
        <v>123.3147</v>
      </c>
      <c r="AR839" s="78">
        <v>127.2166</v>
      </c>
      <c r="BB839" s="78">
        <v>125.9392</v>
      </c>
      <c r="BC839" s="78">
        <v>131.1584</v>
      </c>
    </row>
    <row r="840" spans="5:55" x14ac:dyDescent="0.2">
      <c r="E840" s="22">
        <v>43770</v>
      </c>
      <c r="F840" s="78" t="s">
        <v>972</v>
      </c>
      <c r="G840" s="78">
        <v>120.455</v>
      </c>
      <c r="J840" s="78">
        <v>134.4068</v>
      </c>
      <c r="N840" s="78">
        <v>137.46799999999999</v>
      </c>
      <c r="O840" s="78">
        <v>108.2209</v>
      </c>
      <c r="P840" s="78">
        <v>137.9785</v>
      </c>
      <c r="S840" s="78">
        <v>122.4995</v>
      </c>
      <c r="AA840" s="78">
        <v>121.1966</v>
      </c>
      <c r="AC840" s="78">
        <v>145.07820000000001</v>
      </c>
      <c r="AG840" s="78">
        <v>112.6972</v>
      </c>
      <c r="AH840" s="78">
        <v>126.9498</v>
      </c>
      <c r="AJ840" s="78">
        <v>112.24079999999999</v>
      </c>
      <c r="AK840" s="78">
        <v>138.41929999999999</v>
      </c>
      <c r="AQ840" s="78">
        <v>123.7646</v>
      </c>
      <c r="AR840" s="78">
        <v>127.9162</v>
      </c>
      <c r="BB840" s="78">
        <v>126.8068</v>
      </c>
      <c r="BC840" s="78">
        <v>131.6885</v>
      </c>
    </row>
    <row r="841" spans="5:55" x14ac:dyDescent="0.2">
      <c r="E841" s="22">
        <v>43800</v>
      </c>
      <c r="F841" s="78" t="s">
        <v>973</v>
      </c>
      <c r="G841" s="78">
        <v>120.6848</v>
      </c>
      <c r="J841" s="78">
        <v>135.34200000000001</v>
      </c>
      <c r="N841" s="78">
        <v>137.88829999999999</v>
      </c>
      <c r="O841" s="78">
        <v>109.9037</v>
      </c>
      <c r="P841" s="78">
        <v>137.9667</v>
      </c>
      <c r="S841" s="78">
        <v>122.79519999999999</v>
      </c>
      <c r="AA841" s="78">
        <v>121.66630000000001</v>
      </c>
      <c r="AC841" s="78">
        <v>146.0557</v>
      </c>
      <c r="AG841" s="78">
        <v>112.9164</v>
      </c>
      <c r="AH841" s="78">
        <v>127.6447</v>
      </c>
      <c r="AJ841" s="78">
        <v>112.432</v>
      </c>
      <c r="AK841" s="78">
        <v>138.81309999999999</v>
      </c>
      <c r="AQ841" s="78">
        <v>124.0591</v>
      </c>
      <c r="AR841" s="78">
        <v>128.4169</v>
      </c>
      <c r="BB841" s="78">
        <v>127.2988</v>
      </c>
      <c r="BC841" s="78">
        <v>131.3005</v>
      </c>
    </row>
    <row r="842" spans="5:55" x14ac:dyDescent="0.2">
      <c r="E842" s="22">
        <v>43831</v>
      </c>
      <c r="F842" s="78" t="s">
        <v>974</v>
      </c>
      <c r="G842" s="78">
        <v>120.9705</v>
      </c>
      <c r="J842" s="78">
        <v>135.62620000000001</v>
      </c>
      <c r="N842" s="78">
        <v>138.35069999999999</v>
      </c>
      <c r="O842" s="78">
        <v>113.2906</v>
      </c>
      <c r="P842" s="78">
        <v>138.45959999999999</v>
      </c>
      <c r="S842" s="78">
        <v>122.64190000000001</v>
      </c>
      <c r="AA842" s="78">
        <v>122.02500000000001</v>
      </c>
      <c r="AC842" s="78">
        <v>147.25720000000001</v>
      </c>
      <c r="AJ842" s="78">
        <v>112.6397</v>
      </c>
      <c r="AQ842" s="78">
        <v>124.1506</v>
      </c>
      <c r="AR842" s="78">
        <v>129.1352</v>
      </c>
      <c r="BB842" s="78">
        <v>128.29849999999999</v>
      </c>
      <c r="BC842" s="78">
        <v>131.8218</v>
      </c>
    </row>
    <row r="843" spans="5:55" x14ac:dyDescent="0.2">
      <c r="E843" s="22">
        <v>43862</v>
      </c>
      <c r="F843" s="78" t="s">
        <v>975</v>
      </c>
      <c r="G843" s="78">
        <v>121.3908</v>
      </c>
      <c r="J843" s="78">
        <v>137.16659999999999</v>
      </c>
      <c r="N843" s="78">
        <v>139.5625</v>
      </c>
      <c r="P843" s="78">
        <v>140.3459</v>
      </c>
      <c r="S843" s="78">
        <v>123.126</v>
      </c>
      <c r="AA843" s="78">
        <v>122.63030000000001</v>
      </c>
      <c r="AC843" s="78">
        <v>149.33099999999999</v>
      </c>
      <c r="AJ843" s="78">
        <v>113.02030000000001</v>
      </c>
      <c r="AQ843" s="78">
        <v>124.6448</v>
      </c>
      <c r="AR843" s="78">
        <v>129.9091</v>
      </c>
      <c r="BB843" s="78">
        <v>129.1062</v>
      </c>
      <c r="BC843" s="78">
        <v>133.83850000000001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C760"/>
  <sheetViews>
    <sheetView zoomScale="180" zoomScaleNormal="180" workbookViewId="0">
      <pane ySplit="5" topLeftCell="A736" activePane="bottomLeft" state="frozen"/>
      <selection pane="bottomLeft" activeCell="L755" sqref="L755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8" customWidth="1"/>
    <col min="7" max="7" width="13.33203125" style="78" customWidth="1"/>
    <col min="8" max="11" width="9.1640625" style="78" customWidth="1"/>
    <col min="12" max="16384" width="9.1640625" style="78"/>
  </cols>
  <sheetData>
    <row r="1" spans="1:3" x14ac:dyDescent="0.2">
      <c r="A1" s="1" t="s">
        <v>14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50" t="s">
        <v>976</v>
      </c>
      <c r="B5" s="51" t="s">
        <v>977</v>
      </c>
      <c r="C5" s="52" t="s">
        <v>978</v>
      </c>
    </row>
    <row r="6" spans="1:3" x14ac:dyDescent="0.2">
      <c r="A6" s="26">
        <v>21551</v>
      </c>
      <c r="B6" s="27">
        <f>VLOOKUP(Table3032[[#This Row],[Month]],'DB Money Supply'!$A:$D,2)</f>
        <v>478.8</v>
      </c>
      <c r="C6" s="24"/>
    </row>
    <row r="7" spans="1:3" x14ac:dyDescent="0.2">
      <c r="A7" s="26">
        <v>21582</v>
      </c>
      <c r="B7" s="27">
        <f>VLOOKUP(Table3032[[#This Row],[Month]],'DB Money Supply'!$A:$D,2)</f>
        <v>480.7</v>
      </c>
      <c r="C7" s="24"/>
    </row>
    <row r="8" spans="1:3" x14ac:dyDescent="0.2">
      <c r="A8" s="26">
        <v>21610</v>
      </c>
      <c r="B8" s="27">
        <f>VLOOKUP(Table3032[[#This Row],[Month]],'DB Money Supply'!$A:$D,2)</f>
        <v>482.2</v>
      </c>
      <c r="C8" s="24"/>
    </row>
    <row r="9" spans="1:3" x14ac:dyDescent="0.2">
      <c r="A9" s="26">
        <v>21641</v>
      </c>
      <c r="B9" s="27">
        <f>VLOOKUP(Table3032[[#This Row],[Month]],'DB Money Supply'!$A:$D,2)</f>
        <v>482.1</v>
      </c>
      <c r="C9" s="24"/>
    </row>
    <row r="10" spans="1:3" x14ac:dyDescent="0.2">
      <c r="A10" s="26">
        <v>21671</v>
      </c>
      <c r="B10" s="27">
        <f>VLOOKUP(Table3032[[#This Row],[Month]],'DB Money Supply'!$A:$D,2)</f>
        <v>484.5</v>
      </c>
      <c r="C10" s="24"/>
    </row>
    <row r="11" spans="1:3" x14ac:dyDescent="0.2">
      <c r="A11" s="26">
        <v>21702</v>
      </c>
      <c r="B11" s="27">
        <f>VLOOKUP(Table3032[[#This Row],[Month]],'DB Money Supply'!$A:$D,2)</f>
        <v>485.1</v>
      </c>
      <c r="C11" s="24"/>
    </row>
    <row r="12" spans="1:3" x14ac:dyDescent="0.2">
      <c r="A12" s="26">
        <v>21732</v>
      </c>
      <c r="B12" s="27">
        <f>VLOOKUP(Table3032[[#This Row],[Month]],'DB Money Supply'!$A:$D,2)</f>
        <v>486.1</v>
      </c>
      <c r="C12" s="24"/>
    </row>
    <row r="13" spans="1:3" x14ac:dyDescent="0.2">
      <c r="A13" s="26">
        <v>21763</v>
      </c>
      <c r="B13" s="27">
        <f>VLOOKUP(Table3032[[#This Row],[Month]],'DB Money Supply'!$A:$D,2)</f>
        <v>486.3</v>
      </c>
      <c r="C13" s="24"/>
    </row>
    <row r="14" spans="1:3" x14ac:dyDescent="0.2">
      <c r="A14" s="26">
        <v>21794</v>
      </c>
      <c r="B14" s="27">
        <f>VLOOKUP(Table3032[[#This Row],[Month]],'DB Money Supply'!$A:$D,2)</f>
        <v>482.1</v>
      </c>
      <c r="C14" s="24"/>
    </row>
    <row r="15" spans="1:3" x14ac:dyDescent="0.2">
      <c r="A15" s="26">
        <v>21824</v>
      </c>
      <c r="B15" s="27">
        <f>VLOOKUP(Table3032[[#This Row],[Month]],'DB Money Supply'!$A:$D,2)</f>
        <v>478.7</v>
      </c>
      <c r="C15" s="24"/>
    </row>
    <row r="16" spans="1:3" x14ac:dyDescent="0.2">
      <c r="A16" s="26">
        <v>21855</v>
      </c>
      <c r="B16" s="27">
        <f>VLOOKUP(Table3032[[#This Row],[Month]],'DB Money Supply'!$A:$D,2)</f>
        <v>478.4</v>
      </c>
      <c r="C16" s="24"/>
    </row>
    <row r="17" spans="1:3" x14ac:dyDescent="0.2">
      <c r="A17" s="26">
        <v>21885</v>
      </c>
      <c r="B17" s="27">
        <f>VLOOKUP(Table3032[[#This Row],[Month]],'DB Money Supply'!$A:$D,2)</f>
        <v>475.7</v>
      </c>
      <c r="C17" s="24"/>
    </row>
    <row r="18" spans="1:3" x14ac:dyDescent="0.2">
      <c r="A18" s="26">
        <v>21916</v>
      </c>
      <c r="B18" s="27">
        <f>VLOOKUP(Table3032[[#This Row],[Month]],'DB Money Supply'!$A:$D,2)</f>
        <v>476.7</v>
      </c>
      <c r="C18" s="65">
        <f>(Table3032[[#This Row],[Real M1 Money Stock]]-B6)/B6</f>
        <v>-4.3859649122807492E-3</v>
      </c>
    </row>
    <row r="19" spans="1:3" x14ac:dyDescent="0.2">
      <c r="A19" s="26">
        <v>21947</v>
      </c>
      <c r="B19" s="27">
        <f>VLOOKUP(Table3032[[#This Row],[Month]],'DB Money Supply'!$A:$D,2)</f>
        <v>475.7</v>
      </c>
      <c r="C19" s="65">
        <f>(Table3032[[#This Row],[Real M1 Money Stock]]-B7)/B7</f>
        <v>-1.0401497815685459E-2</v>
      </c>
    </row>
    <row r="20" spans="1:3" x14ac:dyDescent="0.2">
      <c r="A20" s="26">
        <v>21976</v>
      </c>
      <c r="B20" s="27">
        <f>VLOOKUP(Table3032[[#This Row],[Month]],'DB Money Supply'!$A:$D,2)</f>
        <v>475.3</v>
      </c>
      <c r="C20" s="65">
        <f>(Table3032[[#This Row],[Real M1 Money Stock]]-B8)/B8</f>
        <v>-1.4309415180423014E-2</v>
      </c>
    </row>
    <row r="21" spans="1:3" x14ac:dyDescent="0.2">
      <c r="A21" s="26">
        <v>22007</v>
      </c>
      <c r="B21" s="27">
        <f>VLOOKUP(Table3032[[#This Row],[Month]],'DB Money Supply'!$A:$D,2)</f>
        <v>472.6</v>
      </c>
      <c r="C21" s="65">
        <f>(Table3032[[#This Row],[Real M1 Money Stock]]-B9)/B9</f>
        <v>-1.9705455299730345E-2</v>
      </c>
    </row>
    <row r="22" spans="1:3" x14ac:dyDescent="0.2">
      <c r="A22" s="26">
        <v>22037</v>
      </c>
      <c r="B22" s="27">
        <f>VLOOKUP(Table3032[[#This Row],[Month]],'DB Money Supply'!$A:$D,2)</f>
        <v>472.1</v>
      </c>
      <c r="C22" s="65">
        <f>(Table3032[[#This Row],[Real M1 Money Stock]]-B10)/B10</f>
        <v>-2.5593395252837929E-2</v>
      </c>
    </row>
    <row r="23" spans="1:3" x14ac:dyDescent="0.2">
      <c r="A23" s="26">
        <v>22068</v>
      </c>
      <c r="B23" s="27">
        <f>VLOOKUP(Table3032[[#This Row],[Month]],'DB Money Supply'!$A:$D,2)</f>
        <v>471.5</v>
      </c>
      <c r="C23" s="65">
        <f>(Table3032[[#This Row],[Real M1 Money Stock]]-B11)/B11</f>
        <v>-2.8035456606885223E-2</v>
      </c>
    </row>
    <row r="24" spans="1:3" x14ac:dyDescent="0.2">
      <c r="A24" s="26">
        <v>22098</v>
      </c>
      <c r="B24" s="27">
        <f>VLOOKUP(Table3032[[#This Row],[Month]],'DB Money Supply'!$A:$D,2)</f>
        <v>474.5</v>
      </c>
      <c r="C24" s="65">
        <f>(Table3032[[#This Row],[Real M1 Money Stock]]-B12)/B12</f>
        <v>-2.3863402592059293E-2</v>
      </c>
    </row>
    <row r="25" spans="1:3" x14ac:dyDescent="0.2">
      <c r="A25" s="26">
        <v>22129</v>
      </c>
      <c r="B25" s="27">
        <f>VLOOKUP(Table3032[[#This Row],[Month]],'DB Money Supply'!$A:$D,2)</f>
        <v>477.2</v>
      </c>
      <c r="C25" s="65">
        <f>(Table3032[[#This Row],[Real M1 Money Stock]]-B13)/B13</f>
        <v>-1.8712728768250097E-2</v>
      </c>
    </row>
    <row r="26" spans="1:3" x14ac:dyDescent="0.2">
      <c r="A26" s="26">
        <v>22160</v>
      </c>
      <c r="B26" s="27">
        <f>VLOOKUP(Table3032[[#This Row],[Month]],'DB Money Supply'!$A:$D,2)</f>
        <v>476.9</v>
      </c>
      <c r="C26" s="65">
        <f>(Table3032[[#This Row],[Real M1 Money Stock]]-B14)/B14</f>
        <v>-1.0786143953536704E-2</v>
      </c>
    </row>
    <row r="27" spans="1:3" x14ac:dyDescent="0.2">
      <c r="A27" s="26">
        <v>22190</v>
      </c>
      <c r="B27" s="27">
        <f>VLOOKUP(Table3032[[#This Row],[Month]],'DB Money Supply'!$A:$D,2)</f>
        <v>473.6</v>
      </c>
      <c r="C27" s="65">
        <f>(Table3032[[#This Row],[Real M1 Money Stock]]-B15)/B15</f>
        <v>-1.0653854188426919E-2</v>
      </c>
    </row>
    <row r="28" spans="1:3" x14ac:dyDescent="0.2">
      <c r="A28" s="26">
        <v>22221</v>
      </c>
      <c r="B28" s="27">
        <f>VLOOKUP(Table3032[[#This Row],[Month]],'DB Money Supply'!$A:$D,2)</f>
        <v>473.1</v>
      </c>
      <c r="C28" s="65">
        <f>(Table3032[[#This Row],[Real M1 Money Stock]]-B16)/B16</f>
        <v>-1.1078595317725658E-2</v>
      </c>
    </row>
    <row r="29" spans="1:3" x14ac:dyDescent="0.2">
      <c r="A29" s="26">
        <v>22251</v>
      </c>
      <c r="B29" s="27">
        <f>VLOOKUP(Table3032[[#This Row],[Month]],'DB Money Supply'!$A:$D,2)</f>
        <v>472</v>
      </c>
      <c r="C29" s="65">
        <f>(Table3032[[#This Row],[Real M1 Money Stock]]-B17)/B17</f>
        <v>-7.7780113516922192E-3</v>
      </c>
    </row>
    <row r="30" spans="1:3" x14ac:dyDescent="0.2">
      <c r="A30" s="26">
        <v>22282</v>
      </c>
      <c r="B30" s="27">
        <f>VLOOKUP(Table3032[[#This Row],[Month]],'DB Money Supply'!$A:$D,2)</f>
        <v>472.9</v>
      </c>
      <c r="C30" s="65">
        <f>(Table3032[[#This Row],[Real M1 Money Stock]]-B18)/B18</f>
        <v>-7.9714705265366299E-3</v>
      </c>
    </row>
    <row r="31" spans="1:3" x14ac:dyDescent="0.2">
      <c r="A31" s="26">
        <v>22313</v>
      </c>
      <c r="B31" s="27">
        <f>VLOOKUP(Table3032[[#This Row],[Month]],'DB Money Supply'!$A:$D,2)</f>
        <v>474.5</v>
      </c>
      <c r="C31" s="65">
        <f>(Table3032[[#This Row],[Real M1 Money Stock]]-B19)/B19</f>
        <v>-2.5225982762244873E-3</v>
      </c>
    </row>
    <row r="32" spans="1:3" x14ac:dyDescent="0.2">
      <c r="A32" s="26">
        <v>22341</v>
      </c>
      <c r="B32" s="27">
        <f>VLOOKUP(Table3032[[#This Row],[Month]],'DB Money Supply'!$A:$D,2)</f>
        <v>475.5</v>
      </c>
      <c r="C32" s="65">
        <f>(Table3032[[#This Row],[Real M1 Money Stock]]-B20)/B20</f>
        <v>4.2078687144958684E-4</v>
      </c>
    </row>
    <row r="33" spans="1:3" x14ac:dyDescent="0.2">
      <c r="A33" s="26">
        <v>22372</v>
      </c>
      <c r="B33" s="27">
        <f>VLOOKUP(Table3032[[#This Row],[Month]],'DB Money Supply'!$A:$D,2)</f>
        <v>476.7</v>
      </c>
      <c r="C33" s="65">
        <f>(Table3032[[#This Row],[Real M1 Money Stock]]-B21)/B21</f>
        <v>8.6754126110875282E-3</v>
      </c>
    </row>
    <row r="34" spans="1:3" x14ac:dyDescent="0.2">
      <c r="A34" s="26">
        <v>22402</v>
      </c>
      <c r="B34" s="27">
        <f>VLOOKUP(Table3032[[#This Row],[Month]],'DB Money Supply'!$A:$D,2)</f>
        <v>478.2</v>
      </c>
      <c r="C34" s="65">
        <f>(Table3032[[#This Row],[Real M1 Money Stock]]-B22)/B22</f>
        <v>1.2920991315399206E-2</v>
      </c>
    </row>
    <row r="35" spans="1:3" x14ac:dyDescent="0.2">
      <c r="A35" s="26">
        <v>22433</v>
      </c>
      <c r="B35" s="27">
        <f>VLOOKUP(Table3032[[#This Row],[Month]],'DB Money Supply'!$A:$D,2)</f>
        <v>478.9</v>
      </c>
      <c r="C35" s="65">
        <f>(Table3032[[#This Row],[Real M1 Money Stock]]-B23)/B23</f>
        <v>1.5694591728525931E-2</v>
      </c>
    </row>
    <row r="36" spans="1:3" x14ac:dyDescent="0.2">
      <c r="A36" s="26">
        <v>22463</v>
      </c>
      <c r="B36" s="27">
        <f>VLOOKUP(Table3032[[#This Row],[Month]],'DB Money Supply'!$A:$D,2)</f>
        <v>477.6</v>
      </c>
      <c r="C36" s="65">
        <f>(Table3032[[#This Row],[Real M1 Money Stock]]-B24)/B24</f>
        <v>6.5331928345627455E-3</v>
      </c>
    </row>
    <row r="37" spans="1:3" x14ac:dyDescent="0.2">
      <c r="A37" s="26">
        <v>22494</v>
      </c>
      <c r="B37" s="27">
        <f>VLOOKUP(Table3032[[#This Row],[Month]],'DB Money Supply'!$A:$D,2)</f>
        <v>479.3</v>
      </c>
      <c r="C37" s="65">
        <f>(Table3032[[#This Row],[Real M1 Money Stock]]-B25)/B25</f>
        <v>4.4006705783738954E-3</v>
      </c>
    </row>
    <row r="38" spans="1:3" x14ac:dyDescent="0.2">
      <c r="A38" s="26">
        <v>22525</v>
      </c>
      <c r="B38" s="27">
        <f>VLOOKUP(Table3032[[#This Row],[Month]],'DB Money Supply'!$A:$D,2)</f>
        <v>479.7</v>
      </c>
      <c r="C38" s="65">
        <f>(Table3032[[#This Row],[Real M1 Money Stock]]-B26)/B26</f>
        <v>5.8712518347662224E-3</v>
      </c>
    </row>
    <row r="39" spans="1:3" x14ac:dyDescent="0.2">
      <c r="A39" s="26">
        <v>22555</v>
      </c>
      <c r="B39" s="27">
        <f>VLOOKUP(Table3032[[#This Row],[Month]],'DB Money Supply'!$A:$D,2)</f>
        <v>480.7</v>
      </c>
      <c r="C39" s="65">
        <f>(Table3032[[#This Row],[Real M1 Money Stock]]-B27)/B27</f>
        <v>1.4991554054053981E-2</v>
      </c>
    </row>
    <row r="40" spans="1:3" x14ac:dyDescent="0.2">
      <c r="A40" s="26">
        <v>22586</v>
      </c>
      <c r="B40" s="27">
        <f>VLOOKUP(Table3032[[#This Row],[Month]],'DB Money Supply'!$A:$D,2)</f>
        <v>483</v>
      </c>
      <c r="C40" s="65">
        <f>(Table3032[[#This Row],[Real M1 Money Stock]]-B28)/B28</f>
        <v>2.0925808497146432E-2</v>
      </c>
    </row>
    <row r="41" spans="1:3" x14ac:dyDescent="0.2">
      <c r="A41" s="26">
        <v>22616</v>
      </c>
      <c r="B41" s="27">
        <f>VLOOKUP(Table3032[[#This Row],[Month]],'DB Money Supply'!$A:$D,2)</f>
        <v>483.8</v>
      </c>
      <c r="C41" s="65">
        <f>(Table3032[[#This Row],[Real M1 Money Stock]]-B29)/B29</f>
        <v>2.5000000000000026E-2</v>
      </c>
    </row>
    <row r="42" spans="1:3" x14ac:dyDescent="0.2">
      <c r="A42" s="26">
        <v>22647</v>
      </c>
      <c r="B42" s="27">
        <f>VLOOKUP(Table3032[[#This Row],[Month]],'DB Money Supply'!$A:$D,2)</f>
        <v>483.4</v>
      </c>
      <c r="C42" s="65">
        <f>(Table3032[[#This Row],[Real M1 Money Stock]]-B30)/B30</f>
        <v>2.2203425671389301E-2</v>
      </c>
    </row>
    <row r="43" spans="1:3" x14ac:dyDescent="0.2">
      <c r="A43" s="26">
        <v>22678</v>
      </c>
      <c r="B43" s="27">
        <f>VLOOKUP(Table3032[[#This Row],[Month]],'DB Money Supply'!$A:$D,2)</f>
        <v>483.9</v>
      </c>
      <c r="C43" s="65">
        <f>(Table3032[[#This Row],[Real M1 Money Stock]]-B31)/B31</f>
        <v>1.9810326659641681E-2</v>
      </c>
    </row>
    <row r="44" spans="1:3" x14ac:dyDescent="0.2">
      <c r="A44" s="26">
        <v>22706</v>
      </c>
      <c r="B44" s="27">
        <f>VLOOKUP(Table3032[[#This Row],[Month]],'DB Money Supply'!$A:$D,2)</f>
        <v>483.9</v>
      </c>
      <c r="C44" s="65">
        <f>(Table3032[[#This Row],[Real M1 Money Stock]]-B32)/B32</f>
        <v>1.7665615141955786E-2</v>
      </c>
    </row>
    <row r="45" spans="1:3" x14ac:dyDescent="0.2">
      <c r="A45" s="26">
        <v>22737</v>
      </c>
      <c r="B45" s="27">
        <f>VLOOKUP(Table3032[[#This Row],[Month]],'DB Money Supply'!$A:$D,2)</f>
        <v>484.6</v>
      </c>
      <c r="C45" s="65">
        <f>(Table3032[[#This Row],[Real M1 Money Stock]]-B33)/B33</f>
        <v>1.6572267673589332E-2</v>
      </c>
    </row>
    <row r="46" spans="1:3" x14ac:dyDescent="0.2">
      <c r="A46" s="26">
        <v>22767</v>
      </c>
      <c r="B46" s="27">
        <f>VLOOKUP(Table3032[[#This Row],[Month]],'DB Money Supply'!$A:$D,2)</f>
        <v>485.4</v>
      </c>
      <c r="C46" s="65">
        <f>(Table3032[[#This Row],[Real M1 Money Stock]]-B34)/B34</f>
        <v>1.5056461731493076E-2</v>
      </c>
    </row>
    <row r="47" spans="1:3" x14ac:dyDescent="0.2">
      <c r="A47" s="26">
        <v>22798</v>
      </c>
      <c r="B47" s="27">
        <f>VLOOKUP(Table3032[[#This Row],[Month]],'DB Money Supply'!$A:$D,2)</f>
        <v>485.3</v>
      </c>
      <c r="C47" s="65">
        <f>(Table3032[[#This Row],[Real M1 Money Stock]]-B35)/B35</f>
        <v>1.336395907287541E-2</v>
      </c>
    </row>
    <row r="48" spans="1:3" x14ac:dyDescent="0.2">
      <c r="A48" s="26">
        <v>22828</v>
      </c>
      <c r="B48" s="27">
        <f>VLOOKUP(Table3032[[#This Row],[Month]],'DB Money Supply'!$A:$D,2)</f>
        <v>484.8</v>
      </c>
      <c r="C48" s="65">
        <f>(Table3032[[#This Row],[Real M1 Money Stock]]-B36)/B36</f>
        <v>1.5075376884422086E-2</v>
      </c>
    </row>
    <row r="49" spans="1:3" x14ac:dyDescent="0.2">
      <c r="A49" s="26">
        <v>22859</v>
      </c>
      <c r="B49" s="27">
        <f>VLOOKUP(Table3032[[#This Row],[Month]],'DB Money Supply'!$A:$D,2)</f>
        <v>484.1</v>
      </c>
      <c r="C49" s="65">
        <f>(Table3032[[#This Row],[Real M1 Money Stock]]-B37)/B37</f>
        <v>1.0014604631754666E-2</v>
      </c>
    </row>
    <row r="50" spans="1:3" x14ac:dyDescent="0.2">
      <c r="A50" s="26">
        <v>22890</v>
      </c>
      <c r="B50" s="27">
        <f>VLOOKUP(Table3032[[#This Row],[Month]],'DB Money Supply'!$A:$D,2)</f>
        <v>480.9</v>
      </c>
      <c r="C50" s="65">
        <f>(Table3032[[#This Row],[Real M1 Money Stock]]-B38)/B38</f>
        <v>2.5015634771732094E-3</v>
      </c>
    </row>
    <row r="51" spans="1:3" x14ac:dyDescent="0.2">
      <c r="A51" s="26">
        <v>22920</v>
      </c>
      <c r="B51" s="27">
        <f>VLOOKUP(Table3032[[#This Row],[Month]],'DB Money Supply'!$A:$D,2)</f>
        <v>482.9</v>
      </c>
      <c r="C51" s="65">
        <f>(Table3032[[#This Row],[Real M1 Money Stock]]-B39)/B39</f>
        <v>4.5766590389015784E-3</v>
      </c>
    </row>
    <row r="52" spans="1:3" x14ac:dyDescent="0.2">
      <c r="A52" s="26">
        <v>22951</v>
      </c>
      <c r="B52" s="27">
        <f>VLOOKUP(Table3032[[#This Row],[Month]],'DB Money Supply'!$A:$D,2)</f>
        <v>484.9</v>
      </c>
      <c r="C52" s="65">
        <f>(Table3032[[#This Row],[Real M1 Money Stock]]-B40)/B40</f>
        <v>3.9337474120082344E-3</v>
      </c>
    </row>
    <row r="53" spans="1:3" x14ac:dyDescent="0.2">
      <c r="A53" s="26">
        <v>22981</v>
      </c>
      <c r="B53" s="27">
        <f>VLOOKUP(Table3032[[#This Row],[Month]],'DB Money Supply'!$A:$D,2)</f>
        <v>486.5</v>
      </c>
      <c r="C53" s="65">
        <f>(Table3032[[#This Row],[Real M1 Money Stock]]-B41)/B41</f>
        <v>5.5808185200495837E-3</v>
      </c>
    </row>
    <row r="54" spans="1:3" x14ac:dyDescent="0.2">
      <c r="A54" s="26">
        <v>23012</v>
      </c>
      <c r="B54" s="27">
        <f>VLOOKUP(Table3032[[#This Row],[Month]],'DB Money Supply'!$A:$D,2)</f>
        <v>487.2</v>
      </c>
      <c r="C54" s="65">
        <f>(Table3032[[#This Row],[Real M1 Money Stock]]-B42)/B42</f>
        <v>7.8609846917666766E-3</v>
      </c>
    </row>
    <row r="55" spans="1:3" x14ac:dyDescent="0.2">
      <c r="A55" s="26">
        <v>23043</v>
      </c>
      <c r="B55" s="27">
        <f>VLOOKUP(Table3032[[#This Row],[Month]],'DB Money Supply'!$A:$D,2)</f>
        <v>488.5</v>
      </c>
      <c r="C55" s="65">
        <f>(Table3032[[#This Row],[Real M1 Money Stock]]-B43)/B43</f>
        <v>9.5060963008886615E-3</v>
      </c>
    </row>
    <row r="56" spans="1:3" x14ac:dyDescent="0.2">
      <c r="A56" s="26">
        <v>23071</v>
      </c>
      <c r="B56" s="27">
        <f>VLOOKUP(Table3032[[#This Row],[Month]],'DB Money Supply'!$A:$D,2)</f>
        <v>489</v>
      </c>
      <c r="C56" s="65">
        <f>(Table3032[[#This Row],[Real M1 Money Stock]]-B44)/B44</f>
        <v>1.0539367637941771E-2</v>
      </c>
    </row>
    <row r="57" spans="1:3" x14ac:dyDescent="0.2">
      <c r="A57" s="26">
        <v>23102</v>
      </c>
      <c r="B57" s="27">
        <f>VLOOKUP(Table3032[[#This Row],[Month]],'DB Money Supply'!$A:$D,2)</f>
        <v>491.1</v>
      </c>
      <c r="C57" s="65">
        <f>(Table3032[[#This Row],[Real M1 Money Stock]]-B45)/B45</f>
        <v>1.3413124226165909E-2</v>
      </c>
    </row>
    <row r="58" spans="1:3" x14ac:dyDescent="0.2">
      <c r="A58" s="26">
        <v>23132</v>
      </c>
      <c r="B58" s="27">
        <f>VLOOKUP(Table3032[[#This Row],[Month]],'DB Money Supply'!$A:$D,2)</f>
        <v>493</v>
      </c>
      <c r="C58" s="65">
        <f>(Table3032[[#This Row],[Real M1 Money Stock]]-B46)/B46</f>
        <v>1.5657189946435977E-2</v>
      </c>
    </row>
    <row r="59" spans="1:3" x14ac:dyDescent="0.2">
      <c r="A59" s="26">
        <v>23163</v>
      </c>
      <c r="B59" s="27">
        <f>VLOOKUP(Table3032[[#This Row],[Month]],'DB Money Supply'!$A:$D,2)</f>
        <v>491.3</v>
      </c>
      <c r="C59" s="65">
        <f>(Table3032[[#This Row],[Real M1 Money Stock]]-B47)/B47</f>
        <v>1.23634865031939E-2</v>
      </c>
    </row>
    <row r="60" spans="1:3" x14ac:dyDescent="0.2">
      <c r="A60" s="26">
        <v>23193</v>
      </c>
      <c r="B60" s="27">
        <f>VLOOKUP(Table3032[[#This Row],[Month]],'DB Money Supply'!$A:$D,2)</f>
        <v>493</v>
      </c>
      <c r="C60" s="65">
        <f>(Table3032[[#This Row],[Real M1 Money Stock]]-B48)/B48</f>
        <v>1.691419141914189E-2</v>
      </c>
    </row>
    <row r="61" spans="1:3" x14ac:dyDescent="0.2">
      <c r="A61" s="26">
        <v>23224</v>
      </c>
      <c r="B61" s="27">
        <f>VLOOKUP(Table3032[[#This Row],[Month]],'DB Money Supply'!$A:$D,2)</f>
        <v>493.7</v>
      </c>
      <c r="C61" s="65">
        <f>(Table3032[[#This Row],[Real M1 Money Stock]]-B49)/B49</f>
        <v>1.9830613509605383E-2</v>
      </c>
    </row>
    <row r="62" spans="1:3" x14ac:dyDescent="0.2">
      <c r="A62" s="26">
        <v>23255</v>
      </c>
      <c r="B62" s="27">
        <f>VLOOKUP(Table3032[[#This Row],[Month]],'DB Money Supply'!$A:$D,2)</f>
        <v>494.8</v>
      </c>
      <c r="C62" s="65">
        <f>(Table3032[[#This Row],[Real M1 Money Stock]]-B50)/B50</f>
        <v>2.8904138074443822E-2</v>
      </c>
    </row>
    <row r="63" spans="1:3" x14ac:dyDescent="0.2">
      <c r="A63" s="26">
        <v>23285</v>
      </c>
      <c r="B63" s="27">
        <f>VLOOKUP(Table3032[[#This Row],[Month]],'DB Money Supply'!$A:$D,2)</f>
        <v>496.3</v>
      </c>
      <c r="C63" s="65">
        <f>(Table3032[[#This Row],[Real M1 Money Stock]]-B51)/B51</f>
        <v>2.7749016359494793E-2</v>
      </c>
    </row>
    <row r="64" spans="1:3" x14ac:dyDescent="0.2">
      <c r="A64" s="26">
        <v>23316</v>
      </c>
      <c r="B64" s="27">
        <f>VLOOKUP(Table3032[[#This Row],[Month]],'DB Money Supply'!$A:$D,2)</f>
        <v>499</v>
      </c>
      <c r="C64" s="65">
        <f>(Table3032[[#This Row],[Real M1 Money Stock]]-B52)/B52</f>
        <v>2.9078160445452719E-2</v>
      </c>
    </row>
    <row r="65" spans="1:3" x14ac:dyDescent="0.2">
      <c r="A65" s="26">
        <v>23346</v>
      </c>
      <c r="B65" s="27">
        <f>VLOOKUP(Table3032[[#This Row],[Month]],'DB Money Supply'!$A:$D,2)</f>
        <v>496.4</v>
      </c>
      <c r="C65" s="65">
        <f>(Table3032[[#This Row],[Real M1 Money Stock]]-B53)/B53</f>
        <v>2.0349434737923899E-2</v>
      </c>
    </row>
    <row r="66" spans="1:3" x14ac:dyDescent="0.2">
      <c r="A66" s="26">
        <v>23377</v>
      </c>
      <c r="B66" s="27">
        <f>VLOOKUP(Table3032[[#This Row],[Month]],'DB Money Supply'!$A:$D,2)</f>
        <v>496.8</v>
      </c>
      <c r="C66" s="65">
        <f>(Table3032[[#This Row],[Real M1 Money Stock]]-B54)/B54</f>
        <v>1.9704433497536995E-2</v>
      </c>
    </row>
    <row r="67" spans="1:3" x14ac:dyDescent="0.2">
      <c r="A67" s="26">
        <v>23408</v>
      </c>
      <c r="B67" s="27">
        <f>VLOOKUP(Table3032[[#This Row],[Month]],'DB Money Supply'!$A:$D,2)</f>
        <v>499.2</v>
      </c>
      <c r="C67" s="65">
        <f>(Table3032[[#This Row],[Real M1 Money Stock]]-B55)/B55</f>
        <v>2.1903787103377665E-2</v>
      </c>
    </row>
    <row r="68" spans="1:3" x14ac:dyDescent="0.2">
      <c r="A68" s="26">
        <v>23437</v>
      </c>
      <c r="B68" s="27">
        <f>VLOOKUP(Table3032[[#This Row],[Month]],'DB Money Supply'!$A:$D,2)</f>
        <v>499.4</v>
      </c>
      <c r="C68" s="65">
        <f>(Table3032[[#This Row],[Real M1 Money Stock]]-B56)/B56</f>
        <v>2.126789366053165E-2</v>
      </c>
    </row>
    <row r="69" spans="1:3" x14ac:dyDescent="0.2">
      <c r="A69" s="26">
        <v>23468</v>
      </c>
      <c r="B69" s="27">
        <f>VLOOKUP(Table3032[[#This Row],[Month]],'DB Money Supply'!$A:$D,2)</f>
        <v>500.2</v>
      </c>
      <c r="C69" s="65">
        <f>(Table3032[[#This Row],[Real M1 Money Stock]]-B57)/B57</f>
        <v>1.8529830991651324E-2</v>
      </c>
    </row>
    <row r="70" spans="1:3" x14ac:dyDescent="0.2">
      <c r="A70" s="26">
        <v>23498</v>
      </c>
      <c r="B70" s="27">
        <f>VLOOKUP(Table3032[[#This Row],[Month]],'DB Money Supply'!$A:$D,2)</f>
        <v>501.3</v>
      </c>
      <c r="C70" s="65">
        <f>(Table3032[[#This Row],[Real M1 Money Stock]]-B58)/B58</f>
        <v>1.6835699797160267E-2</v>
      </c>
    </row>
    <row r="71" spans="1:3" x14ac:dyDescent="0.2">
      <c r="A71" s="26">
        <v>23529</v>
      </c>
      <c r="B71" s="27">
        <f>VLOOKUP(Table3032[[#This Row],[Month]],'DB Money Supply'!$A:$D,2)</f>
        <v>501.8</v>
      </c>
      <c r="C71" s="65">
        <f>(Table3032[[#This Row],[Real M1 Money Stock]]-B59)/B59</f>
        <v>2.1371870547526969E-2</v>
      </c>
    </row>
    <row r="72" spans="1:3" x14ac:dyDescent="0.2">
      <c r="A72" s="26">
        <v>23559</v>
      </c>
      <c r="B72" s="27">
        <f>VLOOKUP(Table3032[[#This Row],[Month]],'DB Money Supply'!$A:$D,2)</f>
        <v>505.5</v>
      </c>
      <c r="C72" s="65">
        <f>(Table3032[[#This Row],[Real M1 Money Stock]]-B60)/B60</f>
        <v>2.5354969574036511E-2</v>
      </c>
    </row>
    <row r="73" spans="1:3" x14ac:dyDescent="0.2">
      <c r="A73" s="26">
        <v>23590</v>
      </c>
      <c r="B73" s="27">
        <f>VLOOKUP(Table3032[[#This Row],[Month]],'DB Money Supply'!$A:$D,2)</f>
        <v>508.2</v>
      </c>
      <c r="C73" s="65">
        <f>(Table3032[[#This Row],[Real M1 Money Stock]]-B61)/B61</f>
        <v>2.9370062791168727E-2</v>
      </c>
    </row>
    <row r="74" spans="1:3" x14ac:dyDescent="0.2">
      <c r="A74" s="26">
        <v>23621</v>
      </c>
      <c r="B74" s="27">
        <f>VLOOKUP(Table3032[[#This Row],[Month]],'DB Money Supply'!$A:$D,2)</f>
        <v>510.6</v>
      </c>
      <c r="C74" s="65">
        <f>(Table3032[[#This Row],[Real M1 Money Stock]]-B62)/B62</f>
        <v>3.1932093775262752E-2</v>
      </c>
    </row>
    <row r="75" spans="1:3" x14ac:dyDescent="0.2">
      <c r="A75" s="26">
        <v>23651</v>
      </c>
      <c r="B75" s="27">
        <f>VLOOKUP(Table3032[[#This Row],[Month]],'DB Money Supply'!$A:$D,2)</f>
        <v>511.6</v>
      </c>
      <c r="C75" s="65">
        <f>(Table3032[[#This Row],[Real M1 Money Stock]]-B63)/B63</f>
        <v>3.0828128148297423E-2</v>
      </c>
    </row>
    <row r="76" spans="1:3" x14ac:dyDescent="0.2">
      <c r="A76" s="26">
        <v>23682</v>
      </c>
      <c r="B76" s="27">
        <f>VLOOKUP(Table3032[[#This Row],[Month]],'DB Money Supply'!$A:$D,2)</f>
        <v>512.70000000000005</v>
      </c>
      <c r="C76" s="65">
        <f>(Table3032[[#This Row],[Real M1 Money Stock]]-B64)/B64</f>
        <v>2.745490981963937E-2</v>
      </c>
    </row>
    <row r="77" spans="1:3" x14ac:dyDescent="0.2">
      <c r="A77" s="26">
        <v>23712</v>
      </c>
      <c r="B77" s="27">
        <f>VLOOKUP(Table3032[[#This Row],[Month]],'DB Money Supply'!$A:$D,2)</f>
        <v>513</v>
      </c>
      <c r="C77" s="65">
        <f>(Table3032[[#This Row],[Real M1 Money Stock]]-B65)/B65</f>
        <v>3.3440773569701904E-2</v>
      </c>
    </row>
    <row r="78" spans="1:3" x14ac:dyDescent="0.2">
      <c r="A78" s="26">
        <v>23743</v>
      </c>
      <c r="B78" s="27">
        <f>VLOOKUP(Table3032[[#This Row],[Month]],'DB Money Supply'!$A:$D,2)</f>
        <v>513.70000000000005</v>
      </c>
      <c r="C78" s="65">
        <f>(Table3032[[#This Row],[Real M1 Money Stock]]-B66)/B66</f>
        <v>3.401771336553952E-2</v>
      </c>
    </row>
    <row r="79" spans="1:3" x14ac:dyDescent="0.2">
      <c r="A79" s="26">
        <v>23774</v>
      </c>
      <c r="B79" s="27">
        <f>VLOOKUP(Table3032[[#This Row],[Month]],'DB Money Supply'!$A:$D,2)</f>
        <v>514.4</v>
      </c>
      <c r="C79" s="65">
        <f>(Table3032[[#This Row],[Real M1 Money Stock]]-B67)/B67</f>
        <v>3.0448717948717927E-2</v>
      </c>
    </row>
    <row r="80" spans="1:3" x14ac:dyDescent="0.2">
      <c r="A80" s="26">
        <v>23802</v>
      </c>
      <c r="B80" s="27">
        <f>VLOOKUP(Table3032[[#This Row],[Month]],'DB Money Supply'!$A:$D,2)</f>
        <v>515.79999999999995</v>
      </c>
      <c r="C80" s="65">
        <f>(Table3032[[#This Row],[Real M1 Money Stock]]-B68)/B68</f>
        <v>3.2839407288746451E-2</v>
      </c>
    </row>
    <row r="81" spans="1:3" x14ac:dyDescent="0.2">
      <c r="A81" s="26">
        <v>23833</v>
      </c>
      <c r="B81" s="27">
        <f>VLOOKUP(Table3032[[#This Row],[Month]],'DB Money Supply'!$A:$D,2)</f>
        <v>516.29999999999995</v>
      </c>
      <c r="C81" s="65">
        <f>(Table3032[[#This Row],[Real M1 Money Stock]]-B69)/B69</f>
        <v>3.2187125149939953E-2</v>
      </c>
    </row>
    <row r="82" spans="1:3" x14ac:dyDescent="0.2">
      <c r="A82" s="26">
        <v>23863</v>
      </c>
      <c r="B82" s="27">
        <f>VLOOKUP(Table3032[[#This Row],[Month]],'DB Money Supply'!$A:$D,2)</f>
        <v>513.70000000000005</v>
      </c>
      <c r="C82" s="65">
        <f>(Table3032[[#This Row],[Real M1 Money Stock]]-B70)/B70</f>
        <v>2.4735687213245629E-2</v>
      </c>
    </row>
    <row r="83" spans="1:3" x14ac:dyDescent="0.2">
      <c r="A83" s="26">
        <v>23894</v>
      </c>
      <c r="B83" s="27">
        <f>VLOOKUP(Table3032[[#This Row],[Month]],'DB Money Supply'!$A:$D,2)</f>
        <v>513.1</v>
      </c>
      <c r="C83" s="65">
        <f>(Table3032[[#This Row],[Real M1 Money Stock]]-B71)/B71</f>
        <v>2.2518931845356738E-2</v>
      </c>
    </row>
    <row r="84" spans="1:3" x14ac:dyDescent="0.2">
      <c r="A84" s="26">
        <v>23924</v>
      </c>
      <c r="B84" s="27">
        <f>VLOOKUP(Table3032[[#This Row],[Month]],'DB Money Supply'!$A:$D,2)</f>
        <v>516.1</v>
      </c>
      <c r="C84" s="65">
        <f>(Table3032[[#This Row],[Real M1 Money Stock]]-B72)/B72</f>
        <v>2.0969337289812113E-2</v>
      </c>
    </row>
    <row r="85" spans="1:3" x14ac:dyDescent="0.2">
      <c r="A85" s="26">
        <v>23955</v>
      </c>
      <c r="B85" s="27">
        <f>VLOOKUP(Table3032[[#This Row],[Month]],'DB Money Supply'!$A:$D,2)</f>
        <v>518.9</v>
      </c>
      <c r="C85" s="65">
        <f>(Table3032[[#This Row],[Real M1 Money Stock]]-B73)/B73</f>
        <v>2.1054702872884669E-2</v>
      </c>
    </row>
    <row r="86" spans="1:3" x14ac:dyDescent="0.2">
      <c r="A86" s="26">
        <v>23986</v>
      </c>
      <c r="B86" s="27">
        <f>VLOOKUP(Table3032[[#This Row],[Month]],'DB Money Supply'!$A:$D,2)</f>
        <v>521.20000000000005</v>
      </c>
      <c r="C86" s="65">
        <f>(Table3032[[#This Row],[Real M1 Money Stock]]-B74)/B74</f>
        <v>2.075989032510776E-2</v>
      </c>
    </row>
    <row r="87" spans="1:3" x14ac:dyDescent="0.2">
      <c r="A87" s="26">
        <v>24016</v>
      </c>
      <c r="B87" s="27">
        <f>VLOOKUP(Table3032[[#This Row],[Month]],'DB Money Supply'!$A:$D,2)</f>
        <v>524.5</v>
      </c>
      <c r="C87" s="65">
        <f>(Table3032[[#This Row],[Real M1 Money Stock]]-B75)/B75</f>
        <v>2.5215011727912386E-2</v>
      </c>
    </row>
    <row r="88" spans="1:3" x14ac:dyDescent="0.2">
      <c r="A88" s="26">
        <v>24047</v>
      </c>
      <c r="B88" s="27">
        <f>VLOOKUP(Table3032[[#This Row],[Month]],'DB Money Supply'!$A:$D,2)</f>
        <v>525</v>
      </c>
      <c r="C88" s="65">
        <f>(Table3032[[#This Row],[Real M1 Money Stock]]-B76)/B76</f>
        <v>2.3990637799882881E-2</v>
      </c>
    </row>
    <row r="89" spans="1:3" x14ac:dyDescent="0.2">
      <c r="A89" s="26">
        <v>24077</v>
      </c>
      <c r="B89" s="27">
        <f>VLOOKUP(Table3032[[#This Row],[Month]],'DB Money Supply'!$A:$D,2)</f>
        <v>526.79999999999995</v>
      </c>
      <c r="C89" s="65">
        <f>(Table3032[[#This Row],[Real M1 Money Stock]]-B77)/B77</f>
        <v>2.690058479532155E-2</v>
      </c>
    </row>
    <row r="90" spans="1:3" x14ac:dyDescent="0.2">
      <c r="A90" s="26">
        <v>24108</v>
      </c>
      <c r="B90" s="27">
        <f>VLOOKUP(Table3032[[#This Row],[Month]],'DB Money Supply'!$A:$D,2)</f>
        <v>530.4</v>
      </c>
      <c r="C90" s="65">
        <f>(Table3032[[#This Row],[Real M1 Money Stock]]-B78)/B78</f>
        <v>3.250924664200882E-2</v>
      </c>
    </row>
    <row r="91" spans="1:3" x14ac:dyDescent="0.2">
      <c r="A91" s="26">
        <v>24139</v>
      </c>
      <c r="B91" s="27">
        <f>VLOOKUP(Table3032[[#This Row],[Month]],'DB Money Supply'!$A:$D,2)</f>
        <v>528.70000000000005</v>
      </c>
      <c r="C91" s="65">
        <f>(Table3032[[#This Row],[Real M1 Money Stock]]-B79)/B79</f>
        <v>2.7799377916018796E-2</v>
      </c>
    </row>
    <row r="92" spans="1:3" x14ac:dyDescent="0.2">
      <c r="A92" s="26">
        <v>24167</v>
      </c>
      <c r="B92" s="27">
        <f>VLOOKUP(Table3032[[#This Row],[Month]],'DB Money Supply'!$A:$D,2)</f>
        <v>529.79999999999995</v>
      </c>
      <c r="C92" s="65">
        <f>(Table3032[[#This Row],[Real M1 Money Stock]]-B80)/B80</f>
        <v>2.7142303218301668E-2</v>
      </c>
    </row>
    <row r="93" spans="1:3" x14ac:dyDescent="0.2">
      <c r="A93" s="26">
        <v>24198</v>
      </c>
      <c r="B93" s="27">
        <f>VLOOKUP(Table3032[[#This Row],[Month]],'DB Money Supply'!$A:$D,2)</f>
        <v>532.20000000000005</v>
      </c>
      <c r="C93" s="65">
        <f>(Table3032[[#This Row],[Real M1 Money Stock]]-B81)/B81</f>
        <v>3.0796048808832254E-2</v>
      </c>
    </row>
    <row r="94" spans="1:3" x14ac:dyDescent="0.2">
      <c r="A94" s="26">
        <v>24228</v>
      </c>
      <c r="B94" s="27">
        <f>VLOOKUP(Table3032[[#This Row],[Month]],'DB Money Supply'!$A:$D,2)</f>
        <v>529.5</v>
      </c>
      <c r="C94" s="65">
        <f>(Table3032[[#This Row],[Real M1 Money Stock]]-B82)/B82</f>
        <v>3.0757251313996405E-2</v>
      </c>
    </row>
    <row r="95" spans="1:3" x14ac:dyDescent="0.2">
      <c r="A95" s="26">
        <v>24259</v>
      </c>
      <c r="B95" s="27">
        <f>VLOOKUP(Table3032[[#This Row],[Month]],'DB Money Supply'!$A:$D,2)</f>
        <v>530</v>
      </c>
      <c r="C95" s="65">
        <f>(Table3032[[#This Row],[Real M1 Money Stock]]-B83)/B83</f>
        <v>3.2937049308127027E-2</v>
      </c>
    </row>
    <row r="96" spans="1:3" x14ac:dyDescent="0.2">
      <c r="A96" s="26">
        <v>24289</v>
      </c>
      <c r="B96" s="27">
        <f>VLOOKUP(Table3032[[#This Row],[Month]],'DB Money Supply'!$A:$D,2)</f>
        <v>524.79999999999995</v>
      </c>
      <c r="C96" s="65">
        <f>(Table3032[[#This Row],[Real M1 Money Stock]]-B84)/B84</f>
        <v>1.6857198217399595E-2</v>
      </c>
    </row>
    <row r="97" spans="1:3" x14ac:dyDescent="0.2">
      <c r="A97" s="26">
        <v>24320</v>
      </c>
      <c r="B97" s="27">
        <f>VLOOKUP(Table3032[[#This Row],[Month]],'DB Money Supply'!$A:$D,2)</f>
        <v>523.1</v>
      </c>
      <c r="C97" s="65">
        <f>(Table3032[[#This Row],[Real M1 Money Stock]]-B85)/B85</f>
        <v>8.0940450953941902E-3</v>
      </c>
    </row>
    <row r="98" spans="1:3" x14ac:dyDescent="0.2">
      <c r="A98" s="26">
        <v>24351</v>
      </c>
      <c r="B98" s="27">
        <f>VLOOKUP(Table3032[[#This Row],[Month]],'DB Money Supply'!$A:$D,2)</f>
        <v>525.20000000000005</v>
      </c>
      <c r="C98" s="65">
        <f>(Table3032[[#This Row],[Real M1 Money Stock]]-B86)/B86</f>
        <v>7.6745970836531079E-3</v>
      </c>
    </row>
    <row r="99" spans="1:3" x14ac:dyDescent="0.2">
      <c r="A99" s="26">
        <v>24381</v>
      </c>
      <c r="B99" s="27">
        <f>VLOOKUP(Table3032[[#This Row],[Month]],'DB Money Supply'!$A:$D,2)</f>
        <v>521.20000000000005</v>
      </c>
      <c r="C99" s="65">
        <f>(Table3032[[#This Row],[Real M1 Money Stock]]-B87)/B87</f>
        <v>-6.2917063870351854E-3</v>
      </c>
    </row>
    <row r="100" spans="1:3" x14ac:dyDescent="0.2">
      <c r="A100" s="26">
        <v>24412</v>
      </c>
      <c r="B100" s="27">
        <f>VLOOKUP(Table3032[[#This Row],[Month]],'DB Money Supply'!$A:$D,2)</f>
        <v>521.29999999999995</v>
      </c>
      <c r="C100" s="65">
        <f>(Table3032[[#This Row],[Real M1 Money Stock]]-B88)/B88</f>
        <v>-7.0476190476191341E-3</v>
      </c>
    </row>
    <row r="101" spans="1:3" x14ac:dyDescent="0.2">
      <c r="A101" s="26">
        <v>24442</v>
      </c>
      <c r="B101" s="27">
        <f>VLOOKUP(Table3032[[#This Row],[Month]],'DB Money Supply'!$A:$D,2)</f>
        <v>522.5</v>
      </c>
      <c r="C101" s="65">
        <f>(Table3032[[#This Row],[Real M1 Money Stock]]-B89)/B89</f>
        <v>-8.162490508731881E-3</v>
      </c>
    </row>
    <row r="102" spans="1:3" x14ac:dyDescent="0.2">
      <c r="A102" s="26">
        <v>24473</v>
      </c>
      <c r="B102" s="27">
        <f>VLOOKUP(Table3032[[#This Row],[Month]],'DB Money Supply'!$A:$D,2)</f>
        <v>522.5</v>
      </c>
      <c r="C102" s="65">
        <f>(Table3032[[#This Row],[Real M1 Money Stock]]-B90)/B90</f>
        <v>-1.489441930618397E-2</v>
      </c>
    </row>
    <row r="103" spans="1:3" x14ac:dyDescent="0.2">
      <c r="A103" s="26">
        <v>24504</v>
      </c>
      <c r="B103" s="27">
        <f>VLOOKUP(Table3032[[#This Row],[Month]],'DB Money Supply'!$A:$D,2)</f>
        <v>524.20000000000005</v>
      </c>
      <c r="C103" s="65">
        <f>(Table3032[[#This Row],[Real M1 Money Stock]]-B91)/B91</f>
        <v>-8.5114431624739913E-3</v>
      </c>
    </row>
    <row r="104" spans="1:3" x14ac:dyDescent="0.2">
      <c r="A104" s="26">
        <v>24532</v>
      </c>
      <c r="B104" s="27">
        <f>VLOOKUP(Table3032[[#This Row],[Month]],'DB Money Supply'!$A:$D,2)</f>
        <v>529.70000000000005</v>
      </c>
      <c r="C104" s="65">
        <f>(Table3032[[#This Row],[Real M1 Money Stock]]-B92)/B92</f>
        <v>-1.8875047187600803E-4</v>
      </c>
    </row>
    <row r="105" spans="1:3" x14ac:dyDescent="0.2">
      <c r="A105" s="26">
        <v>24563</v>
      </c>
      <c r="B105" s="27">
        <f>VLOOKUP(Table3032[[#This Row],[Month]],'DB Money Supply'!$A:$D,2)</f>
        <v>526.29999999999995</v>
      </c>
      <c r="C105" s="65">
        <f>(Table3032[[#This Row],[Real M1 Money Stock]]-B93)/B93</f>
        <v>-1.1086057872980252E-2</v>
      </c>
    </row>
    <row r="106" spans="1:3" x14ac:dyDescent="0.2">
      <c r="A106" s="26">
        <v>24593</v>
      </c>
      <c r="B106" s="27">
        <f>VLOOKUP(Table3032[[#This Row],[Month]],'DB Money Supply'!$A:$D,2)</f>
        <v>530.79999999999995</v>
      </c>
      <c r="C106" s="65">
        <f>(Table3032[[#This Row],[Real M1 Money Stock]]-B94)/B94</f>
        <v>2.4551463644947205E-3</v>
      </c>
    </row>
    <row r="107" spans="1:3" x14ac:dyDescent="0.2">
      <c r="A107" s="26">
        <v>24624</v>
      </c>
      <c r="B107" s="27">
        <f>VLOOKUP(Table3032[[#This Row],[Month]],'DB Money Supply'!$A:$D,2)</f>
        <v>531.5</v>
      </c>
      <c r="C107" s="65">
        <f>(Table3032[[#This Row],[Real M1 Money Stock]]-B95)/B95</f>
        <v>2.8301886792452828E-3</v>
      </c>
    </row>
    <row r="108" spans="1:3" x14ac:dyDescent="0.2">
      <c r="A108" s="26">
        <v>24654</v>
      </c>
      <c r="B108" s="27">
        <f>VLOOKUP(Table3032[[#This Row],[Month]],'DB Money Supply'!$A:$D,2)</f>
        <v>533.20000000000005</v>
      </c>
      <c r="C108" s="65">
        <f>(Table3032[[#This Row],[Real M1 Money Stock]]-B96)/B96</f>
        <v>1.6006097560975784E-2</v>
      </c>
    </row>
    <row r="109" spans="1:3" x14ac:dyDescent="0.2">
      <c r="A109" s="26">
        <v>24685</v>
      </c>
      <c r="B109" s="27">
        <f>VLOOKUP(Table3032[[#This Row],[Month]],'DB Money Supply'!$A:$D,2)</f>
        <v>536.4</v>
      </c>
      <c r="C109" s="65">
        <f>(Table3032[[#This Row],[Real M1 Money Stock]]-B97)/B97</f>
        <v>2.5425348881666896E-2</v>
      </c>
    </row>
    <row r="110" spans="1:3" x14ac:dyDescent="0.2">
      <c r="A110" s="26">
        <v>24716</v>
      </c>
      <c r="B110" s="27">
        <f>VLOOKUP(Table3032[[#This Row],[Month]],'DB Money Supply'!$A:$D,2)</f>
        <v>537.79999999999995</v>
      </c>
      <c r="C110" s="65">
        <f>(Table3032[[#This Row],[Real M1 Money Stock]]-B98)/B98</f>
        <v>2.3990860624523817E-2</v>
      </c>
    </row>
    <row r="111" spans="1:3" x14ac:dyDescent="0.2">
      <c r="A111" s="26">
        <v>24746</v>
      </c>
      <c r="B111" s="27">
        <f>VLOOKUP(Table3032[[#This Row],[Month]],'DB Money Supply'!$A:$D,2)</f>
        <v>538.9</v>
      </c>
      <c r="C111" s="65">
        <f>(Table3032[[#This Row],[Real M1 Money Stock]]-B99)/B99</f>
        <v>3.3960092095164873E-2</v>
      </c>
    </row>
    <row r="112" spans="1:3" x14ac:dyDescent="0.2">
      <c r="A112" s="26">
        <v>24777</v>
      </c>
      <c r="B112" s="27">
        <f>VLOOKUP(Table3032[[#This Row],[Month]],'DB Money Supply'!$A:$D,2)</f>
        <v>538.1</v>
      </c>
      <c r="C112" s="65">
        <f>(Table3032[[#This Row],[Real M1 Money Stock]]-B100)/B100</f>
        <v>3.2227124496451313E-2</v>
      </c>
    </row>
    <row r="113" spans="1:3" x14ac:dyDescent="0.2">
      <c r="A113" s="26">
        <v>24807</v>
      </c>
      <c r="B113" s="27">
        <f>VLOOKUP(Table3032[[#This Row],[Month]],'DB Money Supply'!$A:$D,2)</f>
        <v>539.1</v>
      </c>
      <c r="C113" s="65">
        <f>(Table3032[[#This Row],[Real M1 Money Stock]]-B101)/B101</f>
        <v>3.1770334928229706E-2</v>
      </c>
    </row>
    <row r="114" spans="1:3" x14ac:dyDescent="0.2">
      <c r="A114" s="26">
        <v>24838</v>
      </c>
      <c r="B114" s="27">
        <f>VLOOKUP(Table3032[[#This Row],[Month]],'DB Money Supply'!$A:$D,2)</f>
        <v>540.5</v>
      </c>
      <c r="C114" s="65">
        <f>(Table3032[[#This Row],[Real M1 Money Stock]]-B102)/B102</f>
        <v>3.4449760765550237E-2</v>
      </c>
    </row>
    <row r="115" spans="1:3" x14ac:dyDescent="0.2">
      <c r="A115" s="26">
        <v>24869</v>
      </c>
      <c r="B115" s="27">
        <f>VLOOKUP(Table3032[[#This Row],[Month]],'DB Money Supply'!$A:$D,2)</f>
        <v>540.1</v>
      </c>
      <c r="C115" s="65">
        <f>(Table3032[[#This Row],[Real M1 Money Stock]]-B103)/B103</f>
        <v>3.0331934376192245E-2</v>
      </c>
    </row>
    <row r="116" spans="1:3" x14ac:dyDescent="0.2">
      <c r="A116" s="26">
        <v>24898</v>
      </c>
      <c r="B116" s="27">
        <f>VLOOKUP(Table3032[[#This Row],[Month]],'DB Money Supply'!$A:$D,2)</f>
        <v>540.79999999999995</v>
      </c>
      <c r="C116" s="65">
        <f>(Table3032[[#This Row],[Real M1 Money Stock]]-B104)/B104</f>
        <v>2.0955257693033618E-2</v>
      </c>
    </row>
    <row r="117" spans="1:3" x14ac:dyDescent="0.2">
      <c r="A117" s="26">
        <v>24929</v>
      </c>
      <c r="B117" s="27">
        <f>VLOOKUP(Table3032[[#This Row],[Month]],'DB Money Supply'!$A:$D,2)</f>
        <v>542.4</v>
      </c>
      <c r="C117" s="65">
        <f>(Table3032[[#This Row],[Real M1 Money Stock]]-B105)/B105</f>
        <v>3.059091772753187E-2</v>
      </c>
    </row>
    <row r="118" spans="1:3" x14ac:dyDescent="0.2">
      <c r="A118" s="26">
        <v>24959</v>
      </c>
      <c r="B118" s="27">
        <f>VLOOKUP(Table3032[[#This Row],[Month]],'DB Money Supply'!$A:$D,2)</f>
        <v>544.9</v>
      </c>
      <c r="C118" s="65">
        <f>(Table3032[[#This Row],[Real M1 Money Stock]]-B106)/B106</f>
        <v>2.6563677467972915E-2</v>
      </c>
    </row>
    <row r="119" spans="1:3" x14ac:dyDescent="0.2">
      <c r="A119" s="26">
        <v>24990</v>
      </c>
      <c r="B119" s="27">
        <f>VLOOKUP(Table3032[[#This Row],[Month]],'DB Money Supply'!$A:$D,2)</f>
        <v>545.79999999999995</v>
      </c>
      <c r="C119" s="65">
        <f>(Table3032[[#This Row],[Real M1 Money Stock]]-B107)/B107</f>
        <v>2.690498588899333E-2</v>
      </c>
    </row>
    <row r="120" spans="1:3" x14ac:dyDescent="0.2">
      <c r="A120" s="26">
        <v>25020</v>
      </c>
      <c r="B120" s="27">
        <f>VLOOKUP(Table3032[[#This Row],[Month]],'DB Money Supply'!$A:$D,2)</f>
        <v>545.79999999999995</v>
      </c>
      <c r="C120" s="65">
        <f>(Table3032[[#This Row],[Real M1 Money Stock]]-B108)/B108</f>
        <v>2.363090772693156E-2</v>
      </c>
    </row>
    <row r="121" spans="1:3" x14ac:dyDescent="0.2">
      <c r="A121" s="26">
        <v>25051</v>
      </c>
      <c r="B121" s="27">
        <f>VLOOKUP(Table3032[[#This Row],[Month]],'DB Money Supply'!$A:$D,2)</f>
        <v>548</v>
      </c>
      <c r="C121" s="65">
        <f>(Table3032[[#This Row],[Real M1 Money Stock]]-B109)/B109</f>
        <v>2.1625652498135764E-2</v>
      </c>
    </row>
    <row r="122" spans="1:3" x14ac:dyDescent="0.2">
      <c r="A122" s="26">
        <v>25082</v>
      </c>
      <c r="B122" s="27">
        <f>VLOOKUP(Table3032[[#This Row],[Month]],'DB Money Supply'!$A:$D,2)</f>
        <v>549</v>
      </c>
      <c r="C122" s="65">
        <f>(Table3032[[#This Row],[Real M1 Money Stock]]-B110)/B110</f>
        <v>2.0825585719598451E-2</v>
      </c>
    </row>
    <row r="123" spans="1:3" x14ac:dyDescent="0.2">
      <c r="A123" s="26">
        <v>25112</v>
      </c>
      <c r="B123" s="27">
        <f>VLOOKUP(Table3032[[#This Row],[Month]],'DB Money Supply'!$A:$D,2)</f>
        <v>549.6</v>
      </c>
      <c r="C123" s="65">
        <f>(Table3032[[#This Row],[Real M1 Money Stock]]-B111)/B111</f>
        <v>1.9855260716273977E-2</v>
      </c>
    </row>
    <row r="124" spans="1:3" x14ac:dyDescent="0.2">
      <c r="A124" s="26">
        <v>25143</v>
      </c>
      <c r="B124" s="27">
        <f>VLOOKUP(Table3032[[#This Row],[Month]],'DB Money Supply'!$A:$D,2)</f>
        <v>553.70000000000005</v>
      </c>
      <c r="C124" s="65">
        <f>(Table3032[[#This Row],[Real M1 Money Stock]]-B112)/B112</f>
        <v>2.8990893885894858E-2</v>
      </c>
    </row>
    <row r="125" spans="1:3" x14ac:dyDescent="0.2">
      <c r="A125" s="26">
        <v>25173</v>
      </c>
      <c r="B125" s="27">
        <f>VLOOKUP(Table3032[[#This Row],[Month]],'DB Money Supply'!$A:$D,2)</f>
        <v>554.5</v>
      </c>
      <c r="C125" s="65">
        <f>(Table3032[[#This Row],[Real M1 Money Stock]]-B113)/B113</f>
        <v>2.8566128733073598E-2</v>
      </c>
    </row>
    <row r="126" spans="1:3" x14ac:dyDescent="0.2">
      <c r="A126" s="26">
        <v>25204</v>
      </c>
      <c r="B126" s="27">
        <f>VLOOKUP(Table3032[[#This Row],[Month]],'DB Money Supply'!$A:$D,2)</f>
        <v>556.6</v>
      </c>
      <c r="C126" s="65">
        <f>(Table3032[[#This Row],[Real M1 Money Stock]]-B114)/B114</f>
        <v>2.9787234042553234E-2</v>
      </c>
    </row>
    <row r="127" spans="1:3" x14ac:dyDescent="0.2">
      <c r="A127" s="26">
        <v>25235</v>
      </c>
      <c r="B127" s="27">
        <f>VLOOKUP(Table3032[[#This Row],[Month]],'DB Money Supply'!$A:$D,2)</f>
        <v>556.70000000000005</v>
      </c>
      <c r="C127" s="65">
        <f>(Table3032[[#This Row],[Real M1 Money Stock]]-B115)/B115</f>
        <v>3.0735049064988005E-2</v>
      </c>
    </row>
    <row r="128" spans="1:3" x14ac:dyDescent="0.2">
      <c r="A128" s="26">
        <v>25263</v>
      </c>
      <c r="B128" s="27">
        <f>VLOOKUP(Table3032[[#This Row],[Month]],'DB Money Supply'!$A:$D,2)</f>
        <v>554</v>
      </c>
      <c r="C128" s="65">
        <f>(Table3032[[#This Row],[Real M1 Money Stock]]-B116)/B116</f>
        <v>2.4408284023668726E-2</v>
      </c>
    </row>
    <row r="129" spans="1:3" x14ac:dyDescent="0.2">
      <c r="A129" s="26">
        <v>25294</v>
      </c>
      <c r="B129" s="27">
        <f>VLOOKUP(Table3032[[#This Row],[Month]],'DB Money Supply'!$A:$D,2)</f>
        <v>552.9</v>
      </c>
      <c r="C129" s="65">
        <f>(Table3032[[#This Row],[Real M1 Money Stock]]-B117)/B117</f>
        <v>1.935840707964602E-2</v>
      </c>
    </row>
    <row r="130" spans="1:3" x14ac:dyDescent="0.2">
      <c r="A130" s="26">
        <v>25324</v>
      </c>
      <c r="B130" s="27">
        <f>VLOOKUP(Table3032[[#This Row],[Month]],'DB Money Supply'!$A:$D,2)</f>
        <v>551.6</v>
      </c>
      <c r="C130" s="65">
        <f>(Table3032[[#This Row],[Real M1 Money Stock]]-B118)/B118</f>
        <v>1.2295834097999716E-2</v>
      </c>
    </row>
    <row r="131" spans="1:3" x14ac:dyDescent="0.2">
      <c r="A131" s="26">
        <v>25355</v>
      </c>
      <c r="B131" s="27">
        <f>VLOOKUP(Table3032[[#This Row],[Month]],'DB Money Supply'!$A:$D,2)</f>
        <v>550</v>
      </c>
      <c r="C131" s="65">
        <f>(Table3032[[#This Row],[Real M1 Money Stock]]-B119)/B119</f>
        <v>7.6951264199341257E-3</v>
      </c>
    </row>
    <row r="132" spans="1:3" x14ac:dyDescent="0.2">
      <c r="A132" s="26">
        <v>25385</v>
      </c>
      <c r="B132" s="27">
        <f>VLOOKUP(Table3032[[#This Row],[Month]],'DB Money Supply'!$A:$D,2)</f>
        <v>548.1</v>
      </c>
      <c r="C132" s="65">
        <f>(Table3032[[#This Row],[Real M1 Money Stock]]-B120)/B120</f>
        <v>4.213997801392577E-3</v>
      </c>
    </row>
    <row r="133" spans="1:3" x14ac:dyDescent="0.2">
      <c r="A133" s="26">
        <v>25416</v>
      </c>
      <c r="B133" s="27">
        <f>VLOOKUP(Table3032[[#This Row],[Month]],'DB Money Supply'!$A:$D,2)</f>
        <v>546.6</v>
      </c>
      <c r="C133" s="65">
        <f>(Table3032[[#This Row],[Real M1 Money Stock]]-B121)/B121</f>
        <v>-2.5547445255474036E-3</v>
      </c>
    </row>
    <row r="134" spans="1:3" x14ac:dyDescent="0.2">
      <c r="A134" s="26">
        <v>25447</v>
      </c>
      <c r="B134" s="27">
        <f>VLOOKUP(Table3032[[#This Row],[Month]],'DB Money Supply'!$A:$D,2)</f>
        <v>544.70000000000005</v>
      </c>
      <c r="C134" s="65">
        <f>(Table3032[[#This Row],[Real M1 Money Stock]]-B122)/B122</f>
        <v>-7.8324225865208652E-3</v>
      </c>
    </row>
    <row r="135" spans="1:3" x14ac:dyDescent="0.2">
      <c r="A135" s="26">
        <v>25477</v>
      </c>
      <c r="B135" s="27">
        <f>VLOOKUP(Table3032[[#This Row],[Month]],'DB Money Supply'!$A:$D,2)</f>
        <v>544</v>
      </c>
      <c r="C135" s="65">
        <f>(Table3032[[#This Row],[Real M1 Money Stock]]-B123)/B123</f>
        <v>-1.0189228529839925E-2</v>
      </c>
    </row>
    <row r="136" spans="1:3" x14ac:dyDescent="0.2">
      <c r="A136" s="26">
        <v>25508</v>
      </c>
      <c r="B136" s="27">
        <f>VLOOKUP(Table3032[[#This Row],[Month]],'DB Money Supply'!$A:$D,2)</f>
        <v>542.9</v>
      </c>
      <c r="C136" s="65">
        <f>(Table3032[[#This Row],[Real M1 Money Stock]]-B124)/B124</f>
        <v>-1.9505147191620133E-2</v>
      </c>
    </row>
    <row r="137" spans="1:3" x14ac:dyDescent="0.2">
      <c r="A137" s="26">
        <v>25538</v>
      </c>
      <c r="B137" s="27">
        <f>VLOOKUP(Table3032[[#This Row],[Month]],'DB Money Supply'!$A:$D,2)</f>
        <v>540.79999999999995</v>
      </c>
      <c r="C137" s="65">
        <f>(Table3032[[#This Row],[Real M1 Money Stock]]-B125)/B125</f>
        <v>-2.4706943192065005E-2</v>
      </c>
    </row>
    <row r="138" spans="1:3" x14ac:dyDescent="0.2">
      <c r="A138" s="26">
        <v>25569</v>
      </c>
      <c r="B138" s="27">
        <f>VLOOKUP(Table3032[[#This Row],[Month]],'DB Money Supply'!$A:$D,2)</f>
        <v>544.1</v>
      </c>
      <c r="C138" s="65">
        <f>(Table3032[[#This Row],[Real M1 Money Stock]]-B126)/B126</f>
        <v>-2.245777937477542E-2</v>
      </c>
    </row>
    <row r="139" spans="1:3" x14ac:dyDescent="0.2">
      <c r="A139" s="26">
        <v>25600</v>
      </c>
      <c r="B139" s="27">
        <f>VLOOKUP(Table3032[[#This Row],[Month]],'DB Money Supply'!$A:$D,2)</f>
        <v>538.1</v>
      </c>
      <c r="C139" s="65">
        <f>(Table3032[[#This Row],[Real M1 Money Stock]]-B127)/B127</f>
        <v>-3.341117298365371E-2</v>
      </c>
    </row>
    <row r="140" spans="1:3" x14ac:dyDescent="0.2">
      <c r="A140" s="26">
        <v>25628</v>
      </c>
      <c r="B140" s="27">
        <f>VLOOKUP(Table3032[[#This Row],[Month]],'DB Money Supply'!$A:$D,2)</f>
        <v>537.1</v>
      </c>
      <c r="C140" s="65">
        <f>(Table3032[[#This Row],[Real M1 Money Stock]]-B128)/B128</f>
        <v>-3.0505415162454832E-2</v>
      </c>
    </row>
    <row r="141" spans="1:3" x14ac:dyDescent="0.2">
      <c r="A141" s="26">
        <v>25659</v>
      </c>
      <c r="B141" s="27">
        <f>VLOOKUP(Table3032[[#This Row],[Month]],'DB Money Supply'!$A:$D,2)</f>
        <v>536.9</v>
      </c>
      <c r="C141" s="65">
        <f>(Table3032[[#This Row],[Real M1 Money Stock]]-B129)/B129</f>
        <v>-2.8938325194429373E-2</v>
      </c>
    </row>
    <row r="142" spans="1:3" x14ac:dyDescent="0.2">
      <c r="A142" s="26">
        <v>25689</v>
      </c>
      <c r="B142" s="27">
        <f>VLOOKUP(Table3032[[#This Row],[Month]],'DB Money Supply'!$A:$D,2)</f>
        <v>536.79999999999995</v>
      </c>
      <c r="C142" s="65">
        <f>(Table3032[[#This Row],[Real M1 Money Stock]]-B130)/B130</f>
        <v>-2.6831036983321371E-2</v>
      </c>
    </row>
    <row r="143" spans="1:3" x14ac:dyDescent="0.2">
      <c r="A143" s="26">
        <v>25720</v>
      </c>
      <c r="B143" s="27">
        <f>VLOOKUP(Table3032[[#This Row],[Month]],'DB Money Supply'!$A:$D,2)</f>
        <v>535.1</v>
      </c>
      <c r="C143" s="65">
        <f>(Table3032[[#This Row],[Real M1 Money Stock]]-B131)/B131</f>
        <v>-2.7090909090909051E-2</v>
      </c>
    </row>
    <row r="144" spans="1:3" x14ac:dyDescent="0.2">
      <c r="A144" s="26">
        <v>25750</v>
      </c>
      <c r="B144" s="27">
        <f>VLOOKUP(Table3032[[#This Row],[Month]],'DB Money Supply'!$A:$D,2)</f>
        <v>534.70000000000005</v>
      </c>
      <c r="C144" s="65">
        <f>(Table3032[[#This Row],[Real M1 Money Stock]]-B132)/B132</f>
        <v>-2.4448093413610612E-2</v>
      </c>
    </row>
    <row r="145" spans="1:3" x14ac:dyDescent="0.2">
      <c r="A145" s="26">
        <v>25781</v>
      </c>
      <c r="B145" s="27">
        <f>VLOOKUP(Table3032[[#This Row],[Month]],'DB Money Supply'!$A:$D,2)</f>
        <v>538.20000000000005</v>
      </c>
      <c r="C145" s="65">
        <f>(Table3032[[#This Row],[Real M1 Money Stock]]-B133)/B133</f>
        <v>-1.5367727771679432E-2</v>
      </c>
    </row>
    <row r="146" spans="1:3" x14ac:dyDescent="0.2">
      <c r="A146" s="26">
        <v>25812</v>
      </c>
      <c r="B146" s="27">
        <f>VLOOKUP(Table3032[[#This Row],[Month]],'DB Money Supply'!$A:$D,2)</f>
        <v>540.29999999999995</v>
      </c>
      <c r="C146" s="65">
        <f>(Table3032[[#This Row],[Real M1 Money Stock]]-B134)/B134</f>
        <v>-8.0778410134020387E-3</v>
      </c>
    </row>
    <row r="147" spans="1:3" x14ac:dyDescent="0.2">
      <c r="A147" s="26">
        <v>25842</v>
      </c>
      <c r="B147" s="27">
        <f>VLOOKUP(Table3032[[#This Row],[Month]],'DB Money Supply'!$A:$D,2)</f>
        <v>540.4</v>
      </c>
      <c r="C147" s="65">
        <f>(Table3032[[#This Row],[Real M1 Money Stock]]-B135)/B135</f>
        <v>-6.617647058823571E-3</v>
      </c>
    </row>
    <row r="148" spans="1:3" x14ac:dyDescent="0.2">
      <c r="A148" s="26">
        <v>25873</v>
      </c>
      <c r="B148" s="27">
        <f>VLOOKUP(Table3032[[#This Row],[Month]],'DB Money Supply'!$A:$D,2)</f>
        <v>539.6</v>
      </c>
      <c r="C148" s="65">
        <f>(Table3032[[#This Row],[Real M1 Money Stock]]-B136)/B136</f>
        <v>-6.078467489408647E-3</v>
      </c>
    </row>
    <row r="149" spans="1:3" x14ac:dyDescent="0.2">
      <c r="A149" s="26">
        <v>25903</v>
      </c>
      <c r="B149" s="27">
        <f>VLOOKUP(Table3032[[#This Row],[Month]],'DB Money Supply'!$A:$D,2)</f>
        <v>538.70000000000005</v>
      </c>
      <c r="C149" s="65">
        <f>(Table3032[[#This Row],[Real M1 Money Stock]]-B137)/B137</f>
        <v>-3.8831360946743883E-3</v>
      </c>
    </row>
    <row r="150" spans="1:3" x14ac:dyDescent="0.2">
      <c r="A150" s="26">
        <v>25934</v>
      </c>
      <c r="B150" s="27">
        <f>VLOOKUP(Table3032[[#This Row],[Month]],'DB Money Supply'!$A:$D,2)</f>
        <v>540.1</v>
      </c>
      <c r="C150" s="65">
        <f>(Table3032[[#This Row],[Real M1 Money Stock]]-B138)/B138</f>
        <v>-7.3515897812902039E-3</v>
      </c>
    </row>
    <row r="151" spans="1:3" x14ac:dyDescent="0.2">
      <c r="A151" s="26">
        <v>25965</v>
      </c>
      <c r="B151" s="27">
        <f>VLOOKUP(Table3032[[#This Row],[Month]],'DB Money Supply'!$A:$D,2)</f>
        <v>544.9</v>
      </c>
      <c r="C151" s="65">
        <f>(Table3032[[#This Row],[Real M1 Money Stock]]-B139)/B139</f>
        <v>1.2637056309236117E-2</v>
      </c>
    </row>
    <row r="152" spans="1:3" x14ac:dyDescent="0.2">
      <c r="A152" s="26">
        <v>25993</v>
      </c>
      <c r="B152" s="27">
        <f>VLOOKUP(Table3032[[#This Row],[Month]],'DB Money Supply'!$A:$D,2)</f>
        <v>547</v>
      </c>
      <c r="C152" s="65">
        <f>(Table3032[[#This Row],[Real M1 Money Stock]]-B140)/B140</f>
        <v>1.8432321727797386E-2</v>
      </c>
    </row>
    <row r="153" spans="1:3" x14ac:dyDescent="0.2">
      <c r="A153" s="26">
        <v>26024</v>
      </c>
      <c r="B153" s="27">
        <f>VLOOKUP(Table3032[[#This Row],[Month]],'DB Money Supply'!$A:$D,2)</f>
        <v>548.6</v>
      </c>
      <c r="C153" s="65">
        <f>(Table3032[[#This Row],[Real M1 Money Stock]]-B141)/B141</f>
        <v>2.1791767554479504E-2</v>
      </c>
    </row>
    <row r="154" spans="1:3" x14ac:dyDescent="0.2">
      <c r="A154" s="26">
        <v>26054</v>
      </c>
      <c r="B154" s="27">
        <f>VLOOKUP(Table3032[[#This Row],[Month]],'DB Money Supply'!$A:$D,2)</f>
        <v>550.9</v>
      </c>
      <c r="C154" s="65">
        <f>(Table3032[[#This Row],[Real M1 Money Stock]]-B142)/B142</f>
        <v>2.6266766020864425E-2</v>
      </c>
    </row>
    <row r="155" spans="1:3" x14ac:dyDescent="0.2">
      <c r="A155" s="26">
        <v>26085</v>
      </c>
      <c r="B155" s="27">
        <f>VLOOKUP(Table3032[[#This Row],[Month]],'DB Money Supply'!$A:$D,2)</f>
        <v>551.9</v>
      </c>
      <c r="C155" s="65">
        <f>(Table3032[[#This Row],[Real M1 Money Stock]]-B143)/B143</f>
        <v>3.1396000747523738E-2</v>
      </c>
    </row>
    <row r="156" spans="1:3" x14ac:dyDescent="0.2">
      <c r="A156" s="26">
        <v>26115</v>
      </c>
      <c r="B156" s="27">
        <f>VLOOKUP(Table3032[[#This Row],[Month]],'DB Money Supply'!$A:$D,2)</f>
        <v>553.9</v>
      </c>
      <c r="C156" s="65">
        <f>(Table3032[[#This Row],[Real M1 Money Stock]]-B144)/B144</f>
        <v>3.590798578642216E-2</v>
      </c>
    </row>
    <row r="157" spans="1:3" x14ac:dyDescent="0.2">
      <c r="A157" s="26">
        <v>26146</v>
      </c>
      <c r="B157" s="27">
        <f>VLOOKUP(Table3032[[#This Row],[Month]],'DB Money Supply'!$A:$D,2)</f>
        <v>554.29999999999995</v>
      </c>
      <c r="C157" s="65">
        <f>(Table3032[[#This Row],[Real M1 Money Stock]]-B145)/B145</f>
        <v>2.9914529914529742E-2</v>
      </c>
    </row>
    <row r="158" spans="1:3" x14ac:dyDescent="0.2">
      <c r="A158" s="26">
        <v>26177</v>
      </c>
      <c r="B158" s="27">
        <f>VLOOKUP(Table3032[[#This Row],[Month]],'DB Money Supply'!$A:$D,2)</f>
        <v>555.1</v>
      </c>
      <c r="C158" s="65">
        <f>(Table3032[[#This Row],[Real M1 Money Stock]]-B146)/B146</f>
        <v>2.7392189524338459E-2</v>
      </c>
    </row>
    <row r="159" spans="1:3" x14ac:dyDescent="0.2">
      <c r="A159" s="26">
        <v>26207</v>
      </c>
      <c r="B159" s="27">
        <f>VLOOKUP(Table3032[[#This Row],[Month]],'DB Money Supply'!$A:$D,2)</f>
        <v>555.5</v>
      </c>
      <c r="C159" s="65">
        <f>(Table3032[[#This Row],[Real M1 Money Stock]]-B147)/B147</f>
        <v>2.7942264988897157E-2</v>
      </c>
    </row>
    <row r="160" spans="1:3" x14ac:dyDescent="0.2">
      <c r="A160" s="26">
        <v>26238</v>
      </c>
      <c r="B160" s="27">
        <f>VLOOKUP(Table3032[[#This Row],[Month]],'DB Money Supply'!$A:$D,2)</f>
        <v>555.6</v>
      </c>
      <c r="C160" s="65">
        <f>(Table3032[[#This Row],[Real M1 Money Stock]]-B148)/B148</f>
        <v>2.9651593773165306E-2</v>
      </c>
    </row>
    <row r="161" spans="1:3" x14ac:dyDescent="0.2">
      <c r="A161" s="26">
        <v>26268</v>
      </c>
      <c r="B161" s="27">
        <f>VLOOKUP(Table3032[[#This Row],[Month]],'DB Money Supply'!$A:$D,2)</f>
        <v>555.5</v>
      </c>
      <c r="C161" s="65">
        <f>(Table3032[[#This Row],[Real M1 Money Stock]]-B149)/B149</f>
        <v>3.1186188973454525E-2</v>
      </c>
    </row>
    <row r="162" spans="1:3" x14ac:dyDescent="0.2">
      <c r="A162" s="26">
        <v>26299</v>
      </c>
      <c r="B162" s="27">
        <f>VLOOKUP(Table3032[[#This Row],[Month]],'DB Money Supply'!$A:$D,2)</f>
        <v>558.5</v>
      </c>
      <c r="C162" s="65">
        <f>(Table3032[[#This Row],[Real M1 Money Stock]]-B150)/B150</f>
        <v>3.4067765228661319E-2</v>
      </c>
    </row>
    <row r="163" spans="1:3" x14ac:dyDescent="0.2">
      <c r="A163" s="26">
        <v>26330</v>
      </c>
      <c r="B163" s="27">
        <f>VLOOKUP(Table3032[[#This Row],[Month]],'DB Money Supply'!$A:$D,2)</f>
        <v>561.1</v>
      </c>
      <c r="C163" s="65">
        <f>(Table3032[[#This Row],[Real M1 Money Stock]]-B151)/B151</f>
        <v>2.9730225729491733E-2</v>
      </c>
    </row>
    <row r="164" spans="1:3" x14ac:dyDescent="0.2">
      <c r="A164" s="26">
        <v>26359</v>
      </c>
      <c r="B164" s="27">
        <f>VLOOKUP(Table3032[[#This Row],[Month]],'DB Money Supply'!$A:$D,2)</f>
        <v>565.9</v>
      </c>
      <c r="C164" s="65">
        <f>(Table3032[[#This Row],[Real M1 Money Stock]]-B152)/B152</f>
        <v>3.4552102376599593E-2</v>
      </c>
    </row>
    <row r="165" spans="1:3" x14ac:dyDescent="0.2">
      <c r="A165" s="26">
        <v>26390</v>
      </c>
      <c r="B165" s="27">
        <f>VLOOKUP(Table3032[[#This Row],[Month]],'DB Money Supply'!$A:$D,2)</f>
        <v>567.70000000000005</v>
      </c>
      <c r="C165" s="65">
        <f>(Table3032[[#This Row],[Real M1 Money Stock]]-B153)/B153</f>
        <v>3.4815895005468507E-2</v>
      </c>
    </row>
    <row r="166" spans="1:3" x14ac:dyDescent="0.2">
      <c r="A166" s="26">
        <v>26420</v>
      </c>
      <c r="B166" s="27">
        <f>VLOOKUP(Table3032[[#This Row],[Month]],'DB Money Supply'!$A:$D,2)</f>
        <v>567.1</v>
      </c>
      <c r="C166" s="65">
        <f>(Table3032[[#This Row],[Real M1 Money Stock]]-B154)/B154</f>
        <v>2.9406425848611448E-2</v>
      </c>
    </row>
    <row r="167" spans="1:3" x14ac:dyDescent="0.2">
      <c r="A167" s="26">
        <v>26451</v>
      </c>
      <c r="B167" s="27">
        <f>VLOOKUP(Table3032[[#This Row],[Month]],'DB Money Supply'!$A:$D,2)</f>
        <v>567.4</v>
      </c>
      <c r="C167" s="65">
        <f>(Table3032[[#This Row],[Real M1 Money Stock]]-B155)/B155</f>
        <v>2.8084797970646856E-2</v>
      </c>
    </row>
    <row r="168" spans="1:3" x14ac:dyDescent="0.2">
      <c r="A168" s="26">
        <v>26481</v>
      </c>
      <c r="B168" s="27">
        <f>VLOOKUP(Table3032[[#This Row],[Month]],'DB Money Supply'!$A:$D,2)</f>
        <v>571.29999999999995</v>
      </c>
      <c r="C168" s="65">
        <f>(Table3032[[#This Row],[Real M1 Money Stock]]-B156)/B156</f>
        <v>3.1413612565444983E-2</v>
      </c>
    </row>
    <row r="169" spans="1:3" x14ac:dyDescent="0.2">
      <c r="A169" s="26">
        <v>26512</v>
      </c>
      <c r="B169" s="27">
        <f>VLOOKUP(Table3032[[#This Row],[Month]],'DB Money Supply'!$A:$D,2)</f>
        <v>574.9</v>
      </c>
      <c r="C169" s="65">
        <f>(Table3032[[#This Row],[Real M1 Money Stock]]-B157)/B157</f>
        <v>3.7163990618798527E-2</v>
      </c>
    </row>
    <row r="170" spans="1:3" x14ac:dyDescent="0.2">
      <c r="A170" s="26">
        <v>26543</v>
      </c>
      <c r="B170" s="27">
        <f>VLOOKUP(Table3032[[#This Row],[Month]],'DB Money Supply'!$A:$D,2)</f>
        <v>577.70000000000005</v>
      </c>
      <c r="C170" s="65">
        <f>(Table3032[[#This Row],[Real M1 Money Stock]]-B158)/B158</f>
        <v>4.0713384975680098E-2</v>
      </c>
    </row>
    <row r="171" spans="1:3" x14ac:dyDescent="0.2">
      <c r="A171" s="26">
        <v>26573</v>
      </c>
      <c r="B171" s="27">
        <f>VLOOKUP(Table3032[[#This Row],[Month]],'DB Money Supply'!$A:$D,2)</f>
        <v>580.6</v>
      </c>
      <c r="C171" s="65">
        <f>(Table3032[[#This Row],[Real M1 Money Stock]]-B159)/B159</f>
        <v>4.5184518451845228E-2</v>
      </c>
    </row>
    <row r="172" spans="1:3" x14ac:dyDescent="0.2">
      <c r="A172" s="26">
        <v>26604</v>
      </c>
      <c r="B172" s="27">
        <f>VLOOKUP(Table3032[[#This Row],[Month]],'DB Money Supply'!$A:$D,2)</f>
        <v>581.1</v>
      </c>
      <c r="C172" s="65">
        <f>(Table3032[[#This Row],[Real M1 Money Stock]]-B160)/B160</f>
        <v>4.5896328293736501E-2</v>
      </c>
    </row>
    <row r="173" spans="1:3" x14ac:dyDescent="0.2">
      <c r="A173" s="26">
        <v>26634</v>
      </c>
      <c r="B173" s="27">
        <f>VLOOKUP(Table3032[[#This Row],[Month]],'DB Money Supply'!$A:$D,2)</f>
        <v>586.4</v>
      </c>
      <c r="C173" s="65">
        <f>(Table3032[[#This Row],[Real M1 Money Stock]]-B161)/B161</f>
        <v>5.5625562556255587E-2</v>
      </c>
    </row>
    <row r="174" spans="1:3" x14ac:dyDescent="0.2">
      <c r="A174" s="26">
        <v>26665</v>
      </c>
      <c r="B174" s="27">
        <f>VLOOKUP(Table3032[[#This Row],[Month]],'DB Money Supply'!$A:$D,2)</f>
        <v>589</v>
      </c>
      <c r="C174" s="65">
        <f>(Table3032[[#This Row],[Real M1 Money Stock]]-B162)/B162</f>
        <v>5.461056401074306E-2</v>
      </c>
    </row>
    <row r="175" spans="1:3" x14ac:dyDescent="0.2">
      <c r="A175" s="26">
        <v>26696</v>
      </c>
      <c r="B175" s="27">
        <f>VLOOKUP(Table3032[[#This Row],[Month]],'DB Money Supply'!$A:$D,2)</f>
        <v>586.5</v>
      </c>
      <c r="C175" s="65">
        <f>(Table3032[[#This Row],[Real M1 Money Stock]]-B163)/B163</f>
        <v>4.5268223133131308E-2</v>
      </c>
    </row>
    <row r="176" spans="1:3" x14ac:dyDescent="0.2">
      <c r="A176" s="26">
        <v>26724</v>
      </c>
      <c r="B176" s="27">
        <f>VLOOKUP(Table3032[[#This Row],[Month]],'DB Money Supply'!$A:$D,2)</f>
        <v>580</v>
      </c>
      <c r="C176" s="65">
        <f>(Table3032[[#This Row],[Real M1 Money Stock]]-B164)/B164</f>
        <v>2.4916062908641144E-2</v>
      </c>
    </row>
    <row r="177" spans="1:3" x14ac:dyDescent="0.2">
      <c r="A177" s="26">
        <v>26755</v>
      </c>
      <c r="B177" s="27">
        <f>VLOOKUP(Table3032[[#This Row],[Month]],'DB Money Supply'!$A:$D,2)</f>
        <v>578.29999999999995</v>
      </c>
      <c r="C177" s="65">
        <f>(Table3032[[#This Row],[Real M1 Money Stock]]-B165)/B165</f>
        <v>1.8671833714990149E-2</v>
      </c>
    </row>
    <row r="178" spans="1:3" x14ac:dyDescent="0.2">
      <c r="A178" s="26">
        <v>26785</v>
      </c>
      <c r="B178" s="27">
        <f>VLOOKUP(Table3032[[#This Row],[Month]],'DB Money Supply'!$A:$D,2)</f>
        <v>580.6</v>
      </c>
      <c r="C178" s="65">
        <f>(Table3032[[#This Row],[Real M1 Money Stock]]-B166)/B166</f>
        <v>2.3805325339446303E-2</v>
      </c>
    </row>
    <row r="179" spans="1:3" x14ac:dyDescent="0.2">
      <c r="A179" s="26">
        <v>26816</v>
      </c>
      <c r="B179" s="27">
        <f>VLOOKUP(Table3032[[#This Row],[Month]],'DB Money Supply'!$A:$D,2)</f>
        <v>580.79999999999995</v>
      </c>
      <c r="C179" s="65">
        <f>(Table3032[[#This Row],[Real M1 Money Stock]]-B167)/B167</f>
        <v>2.3616496298907257E-2</v>
      </c>
    </row>
    <row r="180" spans="1:3" x14ac:dyDescent="0.2">
      <c r="A180" s="26">
        <v>26846</v>
      </c>
      <c r="B180" s="27">
        <f>VLOOKUP(Table3032[[#This Row],[Month]],'DB Money Supply'!$A:$D,2)</f>
        <v>582.6</v>
      </c>
      <c r="C180" s="65">
        <f>(Table3032[[#This Row],[Real M1 Money Stock]]-B168)/B168</f>
        <v>1.9779450376334797E-2</v>
      </c>
    </row>
    <row r="181" spans="1:3" x14ac:dyDescent="0.2">
      <c r="A181" s="26">
        <v>26877</v>
      </c>
      <c r="B181" s="27">
        <f>VLOOKUP(Table3032[[#This Row],[Month]],'DB Money Supply'!$A:$D,2)</f>
        <v>572.70000000000005</v>
      </c>
      <c r="C181" s="65">
        <f>(Table3032[[#This Row],[Real M1 Money Stock]]-B169)/B169</f>
        <v>-3.826752478691828E-3</v>
      </c>
    </row>
    <row r="182" spans="1:3" x14ac:dyDescent="0.2">
      <c r="A182" s="26">
        <v>26908</v>
      </c>
      <c r="B182" s="27">
        <f>VLOOKUP(Table3032[[#This Row],[Month]],'DB Money Supply'!$A:$D,2)</f>
        <v>570.6</v>
      </c>
      <c r="C182" s="65">
        <f>(Table3032[[#This Row],[Real M1 Money Stock]]-B170)/B170</f>
        <v>-1.2290115977150809E-2</v>
      </c>
    </row>
    <row r="183" spans="1:3" x14ac:dyDescent="0.2">
      <c r="A183" s="26">
        <v>26938</v>
      </c>
      <c r="B183" s="27">
        <f>VLOOKUP(Table3032[[#This Row],[Month]],'DB Money Supply'!$A:$D,2)</f>
        <v>568</v>
      </c>
      <c r="C183" s="65">
        <f>(Table3032[[#This Row],[Real M1 Money Stock]]-B171)/B171</f>
        <v>-2.170168790905963E-2</v>
      </c>
    </row>
    <row r="184" spans="1:3" x14ac:dyDescent="0.2">
      <c r="A184" s="26">
        <v>26969</v>
      </c>
      <c r="B184" s="27">
        <f>VLOOKUP(Table3032[[#This Row],[Month]],'DB Money Supply'!$A:$D,2)</f>
        <v>568.6</v>
      </c>
      <c r="C184" s="65">
        <f>(Table3032[[#This Row],[Real M1 Money Stock]]-B172)/B172</f>
        <v>-2.1510927551196008E-2</v>
      </c>
    </row>
    <row r="185" spans="1:3" x14ac:dyDescent="0.2">
      <c r="A185" s="26">
        <v>26999</v>
      </c>
      <c r="B185" s="27">
        <f>VLOOKUP(Table3032[[#This Row],[Month]],'DB Money Supply'!$A:$D,2)</f>
        <v>567.79999999999995</v>
      </c>
      <c r="C185" s="65">
        <f>(Table3032[[#This Row],[Real M1 Money Stock]]-B173)/B173</f>
        <v>-3.1718963165075074E-2</v>
      </c>
    </row>
    <row r="186" spans="1:3" x14ac:dyDescent="0.2">
      <c r="A186" s="26">
        <v>27030</v>
      </c>
      <c r="B186" s="27">
        <f>VLOOKUP(Table3032[[#This Row],[Month]],'DB Money Supply'!$A:$D,2)</f>
        <v>563.70000000000005</v>
      </c>
      <c r="C186" s="65">
        <f>(Table3032[[#This Row],[Real M1 Money Stock]]-B174)/B174</f>
        <v>-4.2954159592529635E-2</v>
      </c>
    </row>
    <row r="187" spans="1:3" x14ac:dyDescent="0.2">
      <c r="A187" s="26">
        <v>27061</v>
      </c>
      <c r="B187" s="27">
        <f>VLOOKUP(Table3032[[#This Row],[Month]],'DB Money Supply'!$A:$D,2)</f>
        <v>560.9</v>
      </c>
      <c r="C187" s="65">
        <f>(Table3032[[#This Row],[Real M1 Money Stock]]-B175)/B175</f>
        <v>-4.3648763853367474E-2</v>
      </c>
    </row>
    <row r="188" spans="1:3" x14ac:dyDescent="0.2">
      <c r="A188" s="26">
        <v>27089</v>
      </c>
      <c r="B188" s="27">
        <f>VLOOKUP(Table3032[[#This Row],[Month]],'DB Money Supply'!$A:$D,2)</f>
        <v>557.9</v>
      </c>
      <c r="C188" s="65">
        <f>(Table3032[[#This Row],[Real M1 Money Stock]]-B176)/B176</f>
        <v>-3.8103448275862109E-2</v>
      </c>
    </row>
    <row r="189" spans="1:3" x14ac:dyDescent="0.2">
      <c r="A189" s="26">
        <v>27120</v>
      </c>
      <c r="B189" s="27">
        <f>VLOOKUP(Table3032[[#This Row],[Month]],'DB Money Supply'!$A:$D,2)</f>
        <v>555.5</v>
      </c>
      <c r="C189" s="65">
        <f>(Table3032[[#This Row],[Real M1 Money Stock]]-B177)/B177</f>
        <v>-3.9425903510288705E-2</v>
      </c>
    </row>
    <row r="190" spans="1:3" x14ac:dyDescent="0.2">
      <c r="A190" s="26">
        <v>27150</v>
      </c>
      <c r="B190" s="27">
        <f>VLOOKUP(Table3032[[#This Row],[Month]],'DB Money Supply'!$A:$D,2)</f>
        <v>550.6</v>
      </c>
      <c r="C190" s="65">
        <f>(Table3032[[#This Row],[Real M1 Money Stock]]-B178)/B178</f>
        <v>-5.1670685497760938E-2</v>
      </c>
    </row>
    <row r="191" spans="1:3" x14ac:dyDescent="0.2">
      <c r="A191" s="26">
        <v>27181</v>
      </c>
      <c r="B191" s="27">
        <f>VLOOKUP(Table3032[[#This Row],[Month]],'DB Money Supply'!$A:$D,2)</f>
        <v>548</v>
      </c>
      <c r="C191" s="65">
        <f>(Table3032[[#This Row],[Real M1 Money Stock]]-B179)/B179</f>
        <v>-5.6473829201101854E-2</v>
      </c>
    </row>
    <row r="192" spans="1:3" x14ac:dyDescent="0.2">
      <c r="A192" s="26">
        <v>27211</v>
      </c>
      <c r="B192" s="27">
        <f>VLOOKUP(Table3032[[#This Row],[Month]],'DB Money Supply'!$A:$D,2)</f>
        <v>546.20000000000005</v>
      </c>
      <c r="C192" s="65">
        <f>(Table3032[[#This Row],[Real M1 Money Stock]]-B180)/B180</f>
        <v>-6.247854445588736E-2</v>
      </c>
    </row>
    <row r="193" spans="1:3" x14ac:dyDescent="0.2">
      <c r="A193" s="26">
        <v>27242</v>
      </c>
      <c r="B193" s="27">
        <f>VLOOKUP(Table3032[[#This Row],[Month]],'DB Money Supply'!$A:$D,2)</f>
        <v>541.29999999999995</v>
      </c>
      <c r="C193" s="65">
        <f>(Table3032[[#This Row],[Real M1 Money Stock]]-B181)/B181</f>
        <v>-5.4828007682905688E-2</v>
      </c>
    </row>
    <row r="194" spans="1:3" x14ac:dyDescent="0.2">
      <c r="A194" s="26">
        <v>27273</v>
      </c>
      <c r="B194" s="27">
        <f>VLOOKUP(Table3032[[#This Row],[Month]],'DB Money Supply'!$A:$D,2)</f>
        <v>535.6</v>
      </c>
      <c r="C194" s="65">
        <f>(Table3032[[#This Row],[Real M1 Money Stock]]-B182)/B182</f>
        <v>-6.1338941465124426E-2</v>
      </c>
    </row>
    <row r="195" spans="1:3" x14ac:dyDescent="0.2">
      <c r="A195" s="26">
        <v>27303</v>
      </c>
      <c r="B195" s="27">
        <f>VLOOKUP(Table3032[[#This Row],[Month]],'DB Money Supply'!$A:$D,2)</f>
        <v>533.9</v>
      </c>
      <c r="C195" s="65">
        <f>(Table3032[[#This Row],[Real M1 Money Stock]]-B183)/B183</f>
        <v>-6.0035211267605672E-2</v>
      </c>
    </row>
    <row r="196" spans="1:3" x14ac:dyDescent="0.2">
      <c r="A196" s="26">
        <v>27334</v>
      </c>
      <c r="B196" s="27">
        <f>VLOOKUP(Table3032[[#This Row],[Month]],'DB Money Supply'!$A:$D,2)</f>
        <v>531.5</v>
      </c>
      <c r="C196" s="65">
        <f>(Table3032[[#This Row],[Real M1 Money Stock]]-B184)/B184</f>
        <v>-6.5247977488568448E-2</v>
      </c>
    </row>
    <row r="197" spans="1:3" x14ac:dyDescent="0.2">
      <c r="A197" s="26">
        <v>27364</v>
      </c>
      <c r="B197" s="27">
        <f>VLOOKUP(Table3032[[#This Row],[Month]],'DB Money Supply'!$A:$D,2)</f>
        <v>528.29999999999995</v>
      </c>
      <c r="C197" s="65">
        <f>(Table3032[[#This Row],[Real M1 Money Stock]]-B185)/B185</f>
        <v>-6.9566748855230717E-2</v>
      </c>
    </row>
    <row r="198" spans="1:3" x14ac:dyDescent="0.2">
      <c r="A198" s="26">
        <v>27395</v>
      </c>
      <c r="B198" s="27">
        <f>VLOOKUP(Table3032[[#This Row],[Month]],'DB Money Supply'!$A:$D,2)</f>
        <v>523.70000000000005</v>
      </c>
      <c r="C198" s="65">
        <f>(Table3032[[#This Row],[Real M1 Money Stock]]-B186)/B186</f>
        <v>-7.095973035302465E-2</v>
      </c>
    </row>
    <row r="199" spans="1:3" x14ac:dyDescent="0.2">
      <c r="A199" s="26">
        <v>27426</v>
      </c>
      <c r="B199" s="27">
        <f>VLOOKUP(Table3032[[#This Row],[Month]],'DB Money Supply'!$A:$D,2)</f>
        <v>522.79999999999995</v>
      </c>
      <c r="C199" s="65">
        <f>(Table3032[[#This Row],[Real M1 Money Stock]]-B187)/B187</f>
        <v>-6.7926546621501202E-2</v>
      </c>
    </row>
    <row r="200" spans="1:3" x14ac:dyDescent="0.2">
      <c r="A200" s="26">
        <v>27454</v>
      </c>
      <c r="B200" s="27">
        <f>VLOOKUP(Table3032[[#This Row],[Month]],'DB Money Supply'!$A:$D,2)</f>
        <v>523.5</v>
      </c>
      <c r="C200" s="65">
        <f>(Table3032[[#This Row],[Real M1 Money Stock]]-B188)/B188</f>
        <v>-6.1659795662305034E-2</v>
      </c>
    </row>
    <row r="201" spans="1:3" x14ac:dyDescent="0.2">
      <c r="A201" s="26">
        <v>27485</v>
      </c>
      <c r="B201" s="27">
        <f>VLOOKUP(Table3032[[#This Row],[Month]],'DB Money Supply'!$A:$D,2)</f>
        <v>521.1</v>
      </c>
      <c r="C201" s="65">
        <f>(Table3032[[#This Row],[Real M1 Money Stock]]-B189)/B189</f>
        <v>-6.1926192619261883E-2</v>
      </c>
    </row>
    <row r="202" spans="1:3" x14ac:dyDescent="0.2">
      <c r="A202" s="26">
        <v>27515</v>
      </c>
      <c r="B202" s="27">
        <f>VLOOKUP(Table3032[[#This Row],[Month]],'DB Money Supply'!$A:$D,2)</f>
        <v>525.79999999999995</v>
      </c>
      <c r="C202" s="65">
        <f>(Table3032[[#This Row],[Real M1 Money Stock]]-B190)/B190</f>
        <v>-4.5041772611696451E-2</v>
      </c>
    </row>
    <row r="203" spans="1:3" x14ac:dyDescent="0.2">
      <c r="A203" s="26">
        <v>27546</v>
      </c>
      <c r="B203" s="27">
        <f>VLOOKUP(Table3032[[#This Row],[Month]],'DB Money Supply'!$A:$D,2)</f>
        <v>527.9</v>
      </c>
      <c r="C203" s="65">
        <f>(Table3032[[#This Row],[Real M1 Money Stock]]-B191)/B191</f>
        <v>-3.6678832116788365E-2</v>
      </c>
    </row>
    <row r="204" spans="1:3" x14ac:dyDescent="0.2">
      <c r="A204" s="26">
        <v>27576</v>
      </c>
      <c r="B204" s="27">
        <f>VLOOKUP(Table3032[[#This Row],[Month]],'DB Money Supply'!$A:$D,2)</f>
        <v>525.4</v>
      </c>
      <c r="C204" s="65">
        <f>(Table3032[[#This Row],[Real M1 Money Stock]]-B192)/B192</f>
        <v>-3.8081288905163067E-2</v>
      </c>
    </row>
    <row r="205" spans="1:3" x14ac:dyDescent="0.2">
      <c r="A205" s="26">
        <v>27607</v>
      </c>
      <c r="B205" s="27">
        <f>VLOOKUP(Table3032[[#This Row],[Month]],'DB Money Supply'!$A:$D,2)</f>
        <v>524.20000000000005</v>
      </c>
      <c r="C205" s="65">
        <f>(Table3032[[#This Row],[Real M1 Money Stock]]-B193)/B193</f>
        <v>-3.159061518566398E-2</v>
      </c>
    </row>
    <row r="206" spans="1:3" x14ac:dyDescent="0.2">
      <c r="A206" s="26">
        <v>27638</v>
      </c>
      <c r="B206" s="27">
        <f>VLOOKUP(Table3032[[#This Row],[Month]],'DB Money Supply'!$A:$D,2)</f>
        <v>523.29999999999995</v>
      </c>
      <c r="C206" s="65">
        <f>(Table3032[[#This Row],[Real M1 Money Stock]]-B194)/B194</f>
        <v>-2.2964899178491538E-2</v>
      </c>
    </row>
    <row r="207" spans="1:3" x14ac:dyDescent="0.2">
      <c r="A207" s="26">
        <v>27668</v>
      </c>
      <c r="B207" s="27">
        <f>VLOOKUP(Table3032[[#This Row],[Month]],'DB Money Supply'!$A:$D,2)</f>
        <v>519.9</v>
      </c>
      <c r="C207" s="65">
        <f>(Table3032[[#This Row],[Real M1 Money Stock]]-B195)/B195</f>
        <v>-2.6222138977336582E-2</v>
      </c>
    </row>
    <row r="208" spans="1:3" x14ac:dyDescent="0.2">
      <c r="A208" s="26">
        <v>27699</v>
      </c>
      <c r="B208" s="27">
        <f>VLOOKUP(Table3032[[#This Row],[Month]],'DB Money Supply'!$A:$D,2)</f>
        <v>518.6</v>
      </c>
      <c r="C208" s="65">
        <f>(Table3032[[#This Row],[Real M1 Money Stock]]-B196)/B196</f>
        <v>-2.4270931326434576E-2</v>
      </c>
    </row>
    <row r="209" spans="1:3" x14ac:dyDescent="0.2">
      <c r="A209" s="26">
        <v>27729</v>
      </c>
      <c r="B209" s="27">
        <f>VLOOKUP(Table3032[[#This Row],[Month]],'DB Money Supply'!$A:$D,2)</f>
        <v>516.4</v>
      </c>
      <c r="C209" s="65">
        <f>(Table3032[[#This Row],[Real M1 Money Stock]]-B197)/B197</f>
        <v>-2.2525080446715841E-2</v>
      </c>
    </row>
    <row r="210" spans="1:3" x14ac:dyDescent="0.2">
      <c r="A210" s="26">
        <v>27760</v>
      </c>
      <c r="B210" s="27">
        <f>VLOOKUP(Table3032[[#This Row],[Month]],'DB Money Supply'!$A:$D,2)</f>
        <v>516.79999999999995</v>
      </c>
      <c r="C210" s="65">
        <f>(Table3032[[#This Row],[Real M1 Money Stock]]-B198)/B198</f>
        <v>-1.3175482146267119E-2</v>
      </c>
    </row>
    <row r="211" spans="1:3" x14ac:dyDescent="0.2">
      <c r="A211" s="26">
        <v>27791</v>
      </c>
      <c r="B211" s="27">
        <f>VLOOKUP(Table3032[[#This Row],[Month]],'DB Money Supply'!$A:$D,2)</f>
        <v>520.20000000000005</v>
      </c>
      <c r="C211" s="65">
        <f>(Table3032[[#This Row],[Real M1 Money Stock]]-B199)/B199</f>
        <v>-4.9732211170618002E-3</v>
      </c>
    </row>
    <row r="212" spans="1:3" x14ac:dyDescent="0.2">
      <c r="A212" s="26">
        <v>27820</v>
      </c>
      <c r="B212" s="27">
        <f>VLOOKUP(Table3032[[#This Row],[Month]],'DB Money Supply'!$A:$D,2)</f>
        <v>522.70000000000005</v>
      </c>
      <c r="C212" s="65">
        <f>(Table3032[[#This Row],[Real M1 Money Stock]]-B200)/B200</f>
        <v>-1.5281757402100373E-3</v>
      </c>
    </row>
    <row r="213" spans="1:3" x14ac:dyDescent="0.2">
      <c r="A213" s="26">
        <v>27851</v>
      </c>
      <c r="B213" s="27">
        <f>VLOOKUP(Table3032[[#This Row],[Month]],'DB Money Supply'!$A:$D,2)</f>
        <v>525.29999999999995</v>
      </c>
      <c r="C213" s="65">
        <f>(Table3032[[#This Row],[Real M1 Money Stock]]-B201)/B201</f>
        <v>8.0598733448473073E-3</v>
      </c>
    </row>
    <row r="214" spans="1:3" x14ac:dyDescent="0.2">
      <c r="A214" s="26">
        <v>27881</v>
      </c>
      <c r="B214" s="27">
        <f>VLOOKUP(Table3032[[#This Row],[Month]],'DB Money Supply'!$A:$D,2)</f>
        <v>524.6</v>
      </c>
      <c r="C214" s="65">
        <f>(Table3032[[#This Row],[Real M1 Money Stock]]-B202)/B202</f>
        <v>-2.2822365918598931E-3</v>
      </c>
    </row>
    <row r="215" spans="1:3" x14ac:dyDescent="0.2">
      <c r="A215" s="26">
        <v>27912</v>
      </c>
      <c r="B215" s="27">
        <f>VLOOKUP(Table3032[[#This Row],[Month]],'DB Money Supply'!$A:$D,2)</f>
        <v>522.4</v>
      </c>
      <c r="C215" s="65">
        <f>(Table3032[[#This Row],[Real M1 Money Stock]]-B203)/B203</f>
        <v>-1.0418639893919304E-2</v>
      </c>
    </row>
    <row r="216" spans="1:3" x14ac:dyDescent="0.2">
      <c r="A216" s="26">
        <v>27942</v>
      </c>
      <c r="B216" s="27">
        <f>VLOOKUP(Table3032[[#This Row],[Month]],'DB Money Supply'!$A:$D,2)</f>
        <v>521.4</v>
      </c>
      <c r="C216" s="65">
        <f>(Table3032[[#This Row],[Real M1 Money Stock]]-B204)/B204</f>
        <v>-7.6132470498667688E-3</v>
      </c>
    </row>
    <row r="217" spans="1:3" x14ac:dyDescent="0.2">
      <c r="A217" s="26">
        <v>27973</v>
      </c>
      <c r="B217" s="27">
        <f>VLOOKUP(Table3032[[#This Row],[Month]],'DB Money Supply'!$A:$D,2)</f>
        <v>521.79999999999995</v>
      </c>
      <c r="C217" s="65">
        <f>(Table3032[[#This Row],[Real M1 Money Stock]]-B205)/B205</f>
        <v>-4.5784051888593871E-3</v>
      </c>
    </row>
    <row r="218" spans="1:3" x14ac:dyDescent="0.2">
      <c r="A218" s="26">
        <v>28004</v>
      </c>
      <c r="B218" s="27">
        <f>VLOOKUP(Table3032[[#This Row],[Month]],'DB Money Supply'!$A:$D,2)</f>
        <v>520.1</v>
      </c>
      <c r="C218" s="65">
        <f>(Table3032[[#This Row],[Real M1 Money Stock]]-B206)/B206</f>
        <v>-6.1150391744695812E-3</v>
      </c>
    </row>
    <row r="219" spans="1:3" x14ac:dyDescent="0.2">
      <c r="A219" s="26">
        <v>28034</v>
      </c>
      <c r="B219" s="27">
        <f>VLOOKUP(Table3032[[#This Row],[Month]],'DB Money Supply'!$A:$D,2)</f>
        <v>521.6</v>
      </c>
      <c r="C219" s="65">
        <f>(Table3032[[#This Row],[Real M1 Money Stock]]-B207)/B207</f>
        <v>3.269859588382469E-3</v>
      </c>
    </row>
    <row r="220" spans="1:3" x14ac:dyDescent="0.2">
      <c r="A220" s="26">
        <v>28065</v>
      </c>
      <c r="B220" s="27">
        <f>VLOOKUP(Table3032[[#This Row],[Month]],'DB Money Supply'!$A:$D,2)</f>
        <v>522.5</v>
      </c>
      <c r="C220" s="65">
        <f>(Table3032[[#This Row],[Real M1 Money Stock]]-B208)/B208</f>
        <v>7.5202468183570709E-3</v>
      </c>
    </row>
    <row r="221" spans="1:3" x14ac:dyDescent="0.2">
      <c r="A221" s="26">
        <v>28095</v>
      </c>
      <c r="B221" s="27">
        <f>VLOOKUP(Table3032[[#This Row],[Month]],'DB Money Supply'!$A:$D,2)</f>
        <v>524.29999999999995</v>
      </c>
      <c r="C221" s="65">
        <f>(Table3032[[#This Row],[Real M1 Money Stock]]-B209)/B209</f>
        <v>1.5298218435321413E-2</v>
      </c>
    </row>
    <row r="222" spans="1:3" x14ac:dyDescent="0.2">
      <c r="A222" s="26">
        <v>28126</v>
      </c>
      <c r="B222" s="27">
        <f>VLOOKUP(Table3032[[#This Row],[Month]],'DB Money Supply'!$A:$D,2)</f>
        <v>525.20000000000005</v>
      </c>
      <c r="C222" s="65">
        <f>(Table3032[[#This Row],[Real M1 Money Stock]]-B210)/B210</f>
        <v>1.6253869969040425E-2</v>
      </c>
    </row>
    <row r="223" spans="1:3" x14ac:dyDescent="0.2">
      <c r="A223" s="26">
        <v>28157</v>
      </c>
      <c r="B223" s="27">
        <f>VLOOKUP(Table3032[[#This Row],[Month]],'DB Money Supply'!$A:$D,2)</f>
        <v>525.29999999999995</v>
      </c>
      <c r="C223" s="65">
        <f>(Table3032[[#This Row],[Real M1 Money Stock]]-B211)/B211</f>
        <v>9.8039215686272756E-3</v>
      </c>
    </row>
    <row r="224" spans="1:3" x14ac:dyDescent="0.2">
      <c r="A224" s="26">
        <v>28185</v>
      </c>
      <c r="B224" s="27">
        <f>VLOOKUP(Table3032[[#This Row],[Month]],'DB Money Supply'!$A:$D,2)</f>
        <v>526.70000000000005</v>
      </c>
      <c r="C224" s="65">
        <f>(Table3032[[#This Row],[Real M1 Money Stock]]-B212)/B212</f>
        <v>7.6525731777310115E-3</v>
      </c>
    </row>
    <row r="225" spans="1:3" x14ac:dyDescent="0.2">
      <c r="A225" s="26">
        <v>28216</v>
      </c>
      <c r="B225" s="27">
        <f>VLOOKUP(Table3032[[#This Row],[Month]],'DB Money Supply'!$A:$D,2)</f>
        <v>526.70000000000005</v>
      </c>
      <c r="C225" s="65">
        <f>(Table3032[[#This Row],[Real M1 Money Stock]]-B213)/B213</f>
        <v>2.6651437273940435E-3</v>
      </c>
    </row>
    <row r="226" spans="1:3" x14ac:dyDescent="0.2">
      <c r="A226" s="26">
        <v>28246</v>
      </c>
      <c r="B226" s="27">
        <f>VLOOKUP(Table3032[[#This Row],[Month]],'DB Money Supply'!$A:$D,2)</f>
        <v>526.9</v>
      </c>
      <c r="C226" s="65">
        <f>(Table3032[[#This Row],[Real M1 Money Stock]]-B214)/B214</f>
        <v>4.3842927945100156E-3</v>
      </c>
    </row>
    <row r="227" spans="1:3" x14ac:dyDescent="0.2">
      <c r="A227" s="26">
        <v>28277</v>
      </c>
      <c r="B227" s="27">
        <f>VLOOKUP(Table3032[[#This Row],[Month]],'DB Money Supply'!$A:$D,2)</f>
        <v>526.9</v>
      </c>
      <c r="C227" s="65">
        <f>(Table3032[[#This Row],[Real M1 Money Stock]]-B215)/B215</f>
        <v>8.6140888208269522E-3</v>
      </c>
    </row>
    <row r="228" spans="1:3" x14ac:dyDescent="0.2">
      <c r="A228" s="26">
        <v>28307</v>
      </c>
      <c r="B228" s="27">
        <f>VLOOKUP(Table3032[[#This Row],[Month]],'DB Money Supply'!$A:$D,2)</f>
        <v>526.6</v>
      </c>
      <c r="C228" s="65">
        <f>(Table3032[[#This Row],[Real M1 Money Stock]]-B216)/B216</f>
        <v>9.9731492136556302E-3</v>
      </c>
    </row>
    <row r="229" spans="1:3" x14ac:dyDescent="0.2">
      <c r="A229" s="26">
        <v>28338</v>
      </c>
      <c r="B229" s="27">
        <f>VLOOKUP(Table3032[[#This Row],[Month]],'DB Money Supply'!$A:$D,2)</f>
        <v>527.5</v>
      </c>
      <c r="C229" s="65">
        <f>(Table3032[[#This Row],[Real M1 Money Stock]]-B217)/B217</f>
        <v>1.0923725565350798E-2</v>
      </c>
    </row>
    <row r="230" spans="1:3" x14ac:dyDescent="0.2">
      <c r="A230" s="26">
        <v>28369</v>
      </c>
      <c r="B230" s="27">
        <f>VLOOKUP(Table3032[[#This Row],[Month]],'DB Money Supply'!$A:$D,2)</f>
        <v>529.4</v>
      </c>
      <c r="C230" s="65">
        <f>(Table3032[[#This Row],[Real M1 Money Stock]]-B218)/B218</f>
        <v>1.788117669678899E-2</v>
      </c>
    </row>
    <row r="231" spans="1:3" x14ac:dyDescent="0.2">
      <c r="A231" s="26">
        <v>28399</v>
      </c>
      <c r="B231" s="27">
        <f>VLOOKUP(Table3032[[#This Row],[Month]],'DB Money Supply'!$A:$D,2)</f>
        <v>529.9</v>
      </c>
      <c r="C231" s="65">
        <f>(Table3032[[#This Row],[Real M1 Money Stock]]-B219)/B219</f>
        <v>1.5912576687116476E-2</v>
      </c>
    </row>
    <row r="232" spans="1:3" x14ac:dyDescent="0.2">
      <c r="A232" s="26">
        <v>28430</v>
      </c>
      <c r="B232" s="27">
        <f>VLOOKUP(Table3032[[#This Row],[Month]],'DB Money Supply'!$A:$D,2)</f>
        <v>530</v>
      </c>
      <c r="C232" s="65">
        <f>(Table3032[[#This Row],[Real M1 Money Stock]]-B220)/B220</f>
        <v>1.4354066985645933E-2</v>
      </c>
    </row>
    <row r="233" spans="1:3" x14ac:dyDescent="0.2">
      <c r="A233" s="26">
        <v>28460</v>
      </c>
      <c r="B233" s="27">
        <f>VLOOKUP(Table3032[[#This Row],[Month]],'DB Money Supply'!$A:$D,2)</f>
        <v>531.1</v>
      </c>
      <c r="C233" s="65">
        <f>(Table3032[[#This Row],[Real M1 Money Stock]]-B221)/B221</f>
        <v>1.2969673850848882E-2</v>
      </c>
    </row>
    <row r="234" spans="1:3" x14ac:dyDescent="0.2">
      <c r="A234" s="26">
        <v>28491</v>
      </c>
      <c r="B234" s="27">
        <f>VLOOKUP(Table3032[[#This Row],[Month]],'DB Money Supply'!$A:$D,2)</f>
        <v>533.29999999999995</v>
      </c>
      <c r="C234" s="65">
        <f>(Table3032[[#This Row],[Real M1 Money Stock]]-B222)/B222</f>
        <v>1.5422696115765248E-2</v>
      </c>
    </row>
    <row r="235" spans="1:3" x14ac:dyDescent="0.2">
      <c r="A235" s="26">
        <v>28522</v>
      </c>
      <c r="B235" s="27">
        <f>VLOOKUP(Table3032[[#This Row],[Month]],'DB Money Supply'!$A:$D,2)</f>
        <v>532.20000000000005</v>
      </c>
      <c r="C235" s="65">
        <f>(Table3032[[#This Row],[Real M1 Money Stock]]-B223)/B223</f>
        <v>1.3135351227869962E-2</v>
      </c>
    </row>
    <row r="236" spans="1:3" x14ac:dyDescent="0.2">
      <c r="A236" s="26">
        <v>28550</v>
      </c>
      <c r="B236" s="27">
        <f>VLOOKUP(Table3032[[#This Row],[Month]],'DB Money Supply'!$A:$D,2)</f>
        <v>531.5</v>
      </c>
      <c r="C236" s="65">
        <f>(Table3032[[#This Row],[Real M1 Money Stock]]-B224)/B224</f>
        <v>9.1133472565026654E-3</v>
      </c>
    </row>
    <row r="237" spans="1:3" x14ac:dyDescent="0.2">
      <c r="A237" s="26">
        <v>28581</v>
      </c>
      <c r="B237" s="27">
        <f>VLOOKUP(Table3032[[#This Row],[Month]],'DB Money Supply'!$A:$D,2)</f>
        <v>531.9</v>
      </c>
      <c r="C237" s="65">
        <f>(Table3032[[#This Row],[Real M1 Money Stock]]-B225)/B225</f>
        <v>9.8727928612111857E-3</v>
      </c>
    </row>
    <row r="238" spans="1:3" x14ac:dyDescent="0.2">
      <c r="A238" s="26">
        <v>28611</v>
      </c>
      <c r="B238" s="27">
        <f>VLOOKUP(Table3032[[#This Row],[Month]],'DB Money Supply'!$A:$D,2)</f>
        <v>534.70000000000005</v>
      </c>
      <c r="C238" s="65">
        <f>(Table3032[[#This Row],[Real M1 Money Stock]]-B226)/B226</f>
        <v>1.4803568039476311E-2</v>
      </c>
    </row>
    <row r="239" spans="1:3" x14ac:dyDescent="0.2">
      <c r="A239" s="26">
        <v>28642</v>
      </c>
      <c r="B239" s="27">
        <f>VLOOKUP(Table3032[[#This Row],[Month]],'DB Money Supply'!$A:$D,2)</f>
        <v>533.70000000000005</v>
      </c>
      <c r="C239" s="65">
        <f>(Table3032[[#This Row],[Real M1 Money Stock]]-B227)/B227</f>
        <v>1.2905674701081929E-2</v>
      </c>
    </row>
    <row r="240" spans="1:3" x14ac:dyDescent="0.2">
      <c r="A240" s="26">
        <v>28672</v>
      </c>
      <c r="B240" s="27">
        <f>VLOOKUP(Table3032[[#This Row],[Month]],'DB Money Supply'!$A:$D,2)</f>
        <v>530.70000000000005</v>
      </c>
      <c r="C240" s="65">
        <f>(Table3032[[#This Row],[Real M1 Money Stock]]-B228)/B228</f>
        <v>7.7857956703380601E-3</v>
      </c>
    </row>
    <row r="241" spans="1:3" x14ac:dyDescent="0.2">
      <c r="A241" s="26">
        <v>28703</v>
      </c>
      <c r="B241" s="27">
        <f>VLOOKUP(Table3032[[#This Row],[Month]],'DB Money Supply'!$A:$D,2)</f>
        <v>530.5</v>
      </c>
      <c r="C241" s="65">
        <f>(Table3032[[#This Row],[Real M1 Money Stock]]-B229)/B229</f>
        <v>5.6872037914691941E-3</v>
      </c>
    </row>
    <row r="242" spans="1:3" x14ac:dyDescent="0.2">
      <c r="A242" s="26">
        <v>28734</v>
      </c>
      <c r="B242" s="27">
        <f>VLOOKUP(Table3032[[#This Row],[Month]],'DB Money Supply'!$A:$D,2)</f>
        <v>529.6</v>
      </c>
      <c r="C242" s="65">
        <f>(Table3032[[#This Row],[Real M1 Money Stock]]-B230)/B230</f>
        <v>3.7778617302615316E-4</v>
      </c>
    </row>
    <row r="243" spans="1:3" x14ac:dyDescent="0.2">
      <c r="A243" s="26">
        <v>28764</v>
      </c>
      <c r="B243" s="27">
        <f>VLOOKUP(Table3032[[#This Row],[Month]],'DB Money Supply'!$A:$D,2)</f>
        <v>526.5</v>
      </c>
      <c r="C243" s="65">
        <f>(Table3032[[#This Row],[Real M1 Money Stock]]-B231)/B231</f>
        <v>-6.4163049632005613E-3</v>
      </c>
    </row>
    <row r="244" spans="1:3" x14ac:dyDescent="0.2">
      <c r="A244" s="26">
        <v>28795</v>
      </c>
      <c r="B244" s="27">
        <f>VLOOKUP(Table3032[[#This Row],[Month]],'DB Money Supply'!$A:$D,2)</f>
        <v>526.5</v>
      </c>
      <c r="C244" s="65">
        <f>(Table3032[[#This Row],[Real M1 Money Stock]]-B232)/B232</f>
        <v>-6.6037735849056606E-3</v>
      </c>
    </row>
    <row r="245" spans="1:3" x14ac:dyDescent="0.2">
      <c r="A245" s="26">
        <v>28825</v>
      </c>
      <c r="B245" s="27">
        <f>VLOOKUP(Table3032[[#This Row],[Month]],'DB Money Supply'!$A:$D,2)</f>
        <v>526.20000000000005</v>
      </c>
      <c r="C245" s="65">
        <f>(Table3032[[#This Row],[Real M1 Money Stock]]-B233)/B233</f>
        <v>-9.2261344379589091E-3</v>
      </c>
    </row>
    <row r="246" spans="1:3" x14ac:dyDescent="0.2">
      <c r="A246" s="26">
        <v>28856</v>
      </c>
      <c r="B246" s="27">
        <f>VLOOKUP(Table3032[[#This Row],[Month]],'DB Money Supply'!$A:$D,2)</f>
        <v>523.5</v>
      </c>
      <c r="C246" s="65">
        <f>(Table3032[[#This Row],[Real M1 Money Stock]]-B234)/B234</f>
        <v>-1.8376148509281747E-2</v>
      </c>
    </row>
    <row r="247" spans="1:3" x14ac:dyDescent="0.2">
      <c r="A247" s="26">
        <v>28887</v>
      </c>
      <c r="B247" s="27">
        <f>VLOOKUP(Table3032[[#This Row],[Month]],'DB Money Supply'!$A:$D,2)</f>
        <v>520.1</v>
      </c>
      <c r="C247" s="65">
        <f>(Table3032[[#This Row],[Real M1 Money Stock]]-B235)/B235</f>
        <v>-2.2735813603908347E-2</v>
      </c>
    </row>
    <row r="248" spans="1:3" x14ac:dyDescent="0.2">
      <c r="A248" s="26">
        <v>28915</v>
      </c>
      <c r="B248" s="27">
        <f>VLOOKUP(Table3032[[#This Row],[Month]],'DB Money Supply'!$A:$D,2)</f>
        <v>518.6</v>
      </c>
      <c r="C248" s="65">
        <f>(Table3032[[#This Row],[Real M1 Money Stock]]-B236)/B236</f>
        <v>-2.4270931326434576E-2</v>
      </c>
    </row>
    <row r="249" spans="1:3" x14ac:dyDescent="0.2">
      <c r="A249" s="26">
        <v>28946</v>
      </c>
      <c r="B249" s="27">
        <f>VLOOKUP(Table3032[[#This Row],[Month]],'DB Money Supply'!$A:$D,2)</f>
        <v>521.20000000000005</v>
      </c>
      <c r="C249" s="65">
        <f>(Table3032[[#This Row],[Real M1 Money Stock]]-B237)/B237</f>
        <v>-2.0116563263771259E-2</v>
      </c>
    </row>
    <row r="250" spans="1:3" x14ac:dyDescent="0.2">
      <c r="A250" s="26">
        <v>28976</v>
      </c>
      <c r="B250" s="27">
        <f>VLOOKUP(Table3032[[#This Row],[Month]],'DB Money Supply'!$A:$D,2)</f>
        <v>517.6</v>
      </c>
      <c r="C250" s="65">
        <f>(Table3032[[#This Row],[Real M1 Money Stock]]-B238)/B238</f>
        <v>-3.1980549841032394E-2</v>
      </c>
    </row>
    <row r="251" spans="1:3" x14ac:dyDescent="0.2">
      <c r="A251" s="26">
        <v>29007</v>
      </c>
      <c r="B251" s="27">
        <f>VLOOKUP(Table3032[[#This Row],[Month]],'DB Money Supply'!$A:$D,2)</f>
        <v>517.20000000000005</v>
      </c>
      <c r="C251" s="65">
        <f>(Table3032[[#This Row],[Real M1 Money Stock]]-B239)/B239</f>
        <v>-3.0916245081506463E-2</v>
      </c>
    </row>
    <row r="252" spans="1:3" x14ac:dyDescent="0.2">
      <c r="A252" s="26">
        <v>29037</v>
      </c>
      <c r="B252" s="27">
        <f>VLOOKUP(Table3032[[#This Row],[Month]],'DB Money Supply'!$A:$D,2)</f>
        <v>516.70000000000005</v>
      </c>
      <c r="C252" s="65">
        <f>(Table3032[[#This Row],[Real M1 Money Stock]]-B240)/B240</f>
        <v>-2.6380252496702467E-2</v>
      </c>
    </row>
    <row r="253" spans="1:3" x14ac:dyDescent="0.2">
      <c r="A253" s="26">
        <v>29068</v>
      </c>
      <c r="B253" s="27">
        <f>VLOOKUP(Table3032[[#This Row],[Month]],'DB Money Supply'!$A:$D,2)</f>
        <v>514</v>
      </c>
      <c r="C253" s="65">
        <f>(Table3032[[#This Row],[Real M1 Money Stock]]-B241)/B241</f>
        <v>-3.1102733270499529E-2</v>
      </c>
    </row>
    <row r="254" spans="1:3" x14ac:dyDescent="0.2">
      <c r="A254" s="26">
        <v>29099</v>
      </c>
      <c r="B254" s="27">
        <f>VLOOKUP(Table3032[[#This Row],[Month]],'DB Money Supply'!$A:$D,2)</f>
        <v>509.8</v>
      </c>
      <c r="C254" s="65">
        <f>(Table3032[[#This Row],[Real M1 Money Stock]]-B242)/B242</f>
        <v>-3.7386706948640505E-2</v>
      </c>
    </row>
    <row r="255" spans="1:3" x14ac:dyDescent="0.2">
      <c r="A255" s="26">
        <v>29129</v>
      </c>
      <c r="B255" s="27">
        <f>VLOOKUP(Table3032[[#This Row],[Month]],'DB Money Supply'!$A:$D,2)</f>
        <v>506.4</v>
      </c>
      <c r="C255" s="65">
        <f>(Table3032[[#This Row],[Real M1 Money Stock]]-B243)/B243</f>
        <v>-3.8176638176638217E-2</v>
      </c>
    </row>
    <row r="256" spans="1:3" x14ac:dyDescent="0.2">
      <c r="A256" s="26">
        <v>29160</v>
      </c>
      <c r="B256" s="27">
        <f>VLOOKUP(Table3032[[#This Row],[Month]],'DB Money Supply'!$A:$D,2)</f>
        <v>501.1</v>
      </c>
      <c r="C256" s="65">
        <f>(Table3032[[#This Row],[Real M1 Money Stock]]-B244)/B244</f>
        <v>-4.8243114909781531E-2</v>
      </c>
    </row>
    <row r="257" spans="1:3" x14ac:dyDescent="0.2">
      <c r="A257" s="26">
        <v>29190</v>
      </c>
      <c r="B257" s="27">
        <f>VLOOKUP(Table3032[[#This Row],[Month]],'DB Money Supply'!$A:$D,2)</f>
        <v>496.5</v>
      </c>
      <c r="C257" s="65">
        <f>(Table3032[[#This Row],[Real M1 Money Stock]]-B245)/B245</f>
        <v>-5.6442417331813079E-2</v>
      </c>
    </row>
    <row r="258" spans="1:3" x14ac:dyDescent="0.2">
      <c r="A258" s="26">
        <v>29221</v>
      </c>
      <c r="B258" s="27">
        <f>VLOOKUP(Table3032[[#This Row],[Month]],'DB Money Supply'!$A:$D,2)</f>
        <v>494.6</v>
      </c>
      <c r="C258" s="65">
        <f>(Table3032[[#This Row],[Real M1 Money Stock]]-B246)/B246</f>
        <v>-5.5205348615090695E-2</v>
      </c>
    </row>
    <row r="259" spans="1:3" x14ac:dyDescent="0.2">
      <c r="A259" s="26">
        <v>29252</v>
      </c>
      <c r="B259" s="27">
        <f>VLOOKUP(Table3032[[#This Row],[Month]],'DB Money Supply'!$A:$D,2)</f>
        <v>493.8</v>
      </c>
      <c r="C259" s="65">
        <f>(Table3032[[#This Row],[Real M1 Money Stock]]-B247)/B247</f>
        <v>-5.0567198615650857E-2</v>
      </c>
    </row>
    <row r="260" spans="1:3" x14ac:dyDescent="0.2">
      <c r="A260" s="26">
        <v>29281</v>
      </c>
      <c r="B260" s="27">
        <f>VLOOKUP(Table3032[[#This Row],[Month]],'DB Money Supply'!$A:$D,2)</f>
        <v>484.9</v>
      </c>
      <c r="C260" s="65">
        <f>(Table3032[[#This Row],[Real M1 Money Stock]]-B248)/B248</f>
        <v>-6.4982645584265419E-2</v>
      </c>
    </row>
    <row r="261" spans="1:3" x14ac:dyDescent="0.2">
      <c r="A261" s="26">
        <v>29312</v>
      </c>
      <c r="B261" s="27">
        <f>VLOOKUP(Table3032[[#This Row],[Month]],'DB Money Supply'!$A:$D,2)</f>
        <v>474.4</v>
      </c>
      <c r="C261" s="65">
        <f>(Table3032[[#This Row],[Real M1 Money Stock]]-B249)/B249</f>
        <v>-8.9792785878741482E-2</v>
      </c>
    </row>
    <row r="262" spans="1:3" x14ac:dyDescent="0.2">
      <c r="A262" s="26">
        <v>29342</v>
      </c>
      <c r="B262" s="27">
        <f>VLOOKUP(Table3032[[#This Row],[Month]],'DB Money Supply'!$A:$D,2)</f>
        <v>471</v>
      </c>
      <c r="C262" s="65">
        <f>(Table3032[[#This Row],[Real M1 Money Stock]]-B250)/B250</f>
        <v>-9.003091190108195E-2</v>
      </c>
    </row>
    <row r="263" spans="1:3" x14ac:dyDescent="0.2">
      <c r="A263" s="26">
        <v>29373</v>
      </c>
      <c r="B263" s="27">
        <f>VLOOKUP(Table3032[[#This Row],[Month]],'DB Money Supply'!$A:$D,2)</f>
        <v>471.6</v>
      </c>
      <c r="C263" s="65">
        <f>(Table3032[[#This Row],[Real M1 Money Stock]]-B251)/B251</f>
        <v>-8.8167053364269179E-2</v>
      </c>
    </row>
    <row r="264" spans="1:3" x14ac:dyDescent="0.2">
      <c r="A264" s="26">
        <v>29403</v>
      </c>
      <c r="B264" s="27">
        <f>VLOOKUP(Table3032[[#This Row],[Month]],'DB Money Supply'!$A:$D,2)</f>
        <v>477</v>
      </c>
      <c r="C264" s="65">
        <f>(Table3032[[#This Row],[Real M1 Money Stock]]-B252)/B252</f>
        <v>-7.683375266111872E-2</v>
      </c>
    </row>
    <row r="265" spans="1:3" x14ac:dyDescent="0.2">
      <c r="A265" s="26">
        <v>29434</v>
      </c>
      <c r="B265" s="27">
        <f>VLOOKUP(Table3032[[#This Row],[Month]],'DB Money Supply'!$A:$D,2)</f>
        <v>479.8</v>
      </c>
      <c r="C265" s="65">
        <f>(Table3032[[#This Row],[Real M1 Money Stock]]-B253)/B253</f>
        <v>-6.6536964980544719E-2</v>
      </c>
    </row>
    <row r="266" spans="1:3" x14ac:dyDescent="0.2">
      <c r="A266" s="26">
        <v>29465</v>
      </c>
      <c r="B266" s="27">
        <f>VLOOKUP(Table3032[[#This Row],[Month]],'DB Money Supply'!$A:$D,2)</f>
        <v>482.5</v>
      </c>
      <c r="C266" s="65">
        <f>(Table3032[[#This Row],[Real M1 Money Stock]]-B254)/B254</f>
        <v>-5.3550411926245607E-2</v>
      </c>
    </row>
    <row r="267" spans="1:3" x14ac:dyDescent="0.2">
      <c r="A267" s="26">
        <v>29495</v>
      </c>
      <c r="B267" s="27">
        <f>VLOOKUP(Table3032[[#This Row],[Month]],'DB Money Supply'!$A:$D,2)</f>
        <v>482.9</v>
      </c>
      <c r="C267" s="65">
        <f>(Table3032[[#This Row],[Real M1 Money Stock]]-B255)/B255</f>
        <v>-4.6406003159557667E-2</v>
      </c>
    </row>
    <row r="268" spans="1:3" x14ac:dyDescent="0.2">
      <c r="A268" s="26">
        <v>29526</v>
      </c>
      <c r="B268" s="27">
        <f>VLOOKUP(Table3032[[#This Row],[Month]],'DB Money Supply'!$A:$D,2)</f>
        <v>479.8</v>
      </c>
      <c r="C268" s="65">
        <f>(Table3032[[#This Row],[Real M1 Money Stock]]-B256)/B256</f>
        <v>-4.2506485731390958E-2</v>
      </c>
    </row>
    <row r="269" spans="1:3" x14ac:dyDescent="0.2">
      <c r="A269" s="26">
        <v>29556</v>
      </c>
      <c r="B269" s="27">
        <f>VLOOKUP(Table3032[[#This Row],[Month]],'DB Money Supply'!$A:$D,2)</f>
        <v>472.8</v>
      </c>
      <c r="C269" s="65">
        <f>(Table3032[[#This Row],[Real M1 Money Stock]]-B257)/B257</f>
        <v>-4.7734138972809648E-2</v>
      </c>
    </row>
    <row r="270" spans="1:3" x14ac:dyDescent="0.2">
      <c r="A270" s="26">
        <v>29587</v>
      </c>
      <c r="B270" s="27">
        <f>VLOOKUP(Table3032[[#This Row],[Month]],'DB Money Supply'!$A:$D,2)</f>
        <v>471.7</v>
      </c>
      <c r="C270" s="65">
        <f>(Table3032[[#This Row],[Real M1 Money Stock]]-B258)/B258</f>
        <v>-4.6300040436716608E-2</v>
      </c>
    </row>
    <row r="271" spans="1:3" x14ac:dyDescent="0.2">
      <c r="A271" s="26">
        <v>29618</v>
      </c>
      <c r="B271" s="27">
        <f>VLOOKUP(Table3032[[#This Row],[Month]],'DB Money Supply'!$A:$D,2)</f>
        <v>471.4</v>
      </c>
      <c r="C271" s="65">
        <f>(Table3032[[#This Row],[Real M1 Money Stock]]-B259)/B259</f>
        <v>-4.5362494937221616E-2</v>
      </c>
    </row>
    <row r="272" spans="1:3" x14ac:dyDescent="0.2">
      <c r="A272" s="26">
        <v>29646</v>
      </c>
      <c r="B272" s="27">
        <f>VLOOKUP(Table3032[[#This Row],[Month]],'DB Money Supply'!$A:$D,2)</f>
        <v>472.9</v>
      </c>
      <c r="C272" s="65">
        <f>(Table3032[[#This Row],[Real M1 Money Stock]]-B260)/B260</f>
        <v>-2.4747370591874613E-2</v>
      </c>
    </row>
    <row r="273" spans="1:3" x14ac:dyDescent="0.2">
      <c r="A273" s="26">
        <v>29677</v>
      </c>
      <c r="B273" s="27">
        <f>VLOOKUP(Table3032[[#This Row],[Month]],'DB Money Supply'!$A:$D,2)</f>
        <v>479.7</v>
      </c>
      <c r="C273" s="65">
        <f>(Table3032[[#This Row],[Real M1 Money Stock]]-B261)/B261</f>
        <v>1.1172006745362588E-2</v>
      </c>
    </row>
    <row r="274" spans="1:3" x14ac:dyDescent="0.2">
      <c r="A274" s="26">
        <v>29707</v>
      </c>
      <c r="B274" s="27">
        <f>VLOOKUP(Table3032[[#This Row],[Month]],'DB Money Supply'!$A:$D,2)</f>
        <v>473.5</v>
      </c>
      <c r="C274" s="65">
        <f>(Table3032[[#This Row],[Real M1 Money Stock]]-B262)/B262</f>
        <v>5.3078556263269636E-3</v>
      </c>
    </row>
    <row r="275" spans="1:3" x14ac:dyDescent="0.2">
      <c r="A275" s="26">
        <v>29738</v>
      </c>
      <c r="B275" s="27">
        <f>VLOOKUP(Table3032[[#This Row],[Month]],'DB Money Supply'!$A:$D,2)</f>
        <v>469.8</v>
      </c>
      <c r="C275" s="65">
        <f>(Table3032[[#This Row],[Real M1 Money Stock]]-B263)/B263</f>
        <v>-3.8167938931297951E-3</v>
      </c>
    </row>
    <row r="276" spans="1:3" x14ac:dyDescent="0.2">
      <c r="A276" s="26">
        <v>29768</v>
      </c>
      <c r="B276" s="27">
        <f>VLOOKUP(Table3032[[#This Row],[Month]],'DB Money Supply'!$A:$D,2)</f>
        <v>466.6</v>
      </c>
      <c r="C276" s="65">
        <f>(Table3032[[#This Row],[Real M1 Money Stock]]-B264)/B264</f>
        <v>-2.1802935010482132E-2</v>
      </c>
    </row>
    <row r="277" spans="1:3" x14ac:dyDescent="0.2">
      <c r="A277" s="26">
        <v>29799</v>
      </c>
      <c r="B277" s="27">
        <f>VLOOKUP(Table3032[[#This Row],[Month]],'DB Money Supply'!$A:$D,2)</f>
        <v>463</v>
      </c>
      <c r="C277" s="65">
        <f>(Table3032[[#This Row],[Real M1 Money Stock]]-B265)/B265</f>
        <v>-3.5014589412255132E-2</v>
      </c>
    </row>
    <row r="278" spans="1:3" x14ac:dyDescent="0.2">
      <c r="A278" s="26">
        <v>29830</v>
      </c>
      <c r="B278" s="27">
        <f>VLOOKUP(Table3032[[#This Row],[Month]],'DB Money Supply'!$A:$D,2)</f>
        <v>458.6</v>
      </c>
      <c r="C278" s="65">
        <f>(Table3032[[#This Row],[Real M1 Money Stock]]-B266)/B266</f>
        <v>-4.9533678756476636E-2</v>
      </c>
    </row>
    <row r="279" spans="1:3" x14ac:dyDescent="0.2">
      <c r="A279" s="26">
        <v>29860</v>
      </c>
      <c r="B279" s="27">
        <f>VLOOKUP(Table3032[[#This Row],[Month]],'DB Money Supply'!$A:$D,2)</f>
        <v>458.7</v>
      </c>
      <c r="C279" s="65">
        <f>(Table3032[[#This Row],[Real M1 Money Stock]]-B267)/B267</f>
        <v>-5.0113895216400889E-2</v>
      </c>
    </row>
    <row r="280" spans="1:3" x14ac:dyDescent="0.2">
      <c r="A280" s="26">
        <v>29891</v>
      </c>
      <c r="B280" s="27">
        <f>VLOOKUP(Table3032[[#This Row],[Month]],'DB Money Supply'!$A:$D,2)</f>
        <v>459.8</v>
      </c>
      <c r="C280" s="65">
        <f>(Table3032[[#This Row],[Real M1 Money Stock]]-B268)/B268</f>
        <v>-4.1684035014589414E-2</v>
      </c>
    </row>
    <row r="281" spans="1:3" x14ac:dyDescent="0.2">
      <c r="A281" s="26">
        <v>29921</v>
      </c>
      <c r="B281" s="27">
        <f>VLOOKUP(Table3032[[#This Row],[Month]],'DB Money Supply'!$A:$D,2)</f>
        <v>464.1</v>
      </c>
      <c r="C281" s="65">
        <f>(Table3032[[#This Row],[Real M1 Money Stock]]-B269)/B269</f>
        <v>-1.8401015228426371E-2</v>
      </c>
    </row>
    <row r="282" spans="1:3" x14ac:dyDescent="0.2">
      <c r="A282" s="26">
        <v>29952</v>
      </c>
      <c r="B282" s="27">
        <f>VLOOKUP(Table3032[[#This Row],[Month]],'DB Money Supply'!$A:$D,2)</f>
        <v>469</v>
      </c>
      <c r="C282" s="65">
        <f>(Table3032[[#This Row],[Real M1 Money Stock]]-B270)/B270</f>
        <v>-5.7239771040915599E-3</v>
      </c>
    </row>
    <row r="283" spans="1:3" x14ac:dyDescent="0.2">
      <c r="A283" s="26">
        <v>29983</v>
      </c>
      <c r="B283" s="27">
        <f>VLOOKUP(Table3032[[#This Row],[Month]],'DB Money Supply'!$A:$D,2)</f>
        <v>466.6</v>
      </c>
      <c r="C283" s="65">
        <f>(Table3032[[#This Row],[Real M1 Money Stock]]-B271)/B271</f>
        <v>-1.0182435299108941E-2</v>
      </c>
    </row>
    <row r="284" spans="1:3" x14ac:dyDescent="0.2">
      <c r="A284" s="26">
        <v>30011</v>
      </c>
      <c r="B284" s="27">
        <f>VLOOKUP(Table3032[[#This Row],[Month]],'DB Money Supply'!$A:$D,2)</f>
        <v>467.5</v>
      </c>
      <c r="C284" s="65">
        <f>(Table3032[[#This Row],[Real M1 Money Stock]]-B272)/B272</f>
        <v>-1.1418904631000164E-2</v>
      </c>
    </row>
    <row r="285" spans="1:3" x14ac:dyDescent="0.2">
      <c r="A285" s="26">
        <v>30042</v>
      </c>
      <c r="B285" s="27">
        <f>VLOOKUP(Table3032[[#This Row],[Month]],'DB Money Supply'!$A:$D,2)</f>
        <v>470.6</v>
      </c>
      <c r="C285" s="65">
        <f>(Table3032[[#This Row],[Real M1 Money Stock]]-B273)/B273</f>
        <v>-1.8970189701896949E-2</v>
      </c>
    </row>
    <row r="286" spans="1:3" x14ac:dyDescent="0.2">
      <c r="A286" s="26">
        <v>30072</v>
      </c>
      <c r="B286" s="27">
        <f>VLOOKUP(Table3032[[#This Row],[Month]],'DB Money Supply'!$A:$D,2)</f>
        <v>465.8</v>
      </c>
      <c r="C286" s="65">
        <f>(Table3032[[#This Row],[Real M1 Money Stock]]-B274)/B274</f>
        <v>-1.6261879619852142E-2</v>
      </c>
    </row>
    <row r="287" spans="1:3" x14ac:dyDescent="0.2">
      <c r="A287" s="26">
        <v>30103</v>
      </c>
      <c r="B287" s="27">
        <f>VLOOKUP(Table3032[[#This Row],[Month]],'DB Money Supply'!$A:$D,2)</f>
        <v>461.3</v>
      </c>
      <c r="C287" s="65">
        <f>(Table3032[[#This Row],[Real M1 Money Stock]]-B275)/B275</f>
        <v>-1.8092805449127287E-2</v>
      </c>
    </row>
    <row r="288" spans="1:3" x14ac:dyDescent="0.2">
      <c r="A288" s="26">
        <v>30133</v>
      </c>
      <c r="B288" s="27">
        <f>VLOOKUP(Table3032[[#This Row],[Month]],'DB Money Supply'!$A:$D,2)</f>
        <v>459.5</v>
      </c>
      <c r="C288" s="65">
        <f>(Table3032[[#This Row],[Real M1 Money Stock]]-B276)/B276</f>
        <v>-1.5216459494213507E-2</v>
      </c>
    </row>
    <row r="289" spans="1:3" x14ac:dyDescent="0.2">
      <c r="A289" s="26">
        <v>30164</v>
      </c>
      <c r="B289" s="27">
        <f>VLOOKUP(Table3032[[#This Row],[Month]],'DB Money Supply'!$A:$D,2)</f>
        <v>462</v>
      </c>
      <c r="C289" s="65">
        <f>(Table3032[[#This Row],[Real M1 Money Stock]]-B277)/B277</f>
        <v>-2.1598272138228943E-3</v>
      </c>
    </row>
    <row r="290" spans="1:3" x14ac:dyDescent="0.2">
      <c r="A290" s="26">
        <v>30195</v>
      </c>
      <c r="B290" s="27">
        <f>VLOOKUP(Table3032[[#This Row],[Month]],'DB Money Supply'!$A:$D,2)</f>
        <v>467.7</v>
      </c>
      <c r="C290" s="65">
        <f>(Table3032[[#This Row],[Real M1 Money Stock]]-B278)/B278</f>
        <v>1.9843000436109825E-2</v>
      </c>
    </row>
    <row r="291" spans="1:3" x14ac:dyDescent="0.2">
      <c r="A291" s="26">
        <v>30225</v>
      </c>
      <c r="B291" s="27">
        <f>VLOOKUP(Table3032[[#This Row],[Month]],'DB Money Supply'!$A:$D,2)</f>
        <v>473.5</v>
      </c>
      <c r="C291" s="65">
        <f>(Table3032[[#This Row],[Real M1 Money Stock]]-B279)/B279</f>
        <v>3.226509701329848E-2</v>
      </c>
    </row>
    <row r="292" spans="1:3" x14ac:dyDescent="0.2">
      <c r="A292" s="26">
        <v>30256</v>
      </c>
      <c r="B292" s="27">
        <f>VLOOKUP(Table3032[[#This Row],[Month]],'DB Money Supply'!$A:$D,2)</f>
        <v>481.1</v>
      </c>
      <c r="C292" s="65">
        <f>(Table3032[[#This Row],[Real M1 Money Stock]]-B280)/B280</f>
        <v>4.6324488908220988E-2</v>
      </c>
    </row>
    <row r="293" spans="1:3" x14ac:dyDescent="0.2">
      <c r="A293" s="26">
        <v>30286</v>
      </c>
      <c r="B293" s="27">
        <f>VLOOKUP(Table3032[[#This Row],[Month]],'DB Money Supply'!$A:$D,2)</f>
        <v>486</v>
      </c>
      <c r="C293" s="65">
        <f>(Table3032[[#This Row],[Real M1 Money Stock]]-B281)/B281</f>
        <v>4.7188106011635374E-2</v>
      </c>
    </row>
    <row r="294" spans="1:3" x14ac:dyDescent="0.2">
      <c r="A294" s="26">
        <v>30317</v>
      </c>
      <c r="B294" s="27">
        <f>VLOOKUP(Table3032[[#This Row],[Month]],'DB Money Supply'!$A:$D,2)</f>
        <v>487.4</v>
      </c>
      <c r="C294" s="65">
        <f>(Table3032[[#This Row],[Real M1 Money Stock]]-B282)/B282</f>
        <v>3.9232409381663065E-2</v>
      </c>
    </row>
    <row r="295" spans="1:3" x14ac:dyDescent="0.2">
      <c r="A295" s="26">
        <v>30348</v>
      </c>
      <c r="B295" s="27">
        <f>VLOOKUP(Table3032[[#This Row],[Month]],'DB Money Supply'!$A:$D,2)</f>
        <v>494.2</v>
      </c>
      <c r="C295" s="65">
        <f>(Table3032[[#This Row],[Real M1 Money Stock]]-B283)/B283</f>
        <v>5.9151307329618444E-2</v>
      </c>
    </row>
    <row r="296" spans="1:3" x14ac:dyDescent="0.2">
      <c r="A296" s="26">
        <v>30376</v>
      </c>
      <c r="B296" s="27">
        <f>VLOOKUP(Table3032[[#This Row],[Month]],'DB Money Supply'!$A:$D,2)</f>
        <v>500.1</v>
      </c>
      <c r="C296" s="65">
        <f>(Table3032[[#This Row],[Real M1 Money Stock]]-B284)/B284</f>
        <v>6.9732620320855671E-2</v>
      </c>
    </row>
    <row r="297" spans="1:3" x14ac:dyDescent="0.2">
      <c r="A297" s="26">
        <v>30407</v>
      </c>
      <c r="B297" s="27">
        <f>VLOOKUP(Table3032[[#This Row],[Month]],'DB Money Supply'!$A:$D,2)</f>
        <v>499.2</v>
      </c>
      <c r="C297" s="65">
        <f>(Table3032[[#This Row],[Real M1 Money Stock]]-B285)/B285</f>
        <v>6.0773480662983347E-2</v>
      </c>
    </row>
    <row r="298" spans="1:3" x14ac:dyDescent="0.2">
      <c r="A298" s="26">
        <v>30437</v>
      </c>
      <c r="B298" s="27">
        <f>VLOOKUP(Table3032[[#This Row],[Month]],'DB Money Supply'!$A:$D,2)</f>
        <v>504</v>
      </c>
      <c r="C298" s="65">
        <f>(Table3032[[#This Row],[Real M1 Money Stock]]-B286)/B286</f>
        <v>8.2009446114212084E-2</v>
      </c>
    </row>
    <row r="299" spans="1:3" x14ac:dyDescent="0.2">
      <c r="A299" s="26">
        <v>30468</v>
      </c>
      <c r="B299" s="27">
        <f>VLOOKUP(Table3032[[#This Row],[Month]],'DB Money Supply'!$A:$D,2)</f>
        <v>507</v>
      </c>
      <c r="C299" s="65">
        <f>(Table3032[[#This Row],[Real M1 Money Stock]]-B287)/B287</f>
        <v>9.9067851723390388E-2</v>
      </c>
    </row>
    <row r="300" spans="1:3" x14ac:dyDescent="0.2">
      <c r="A300" s="26">
        <v>30498</v>
      </c>
      <c r="B300" s="27">
        <f>VLOOKUP(Table3032[[#This Row],[Month]],'DB Money Supply'!$A:$D,2)</f>
        <v>508.8</v>
      </c>
      <c r="C300" s="65">
        <f>(Table3032[[#This Row],[Real M1 Money Stock]]-B288)/B288</f>
        <v>0.10729053318824812</v>
      </c>
    </row>
    <row r="301" spans="1:3" x14ac:dyDescent="0.2">
      <c r="A301" s="26">
        <v>30529</v>
      </c>
      <c r="B301" s="27">
        <f>VLOOKUP(Table3032[[#This Row],[Month]],'DB Money Supply'!$A:$D,2)</f>
        <v>510</v>
      </c>
      <c r="C301" s="65">
        <f>(Table3032[[#This Row],[Real M1 Money Stock]]-B289)/B289</f>
        <v>0.1038961038961039</v>
      </c>
    </row>
    <row r="302" spans="1:3" x14ac:dyDescent="0.2">
      <c r="A302" s="26">
        <v>30560</v>
      </c>
      <c r="B302" s="27">
        <f>VLOOKUP(Table3032[[#This Row],[Month]],'DB Money Supply'!$A:$D,2)</f>
        <v>510.8</v>
      </c>
      <c r="C302" s="65">
        <f>(Table3032[[#This Row],[Real M1 Money Stock]]-B290)/B290</f>
        <v>9.2153089587342363E-2</v>
      </c>
    </row>
    <row r="303" spans="1:3" x14ac:dyDescent="0.2">
      <c r="A303" s="26">
        <v>30590</v>
      </c>
      <c r="B303" s="27">
        <f>VLOOKUP(Table3032[[#This Row],[Month]],'DB Money Supply'!$A:$D,2)</f>
        <v>513.1</v>
      </c>
      <c r="C303" s="65">
        <f>(Table3032[[#This Row],[Real M1 Money Stock]]-B291)/B291</f>
        <v>8.3632523759239755E-2</v>
      </c>
    </row>
    <row r="304" spans="1:3" x14ac:dyDescent="0.2">
      <c r="A304" s="26">
        <v>30621</v>
      </c>
      <c r="B304" s="27">
        <f>VLOOKUP(Table3032[[#This Row],[Month]],'DB Money Supply'!$A:$D,2)</f>
        <v>513.4</v>
      </c>
      <c r="C304" s="65">
        <f>(Table3032[[#This Row],[Real M1 Money Stock]]-B292)/B292</f>
        <v>6.713780918727906E-2</v>
      </c>
    </row>
    <row r="305" spans="1:3" x14ac:dyDescent="0.2">
      <c r="A305" s="26">
        <v>30651</v>
      </c>
      <c r="B305" s="27">
        <f>VLOOKUP(Table3032[[#This Row],[Month]],'DB Money Supply'!$A:$D,2)</f>
        <v>514.20000000000005</v>
      </c>
      <c r="C305" s="65">
        <f>(Table3032[[#This Row],[Real M1 Money Stock]]-B293)/B293</f>
        <v>5.8024691358024787E-2</v>
      </c>
    </row>
    <row r="306" spans="1:3" x14ac:dyDescent="0.2">
      <c r="A306" s="26">
        <v>30682</v>
      </c>
      <c r="B306" s="27">
        <f>VLOOKUP(Table3032[[#This Row],[Month]],'DB Money Supply'!$A:$D,2)</f>
        <v>514.29999999999995</v>
      </c>
      <c r="C306" s="65">
        <f>(Table3032[[#This Row],[Real M1 Money Stock]]-B294)/B294</f>
        <v>5.5190808370947843E-2</v>
      </c>
    </row>
    <row r="307" spans="1:3" x14ac:dyDescent="0.2">
      <c r="A307" s="26">
        <v>30713</v>
      </c>
      <c r="B307" s="27">
        <f>VLOOKUP(Table3032[[#This Row],[Month]],'DB Money Supply'!$A:$D,2)</f>
        <v>514.1</v>
      </c>
      <c r="C307" s="65">
        <f>(Table3032[[#This Row],[Real M1 Money Stock]]-B295)/B295</f>
        <v>4.0267098340752802E-2</v>
      </c>
    </row>
    <row r="308" spans="1:3" x14ac:dyDescent="0.2">
      <c r="A308" s="26">
        <v>30742</v>
      </c>
      <c r="B308" s="27">
        <f>VLOOKUP(Table3032[[#This Row],[Month]],'DB Money Supply'!$A:$D,2)</f>
        <v>516.4</v>
      </c>
      <c r="C308" s="65">
        <f>(Table3032[[#This Row],[Real M1 Money Stock]]-B296)/B296</f>
        <v>3.2593481303739159E-2</v>
      </c>
    </row>
    <row r="309" spans="1:3" x14ac:dyDescent="0.2">
      <c r="A309" s="26">
        <v>30773</v>
      </c>
      <c r="B309" s="27">
        <f>VLOOKUP(Table3032[[#This Row],[Month]],'DB Money Supply'!$A:$D,2)</f>
        <v>517.9</v>
      </c>
      <c r="C309" s="65">
        <f>(Table3032[[#This Row],[Real M1 Money Stock]]-B297)/B297</f>
        <v>3.7459935897435875E-2</v>
      </c>
    </row>
    <row r="310" spans="1:3" x14ac:dyDescent="0.2">
      <c r="A310" s="26">
        <v>30803</v>
      </c>
      <c r="B310" s="27">
        <f>VLOOKUP(Table3032[[#This Row],[Month]],'DB Money Supply'!$A:$D,2)</f>
        <v>518.6</v>
      </c>
      <c r="C310" s="65">
        <f>(Table3032[[#This Row],[Real M1 Money Stock]]-B298)/B298</f>
        <v>2.8968253968254015E-2</v>
      </c>
    </row>
    <row r="311" spans="1:3" x14ac:dyDescent="0.2">
      <c r="A311" s="26">
        <v>30834</v>
      </c>
      <c r="B311" s="27">
        <f>VLOOKUP(Table3032[[#This Row],[Month]],'DB Money Supply'!$A:$D,2)</f>
        <v>520.9</v>
      </c>
      <c r="C311" s="65">
        <f>(Table3032[[#This Row],[Real M1 Money Stock]]-B299)/B299</f>
        <v>2.7416173570019679E-2</v>
      </c>
    </row>
    <row r="312" spans="1:3" x14ac:dyDescent="0.2">
      <c r="A312" s="26">
        <v>30864</v>
      </c>
      <c r="B312" s="27">
        <f>VLOOKUP(Table3032[[#This Row],[Month]],'DB Money Supply'!$A:$D,2)</f>
        <v>519.6</v>
      </c>
      <c r="C312" s="65">
        <f>(Table3032[[#This Row],[Real M1 Money Stock]]-B300)/B300</f>
        <v>2.1226415094339646E-2</v>
      </c>
    </row>
    <row r="313" spans="1:3" x14ac:dyDescent="0.2">
      <c r="A313" s="26">
        <v>30895</v>
      </c>
      <c r="B313" s="27">
        <f>VLOOKUP(Table3032[[#This Row],[Month]],'DB Money Supply'!$A:$D,2)</f>
        <v>518.20000000000005</v>
      </c>
      <c r="C313" s="65">
        <f>(Table3032[[#This Row],[Real M1 Money Stock]]-B301)/B301</f>
        <v>1.607843137254911E-2</v>
      </c>
    </row>
    <row r="314" spans="1:3" x14ac:dyDescent="0.2">
      <c r="A314" s="26">
        <v>30926</v>
      </c>
      <c r="B314" s="27">
        <f>VLOOKUP(Table3032[[#This Row],[Month]],'DB Money Supply'!$A:$D,2)</f>
        <v>518.70000000000005</v>
      </c>
      <c r="C314" s="65">
        <f>(Table3032[[#This Row],[Real M1 Money Stock]]-B302)/B302</f>
        <v>1.546593578700085E-2</v>
      </c>
    </row>
    <row r="315" spans="1:3" x14ac:dyDescent="0.2">
      <c r="A315" s="26">
        <v>30956</v>
      </c>
      <c r="B315" s="27">
        <f>VLOOKUP(Table3032[[#This Row],[Month]],'DB Money Supply'!$A:$D,2)</f>
        <v>517.29999999999995</v>
      </c>
      <c r="C315" s="65">
        <f>(Table3032[[#This Row],[Real M1 Money Stock]]-B303)/B303</f>
        <v>8.1855388813095523E-3</v>
      </c>
    </row>
    <row r="316" spans="1:3" x14ac:dyDescent="0.2">
      <c r="A316" s="26">
        <v>30987</v>
      </c>
      <c r="B316" s="27">
        <f>VLOOKUP(Table3032[[#This Row],[Month]],'DB Money Supply'!$A:$D,2)</f>
        <v>519.9</v>
      </c>
      <c r="C316" s="65">
        <f>(Table3032[[#This Row],[Real M1 Money Stock]]-B304)/B304</f>
        <v>1.2660693416439424E-2</v>
      </c>
    </row>
    <row r="317" spans="1:3" x14ac:dyDescent="0.2">
      <c r="A317" s="26">
        <v>31017</v>
      </c>
      <c r="B317" s="27">
        <f>VLOOKUP(Table3032[[#This Row],[Month]],'DB Money Supply'!$A:$D,2)</f>
        <v>522.79999999999995</v>
      </c>
      <c r="C317" s="65">
        <f>(Table3032[[#This Row],[Real M1 Money Stock]]-B305)/B305</f>
        <v>1.6725009723842683E-2</v>
      </c>
    </row>
    <row r="318" spans="1:3" x14ac:dyDescent="0.2">
      <c r="A318" s="26">
        <v>31048</v>
      </c>
      <c r="B318" s="27">
        <f>VLOOKUP(Table3032[[#This Row],[Month]],'DB Money Supply'!$A:$D,2)</f>
        <v>527</v>
      </c>
      <c r="C318" s="65">
        <f>(Table3032[[#This Row],[Real M1 Money Stock]]-B306)/B306</f>
        <v>2.4693758506708238E-2</v>
      </c>
    </row>
    <row r="319" spans="1:3" x14ac:dyDescent="0.2">
      <c r="A319" s="26">
        <v>31079</v>
      </c>
      <c r="B319" s="27">
        <f>VLOOKUP(Table3032[[#This Row],[Month]],'DB Money Supply'!$A:$D,2)</f>
        <v>530.20000000000005</v>
      </c>
      <c r="C319" s="65">
        <f>(Table3032[[#This Row],[Real M1 Money Stock]]-B307)/B307</f>
        <v>3.1316864423264E-2</v>
      </c>
    </row>
    <row r="320" spans="1:3" x14ac:dyDescent="0.2">
      <c r="A320" s="26">
        <v>31107</v>
      </c>
      <c r="B320" s="27">
        <f>VLOOKUP(Table3032[[#This Row],[Month]],'DB Money Supply'!$A:$D,2)</f>
        <v>530.5</v>
      </c>
      <c r="C320" s="65">
        <f>(Table3032[[#This Row],[Real M1 Money Stock]]-B308)/B308</f>
        <v>2.730441518202948E-2</v>
      </c>
    </row>
    <row r="321" spans="1:3" x14ac:dyDescent="0.2">
      <c r="A321" s="26">
        <v>31138</v>
      </c>
      <c r="B321" s="27">
        <f>VLOOKUP(Table3032[[#This Row],[Month]],'DB Money Supply'!$A:$D,2)</f>
        <v>533.1</v>
      </c>
      <c r="C321" s="65">
        <f>(Table3032[[#This Row],[Real M1 Money Stock]]-B309)/B309</f>
        <v>2.9349295230739612E-2</v>
      </c>
    </row>
    <row r="322" spans="1:3" x14ac:dyDescent="0.2">
      <c r="A322" s="26">
        <v>31168</v>
      </c>
      <c r="B322" s="27">
        <f>VLOOKUP(Table3032[[#This Row],[Month]],'DB Money Supply'!$A:$D,2)</f>
        <v>536.5</v>
      </c>
      <c r="C322" s="65">
        <f>(Table3032[[#This Row],[Real M1 Money Stock]]-B310)/B310</f>
        <v>3.4516004627844148E-2</v>
      </c>
    </row>
    <row r="323" spans="1:3" x14ac:dyDescent="0.2">
      <c r="A323" s="26">
        <v>31199</v>
      </c>
      <c r="B323" s="27">
        <f>VLOOKUP(Table3032[[#This Row],[Month]],'DB Money Supply'!$A:$D,2)</f>
        <v>541.70000000000005</v>
      </c>
      <c r="C323" s="65">
        <f>(Table3032[[#This Row],[Real M1 Money Stock]]-B311)/B311</f>
        <v>3.9930888846227815E-2</v>
      </c>
    </row>
    <row r="324" spans="1:3" x14ac:dyDescent="0.2">
      <c r="A324" s="26">
        <v>31229</v>
      </c>
      <c r="B324" s="27">
        <f>VLOOKUP(Table3032[[#This Row],[Month]],'DB Money Supply'!$A:$D,2)</f>
        <v>547</v>
      </c>
      <c r="C324" s="65">
        <f>(Table3032[[#This Row],[Real M1 Money Stock]]-B312)/B312</f>
        <v>5.2732871439568854E-2</v>
      </c>
    </row>
    <row r="325" spans="1:3" x14ac:dyDescent="0.2">
      <c r="A325" s="26">
        <v>31260</v>
      </c>
      <c r="B325" s="27">
        <f>VLOOKUP(Table3032[[#This Row],[Month]],'DB Money Supply'!$A:$D,2)</f>
        <v>552.5</v>
      </c>
      <c r="C325" s="65">
        <f>(Table3032[[#This Row],[Real M1 Money Stock]]-B313)/B313</f>
        <v>6.6190659976842828E-2</v>
      </c>
    </row>
    <row r="326" spans="1:3" x14ac:dyDescent="0.2">
      <c r="A326" s="26">
        <v>31291</v>
      </c>
      <c r="B326" s="27">
        <f>VLOOKUP(Table3032[[#This Row],[Month]],'DB Money Supply'!$A:$D,2)</f>
        <v>558.1</v>
      </c>
      <c r="C326" s="65">
        <f>(Table3032[[#This Row],[Real M1 Money Stock]]-B314)/B314</f>
        <v>7.5959128590707484E-2</v>
      </c>
    </row>
    <row r="327" spans="1:3" x14ac:dyDescent="0.2">
      <c r="A327" s="26">
        <v>31321</v>
      </c>
      <c r="B327" s="27">
        <f>VLOOKUP(Table3032[[#This Row],[Month]],'DB Money Supply'!$A:$D,2)</f>
        <v>560.20000000000005</v>
      </c>
      <c r="C327" s="65">
        <f>(Table3032[[#This Row],[Real M1 Money Stock]]-B315)/B315</f>
        <v>8.2930601198531018E-2</v>
      </c>
    </row>
    <row r="328" spans="1:3" x14ac:dyDescent="0.2">
      <c r="A328" s="26">
        <v>31352</v>
      </c>
      <c r="B328" s="27">
        <f>VLOOKUP(Table3032[[#This Row],[Month]],'DB Money Supply'!$A:$D,2)</f>
        <v>561.70000000000005</v>
      </c>
      <c r="C328" s="65">
        <f>(Table3032[[#This Row],[Real M1 Money Stock]]-B316)/B316</f>
        <v>8.0400076937872808E-2</v>
      </c>
    </row>
    <row r="329" spans="1:3" x14ac:dyDescent="0.2">
      <c r="A329" s="26">
        <v>31382</v>
      </c>
      <c r="B329" s="27">
        <f>VLOOKUP(Table3032[[#This Row],[Month]],'DB Money Supply'!$A:$D,2)</f>
        <v>566</v>
      </c>
      <c r="C329" s="65">
        <f>(Table3032[[#This Row],[Real M1 Money Stock]]-B317)/B317</f>
        <v>8.2631981637337509E-2</v>
      </c>
    </row>
    <row r="330" spans="1:3" x14ac:dyDescent="0.2">
      <c r="A330" s="26">
        <v>31413</v>
      </c>
      <c r="B330" s="27">
        <f>VLOOKUP(Table3032[[#This Row],[Month]],'DB Money Supply'!$A:$D,2)</f>
        <v>565.4</v>
      </c>
      <c r="C330" s="65">
        <f>(Table3032[[#This Row],[Real M1 Money Stock]]-B318)/B318</f>
        <v>7.2865275142314945E-2</v>
      </c>
    </row>
    <row r="331" spans="1:3" x14ac:dyDescent="0.2">
      <c r="A331" s="26">
        <v>31444</v>
      </c>
      <c r="B331" s="27">
        <f>VLOOKUP(Table3032[[#This Row],[Month]],'DB Money Supply'!$A:$D,2)</f>
        <v>569.9</v>
      </c>
      <c r="C331" s="65">
        <f>(Table3032[[#This Row],[Real M1 Money Stock]]-B319)/B319</f>
        <v>7.4877404752923288E-2</v>
      </c>
    </row>
    <row r="332" spans="1:3" x14ac:dyDescent="0.2">
      <c r="A332" s="26">
        <v>31472</v>
      </c>
      <c r="B332" s="27">
        <f>VLOOKUP(Table3032[[#This Row],[Month]],'DB Money Supply'!$A:$D,2)</f>
        <v>580.70000000000005</v>
      </c>
      <c r="C332" s="65">
        <f>(Table3032[[#This Row],[Real M1 Money Stock]]-B320)/B320</f>
        <v>9.4627709707822888E-2</v>
      </c>
    </row>
    <row r="333" spans="1:3" x14ac:dyDescent="0.2">
      <c r="A333" s="26">
        <v>31503</v>
      </c>
      <c r="B333" s="27">
        <f>VLOOKUP(Table3032[[#This Row],[Month]],'DB Money Supply'!$A:$D,2)</f>
        <v>589.70000000000005</v>
      </c>
      <c r="C333" s="65">
        <f>(Table3032[[#This Row],[Real M1 Money Stock]]-B321)/B321</f>
        <v>0.10617145000937914</v>
      </c>
    </row>
    <row r="334" spans="1:3" x14ac:dyDescent="0.2">
      <c r="A334" s="26">
        <v>31533</v>
      </c>
      <c r="B334" s="27">
        <f>VLOOKUP(Table3032[[#This Row],[Month]],'DB Money Supply'!$A:$D,2)</f>
        <v>598.20000000000005</v>
      </c>
      <c r="C334" s="65">
        <f>(Table3032[[#This Row],[Real M1 Money Stock]]-B322)/B322</f>
        <v>0.11500465983224613</v>
      </c>
    </row>
    <row r="335" spans="1:3" x14ac:dyDescent="0.2">
      <c r="A335" s="26">
        <v>31564</v>
      </c>
      <c r="B335" s="27">
        <f>VLOOKUP(Table3032[[#This Row],[Month]],'DB Money Supply'!$A:$D,2)</f>
        <v>603.79999999999995</v>
      </c>
      <c r="C335" s="65">
        <f>(Table3032[[#This Row],[Real M1 Money Stock]]-B323)/B323</f>
        <v>0.11463909913236091</v>
      </c>
    </row>
    <row r="336" spans="1:3" x14ac:dyDescent="0.2">
      <c r="A336" s="26">
        <v>31594</v>
      </c>
      <c r="B336" s="27">
        <f>VLOOKUP(Table3032[[#This Row],[Month]],'DB Money Supply'!$A:$D,2)</f>
        <v>612.1</v>
      </c>
      <c r="C336" s="65">
        <f>(Table3032[[#This Row],[Real M1 Money Stock]]-B324)/B324</f>
        <v>0.11901279707495434</v>
      </c>
    </row>
    <row r="337" spans="1:3" x14ac:dyDescent="0.2">
      <c r="A337" s="26">
        <v>31625</v>
      </c>
      <c r="B337" s="27">
        <f>VLOOKUP(Table3032[[#This Row],[Month]],'DB Money Supply'!$A:$D,2)</f>
        <v>619.29999999999995</v>
      </c>
      <c r="C337" s="65">
        <f>(Table3032[[#This Row],[Real M1 Money Stock]]-B325)/B325</f>
        <v>0.12090497737556553</v>
      </c>
    </row>
    <row r="338" spans="1:3" x14ac:dyDescent="0.2">
      <c r="A338" s="26">
        <v>31656</v>
      </c>
      <c r="B338" s="27">
        <f>VLOOKUP(Table3032[[#This Row],[Month]],'DB Money Supply'!$A:$D,2)</f>
        <v>624.9</v>
      </c>
      <c r="C338" s="65">
        <f>(Table3032[[#This Row],[Real M1 Money Stock]]-B326)/B326</f>
        <v>0.11969181150331473</v>
      </c>
    </row>
    <row r="339" spans="1:3" x14ac:dyDescent="0.2">
      <c r="A339" s="26">
        <v>31686</v>
      </c>
      <c r="B339" s="27">
        <f>VLOOKUP(Table3032[[#This Row],[Month]],'DB Money Supply'!$A:$D,2)</f>
        <v>630.6</v>
      </c>
      <c r="C339" s="65">
        <f>(Table3032[[#This Row],[Real M1 Money Stock]]-B327)/B327</f>
        <v>0.12566940378436267</v>
      </c>
    </row>
    <row r="340" spans="1:3" x14ac:dyDescent="0.2">
      <c r="A340" s="26">
        <v>31717</v>
      </c>
      <c r="B340" s="27">
        <f>VLOOKUP(Table3032[[#This Row],[Month]],'DB Money Supply'!$A:$D,2)</f>
        <v>638.9</v>
      </c>
      <c r="C340" s="65">
        <f>(Table3032[[#This Row],[Real M1 Money Stock]]-B328)/B328</f>
        <v>0.13743991454513071</v>
      </c>
    </row>
    <row r="341" spans="1:3" x14ac:dyDescent="0.2">
      <c r="A341" s="26">
        <v>31747</v>
      </c>
      <c r="B341" s="27">
        <f>VLOOKUP(Table3032[[#This Row],[Month]],'DB Money Supply'!$A:$D,2)</f>
        <v>654.1</v>
      </c>
      <c r="C341" s="65">
        <f>(Table3032[[#This Row],[Real M1 Money Stock]]-B329)/B329</f>
        <v>0.15565371024734986</v>
      </c>
    </row>
    <row r="342" spans="1:3" x14ac:dyDescent="0.2">
      <c r="A342" s="26">
        <v>31778</v>
      </c>
      <c r="B342" s="27">
        <f>VLOOKUP(Table3032[[#This Row],[Month]],'DB Money Supply'!$A:$D,2)</f>
        <v>655.5</v>
      </c>
      <c r="C342" s="65">
        <f>(Table3032[[#This Row],[Real M1 Money Stock]]-B330)/B330</f>
        <v>0.15935620799434033</v>
      </c>
    </row>
    <row r="343" spans="1:3" x14ac:dyDescent="0.2">
      <c r="A343" s="26">
        <v>31809</v>
      </c>
      <c r="B343" s="27">
        <f>VLOOKUP(Table3032[[#This Row],[Month]],'DB Money Supply'!$A:$D,2)</f>
        <v>653.6</v>
      </c>
      <c r="C343" s="65">
        <f>(Table3032[[#This Row],[Real M1 Money Stock]]-B331)/B331</f>
        <v>0.14686787155641348</v>
      </c>
    </row>
    <row r="344" spans="1:3" x14ac:dyDescent="0.2">
      <c r="A344" s="26">
        <v>31837</v>
      </c>
      <c r="B344" s="27">
        <f>VLOOKUP(Table3032[[#This Row],[Month]],'DB Money Supply'!$A:$D,2)</f>
        <v>654</v>
      </c>
      <c r="C344" s="65">
        <f>(Table3032[[#This Row],[Real M1 Money Stock]]-B332)/B332</f>
        <v>0.1262269674530738</v>
      </c>
    </row>
    <row r="345" spans="1:3" x14ac:dyDescent="0.2">
      <c r="A345" s="26">
        <v>31868</v>
      </c>
      <c r="B345" s="27">
        <f>VLOOKUP(Table3032[[#This Row],[Month]],'DB Money Supply'!$A:$D,2)</f>
        <v>660.1</v>
      </c>
      <c r="C345" s="65">
        <f>(Table3032[[#This Row],[Real M1 Money Stock]]-B333)/B333</f>
        <v>0.11938273698490753</v>
      </c>
    </row>
    <row r="346" spans="1:3" x14ac:dyDescent="0.2">
      <c r="A346" s="26">
        <v>31898</v>
      </c>
      <c r="B346" s="27">
        <f>VLOOKUP(Table3032[[#This Row],[Month]],'DB Money Supply'!$A:$D,2)</f>
        <v>660</v>
      </c>
      <c r="C346" s="65">
        <f>(Table3032[[#This Row],[Real M1 Money Stock]]-B334)/B334</f>
        <v>0.10330992978936802</v>
      </c>
    </row>
    <row r="347" spans="1:3" x14ac:dyDescent="0.2">
      <c r="A347" s="26">
        <v>31929</v>
      </c>
      <c r="B347" s="27">
        <f>VLOOKUP(Table3032[[#This Row],[Month]],'DB Money Supply'!$A:$D,2)</f>
        <v>654.79999999999995</v>
      </c>
      <c r="C347" s="65">
        <f>(Table3032[[#This Row],[Real M1 Money Stock]]-B335)/B335</f>
        <v>8.4465054653858895E-2</v>
      </c>
    </row>
    <row r="348" spans="1:3" x14ac:dyDescent="0.2">
      <c r="A348" s="26">
        <v>31959</v>
      </c>
      <c r="B348" s="27">
        <f>VLOOKUP(Table3032[[#This Row],[Month]],'DB Money Supply'!$A:$D,2)</f>
        <v>652.9</v>
      </c>
      <c r="C348" s="65">
        <f>(Table3032[[#This Row],[Real M1 Money Stock]]-B336)/B336</f>
        <v>6.6655775200130621E-2</v>
      </c>
    </row>
    <row r="349" spans="1:3" x14ac:dyDescent="0.2">
      <c r="A349" s="26">
        <v>31990</v>
      </c>
      <c r="B349" s="27">
        <f>VLOOKUP(Table3032[[#This Row],[Month]],'DB Money Supply'!$A:$D,2)</f>
        <v>651.70000000000005</v>
      </c>
      <c r="C349" s="65">
        <f>(Table3032[[#This Row],[Real M1 Money Stock]]-B337)/B337</f>
        <v>5.231713224608444E-2</v>
      </c>
    </row>
    <row r="350" spans="1:3" x14ac:dyDescent="0.2">
      <c r="A350" s="26">
        <v>32021</v>
      </c>
      <c r="B350" s="27">
        <f>VLOOKUP(Table3032[[#This Row],[Month]],'DB Money Supply'!$A:$D,2)</f>
        <v>651.79999999999995</v>
      </c>
      <c r="C350" s="65">
        <f>(Table3032[[#This Row],[Real M1 Money Stock]]-B338)/B338</f>
        <v>4.3046887502000288E-2</v>
      </c>
    </row>
    <row r="351" spans="1:3" x14ac:dyDescent="0.2">
      <c r="A351" s="26">
        <v>32051</v>
      </c>
      <c r="B351" s="27">
        <f>VLOOKUP(Table3032[[#This Row],[Month]],'DB Money Supply'!$A:$D,2)</f>
        <v>657.6</v>
      </c>
      <c r="C351" s="65">
        <f>(Table3032[[#This Row],[Real M1 Money Stock]]-B339)/B339</f>
        <v>4.2816365366317791E-2</v>
      </c>
    </row>
    <row r="352" spans="1:3" x14ac:dyDescent="0.2">
      <c r="A352" s="26">
        <v>32082</v>
      </c>
      <c r="B352" s="27">
        <f>VLOOKUP(Table3032[[#This Row],[Month]],'DB Money Supply'!$A:$D,2)</f>
        <v>652.70000000000005</v>
      </c>
      <c r="C352" s="65">
        <f>(Table3032[[#This Row],[Real M1 Money Stock]]-B340)/B340</f>
        <v>2.1599624354359161E-2</v>
      </c>
    </row>
    <row r="353" spans="1:3" x14ac:dyDescent="0.2">
      <c r="A353" s="26">
        <v>32112</v>
      </c>
      <c r="B353" s="27">
        <f>VLOOKUP(Table3032[[#This Row],[Month]],'DB Money Supply'!$A:$D,2)</f>
        <v>649</v>
      </c>
      <c r="C353" s="65">
        <f>(Table3032[[#This Row],[Real M1 Money Stock]]-B341)/B341</f>
        <v>-7.7969729399174782E-3</v>
      </c>
    </row>
    <row r="354" spans="1:3" x14ac:dyDescent="0.2">
      <c r="A354" s="26">
        <v>32143</v>
      </c>
      <c r="B354" s="27">
        <f>VLOOKUP(Table3032[[#This Row],[Month]],'DB Money Supply'!$A:$D,2)</f>
        <v>651.9</v>
      </c>
      <c r="C354" s="65">
        <f>(Table3032[[#This Row],[Real M1 Money Stock]]-B342)/B342</f>
        <v>-5.4919908466819567E-3</v>
      </c>
    </row>
    <row r="355" spans="1:3" x14ac:dyDescent="0.2">
      <c r="A355" s="26">
        <v>32174</v>
      </c>
      <c r="B355" s="27">
        <f>VLOOKUP(Table3032[[#This Row],[Month]],'DB Money Supply'!$A:$D,2)</f>
        <v>652.1</v>
      </c>
      <c r="C355" s="65">
        <f>(Table3032[[#This Row],[Real M1 Money Stock]]-B343)/B343</f>
        <v>-2.2949816401468788E-3</v>
      </c>
    </row>
    <row r="356" spans="1:3" x14ac:dyDescent="0.2">
      <c r="A356" s="26">
        <v>32203</v>
      </c>
      <c r="B356" s="27">
        <f>VLOOKUP(Table3032[[#This Row],[Month]],'DB Money Supply'!$A:$D,2)</f>
        <v>653.9</v>
      </c>
      <c r="C356" s="65">
        <f>(Table3032[[#This Row],[Real M1 Money Stock]]-B344)/B344</f>
        <v>-1.5290519877679318E-4</v>
      </c>
    </row>
    <row r="357" spans="1:3" x14ac:dyDescent="0.2">
      <c r="A357" s="26">
        <v>32234</v>
      </c>
      <c r="B357" s="27">
        <f>VLOOKUP(Table3032[[#This Row],[Month]],'DB Money Supply'!$A:$D,2)</f>
        <v>655.4</v>
      </c>
      <c r="C357" s="65">
        <f>(Table3032[[#This Row],[Real M1 Money Stock]]-B345)/B345</f>
        <v>-7.1201333131344418E-3</v>
      </c>
    </row>
    <row r="358" spans="1:3" x14ac:dyDescent="0.2">
      <c r="A358" s="26">
        <v>32264</v>
      </c>
      <c r="B358" s="27">
        <f>VLOOKUP(Table3032[[#This Row],[Month]],'DB Money Supply'!$A:$D,2)</f>
        <v>656.8</v>
      </c>
      <c r="C358" s="65">
        <f>(Table3032[[#This Row],[Real M1 Money Stock]]-B346)/B346</f>
        <v>-4.848484848484917E-3</v>
      </c>
    </row>
    <row r="359" spans="1:3" x14ac:dyDescent="0.2">
      <c r="A359" s="26">
        <v>32295</v>
      </c>
      <c r="B359" s="27">
        <f>VLOOKUP(Table3032[[#This Row],[Month]],'DB Money Supply'!$A:$D,2)</f>
        <v>659.6</v>
      </c>
      <c r="C359" s="65">
        <f>(Table3032[[#This Row],[Real M1 Money Stock]]-B347)/B347</f>
        <v>7.3304825901039528E-3</v>
      </c>
    </row>
    <row r="360" spans="1:3" x14ac:dyDescent="0.2">
      <c r="A360" s="26">
        <v>32325</v>
      </c>
      <c r="B360" s="27">
        <f>VLOOKUP(Table3032[[#This Row],[Month]],'DB Money Supply'!$A:$D,2)</f>
        <v>659.4</v>
      </c>
      <c r="C360" s="65">
        <f>(Table3032[[#This Row],[Real M1 Money Stock]]-B348)/B348</f>
        <v>9.9555827844999244E-3</v>
      </c>
    </row>
    <row r="361" spans="1:3" x14ac:dyDescent="0.2">
      <c r="A361" s="26">
        <v>32356</v>
      </c>
      <c r="B361" s="27">
        <f>VLOOKUP(Table3032[[#This Row],[Month]],'DB Money Supply'!$A:$D,2)</f>
        <v>658.2</v>
      </c>
      <c r="C361" s="65">
        <f>(Table3032[[#This Row],[Real M1 Money Stock]]-B349)/B349</f>
        <v>9.9739143777811869E-3</v>
      </c>
    </row>
    <row r="362" spans="1:3" x14ac:dyDescent="0.2">
      <c r="A362" s="26">
        <v>32387</v>
      </c>
      <c r="B362" s="27">
        <f>VLOOKUP(Table3032[[#This Row],[Month]],'DB Money Supply'!$A:$D,2)</f>
        <v>655.8</v>
      </c>
      <c r="C362" s="65">
        <f>(Table3032[[#This Row],[Real M1 Money Stock]]-B350)/B350</f>
        <v>6.1368517950291506E-3</v>
      </c>
    </row>
    <row r="363" spans="1:3" x14ac:dyDescent="0.2">
      <c r="A363" s="26">
        <v>32417</v>
      </c>
      <c r="B363" s="27">
        <f>VLOOKUP(Table3032[[#This Row],[Month]],'DB Money Supply'!$A:$D,2)</f>
        <v>653.29999999999995</v>
      </c>
      <c r="C363" s="65">
        <f>(Table3032[[#This Row],[Real M1 Money Stock]]-B351)/B351</f>
        <v>-6.5389294403893983E-3</v>
      </c>
    </row>
    <row r="364" spans="1:3" x14ac:dyDescent="0.2">
      <c r="A364" s="26">
        <v>32448</v>
      </c>
      <c r="B364" s="27">
        <f>VLOOKUP(Table3032[[#This Row],[Month]],'DB Money Supply'!$A:$D,2)</f>
        <v>652.5</v>
      </c>
      <c r="C364" s="65">
        <f>(Table3032[[#This Row],[Real M1 Money Stock]]-B352)/B352</f>
        <v>-3.0641948827952423E-4</v>
      </c>
    </row>
    <row r="365" spans="1:3" x14ac:dyDescent="0.2">
      <c r="A365" s="26">
        <v>32478</v>
      </c>
      <c r="B365" s="27">
        <f>VLOOKUP(Table3032[[#This Row],[Month]],'DB Money Supply'!$A:$D,2)</f>
        <v>651.79999999999995</v>
      </c>
      <c r="C365" s="65">
        <f>(Table3032[[#This Row],[Real M1 Money Stock]]-B353)/B353</f>
        <v>4.3143297380584819E-3</v>
      </c>
    </row>
    <row r="366" spans="1:3" x14ac:dyDescent="0.2">
      <c r="A366" s="26">
        <v>32509</v>
      </c>
      <c r="B366" s="27">
        <f>VLOOKUP(Table3032[[#This Row],[Month]],'DB Money Supply'!$A:$D,2)</f>
        <v>648.29999999999995</v>
      </c>
      <c r="C366" s="65">
        <f>(Table3032[[#This Row],[Real M1 Money Stock]]-B354)/B354</f>
        <v>-5.522319374137173E-3</v>
      </c>
    </row>
    <row r="367" spans="1:3" x14ac:dyDescent="0.2">
      <c r="A367" s="26">
        <v>32540</v>
      </c>
      <c r="B367" s="27">
        <f>VLOOKUP(Table3032[[#This Row],[Month]],'DB Money Supply'!$A:$D,2)</f>
        <v>644.6</v>
      </c>
      <c r="C367" s="65">
        <f>(Table3032[[#This Row],[Real M1 Money Stock]]-B355)/B355</f>
        <v>-1.1501303481061187E-2</v>
      </c>
    </row>
    <row r="368" spans="1:3" x14ac:dyDescent="0.2">
      <c r="A368" s="26">
        <v>32568</v>
      </c>
      <c r="B368" s="27">
        <f>VLOOKUP(Table3032[[#This Row],[Month]],'DB Money Supply'!$A:$D,2)</f>
        <v>640.79999999999995</v>
      </c>
      <c r="C368" s="65">
        <f>(Table3032[[#This Row],[Real M1 Money Stock]]-B356)/B356</f>
        <v>-2.0033644288117484E-2</v>
      </c>
    </row>
    <row r="369" spans="1:3" x14ac:dyDescent="0.2">
      <c r="A369" s="26">
        <v>32599</v>
      </c>
      <c r="B369" s="27">
        <f>VLOOKUP(Table3032[[#This Row],[Month]],'DB Money Supply'!$A:$D,2)</f>
        <v>633</v>
      </c>
      <c r="C369" s="65">
        <f>(Table3032[[#This Row],[Real M1 Money Stock]]-B357)/B357</f>
        <v>-3.4177601464754313E-2</v>
      </c>
    </row>
    <row r="370" spans="1:3" x14ac:dyDescent="0.2">
      <c r="A370" s="26">
        <v>32629</v>
      </c>
      <c r="B370" s="27">
        <f>VLOOKUP(Table3032[[#This Row],[Month]],'DB Money Supply'!$A:$D,2)</f>
        <v>626.5</v>
      </c>
      <c r="C370" s="65">
        <f>(Table3032[[#This Row],[Real M1 Money Stock]]-B358)/B358</f>
        <v>-4.6132764920828191E-2</v>
      </c>
    </row>
    <row r="371" spans="1:3" x14ac:dyDescent="0.2">
      <c r="A371" s="26">
        <v>32660</v>
      </c>
      <c r="B371" s="27">
        <f>VLOOKUP(Table3032[[#This Row],[Month]],'DB Money Supply'!$A:$D,2)</f>
        <v>623.29999999999995</v>
      </c>
      <c r="C371" s="65">
        <f>(Table3032[[#This Row],[Real M1 Money Stock]]-B359)/B359</f>
        <v>-5.5033353547604712E-2</v>
      </c>
    </row>
    <row r="372" spans="1:3" x14ac:dyDescent="0.2">
      <c r="A372" s="26">
        <v>32690</v>
      </c>
      <c r="B372" s="27">
        <f>VLOOKUP(Table3032[[#This Row],[Month]],'DB Money Supply'!$A:$D,2)</f>
        <v>624.70000000000005</v>
      </c>
      <c r="C372" s="65">
        <f>(Table3032[[#This Row],[Real M1 Money Stock]]-B360)/B360</f>
        <v>-5.2623597209584372E-2</v>
      </c>
    </row>
    <row r="373" spans="1:3" x14ac:dyDescent="0.2">
      <c r="A373" s="26">
        <v>32721</v>
      </c>
      <c r="B373" s="27">
        <f>VLOOKUP(Table3032[[#This Row],[Month]],'DB Money Supply'!$A:$D,2)</f>
        <v>626</v>
      </c>
      <c r="C373" s="65">
        <f>(Table3032[[#This Row],[Real M1 Money Stock]]-B361)/B361</f>
        <v>-4.8921300516560379E-2</v>
      </c>
    </row>
    <row r="374" spans="1:3" x14ac:dyDescent="0.2">
      <c r="A374" s="26">
        <v>32752</v>
      </c>
      <c r="B374" s="27">
        <f>VLOOKUP(Table3032[[#This Row],[Month]],'DB Money Supply'!$A:$D,2)</f>
        <v>625.79999999999995</v>
      </c>
      <c r="C374" s="65">
        <f>(Table3032[[#This Row],[Real M1 Money Stock]]-B362)/B362</f>
        <v>-4.5745654162854532E-2</v>
      </c>
    </row>
    <row r="375" spans="1:3" x14ac:dyDescent="0.2">
      <c r="A375" s="26">
        <v>32782</v>
      </c>
      <c r="B375" s="27">
        <f>VLOOKUP(Table3032[[#This Row],[Month]],'DB Money Supply'!$A:$D,2)</f>
        <v>627.29999999999995</v>
      </c>
      <c r="C375" s="65">
        <f>(Table3032[[#This Row],[Real M1 Money Stock]]-B363)/B363</f>
        <v>-3.9797948874942604E-2</v>
      </c>
    </row>
    <row r="376" spans="1:3" x14ac:dyDescent="0.2">
      <c r="A376" s="26">
        <v>32813</v>
      </c>
      <c r="B376" s="27">
        <f>VLOOKUP(Table3032[[#This Row],[Month]],'DB Money Supply'!$A:$D,2)</f>
        <v>625.79999999999995</v>
      </c>
      <c r="C376" s="65">
        <f>(Table3032[[#This Row],[Real M1 Money Stock]]-B364)/B364</f>
        <v>-4.0919540229885129E-2</v>
      </c>
    </row>
    <row r="377" spans="1:3" x14ac:dyDescent="0.2">
      <c r="A377" s="26">
        <v>32843</v>
      </c>
      <c r="B377" s="27">
        <f>VLOOKUP(Table3032[[#This Row],[Month]],'DB Money Supply'!$A:$D,2)</f>
        <v>627.79999999999995</v>
      </c>
      <c r="C377" s="65">
        <f>(Table3032[[#This Row],[Real M1 Money Stock]]-B365)/B365</f>
        <v>-3.68211107701749E-2</v>
      </c>
    </row>
    <row r="378" spans="1:3" x14ac:dyDescent="0.2">
      <c r="A378" s="26">
        <v>32874</v>
      </c>
      <c r="B378" s="27">
        <f>VLOOKUP(Table3032[[#This Row],[Month]],'DB Money Supply'!$A:$D,2)</f>
        <v>623.79999999999995</v>
      </c>
      <c r="C378" s="65">
        <f>(Table3032[[#This Row],[Real M1 Money Stock]]-B366)/B366</f>
        <v>-3.7791146074348296E-2</v>
      </c>
    </row>
    <row r="379" spans="1:3" x14ac:dyDescent="0.2">
      <c r="A379" s="26">
        <v>32905</v>
      </c>
      <c r="B379" s="27">
        <f>VLOOKUP(Table3032[[#This Row],[Month]],'DB Money Supply'!$A:$D,2)</f>
        <v>623.5</v>
      </c>
      <c r="C379" s="65">
        <f>(Table3032[[#This Row],[Real M1 Money Stock]]-B367)/B367</f>
        <v>-3.2733478125969627E-2</v>
      </c>
    </row>
    <row r="380" spans="1:3" x14ac:dyDescent="0.2">
      <c r="A380" s="26">
        <v>32933</v>
      </c>
      <c r="B380" s="27">
        <f>VLOOKUP(Table3032[[#This Row],[Month]],'DB Money Supply'!$A:$D,2)</f>
        <v>623.29999999999995</v>
      </c>
      <c r="C380" s="65">
        <f>(Table3032[[#This Row],[Real M1 Money Stock]]-B368)/B368</f>
        <v>-2.7309612983770288E-2</v>
      </c>
    </row>
    <row r="381" spans="1:3" x14ac:dyDescent="0.2">
      <c r="A381" s="26">
        <v>32964</v>
      </c>
      <c r="B381" s="27">
        <f>VLOOKUP(Table3032[[#This Row],[Month]],'DB Money Supply'!$A:$D,2)</f>
        <v>625.4</v>
      </c>
      <c r="C381" s="65">
        <f>(Table3032[[#This Row],[Real M1 Money Stock]]-B369)/B369</f>
        <v>-1.2006319115323891E-2</v>
      </c>
    </row>
    <row r="382" spans="1:3" x14ac:dyDescent="0.2">
      <c r="A382" s="26">
        <v>32994</v>
      </c>
      <c r="B382" s="27">
        <f>VLOOKUP(Table3032[[#This Row],[Month]],'DB Money Supply'!$A:$D,2)</f>
        <v>622.9</v>
      </c>
      <c r="C382" s="65">
        <f>(Table3032[[#This Row],[Real M1 Money Stock]]-B370)/B370</f>
        <v>-5.7462090981644414E-3</v>
      </c>
    </row>
    <row r="383" spans="1:3" x14ac:dyDescent="0.2">
      <c r="A383" s="26">
        <v>33025</v>
      </c>
      <c r="B383" s="27">
        <f>VLOOKUP(Table3032[[#This Row],[Month]],'DB Money Supply'!$A:$D,2)</f>
        <v>622.6</v>
      </c>
      <c r="C383" s="65">
        <f>(Table3032[[#This Row],[Real M1 Money Stock]]-B371)/B371</f>
        <v>-1.1230547088078482E-3</v>
      </c>
    </row>
    <row r="384" spans="1:3" x14ac:dyDescent="0.2">
      <c r="A384" s="26">
        <v>33055</v>
      </c>
      <c r="B384" s="27">
        <f>VLOOKUP(Table3032[[#This Row],[Month]],'DB Money Supply'!$A:$D,2)</f>
        <v>620.79999999999995</v>
      </c>
      <c r="C384" s="65">
        <f>(Table3032[[#This Row],[Real M1 Money Stock]]-B372)/B372</f>
        <v>-6.2429966383865708E-3</v>
      </c>
    </row>
    <row r="385" spans="1:3" x14ac:dyDescent="0.2">
      <c r="A385" s="26">
        <v>33086</v>
      </c>
      <c r="B385" s="27">
        <f>VLOOKUP(Table3032[[#This Row],[Month]],'DB Money Supply'!$A:$D,2)</f>
        <v>619.79999999999995</v>
      </c>
      <c r="C385" s="65">
        <f>(Table3032[[#This Row],[Real M1 Money Stock]]-B373)/B373</f>
        <v>-9.9041533546326607E-3</v>
      </c>
    </row>
    <row r="386" spans="1:3" x14ac:dyDescent="0.2">
      <c r="A386" s="26">
        <v>33117</v>
      </c>
      <c r="B386" s="27">
        <f>VLOOKUP(Table3032[[#This Row],[Month]],'DB Money Supply'!$A:$D,2)</f>
        <v>619</v>
      </c>
      <c r="C386" s="65">
        <f>(Table3032[[#This Row],[Real M1 Money Stock]]-B374)/B374</f>
        <v>-1.0866091403004083E-2</v>
      </c>
    </row>
    <row r="387" spans="1:3" x14ac:dyDescent="0.2">
      <c r="A387" s="26">
        <v>33147</v>
      </c>
      <c r="B387" s="27">
        <f>VLOOKUP(Table3032[[#This Row],[Month]],'DB Money Supply'!$A:$D,2)</f>
        <v>614.6</v>
      </c>
      <c r="C387" s="65">
        <f>(Table3032[[#This Row],[Real M1 Money Stock]]-B375)/B375</f>
        <v>-2.0245496572612678E-2</v>
      </c>
    </row>
    <row r="388" spans="1:3" x14ac:dyDescent="0.2">
      <c r="A388" s="26">
        <v>33178</v>
      </c>
      <c r="B388" s="27">
        <f>VLOOKUP(Table3032[[#This Row],[Month]],'DB Money Supply'!$A:$D,2)</f>
        <v>614.9</v>
      </c>
      <c r="C388" s="65">
        <f>(Table3032[[#This Row],[Real M1 Money Stock]]-B376)/B376</f>
        <v>-1.7417705337168389E-2</v>
      </c>
    </row>
    <row r="389" spans="1:3" x14ac:dyDescent="0.2">
      <c r="A389" s="26">
        <v>33208</v>
      </c>
      <c r="B389" s="27">
        <f>VLOOKUP(Table3032[[#This Row],[Month]],'DB Money Supply'!$A:$D,2)</f>
        <v>614.5</v>
      </c>
      <c r="C389" s="65">
        <f>(Table3032[[#This Row],[Real M1 Money Stock]]-B377)/B377</f>
        <v>-2.1185090793246184E-2</v>
      </c>
    </row>
    <row r="390" spans="1:3" x14ac:dyDescent="0.2">
      <c r="A390" s="26">
        <v>33239</v>
      </c>
      <c r="B390" s="27">
        <f>VLOOKUP(Table3032[[#This Row],[Month]],'DB Money Supply'!$A:$D,2)</f>
        <v>614.1</v>
      </c>
      <c r="C390" s="65">
        <f>(Table3032[[#This Row],[Real M1 Money Stock]]-B378)/B378</f>
        <v>-1.5549855722988028E-2</v>
      </c>
    </row>
    <row r="391" spans="1:3" x14ac:dyDescent="0.2">
      <c r="A391" s="26">
        <v>33270</v>
      </c>
      <c r="B391" s="27">
        <f>VLOOKUP(Table3032[[#This Row],[Month]],'DB Money Supply'!$A:$D,2)</f>
        <v>617.70000000000005</v>
      </c>
      <c r="C391" s="65">
        <f>(Table3032[[#This Row],[Real M1 Money Stock]]-B379)/B379</f>
        <v>-9.3023255813952758E-3</v>
      </c>
    </row>
    <row r="392" spans="1:3" x14ac:dyDescent="0.2">
      <c r="A392" s="26">
        <v>33298</v>
      </c>
      <c r="B392" s="27">
        <f>VLOOKUP(Table3032[[#This Row],[Month]],'DB Money Supply'!$A:$D,2)</f>
        <v>622.20000000000005</v>
      </c>
      <c r="C392" s="65">
        <f>(Table3032[[#This Row],[Real M1 Money Stock]]-B380)/B380</f>
        <v>-1.7648002566980734E-3</v>
      </c>
    </row>
    <row r="393" spans="1:3" x14ac:dyDescent="0.2">
      <c r="A393" s="26">
        <v>33329</v>
      </c>
      <c r="B393" s="27">
        <f>VLOOKUP(Table3032[[#This Row],[Month]],'DB Money Supply'!$A:$D,2)</f>
        <v>624.1</v>
      </c>
      <c r="C393" s="65">
        <f>(Table3032[[#This Row],[Real M1 Money Stock]]-B381)/B381</f>
        <v>-2.0786696514230167E-3</v>
      </c>
    </row>
    <row r="394" spans="1:3" x14ac:dyDescent="0.2">
      <c r="A394" s="26">
        <v>33359</v>
      </c>
      <c r="B394" s="27">
        <f>VLOOKUP(Table3032[[#This Row],[Month]],'DB Money Supply'!$A:$D,2)</f>
        <v>626</v>
      </c>
      <c r="C394" s="65">
        <f>(Table3032[[#This Row],[Real M1 Money Stock]]-B382)/B382</f>
        <v>4.976721785198303E-3</v>
      </c>
    </row>
    <row r="395" spans="1:3" x14ac:dyDescent="0.2">
      <c r="A395" s="26">
        <v>33390</v>
      </c>
      <c r="B395" s="27">
        <f>VLOOKUP(Table3032[[#This Row],[Month]],'DB Money Supply'!$A:$D,2)</f>
        <v>629.9</v>
      </c>
      <c r="C395" s="65">
        <f>(Table3032[[#This Row],[Real M1 Money Stock]]-B383)/B383</f>
        <v>1.1725024092515185E-2</v>
      </c>
    </row>
    <row r="396" spans="1:3" x14ac:dyDescent="0.2">
      <c r="A396" s="26">
        <v>33420</v>
      </c>
      <c r="B396" s="27">
        <f>VLOOKUP(Table3032[[#This Row],[Month]],'DB Money Supply'!$A:$D,2)</f>
        <v>632.6</v>
      </c>
      <c r="C396" s="65">
        <f>(Table3032[[#This Row],[Real M1 Money Stock]]-B384)/B384</f>
        <v>1.9007731958762999E-2</v>
      </c>
    </row>
    <row r="397" spans="1:3" x14ac:dyDescent="0.2">
      <c r="A397" s="26">
        <v>33451</v>
      </c>
      <c r="B397" s="27">
        <f>VLOOKUP(Table3032[[#This Row],[Month]],'DB Money Supply'!$A:$D,2)</f>
        <v>634.6</v>
      </c>
      <c r="C397" s="65">
        <f>(Table3032[[#This Row],[Real M1 Money Stock]]-B385)/B385</f>
        <v>2.3878670538883623E-2</v>
      </c>
    </row>
    <row r="398" spans="1:3" x14ac:dyDescent="0.2">
      <c r="A398" s="26">
        <v>33482</v>
      </c>
      <c r="B398" s="27">
        <f>VLOOKUP(Table3032[[#This Row],[Month]],'DB Money Supply'!$A:$D,2)</f>
        <v>634.79999999999995</v>
      </c>
      <c r="C398" s="65">
        <f>(Table3032[[#This Row],[Real M1 Money Stock]]-B386)/B386</f>
        <v>2.5525040387722058E-2</v>
      </c>
    </row>
    <row r="399" spans="1:3" x14ac:dyDescent="0.2">
      <c r="A399" s="26">
        <v>33512</v>
      </c>
      <c r="B399" s="27">
        <f>VLOOKUP(Table3032[[#This Row],[Month]],'DB Money Supply'!$A:$D,2)</f>
        <v>639.9</v>
      </c>
      <c r="C399" s="65">
        <f>(Table3032[[#This Row],[Real M1 Money Stock]]-B387)/B387</f>
        <v>4.1164985356329245E-2</v>
      </c>
    </row>
    <row r="400" spans="1:3" x14ac:dyDescent="0.2">
      <c r="A400" s="26">
        <v>33543</v>
      </c>
      <c r="B400" s="27">
        <f>VLOOKUP(Table3032[[#This Row],[Month]],'DB Money Supply'!$A:$D,2)</f>
        <v>644.1</v>
      </c>
      <c r="C400" s="65">
        <f>(Table3032[[#This Row],[Real M1 Money Stock]]-B388)/B388</f>
        <v>4.7487396324605705E-2</v>
      </c>
    </row>
    <row r="401" spans="1:3" x14ac:dyDescent="0.2">
      <c r="A401" s="26">
        <v>33573</v>
      </c>
      <c r="B401" s="27">
        <f>VLOOKUP(Table3032[[#This Row],[Month]],'DB Money Supply'!$A:$D,2)</f>
        <v>649.1</v>
      </c>
      <c r="C401" s="65">
        <f>(Table3032[[#This Row],[Real M1 Money Stock]]-B389)/B389</f>
        <v>5.6305939788445926E-2</v>
      </c>
    </row>
    <row r="402" spans="1:3" x14ac:dyDescent="0.2">
      <c r="A402" s="26">
        <v>33604</v>
      </c>
      <c r="B402" s="27">
        <f>VLOOKUP(Table3032[[#This Row],[Month]],'DB Money Supply'!$A:$D,2)</f>
        <v>658.3</v>
      </c>
      <c r="C402" s="65">
        <f>(Table3032[[#This Row],[Real M1 Money Stock]]-B390)/B390</f>
        <v>7.1975248330890626E-2</v>
      </c>
    </row>
    <row r="403" spans="1:3" x14ac:dyDescent="0.2">
      <c r="A403" s="26">
        <v>33635</v>
      </c>
      <c r="B403" s="27">
        <f>VLOOKUP(Table3032[[#This Row],[Month]],'DB Money Supply'!$A:$D,2)</f>
        <v>667.5</v>
      </c>
      <c r="C403" s="65">
        <f>(Table3032[[#This Row],[Real M1 Money Stock]]-B391)/B391</f>
        <v>8.0621661000485595E-2</v>
      </c>
    </row>
    <row r="404" spans="1:3" x14ac:dyDescent="0.2">
      <c r="A404" s="26">
        <v>33664</v>
      </c>
      <c r="B404" s="27">
        <f>VLOOKUP(Table3032[[#This Row],[Month]],'DB Money Supply'!$A:$D,2)</f>
        <v>673.4</v>
      </c>
      <c r="C404" s="65">
        <f>(Table3032[[#This Row],[Real M1 Money Stock]]-B392)/B392</f>
        <v>8.2288653166184389E-2</v>
      </c>
    </row>
    <row r="405" spans="1:3" x14ac:dyDescent="0.2">
      <c r="A405" s="26">
        <v>33695</v>
      </c>
      <c r="B405" s="27">
        <f>VLOOKUP(Table3032[[#This Row],[Month]],'DB Money Supply'!$A:$D,2)</f>
        <v>677</v>
      </c>
      <c r="C405" s="65">
        <f>(Table3032[[#This Row],[Real M1 Money Stock]]-B393)/B393</f>
        <v>8.4762057362602103E-2</v>
      </c>
    </row>
    <row r="406" spans="1:3" x14ac:dyDescent="0.2">
      <c r="A406" s="26">
        <v>33725</v>
      </c>
      <c r="B406" s="27">
        <f>VLOOKUP(Table3032[[#This Row],[Month]],'DB Money Supply'!$A:$D,2)</f>
        <v>680.5</v>
      </c>
      <c r="C406" s="65">
        <f>(Table3032[[#This Row],[Real M1 Money Stock]]-B394)/B394</f>
        <v>8.7060702875399368E-2</v>
      </c>
    </row>
    <row r="407" spans="1:3" x14ac:dyDescent="0.2">
      <c r="A407" s="26">
        <v>33756</v>
      </c>
      <c r="B407" s="27">
        <f>VLOOKUP(Table3032[[#This Row],[Month]],'DB Money Supply'!$A:$D,2)</f>
        <v>681.2</v>
      </c>
      <c r="C407" s="65">
        <f>(Table3032[[#This Row],[Real M1 Money Stock]]-B395)/B395</f>
        <v>8.1441498650579564E-2</v>
      </c>
    </row>
    <row r="408" spans="1:3" x14ac:dyDescent="0.2">
      <c r="A408" s="26">
        <v>33786</v>
      </c>
      <c r="B408" s="27">
        <f>VLOOKUP(Table3032[[#This Row],[Month]],'DB Money Supply'!$A:$D,2)</f>
        <v>685.6</v>
      </c>
      <c r="C408" s="65">
        <f>(Table3032[[#This Row],[Real M1 Money Stock]]-B396)/B396</f>
        <v>8.3781220360417324E-2</v>
      </c>
    </row>
    <row r="409" spans="1:3" x14ac:dyDescent="0.2">
      <c r="A409" s="26">
        <v>33817</v>
      </c>
      <c r="B409" s="27">
        <f>VLOOKUP(Table3032[[#This Row],[Month]],'DB Money Supply'!$A:$D,2)</f>
        <v>691.5</v>
      </c>
      <c r="C409" s="65">
        <f>(Table3032[[#This Row],[Real M1 Money Stock]]-B397)/B397</f>
        <v>8.9662779703750362E-2</v>
      </c>
    </row>
    <row r="410" spans="1:3" x14ac:dyDescent="0.2">
      <c r="A410" s="26">
        <v>33848</v>
      </c>
      <c r="B410" s="27">
        <f>VLOOKUP(Table3032[[#This Row],[Month]],'DB Money Supply'!$A:$D,2)</f>
        <v>700.2</v>
      </c>
      <c r="C410" s="65">
        <f>(Table3032[[#This Row],[Real M1 Money Stock]]-B398)/B398</f>
        <v>0.1030245746691873</v>
      </c>
    </row>
    <row r="411" spans="1:3" x14ac:dyDescent="0.2">
      <c r="A411" s="26">
        <v>33878</v>
      </c>
      <c r="B411" s="27">
        <f>VLOOKUP(Table3032[[#This Row],[Month]],'DB Money Supply'!$A:$D,2)</f>
        <v>708.3</v>
      </c>
      <c r="C411" s="65">
        <f>(Table3032[[#This Row],[Real M1 Money Stock]]-B399)/B399</f>
        <v>0.10689170182841065</v>
      </c>
    </row>
    <row r="412" spans="1:3" x14ac:dyDescent="0.2">
      <c r="A412" s="26">
        <v>33909</v>
      </c>
      <c r="B412" s="27">
        <f>VLOOKUP(Table3032[[#This Row],[Month]],'DB Money Supply'!$A:$D,2)</f>
        <v>714.8</v>
      </c>
      <c r="C412" s="65">
        <f>(Table3032[[#This Row],[Real M1 Money Stock]]-B400)/B400</f>
        <v>0.10976556435336117</v>
      </c>
    </row>
    <row r="413" spans="1:3" x14ac:dyDescent="0.2">
      <c r="A413" s="26">
        <v>33939</v>
      </c>
      <c r="B413" s="27">
        <f>VLOOKUP(Table3032[[#This Row],[Month]],'DB Money Supply'!$A:$D,2)</f>
        <v>720.2</v>
      </c>
      <c r="C413" s="65">
        <f>(Table3032[[#This Row],[Real M1 Money Stock]]-B401)/B401</f>
        <v>0.10953628100446776</v>
      </c>
    </row>
    <row r="414" spans="1:3" x14ac:dyDescent="0.2">
      <c r="A414" s="26">
        <v>33970</v>
      </c>
      <c r="B414" s="27">
        <f>VLOOKUP(Table3032[[#This Row],[Month]],'DB Money Supply'!$A:$D,2)</f>
        <v>721.6</v>
      </c>
      <c r="C414" s="65">
        <f>(Table3032[[#This Row],[Real M1 Money Stock]]-B402)/B402</f>
        <v>9.6156767431262447E-2</v>
      </c>
    </row>
    <row r="415" spans="1:3" x14ac:dyDescent="0.2">
      <c r="A415" s="26">
        <v>34001</v>
      </c>
      <c r="B415" s="27">
        <f>VLOOKUP(Table3032[[#This Row],[Month]],'DB Money Supply'!$A:$D,2)</f>
        <v>722.2</v>
      </c>
      <c r="C415" s="65">
        <f>(Table3032[[#This Row],[Real M1 Money Stock]]-B403)/B403</f>
        <v>8.1947565543071227E-2</v>
      </c>
    </row>
    <row r="416" spans="1:3" x14ac:dyDescent="0.2">
      <c r="A416" s="26">
        <v>34029</v>
      </c>
      <c r="B416" s="27">
        <f>VLOOKUP(Table3032[[#This Row],[Month]],'DB Money Supply'!$A:$D,2)</f>
        <v>724.6</v>
      </c>
      <c r="C416" s="65">
        <f>(Table3032[[#This Row],[Real M1 Money Stock]]-B404)/B404</f>
        <v>7.6032076032076096E-2</v>
      </c>
    </row>
    <row r="417" spans="1:3" x14ac:dyDescent="0.2">
      <c r="A417" s="26">
        <v>34060</v>
      </c>
      <c r="B417" s="27">
        <f>VLOOKUP(Table3032[[#This Row],[Month]],'DB Money Supply'!$A:$D,2)</f>
        <v>728.5</v>
      </c>
      <c r="C417" s="65">
        <f>(Table3032[[#This Row],[Real M1 Money Stock]]-B405)/B405</f>
        <v>7.6070901033973418E-2</v>
      </c>
    </row>
    <row r="418" spans="1:3" x14ac:dyDescent="0.2">
      <c r="A418" s="26">
        <v>34090</v>
      </c>
      <c r="B418" s="27">
        <f>VLOOKUP(Table3032[[#This Row],[Month]],'DB Money Supply'!$A:$D,2)</f>
        <v>739.2</v>
      </c>
      <c r="C418" s="65">
        <f>(Table3032[[#This Row],[Real M1 Money Stock]]-B406)/B406</f>
        <v>8.6260102865540117E-2</v>
      </c>
    </row>
    <row r="419" spans="1:3" x14ac:dyDescent="0.2">
      <c r="A419" s="26">
        <v>34121</v>
      </c>
      <c r="B419" s="27">
        <f>VLOOKUP(Table3032[[#This Row],[Month]],'DB Money Supply'!$A:$D,2)</f>
        <v>745</v>
      </c>
      <c r="C419" s="65">
        <f>(Table3032[[#This Row],[Real M1 Money Stock]]-B407)/B407</f>
        <v>9.3658250146799696E-2</v>
      </c>
    </row>
    <row r="420" spans="1:3" x14ac:dyDescent="0.2">
      <c r="A420" s="26">
        <v>34151</v>
      </c>
      <c r="B420" s="27">
        <f>VLOOKUP(Table3032[[#This Row],[Month]],'DB Money Supply'!$A:$D,2)</f>
        <v>750.6</v>
      </c>
      <c r="C420" s="65">
        <f>(Table3032[[#This Row],[Real M1 Money Stock]]-B408)/B408</f>
        <v>9.4807467911318555E-2</v>
      </c>
    </row>
    <row r="421" spans="1:3" x14ac:dyDescent="0.2">
      <c r="A421" s="26">
        <v>34182</v>
      </c>
      <c r="B421" s="27">
        <f>VLOOKUP(Table3032[[#This Row],[Month]],'DB Money Supply'!$A:$D,2)</f>
        <v>755.7</v>
      </c>
      <c r="C421" s="65">
        <f>(Table3032[[#This Row],[Real M1 Money Stock]]-B409)/B409</f>
        <v>9.2841648590021753E-2</v>
      </c>
    </row>
    <row r="422" spans="1:3" x14ac:dyDescent="0.2">
      <c r="A422" s="26">
        <v>34213</v>
      </c>
      <c r="B422" s="27">
        <f>VLOOKUP(Table3032[[#This Row],[Month]],'DB Money Supply'!$A:$D,2)</f>
        <v>761.5</v>
      </c>
      <c r="C422" s="65">
        <f>(Table3032[[#This Row],[Real M1 Money Stock]]-B410)/B410</f>
        <v>8.7546415309911377E-2</v>
      </c>
    </row>
    <row r="423" spans="1:3" x14ac:dyDescent="0.2">
      <c r="A423" s="26">
        <v>34243</v>
      </c>
      <c r="B423" s="27">
        <f>VLOOKUP(Table3032[[#This Row],[Month]],'DB Money Supply'!$A:$D,2)</f>
        <v>764.5</v>
      </c>
      <c r="C423" s="65">
        <f>(Table3032[[#This Row],[Real M1 Money Stock]]-B411)/B411</f>
        <v>7.9344910348722361E-2</v>
      </c>
    </row>
    <row r="424" spans="1:3" x14ac:dyDescent="0.2">
      <c r="A424" s="26">
        <v>34274</v>
      </c>
      <c r="B424" s="27">
        <f>VLOOKUP(Table3032[[#This Row],[Month]],'DB Money Supply'!$A:$D,2)</f>
        <v>769.9</v>
      </c>
      <c r="C424" s="65">
        <f>(Table3032[[#This Row],[Real M1 Money Stock]]-B412)/B412</f>
        <v>7.7084499160604406E-2</v>
      </c>
    </row>
    <row r="425" spans="1:3" x14ac:dyDescent="0.2">
      <c r="A425" s="26">
        <v>34304</v>
      </c>
      <c r="B425" s="27">
        <f>VLOOKUP(Table3032[[#This Row],[Month]],'DB Money Supply'!$A:$D,2)</f>
        <v>772.1</v>
      </c>
      <c r="C425" s="65">
        <f>(Table3032[[#This Row],[Real M1 Money Stock]]-B413)/B413</f>
        <v>7.2063315745626175E-2</v>
      </c>
    </row>
    <row r="426" spans="1:3" x14ac:dyDescent="0.2">
      <c r="A426" s="26">
        <v>34335</v>
      </c>
      <c r="B426" s="27">
        <f>VLOOKUP(Table3032[[#This Row],[Month]],'DB Money Supply'!$A:$D,2)</f>
        <v>773.5</v>
      </c>
      <c r="C426" s="65">
        <f>(Table3032[[#This Row],[Real M1 Money Stock]]-B414)/B414</f>
        <v>7.1923503325942315E-2</v>
      </c>
    </row>
    <row r="427" spans="1:3" x14ac:dyDescent="0.2">
      <c r="A427" s="26">
        <v>34366</v>
      </c>
      <c r="B427" s="27">
        <f>VLOOKUP(Table3032[[#This Row],[Month]],'DB Money Supply'!$A:$D,2)</f>
        <v>774.6</v>
      </c>
      <c r="C427" s="65">
        <f>(Table3032[[#This Row],[Real M1 Money Stock]]-B415)/B415</f>
        <v>7.255607864857376E-2</v>
      </c>
    </row>
    <row r="428" spans="1:3" x14ac:dyDescent="0.2">
      <c r="A428" s="26">
        <v>34394</v>
      </c>
      <c r="B428" s="27">
        <f>VLOOKUP(Table3032[[#This Row],[Month]],'DB Money Supply'!$A:$D,2)</f>
        <v>775.1</v>
      </c>
      <c r="C428" s="65">
        <f>(Table3032[[#This Row],[Real M1 Money Stock]]-B416)/B416</f>
        <v>6.969362406845156E-2</v>
      </c>
    </row>
    <row r="429" spans="1:3" x14ac:dyDescent="0.2">
      <c r="A429" s="26">
        <v>34425</v>
      </c>
      <c r="B429" s="27">
        <f>VLOOKUP(Table3032[[#This Row],[Month]],'DB Money Supply'!$A:$D,2)</f>
        <v>775.2</v>
      </c>
      <c r="C429" s="65">
        <f>(Table3032[[#This Row],[Real M1 Money Stock]]-B417)/B417</f>
        <v>6.4104323953328823E-2</v>
      </c>
    </row>
    <row r="430" spans="1:3" x14ac:dyDescent="0.2">
      <c r="A430" s="26">
        <v>34455</v>
      </c>
      <c r="B430" s="27">
        <f>VLOOKUP(Table3032[[#This Row],[Month]],'DB Money Supply'!$A:$D,2)</f>
        <v>775.1</v>
      </c>
      <c r="C430" s="65">
        <f>(Table3032[[#This Row],[Real M1 Money Stock]]-B418)/B418</f>
        <v>4.8566017316017285E-2</v>
      </c>
    </row>
    <row r="431" spans="1:3" x14ac:dyDescent="0.2">
      <c r="A431" s="26">
        <v>34486</v>
      </c>
      <c r="B431" s="27">
        <f>VLOOKUP(Table3032[[#This Row],[Month]],'DB Money Supply'!$A:$D,2)</f>
        <v>774.3</v>
      </c>
      <c r="C431" s="65">
        <f>(Table3032[[#This Row],[Real M1 Money Stock]]-B419)/B419</f>
        <v>3.9328859060402621E-2</v>
      </c>
    </row>
    <row r="432" spans="1:3" x14ac:dyDescent="0.2">
      <c r="A432" s="26">
        <v>34516</v>
      </c>
      <c r="B432" s="27">
        <f>VLOOKUP(Table3032[[#This Row],[Month]],'DB Money Supply'!$A:$D,2)</f>
        <v>775.4</v>
      </c>
      <c r="C432" s="65">
        <f>(Table3032[[#This Row],[Real M1 Money Stock]]-B420)/B420</f>
        <v>3.3040234479083337E-2</v>
      </c>
    </row>
    <row r="433" spans="1:3" x14ac:dyDescent="0.2">
      <c r="A433" s="26">
        <v>34547</v>
      </c>
      <c r="B433" s="27">
        <f>VLOOKUP(Table3032[[#This Row],[Month]],'DB Money Supply'!$A:$D,2)</f>
        <v>772.2</v>
      </c>
      <c r="C433" s="65">
        <f>(Table3032[[#This Row],[Real M1 Money Stock]]-B421)/B421</f>
        <v>2.1834061135371178E-2</v>
      </c>
    </row>
    <row r="434" spans="1:3" x14ac:dyDescent="0.2">
      <c r="A434" s="26">
        <v>34578</v>
      </c>
      <c r="B434" s="27">
        <f>VLOOKUP(Table3032[[#This Row],[Month]],'DB Money Supply'!$A:$D,2)</f>
        <v>771.5</v>
      </c>
      <c r="C434" s="65">
        <f>(Table3032[[#This Row],[Real M1 Money Stock]]-B422)/B422</f>
        <v>1.3131976362442548E-2</v>
      </c>
    </row>
    <row r="435" spans="1:3" x14ac:dyDescent="0.2">
      <c r="A435" s="26">
        <v>34608</v>
      </c>
      <c r="B435" s="27">
        <f>VLOOKUP(Table3032[[#This Row],[Month]],'DB Money Supply'!$A:$D,2)</f>
        <v>769.9</v>
      </c>
      <c r="C435" s="65">
        <f>(Table3032[[#This Row],[Real M1 Money Stock]]-B423)/B423</f>
        <v>7.0634401569653069E-3</v>
      </c>
    </row>
    <row r="436" spans="1:3" x14ac:dyDescent="0.2">
      <c r="A436" s="26">
        <v>34639</v>
      </c>
      <c r="B436" s="27">
        <f>VLOOKUP(Table3032[[#This Row],[Month]],'DB Money Supply'!$A:$D,2)</f>
        <v>768.3</v>
      </c>
      <c r="C436" s="65">
        <f>(Table3032[[#This Row],[Real M1 Money Stock]]-B424)/B424</f>
        <v>-2.0781919729835341E-3</v>
      </c>
    </row>
    <row r="437" spans="1:3" x14ac:dyDescent="0.2">
      <c r="A437" s="26">
        <v>34669</v>
      </c>
      <c r="B437" s="27">
        <f>VLOOKUP(Table3032[[#This Row],[Month]],'DB Money Supply'!$A:$D,2)</f>
        <v>766.6</v>
      </c>
      <c r="C437" s="65">
        <f>(Table3032[[#This Row],[Real M1 Money Stock]]-B425)/B425</f>
        <v>-7.1234296075637872E-3</v>
      </c>
    </row>
    <row r="438" spans="1:3" x14ac:dyDescent="0.2">
      <c r="A438" s="26">
        <v>34700</v>
      </c>
      <c r="B438" s="27">
        <f>VLOOKUP(Table3032[[#This Row],[Month]],'DB Money Supply'!$A:$D,2)</f>
        <v>765</v>
      </c>
      <c r="C438" s="65">
        <f>(Table3032[[#This Row],[Real M1 Money Stock]]-B426)/B426</f>
        <v>-1.098901098901099E-2</v>
      </c>
    </row>
    <row r="439" spans="1:3" x14ac:dyDescent="0.2">
      <c r="A439" s="26">
        <v>34731</v>
      </c>
      <c r="B439" s="27">
        <f>VLOOKUP(Table3032[[#This Row],[Month]],'DB Money Supply'!$A:$D,2)</f>
        <v>760.4</v>
      </c>
      <c r="C439" s="65">
        <f>(Table3032[[#This Row],[Real M1 Money Stock]]-B427)/B427</f>
        <v>-1.8332042344435896E-2</v>
      </c>
    </row>
    <row r="440" spans="1:3" x14ac:dyDescent="0.2">
      <c r="A440" s="26">
        <v>34759</v>
      </c>
      <c r="B440" s="27">
        <f>VLOOKUP(Table3032[[#This Row],[Month]],'DB Money Supply'!$A:$D,2)</f>
        <v>758.4</v>
      </c>
      <c r="C440" s="65">
        <f>(Table3032[[#This Row],[Real M1 Money Stock]]-B428)/B428</f>
        <v>-2.1545607018449292E-2</v>
      </c>
    </row>
    <row r="441" spans="1:3" x14ac:dyDescent="0.2">
      <c r="A441" s="26">
        <v>34790</v>
      </c>
      <c r="B441" s="27">
        <f>VLOOKUP(Table3032[[#This Row],[Month]],'DB Money Supply'!$A:$D,2)</f>
        <v>757.1</v>
      </c>
      <c r="C441" s="65">
        <f>(Table3032[[#This Row],[Real M1 Money Stock]]-B429)/B429</f>
        <v>-2.3348813209494352E-2</v>
      </c>
    </row>
    <row r="442" spans="1:3" x14ac:dyDescent="0.2">
      <c r="A442" s="26">
        <v>34820</v>
      </c>
      <c r="B442" s="27">
        <f>VLOOKUP(Table3032[[#This Row],[Month]],'DB Money Supply'!$A:$D,2)</f>
        <v>753</v>
      </c>
      <c r="C442" s="65">
        <f>(Table3032[[#This Row],[Real M1 Money Stock]]-B430)/B430</f>
        <v>-2.851245000645081E-2</v>
      </c>
    </row>
    <row r="443" spans="1:3" x14ac:dyDescent="0.2">
      <c r="A443" s="26">
        <v>34851</v>
      </c>
      <c r="B443" s="27">
        <f>VLOOKUP(Table3032[[#This Row],[Month]],'DB Money Supply'!$A:$D,2)</f>
        <v>750.8</v>
      </c>
      <c r="C443" s="65">
        <f>(Table3032[[#This Row],[Real M1 Money Stock]]-B431)/B431</f>
        <v>-3.0349993542554566E-2</v>
      </c>
    </row>
    <row r="444" spans="1:3" x14ac:dyDescent="0.2">
      <c r="A444" s="26">
        <v>34881</v>
      </c>
      <c r="B444" s="27">
        <f>VLOOKUP(Table3032[[#This Row],[Month]],'DB Money Supply'!$A:$D,2)</f>
        <v>750.7</v>
      </c>
      <c r="C444" s="65">
        <f>(Table3032[[#This Row],[Real M1 Money Stock]]-B432)/B432</f>
        <v>-3.1854526695898805E-2</v>
      </c>
    </row>
    <row r="445" spans="1:3" x14ac:dyDescent="0.2">
      <c r="A445" s="26">
        <v>34912</v>
      </c>
      <c r="B445" s="27">
        <f>VLOOKUP(Table3032[[#This Row],[Month]],'DB Money Supply'!$A:$D,2)</f>
        <v>749.1</v>
      </c>
      <c r="C445" s="65">
        <f>(Table3032[[#This Row],[Real M1 Money Stock]]-B433)/B433</f>
        <v>-2.9914529914529944E-2</v>
      </c>
    </row>
    <row r="446" spans="1:3" x14ac:dyDescent="0.2">
      <c r="A446" s="26">
        <v>34943</v>
      </c>
      <c r="B446" s="27">
        <f>VLOOKUP(Table3032[[#This Row],[Month]],'DB Money Supply'!$A:$D,2)</f>
        <v>745.9</v>
      </c>
      <c r="C446" s="65">
        <f>(Table3032[[#This Row],[Real M1 Money Stock]]-B434)/B434</f>
        <v>-3.3182112767336389E-2</v>
      </c>
    </row>
    <row r="447" spans="1:3" x14ac:dyDescent="0.2">
      <c r="A447" s="26">
        <v>34973</v>
      </c>
      <c r="B447" s="27">
        <f>VLOOKUP(Table3032[[#This Row],[Month]],'DB Money Supply'!$A:$D,2)</f>
        <v>740.9</v>
      </c>
      <c r="C447" s="65">
        <f>(Table3032[[#This Row],[Real M1 Money Stock]]-B435)/B435</f>
        <v>-3.7667229510326014E-2</v>
      </c>
    </row>
    <row r="448" spans="1:3" x14ac:dyDescent="0.2">
      <c r="A448" s="26">
        <v>35004</v>
      </c>
      <c r="B448" s="27">
        <f>VLOOKUP(Table3032[[#This Row],[Month]],'DB Money Supply'!$A:$D,2)</f>
        <v>737.9</v>
      </c>
      <c r="C448" s="65">
        <f>(Table3032[[#This Row],[Real M1 Money Stock]]-B436)/B436</f>
        <v>-3.956787713132888E-2</v>
      </c>
    </row>
    <row r="449" spans="1:3" x14ac:dyDescent="0.2">
      <c r="A449" s="26">
        <v>35034</v>
      </c>
      <c r="B449" s="27">
        <f>VLOOKUP(Table3032[[#This Row],[Month]],'DB Money Supply'!$A:$D,2)</f>
        <v>732.6</v>
      </c>
      <c r="C449" s="65">
        <f>(Table3032[[#This Row],[Real M1 Money Stock]]-B437)/B437</f>
        <v>-4.4351682755022173E-2</v>
      </c>
    </row>
    <row r="450" spans="1:3" x14ac:dyDescent="0.2">
      <c r="A450" s="26">
        <v>35065</v>
      </c>
      <c r="B450" s="27">
        <f>VLOOKUP(Table3032[[#This Row],[Month]],'DB Money Supply'!$A:$D,2)</f>
        <v>726.2</v>
      </c>
      <c r="C450" s="65">
        <f>(Table3032[[#This Row],[Real M1 Money Stock]]-B438)/B438</f>
        <v>-5.0718954248365956E-2</v>
      </c>
    </row>
    <row r="451" spans="1:3" x14ac:dyDescent="0.2">
      <c r="A451" s="26">
        <v>35096</v>
      </c>
      <c r="B451" s="27">
        <f>VLOOKUP(Table3032[[#This Row],[Month]],'DB Money Supply'!$A:$D,2)</f>
        <v>721.6</v>
      </c>
      <c r="C451" s="65">
        <f>(Table3032[[#This Row],[Real M1 Money Stock]]-B439)/B439</f>
        <v>-5.1025775907417088E-2</v>
      </c>
    </row>
    <row r="452" spans="1:3" x14ac:dyDescent="0.2">
      <c r="A452" s="26">
        <v>35125</v>
      </c>
      <c r="B452" s="27">
        <f>VLOOKUP(Table3032[[#This Row],[Month]],'DB Money Supply'!$A:$D,2)</f>
        <v>721.9</v>
      </c>
      <c r="C452" s="65">
        <f>(Table3032[[#This Row],[Real M1 Money Stock]]-B440)/B440</f>
        <v>-4.812763713080169E-2</v>
      </c>
    </row>
    <row r="453" spans="1:3" x14ac:dyDescent="0.2">
      <c r="A453" s="26">
        <v>35156</v>
      </c>
      <c r="B453" s="27">
        <f>VLOOKUP(Table3032[[#This Row],[Month]],'DB Money Supply'!$A:$D,2)</f>
        <v>720.6</v>
      </c>
      <c r="C453" s="65">
        <f>(Table3032[[#This Row],[Real M1 Money Stock]]-B441)/B441</f>
        <v>-4.8210276053361513E-2</v>
      </c>
    </row>
    <row r="454" spans="1:3" x14ac:dyDescent="0.2">
      <c r="A454" s="26">
        <v>35186</v>
      </c>
      <c r="B454" s="27">
        <f>VLOOKUP(Table3032[[#This Row],[Month]],'DB Money Supply'!$A:$D,2)</f>
        <v>713.9</v>
      </c>
      <c r="C454" s="65">
        <f>(Table3032[[#This Row],[Real M1 Money Stock]]-B442)/B442</f>
        <v>-5.1925630810092993E-2</v>
      </c>
    </row>
    <row r="455" spans="1:3" x14ac:dyDescent="0.2">
      <c r="A455" s="26">
        <v>35217</v>
      </c>
      <c r="B455" s="27">
        <f>VLOOKUP(Table3032[[#This Row],[Month]],'DB Money Supply'!$A:$D,2)</f>
        <v>711.7</v>
      </c>
      <c r="C455" s="65">
        <f>(Table3032[[#This Row],[Real M1 Money Stock]]-B443)/B443</f>
        <v>-5.2077783697389336E-2</v>
      </c>
    </row>
    <row r="456" spans="1:3" x14ac:dyDescent="0.2">
      <c r="A456" s="26">
        <v>35247</v>
      </c>
      <c r="B456" s="27">
        <f>VLOOKUP(Table3032[[#This Row],[Month]],'DB Money Supply'!$A:$D,2)</f>
        <v>708.5</v>
      </c>
      <c r="C456" s="65">
        <f>(Table3032[[#This Row],[Real M1 Money Stock]]-B444)/B444</f>
        <v>-5.6214200079925461E-2</v>
      </c>
    </row>
    <row r="457" spans="1:3" x14ac:dyDescent="0.2">
      <c r="A457" s="26">
        <v>35278</v>
      </c>
      <c r="B457" s="27">
        <f>VLOOKUP(Table3032[[#This Row],[Month]],'DB Money Supply'!$A:$D,2)</f>
        <v>700.8</v>
      </c>
      <c r="C457" s="65">
        <f>(Table3032[[#This Row],[Real M1 Money Stock]]-B445)/B445</f>
        <v>-6.4477372847416989E-2</v>
      </c>
    </row>
    <row r="458" spans="1:3" x14ac:dyDescent="0.2">
      <c r="A458" s="26">
        <v>35309</v>
      </c>
      <c r="B458" s="27">
        <f>VLOOKUP(Table3032[[#This Row],[Month]],'DB Money Supply'!$A:$D,2)</f>
        <v>695.1</v>
      </c>
      <c r="C458" s="65">
        <f>(Table3032[[#This Row],[Real M1 Money Stock]]-B446)/B446</f>
        <v>-6.8105644188228925E-2</v>
      </c>
    </row>
    <row r="459" spans="1:3" x14ac:dyDescent="0.2">
      <c r="A459" s="26">
        <v>35339</v>
      </c>
      <c r="B459" s="27">
        <f>VLOOKUP(Table3032[[#This Row],[Month]],'DB Money Supply'!$A:$D,2)</f>
        <v>686.3</v>
      </c>
      <c r="C459" s="65">
        <f>(Table3032[[#This Row],[Real M1 Money Stock]]-B447)/B447</f>
        <v>-7.3694155756512378E-2</v>
      </c>
    </row>
    <row r="460" spans="1:3" x14ac:dyDescent="0.2">
      <c r="A460" s="26">
        <v>35370</v>
      </c>
      <c r="B460" s="27">
        <f>VLOOKUP(Table3032[[#This Row],[Month]],'DB Money Supply'!$A:$D,2)</f>
        <v>682.7</v>
      </c>
      <c r="C460" s="65">
        <f>(Table3032[[#This Row],[Real M1 Money Stock]]-B448)/B448</f>
        <v>-7.480688440168036E-2</v>
      </c>
    </row>
    <row r="461" spans="1:3" x14ac:dyDescent="0.2">
      <c r="A461" s="26">
        <v>35400</v>
      </c>
      <c r="B461" s="27">
        <f>VLOOKUP(Table3032[[#This Row],[Month]],'DB Money Supply'!$A:$D,2)</f>
        <v>679.6</v>
      </c>
      <c r="C461" s="65">
        <f>(Table3032[[#This Row],[Real M1 Money Stock]]-B449)/B449</f>
        <v>-7.2345072345072342E-2</v>
      </c>
    </row>
    <row r="462" spans="1:3" x14ac:dyDescent="0.2">
      <c r="A462" s="26">
        <v>35431</v>
      </c>
      <c r="B462" s="27">
        <f>VLOOKUP(Table3032[[#This Row],[Month]],'DB Money Supply'!$A:$D,2)</f>
        <v>678.3</v>
      </c>
      <c r="C462" s="65">
        <f>(Table3032[[#This Row],[Real M1 Money Stock]]-B450)/B450</f>
        <v>-6.595979069126974E-2</v>
      </c>
    </row>
    <row r="463" spans="1:3" x14ac:dyDescent="0.2">
      <c r="A463" s="26">
        <v>35462</v>
      </c>
      <c r="B463" s="27">
        <f>VLOOKUP(Table3032[[#This Row],[Month]],'DB Money Supply'!$A:$D,2)</f>
        <v>675.5</v>
      </c>
      <c r="C463" s="65">
        <f>(Table3032[[#This Row],[Real M1 Money Stock]]-B451)/B451</f>
        <v>-6.3885809312638611E-2</v>
      </c>
    </row>
    <row r="464" spans="1:3" x14ac:dyDescent="0.2">
      <c r="A464" s="26">
        <v>35490</v>
      </c>
      <c r="B464" s="27">
        <f>VLOOKUP(Table3032[[#This Row],[Month]],'DB Money Supply'!$A:$D,2)</f>
        <v>671.2</v>
      </c>
      <c r="C464" s="65">
        <f>(Table3032[[#This Row],[Real M1 Money Stock]]-B452)/B452</f>
        <v>-7.0231333979775504E-2</v>
      </c>
    </row>
    <row r="465" spans="1:3" x14ac:dyDescent="0.2">
      <c r="A465" s="26">
        <v>35521</v>
      </c>
      <c r="B465" s="27">
        <f>VLOOKUP(Table3032[[#This Row],[Month]],'DB Money Supply'!$A:$D,2)</f>
        <v>665.4</v>
      </c>
      <c r="C465" s="65">
        <f>(Table3032[[#This Row],[Real M1 Money Stock]]-B453)/B453</f>
        <v>-7.6602830974188241E-2</v>
      </c>
    </row>
    <row r="466" spans="1:3" x14ac:dyDescent="0.2">
      <c r="A466" s="26">
        <v>35551</v>
      </c>
      <c r="B466" s="27">
        <f>VLOOKUP(Table3032[[#This Row],[Month]],'DB Money Supply'!$A:$D,2)</f>
        <v>665.3</v>
      </c>
      <c r="C466" s="65">
        <f>(Table3032[[#This Row],[Real M1 Money Stock]]-B454)/B454</f>
        <v>-6.8076761451183673E-2</v>
      </c>
    </row>
    <row r="467" spans="1:3" x14ac:dyDescent="0.2">
      <c r="A467" s="26">
        <v>35582</v>
      </c>
      <c r="B467" s="27">
        <f>VLOOKUP(Table3032[[#This Row],[Month]],'DB Money Supply'!$A:$D,2)</f>
        <v>665.5</v>
      </c>
      <c r="C467" s="65">
        <f>(Table3032[[#This Row],[Real M1 Money Stock]]-B455)/B455</f>
        <v>-6.4914992272024782E-2</v>
      </c>
    </row>
    <row r="468" spans="1:3" x14ac:dyDescent="0.2">
      <c r="A468" s="26">
        <v>35612</v>
      </c>
      <c r="B468" s="27">
        <f>VLOOKUP(Table3032[[#This Row],[Month]],'DB Money Supply'!$A:$D,2)</f>
        <v>664.3</v>
      </c>
      <c r="C468" s="65">
        <f>(Table3032[[#This Row],[Real M1 Money Stock]]-B456)/B456</f>
        <v>-6.2385321100917497E-2</v>
      </c>
    </row>
    <row r="469" spans="1:3" x14ac:dyDescent="0.2">
      <c r="A469" s="26">
        <v>35643</v>
      </c>
      <c r="B469" s="27">
        <f>VLOOKUP(Table3032[[#This Row],[Month]],'DB Money Supply'!$A:$D,2)</f>
        <v>668.7</v>
      </c>
      <c r="C469" s="65">
        <f>(Table3032[[#This Row],[Real M1 Money Stock]]-B457)/B457</f>
        <v>-4.5804794520547816E-2</v>
      </c>
    </row>
    <row r="470" spans="1:3" x14ac:dyDescent="0.2">
      <c r="A470" s="26">
        <v>35674</v>
      </c>
      <c r="B470" s="27">
        <f>VLOOKUP(Table3032[[#This Row],[Month]],'DB Money Supply'!$A:$D,2)</f>
        <v>661.8</v>
      </c>
      <c r="C470" s="65">
        <f>(Table3032[[#This Row],[Real M1 Money Stock]]-B458)/B458</f>
        <v>-4.790677600345284E-2</v>
      </c>
    </row>
    <row r="471" spans="1:3" x14ac:dyDescent="0.2">
      <c r="A471" s="26">
        <v>35704</v>
      </c>
      <c r="B471" s="27">
        <f>VLOOKUP(Table3032[[#This Row],[Month]],'DB Money Supply'!$A:$D,2)</f>
        <v>659.8</v>
      </c>
      <c r="C471" s="65">
        <f>(Table3032[[#This Row],[Real M1 Money Stock]]-B459)/B459</f>
        <v>-3.8612851522657733E-2</v>
      </c>
    </row>
    <row r="472" spans="1:3" x14ac:dyDescent="0.2">
      <c r="A472" s="26">
        <v>35735</v>
      </c>
      <c r="B472" s="27">
        <f>VLOOKUP(Table3032[[#This Row],[Month]],'DB Money Supply'!$A:$D,2)</f>
        <v>662.3</v>
      </c>
      <c r="C472" s="65">
        <f>(Table3032[[#This Row],[Real M1 Money Stock]]-B460)/B460</f>
        <v>-2.9881353449538729E-2</v>
      </c>
    </row>
    <row r="473" spans="1:3" x14ac:dyDescent="0.2">
      <c r="A473" s="26">
        <v>35765</v>
      </c>
      <c r="B473" s="27">
        <f>VLOOKUP(Table3032[[#This Row],[Month]],'DB Money Supply'!$A:$D,2)</f>
        <v>662.7</v>
      </c>
      <c r="C473" s="65">
        <f>(Table3032[[#This Row],[Real M1 Money Stock]]-B461)/B461</f>
        <v>-2.4867569158328395E-2</v>
      </c>
    </row>
    <row r="474" spans="1:3" x14ac:dyDescent="0.2">
      <c r="A474" s="26">
        <v>35796</v>
      </c>
      <c r="B474" s="27">
        <f>VLOOKUP(Table3032[[#This Row],[Month]],'DB Money Supply'!$A:$D,2)</f>
        <v>663</v>
      </c>
      <c r="C474" s="65">
        <f>(Table3032[[#This Row],[Real M1 Money Stock]]-B462)/B462</f>
        <v>-2.2556390977443542E-2</v>
      </c>
    </row>
    <row r="475" spans="1:3" x14ac:dyDescent="0.2">
      <c r="A475" s="26">
        <v>35827</v>
      </c>
      <c r="B475" s="27">
        <f>VLOOKUP(Table3032[[#This Row],[Month]],'DB Money Supply'!$A:$D,2)</f>
        <v>665.3</v>
      </c>
      <c r="C475" s="65">
        <f>(Table3032[[#This Row],[Real M1 Money Stock]]-B463)/B463</f>
        <v>-1.5099925980755064E-2</v>
      </c>
    </row>
    <row r="476" spans="1:3" x14ac:dyDescent="0.2">
      <c r="A476" s="26">
        <v>35855</v>
      </c>
      <c r="B476" s="27">
        <f>VLOOKUP(Table3032[[#This Row],[Month]],'DB Money Supply'!$A:$D,2)</f>
        <v>664.8</v>
      </c>
      <c r="C476" s="65">
        <f>(Table3032[[#This Row],[Real M1 Money Stock]]-B464)/B464</f>
        <v>-9.5351609058404209E-3</v>
      </c>
    </row>
    <row r="477" spans="1:3" x14ac:dyDescent="0.2">
      <c r="A477" s="26">
        <v>35886</v>
      </c>
      <c r="B477" s="27">
        <f>VLOOKUP(Table3032[[#This Row],[Month]],'DB Money Supply'!$A:$D,2)</f>
        <v>663.7</v>
      </c>
      <c r="C477" s="65">
        <f>(Table3032[[#This Row],[Real M1 Money Stock]]-B465)/B465</f>
        <v>-2.5548542230236426E-3</v>
      </c>
    </row>
    <row r="478" spans="1:3" x14ac:dyDescent="0.2">
      <c r="A478" s="26">
        <v>35916</v>
      </c>
      <c r="B478" s="27">
        <f>VLOOKUP(Table3032[[#This Row],[Month]],'DB Money Supply'!$A:$D,2)</f>
        <v>663.7</v>
      </c>
      <c r="C478" s="65">
        <f>(Table3032[[#This Row],[Real M1 Money Stock]]-B466)/B466</f>
        <v>-2.404930106718637E-3</v>
      </c>
    </row>
    <row r="479" spans="1:3" x14ac:dyDescent="0.2">
      <c r="A479" s="26">
        <v>35947</v>
      </c>
      <c r="B479" s="27">
        <f>VLOOKUP(Table3032[[#This Row],[Month]],'DB Money Supply'!$A:$D,2)</f>
        <v>661.1</v>
      </c>
      <c r="C479" s="65">
        <f>(Table3032[[#This Row],[Real M1 Money Stock]]-B467)/B467</f>
        <v>-6.6115702479338503E-3</v>
      </c>
    </row>
    <row r="480" spans="1:3" x14ac:dyDescent="0.2">
      <c r="A480" s="26">
        <v>35977</v>
      </c>
      <c r="B480" s="27">
        <f>VLOOKUP(Table3032[[#This Row],[Month]],'DB Money Supply'!$A:$D,2)</f>
        <v>658.8</v>
      </c>
      <c r="C480" s="65">
        <f>(Table3032[[#This Row],[Real M1 Money Stock]]-B468)/B468</f>
        <v>-8.2793918410356774E-3</v>
      </c>
    </row>
    <row r="481" spans="1:3" x14ac:dyDescent="0.2">
      <c r="A481" s="26">
        <v>36008</v>
      </c>
      <c r="B481" s="27">
        <f>VLOOKUP(Table3032[[#This Row],[Month]],'DB Money Supply'!$A:$D,2)</f>
        <v>658.4</v>
      </c>
      <c r="C481" s="65">
        <f>(Table3032[[#This Row],[Real M1 Money Stock]]-B469)/B469</f>
        <v>-1.5403020786600968E-2</v>
      </c>
    </row>
    <row r="482" spans="1:3" x14ac:dyDescent="0.2">
      <c r="A482" s="26">
        <v>36039</v>
      </c>
      <c r="B482" s="27">
        <f>VLOOKUP(Table3032[[#This Row],[Month]],'DB Money Supply'!$A:$D,2)</f>
        <v>660.5</v>
      </c>
      <c r="C482" s="65">
        <f>(Table3032[[#This Row],[Real M1 Money Stock]]-B470)/B470</f>
        <v>-1.9643396796614606E-3</v>
      </c>
    </row>
    <row r="483" spans="1:3" x14ac:dyDescent="0.2">
      <c r="A483" s="26">
        <v>36069</v>
      </c>
      <c r="B483" s="27">
        <f>VLOOKUP(Table3032[[#This Row],[Month]],'DB Money Supply'!$A:$D,2)</f>
        <v>662.6</v>
      </c>
      <c r="C483" s="65">
        <f>(Table3032[[#This Row],[Real M1 Money Stock]]-B471)/B471</f>
        <v>4.243710215216836E-3</v>
      </c>
    </row>
    <row r="484" spans="1:3" x14ac:dyDescent="0.2">
      <c r="A484" s="26">
        <v>36100</v>
      </c>
      <c r="B484" s="27">
        <f>VLOOKUP(Table3032[[#This Row],[Month]],'DB Money Supply'!$A:$D,2)</f>
        <v>667.2</v>
      </c>
      <c r="C484" s="65">
        <f>(Table3032[[#This Row],[Real M1 Money Stock]]-B472)/B472</f>
        <v>7.3984599124265306E-3</v>
      </c>
    </row>
    <row r="485" spans="1:3" x14ac:dyDescent="0.2">
      <c r="A485" s="26">
        <v>36130</v>
      </c>
      <c r="B485" s="27">
        <f>VLOOKUP(Table3032[[#This Row],[Month]],'DB Money Supply'!$A:$D,2)</f>
        <v>666.1</v>
      </c>
      <c r="C485" s="65">
        <f>(Table3032[[#This Row],[Real M1 Money Stock]]-B473)/B473</f>
        <v>5.1305266334691069E-3</v>
      </c>
    </row>
    <row r="486" spans="1:3" x14ac:dyDescent="0.2">
      <c r="A486" s="26">
        <v>36161</v>
      </c>
      <c r="B486" s="27">
        <f>VLOOKUP(Table3032[[#This Row],[Month]],'DB Money Supply'!$A:$D,2)</f>
        <v>666.7</v>
      </c>
      <c r="C486" s="65">
        <f>(Table3032[[#This Row],[Real M1 Money Stock]]-B474)/B474</f>
        <v>5.5806938159880023E-3</v>
      </c>
    </row>
    <row r="487" spans="1:3" x14ac:dyDescent="0.2">
      <c r="A487" s="26">
        <v>36192</v>
      </c>
      <c r="B487" s="27">
        <f>VLOOKUP(Table3032[[#This Row],[Month]],'DB Money Supply'!$A:$D,2)</f>
        <v>665.9</v>
      </c>
      <c r="C487" s="65">
        <f>(Table3032[[#This Row],[Real M1 Money Stock]]-B475)/B475</f>
        <v>9.018487900195743E-4</v>
      </c>
    </row>
    <row r="488" spans="1:3" x14ac:dyDescent="0.2">
      <c r="A488" s="26">
        <v>36220</v>
      </c>
      <c r="B488" s="27">
        <f>VLOOKUP(Table3032[[#This Row],[Month]],'DB Money Supply'!$A:$D,2)</f>
        <v>665.4</v>
      </c>
      <c r="C488" s="65">
        <f>(Table3032[[#This Row],[Real M1 Money Stock]]-B476)/B476</f>
        <v>9.0252707581230866E-4</v>
      </c>
    </row>
    <row r="489" spans="1:3" x14ac:dyDescent="0.2">
      <c r="A489" s="26">
        <v>36251</v>
      </c>
      <c r="B489" s="27">
        <f>VLOOKUP(Table3032[[#This Row],[Month]],'DB Money Supply'!$A:$D,2)</f>
        <v>664</v>
      </c>
      <c r="C489" s="65">
        <f>(Table3032[[#This Row],[Real M1 Money Stock]]-B477)/B477</f>
        <v>4.5201145095668903E-4</v>
      </c>
    </row>
    <row r="490" spans="1:3" x14ac:dyDescent="0.2">
      <c r="A490" s="26">
        <v>36281</v>
      </c>
      <c r="B490" s="27">
        <f>VLOOKUP(Table3032[[#This Row],[Month]],'DB Money Supply'!$A:$D,2)</f>
        <v>664.9</v>
      </c>
      <c r="C490" s="65">
        <f>(Table3032[[#This Row],[Real M1 Money Stock]]-B478)/B478</f>
        <v>1.8080458038269274E-3</v>
      </c>
    </row>
    <row r="491" spans="1:3" x14ac:dyDescent="0.2">
      <c r="A491" s="26">
        <v>36312</v>
      </c>
      <c r="B491" s="27">
        <f>VLOOKUP(Table3032[[#This Row],[Month]],'DB Money Supply'!$A:$D,2)</f>
        <v>662.5</v>
      </c>
      <c r="C491" s="65">
        <f>(Table3032[[#This Row],[Real M1 Money Stock]]-B479)/B479</f>
        <v>2.1176826501285392E-3</v>
      </c>
    </row>
    <row r="492" spans="1:3" x14ac:dyDescent="0.2">
      <c r="A492" s="26">
        <v>36342</v>
      </c>
      <c r="B492" s="27">
        <f>VLOOKUP(Table3032[[#This Row],[Month]],'DB Money Supply'!$A:$D,2)</f>
        <v>659.3</v>
      </c>
      <c r="C492" s="65">
        <f>(Table3032[[#This Row],[Real M1 Money Stock]]-B480)/B480</f>
        <v>7.5895567698846395E-4</v>
      </c>
    </row>
    <row r="493" spans="1:3" x14ac:dyDescent="0.2">
      <c r="A493" s="26">
        <v>36373</v>
      </c>
      <c r="B493" s="27">
        <f>VLOOKUP(Table3032[[#This Row],[Month]],'DB Money Supply'!$A:$D,2)</f>
        <v>657.8</v>
      </c>
      <c r="C493" s="65">
        <f>(Table3032[[#This Row],[Real M1 Money Stock]]-B481)/B481</f>
        <v>-9.1130012150671743E-4</v>
      </c>
    </row>
    <row r="494" spans="1:3" x14ac:dyDescent="0.2">
      <c r="A494" s="26">
        <v>36404</v>
      </c>
      <c r="B494" s="27">
        <f>VLOOKUP(Table3032[[#This Row],[Month]],'DB Money Supply'!$A:$D,2)</f>
        <v>653.5</v>
      </c>
      <c r="C494" s="65">
        <f>(Table3032[[#This Row],[Real M1 Money Stock]]-B482)/B482</f>
        <v>-1.0598031794095382E-2</v>
      </c>
    </row>
    <row r="495" spans="1:3" x14ac:dyDescent="0.2">
      <c r="A495" s="26">
        <v>36434</v>
      </c>
      <c r="B495" s="27">
        <f>VLOOKUP(Table3032[[#This Row],[Month]],'DB Money Supply'!$A:$D,2)</f>
        <v>656.3</v>
      </c>
      <c r="C495" s="65">
        <f>(Table3032[[#This Row],[Real M1 Money Stock]]-B483)/B483</f>
        <v>-9.5079987926351764E-3</v>
      </c>
    </row>
    <row r="496" spans="1:3" x14ac:dyDescent="0.2">
      <c r="A496" s="26">
        <v>36465</v>
      </c>
      <c r="B496" s="27">
        <f>VLOOKUP(Table3032[[#This Row],[Month]],'DB Money Supply'!$A:$D,2)</f>
        <v>659.6</v>
      </c>
      <c r="C496" s="65">
        <f>(Table3032[[#This Row],[Real M1 Money Stock]]-B484)/B484</f>
        <v>-1.1390887290167899E-2</v>
      </c>
    </row>
    <row r="497" spans="1:3" x14ac:dyDescent="0.2">
      <c r="A497" s="26">
        <v>36495</v>
      </c>
      <c r="B497" s="27">
        <f>VLOOKUP(Table3032[[#This Row],[Month]],'DB Money Supply'!$A:$D,2)</f>
        <v>664.8</v>
      </c>
      <c r="C497" s="65">
        <f>(Table3032[[#This Row],[Real M1 Money Stock]]-B485)/B485</f>
        <v>-1.9516589100736649E-3</v>
      </c>
    </row>
    <row r="498" spans="1:3" x14ac:dyDescent="0.2">
      <c r="A498" s="26">
        <v>36526</v>
      </c>
      <c r="B498" s="27">
        <f>VLOOKUP(Table3032[[#This Row],[Month]],'DB Money Supply'!$A:$D,2)</f>
        <v>662.8</v>
      </c>
      <c r="C498" s="65">
        <f>(Table3032[[#This Row],[Real M1 Money Stock]]-B486)/B486</f>
        <v>-5.8497075146244047E-3</v>
      </c>
    </row>
    <row r="499" spans="1:3" x14ac:dyDescent="0.2">
      <c r="A499" s="26">
        <v>36557</v>
      </c>
      <c r="B499" s="27">
        <f>VLOOKUP(Table3032[[#This Row],[Month]],'DB Money Supply'!$A:$D,2)</f>
        <v>652.1</v>
      </c>
      <c r="C499" s="65">
        <f>(Table3032[[#This Row],[Real M1 Money Stock]]-B487)/B487</f>
        <v>-2.072383240726829E-2</v>
      </c>
    </row>
    <row r="500" spans="1:3" x14ac:dyDescent="0.2">
      <c r="A500" s="26">
        <v>36586</v>
      </c>
      <c r="B500" s="27">
        <f>VLOOKUP(Table3032[[#This Row],[Month]],'DB Money Supply'!$A:$D,2)</f>
        <v>647.70000000000005</v>
      </c>
      <c r="C500" s="65">
        <f>(Table3032[[#This Row],[Real M1 Money Stock]]-B488)/B488</f>
        <v>-2.660054102795301E-2</v>
      </c>
    </row>
    <row r="501" spans="1:3" x14ac:dyDescent="0.2">
      <c r="A501" s="26">
        <v>36617</v>
      </c>
      <c r="B501" s="27">
        <f>VLOOKUP(Table3032[[#This Row],[Month]],'DB Money Supply'!$A:$D,2)</f>
        <v>652.79999999999995</v>
      </c>
      <c r="C501" s="65">
        <f>(Table3032[[#This Row],[Real M1 Money Stock]]-B489)/B489</f>
        <v>-1.6867469879518142E-2</v>
      </c>
    </row>
    <row r="502" spans="1:3" x14ac:dyDescent="0.2">
      <c r="A502" s="26">
        <v>36647</v>
      </c>
      <c r="B502" s="27">
        <f>VLOOKUP(Table3032[[#This Row],[Month]],'DB Money Supply'!$A:$D,2)</f>
        <v>645.4</v>
      </c>
      <c r="C502" s="65">
        <f>(Table3032[[#This Row],[Real M1 Money Stock]]-B490)/B490</f>
        <v>-2.9327718453902845E-2</v>
      </c>
    </row>
    <row r="503" spans="1:3" x14ac:dyDescent="0.2">
      <c r="A503" s="26">
        <v>36678</v>
      </c>
      <c r="B503" s="27">
        <f>VLOOKUP(Table3032[[#This Row],[Month]],'DB Money Supply'!$A:$D,2)</f>
        <v>640.29999999999995</v>
      </c>
      <c r="C503" s="65">
        <f>(Table3032[[#This Row],[Real M1 Money Stock]]-B491)/B491</f>
        <v>-3.3509433962264218E-2</v>
      </c>
    </row>
    <row r="504" spans="1:3" x14ac:dyDescent="0.2">
      <c r="A504" s="26">
        <v>36708</v>
      </c>
      <c r="B504" s="27">
        <f>VLOOKUP(Table3032[[#This Row],[Month]],'DB Money Supply'!$A:$D,2)</f>
        <v>639</v>
      </c>
      <c r="C504" s="65">
        <f>(Table3032[[#This Row],[Real M1 Money Stock]]-B492)/B492</f>
        <v>-3.0790232064310565E-2</v>
      </c>
    </row>
    <row r="505" spans="1:3" x14ac:dyDescent="0.2">
      <c r="A505" s="26">
        <v>36739</v>
      </c>
      <c r="B505" s="27">
        <f>VLOOKUP(Table3032[[#This Row],[Month]],'DB Money Supply'!$A:$D,2)</f>
        <v>637.1</v>
      </c>
      <c r="C505" s="65">
        <f>(Table3032[[#This Row],[Real M1 Money Stock]]-B493)/B493</f>
        <v>-3.1468531468531367E-2</v>
      </c>
    </row>
    <row r="506" spans="1:3" x14ac:dyDescent="0.2">
      <c r="A506" s="26">
        <v>36770</v>
      </c>
      <c r="B506" s="27">
        <f>VLOOKUP(Table3032[[#This Row],[Month]],'DB Money Supply'!$A:$D,2)</f>
        <v>633.5</v>
      </c>
      <c r="C506" s="65">
        <f>(Table3032[[#This Row],[Real M1 Money Stock]]-B494)/B494</f>
        <v>-3.0604437643458302E-2</v>
      </c>
    </row>
    <row r="507" spans="1:3" x14ac:dyDescent="0.2">
      <c r="A507" s="26">
        <v>36800</v>
      </c>
      <c r="B507" s="27">
        <f>VLOOKUP(Table3032[[#This Row],[Month]],'DB Money Supply'!$A:$D,2)</f>
        <v>631.79999999999995</v>
      </c>
      <c r="C507" s="65">
        <f>(Table3032[[#This Row],[Real M1 Money Stock]]-B495)/B495</f>
        <v>-3.733048910559196E-2</v>
      </c>
    </row>
    <row r="508" spans="1:3" x14ac:dyDescent="0.2">
      <c r="A508" s="26">
        <v>36831</v>
      </c>
      <c r="B508" s="27">
        <f>VLOOKUP(Table3032[[#This Row],[Month]],'DB Money Supply'!$A:$D,2)</f>
        <v>627.1</v>
      </c>
      <c r="C508" s="65">
        <f>(Table3032[[#This Row],[Real M1 Money Stock]]-B496)/B496</f>
        <v>-4.927228623408126E-2</v>
      </c>
    </row>
    <row r="509" spans="1:3" x14ac:dyDescent="0.2">
      <c r="A509" s="26">
        <v>36861</v>
      </c>
      <c r="B509" s="27">
        <f>VLOOKUP(Table3032[[#This Row],[Month]],'DB Money Supply'!$A:$D,2)</f>
        <v>623.5</v>
      </c>
      <c r="C509" s="65">
        <f>(Table3032[[#This Row],[Real M1 Money Stock]]-B497)/B497</f>
        <v>-6.2123947051744823E-2</v>
      </c>
    </row>
    <row r="510" spans="1:3" x14ac:dyDescent="0.2">
      <c r="A510" s="26">
        <v>36892</v>
      </c>
      <c r="B510" s="27">
        <f>VLOOKUP(Table3032[[#This Row],[Month]],'DB Money Supply'!$A:$D,2)</f>
        <v>624.5</v>
      </c>
      <c r="C510" s="65">
        <f>(Table3032[[#This Row],[Real M1 Money Stock]]-B498)/B498</f>
        <v>-5.7785153892576879E-2</v>
      </c>
    </row>
    <row r="511" spans="1:3" x14ac:dyDescent="0.2">
      <c r="A511" s="26">
        <v>36923</v>
      </c>
      <c r="B511" s="27">
        <f>VLOOKUP(Table3032[[#This Row],[Month]],'DB Money Supply'!$A:$D,2)</f>
        <v>625.70000000000005</v>
      </c>
      <c r="C511" s="65">
        <f>(Table3032[[#This Row],[Real M1 Money Stock]]-B499)/B499</f>
        <v>-4.0484588253335341E-2</v>
      </c>
    </row>
    <row r="512" spans="1:3" x14ac:dyDescent="0.2">
      <c r="A512" s="26">
        <v>36951</v>
      </c>
      <c r="B512" s="27">
        <f>VLOOKUP(Table3032[[#This Row],[Month]],'DB Money Supply'!$A:$D,2)</f>
        <v>629.70000000000005</v>
      </c>
      <c r="C512" s="65">
        <f>(Table3032[[#This Row],[Real M1 Money Stock]]-B500)/B500</f>
        <v>-2.779064381658175E-2</v>
      </c>
    </row>
    <row r="513" spans="1:3" x14ac:dyDescent="0.2">
      <c r="A513" s="26">
        <v>36982</v>
      </c>
      <c r="B513" s="27">
        <f>VLOOKUP(Table3032[[#This Row],[Month]],'DB Money Supply'!$A:$D,2)</f>
        <v>633</v>
      </c>
      <c r="C513" s="65">
        <f>(Table3032[[#This Row],[Real M1 Money Stock]]-B501)/B501</f>
        <v>-3.033088235294111E-2</v>
      </c>
    </row>
    <row r="514" spans="1:3" x14ac:dyDescent="0.2">
      <c r="A514" s="26">
        <v>37012</v>
      </c>
      <c r="B514" s="27">
        <f>VLOOKUP(Table3032[[#This Row],[Month]],'DB Money Supply'!$A:$D,2)</f>
        <v>630.9</v>
      </c>
      <c r="C514" s="65">
        <f>(Table3032[[#This Row],[Real M1 Money Stock]]-B502)/B502</f>
        <v>-2.2466687325689495E-2</v>
      </c>
    </row>
    <row r="515" spans="1:3" x14ac:dyDescent="0.2">
      <c r="A515" s="26">
        <v>37043</v>
      </c>
      <c r="B515" s="27">
        <f>VLOOKUP(Table3032[[#This Row],[Month]],'DB Money Supply'!$A:$D,2)</f>
        <v>633.79999999999995</v>
      </c>
      <c r="C515" s="65">
        <f>(Table3032[[#This Row],[Real M1 Money Stock]]-B503)/B503</f>
        <v>-1.015149148836483E-2</v>
      </c>
    </row>
    <row r="516" spans="1:3" x14ac:dyDescent="0.2">
      <c r="A516" s="26">
        <v>37073</v>
      </c>
      <c r="B516" s="27">
        <f>VLOOKUP(Table3032[[#This Row],[Month]],'DB Money Supply'!$A:$D,2)</f>
        <v>642</v>
      </c>
      <c r="C516" s="65">
        <f>(Table3032[[#This Row],[Real M1 Money Stock]]-B504)/B504</f>
        <v>4.6948356807511738E-3</v>
      </c>
    </row>
    <row r="517" spans="1:3" x14ac:dyDescent="0.2">
      <c r="A517" s="26">
        <v>37104</v>
      </c>
      <c r="B517" s="27">
        <f>VLOOKUP(Table3032[[#This Row],[Month]],'DB Money Supply'!$A:$D,2)</f>
        <v>648.4</v>
      </c>
      <c r="C517" s="65">
        <f>(Table3032[[#This Row],[Real M1 Money Stock]]-B505)/B505</f>
        <v>1.7736619055093321E-2</v>
      </c>
    </row>
    <row r="518" spans="1:3" x14ac:dyDescent="0.2">
      <c r="A518" s="26">
        <v>37135</v>
      </c>
      <c r="B518" s="27">
        <f>VLOOKUP(Table3032[[#This Row],[Month]],'DB Money Supply'!$A:$D,2)</f>
        <v>677</v>
      </c>
      <c r="C518" s="65">
        <f>(Table3032[[#This Row],[Real M1 Money Stock]]-B506)/B506</f>
        <v>6.8666140489344912E-2</v>
      </c>
    </row>
    <row r="519" spans="1:3" x14ac:dyDescent="0.2">
      <c r="A519" s="26">
        <v>37165</v>
      </c>
      <c r="B519" s="27">
        <f>VLOOKUP(Table3032[[#This Row],[Month]],'DB Money Supply'!$A:$D,2)</f>
        <v>656.4</v>
      </c>
      <c r="C519" s="65">
        <f>(Table3032[[#This Row],[Real M1 Money Stock]]-B507)/B507</f>
        <v>3.8936372269705644E-2</v>
      </c>
    </row>
    <row r="520" spans="1:3" x14ac:dyDescent="0.2">
      <c r="A520" s="26">
        <v>37196</v>
      </c>
      <c r="B520" s="27">
        <f>VLOOKUP(Table3032[[#This Row],[Month]],'DB Money Supply'!$A:$D,2)</f>
        <v>659.7</v>
      </c>
      <c r="C520" s="65">
        <f>(Table3032[[#This Row],[Real M1 Money Stock]]-B508)/B508</f>
        <v>5.1985329293573627E-2</v>
      </c>
    </row>
    <row r="521" spans="1:3" x14ac:dyDescent="0.2">
      <c r="A521" s="26">
        <v>37226</v>
      </c>
      <c r="B521" s="27">
        <f>VLOOKUP(Table3032[[#This Row],[Month]],'DB Money Supply'!$A:$D,2)</f>
        <v>667</v>
      </c>
      <c r="C521" s="65">
        <f>(Table3032[[#This Row],[Real M1 Money Stock]]-B509)/B509</f>
        <v>6.9767441860465115E-2</v>
      </c>
    </row>
    <row r="522" spans="1:3" x14ac:dyDescent="0.2">
      <c r="A522" s="26">
        <v>37257</v>
      </c>
      <c r="B522" s="27">
        <f>VLOOKUP(Table3032[[#This Row],[Month]],'DB Money Supply'!$A:$D,2)</f>
        <v>670.1</v>
      </c>
      <c r="C522" s="65">
        <f>(Table3032[[#This Row],[Real M1 Money Stock]]-B510)/B510</f>
        <v>7.3018414731785469E-2</v>
      </c>
    </row>
    <row r="523" spans="1:3" x14ac:dyDescent="0.2">
      <c r="A523" s="26">
        <v>37288</v>
      </c>
      <c r="B523" s="27">
        <f>VLOOKUP(Table3032[[#This Row],[Month]],'DB Money Supply'!$A:$D,2)</f>
        <v>668.9</v>
      </c>
      <c r="C523" s="65">
        <f>(Table3032[[#This Row],[Real M1 Money Stock]]-B511)/B511</f>
        <v>6.9042672207127898E-2</v>
      </c>
    </row>
    <row r="524" spans="1:3" x14ac:dyDescent="0.2">
      <c r="A524" s="26">
        <v>37316</v>
      </c>
      <c r="B524" s="27">
        <f>VLOOKUP(Table3032[[#This Row],[Month]],'DB Money Supply'!$A:$D,2)</f>
        <v>668.5</v>
      </c>
      <c r="C524" s="65">
        <f>(Table3032[[#This Row],[Real M1 Money Stock]]-B512)/B512</f>
        <v>6.1616642845799513E-2</v>
      </c>
    </row>
    <row r="525" spans="1:3" x14ac:dyDescent="0.2">
      <c r="A525" s="26">
        <v>37347</v>
      </c>
      <c r="B525" s="27">
        <f>VLOOKUP(Table3032[[#This Row],[Month]],'DB Money Supply'!$A:$D,2)</f>
        <v>662</v>
      </c>
      <c r="C525" s="65">
        <f>(Table3032[[#This Row],[Real M1 Money Stock]]-B513)/B513</f>
        <v>4.5813586097946286E-2</v>
      </c>
    </row>
    <row r="526" spans="1:3" x14ac:dyDescent="0.2">
      <c r="A526" s="26">
        <v>37377</v>
      </c>
      <c r="B526" s="27">
        <f>VLOOKUP(Table3032[[#This Row],[Month]],'DB Money Supply'!$A:$D,2)</f>
        <v>662.6</v>
      </c>
      <c r="C526" s="65">
        <f>(Table3032[[#This Row],[Real M1 Money Stock]]-B514)/B514</f>
        <v>5.0245680773498252E-2</v>
      </c>
    </row>
    <row r="527" spans="1:3" x14ac:dyDescent="0.2">
      <c r="A527" s="26">
        <v>37408</v>
      </c>
      <c r="B527" s="27">
        <f>VLOOKUP(Table3032[[#This Row],[Month]],'DB Money Supply'!$A:$D,2)</f>
        <v>664.4</v>
      </c>
      <c r="C527" s="65">
        <f>(Table3032[[#This Row],[Real M1 Money Stock]]-B515)/B515</f>
        <v>4.8280214578731502E-2</v>
      </c>
    </row>
    <row r="528" spans="1:3" x14ac:dyDescent="0.2">
      <c r="A528" s="26">
        <v>37438</v>
      </c>
      <c r="B528" s="27">
        <f>VLOOKUP(Table3032[[#This Row],[Month]],'DB Money Supply'!$A:$D,2)</f>
        <v>666.2</v>
      </c>
      <c r="C528" s="65">
        <f>(Table3032[[#This Row],[Real M1 Money Stock]]-B516)/B516</f>
        <v>3.7694704049844305E-2</v>
      </c>
    </row>
    <row r="529" spans="1:3" x14ac:dyDescent="0.2">
      <c r="A529" s="26">
        <v>37469</v>
      </c>
      <c r="B529" s="27">
        <f>VLOOKUP(Table3032[[#This Row],[Month]],'DB Money Supply'!$A:$D,2)</f>
        <v>657.7</v>
      </c>
      <c r="C529" s="65">
        <f>(Table3032[[#This Row],[Real M1 Money Stock]]-B517)/B517</f>
        <v>1.4342998149290668E-2</v>
      </c>
    </row>
    <row r="530" spans="1:3" x14ac:dyDescent="0.2">
      <c r="A530" s="26">
        <v>37500</v>
      </c>
      <c r="B530" s="27">
        <f>VLOOKUP(Table3032[[#This Row],[Month]],'DB Money Supply'!$A:$D,2)</f>
        <v>661.6</v>
      </c>
      <c r="C530" s="65">
        <f>(Table3032[[#This Row],[Real M1 Money Stock]]-B518)/B518</f>
        <v>-2.2747415066469687E-2</v>
      </c>
    </row>
    <row r="531" spans="1:3" x14ac:dyDescent="0.2">
      <c r="A531" s="26">
        <v>37530</v>
      </c>
      <c r="B531" s="27">
        <f>VLOOKUP(Table3032[[#This Row],[Month]],'DB Money Supply'!$A:$D,2)</f>
        <v>664.5</v>
      </c>
      <c r="C531" s="65">
        <f>(Table3032[[#This Row],[Real M1 Money Stock]]-B519)/B519</f>
        <v>1.2340036563071333E-2</v>
      </c>
    </row>
    <row r="532" spans="1:3" x14ac:dyDescent="0.2">
      <c r="A532" s="26">
        <v>37561</v>
      </c>
      <c r="B532" s="27">
        <f>VLOOKUP(Table3032[[#This Row],[Month]],'DB Money Supply'!$A:$D,2)</f>
        <v>666.4</v>
      </c>
      <c r="C532" s="65">
        <f>(Table3032[[#This Row],[Real M1 Money Stock]]-B520)/B520</f>
        <v>1.015613157495821E-2</v>
      </c>
    </row>
    <row r="533" spans="1:3" x14ac:dyDescent="0.2">
      <c r="A533" s="26">
        <v>37591</v>
      </c>
      <c r="B533" s="27">
        <f>VLOOKUP(Table3032[[#This Row],[Month]],'DB Money Supply'!$A:$D,2)</f>
        <v>671.2</v>
      </c>
      <c r="C533" s="65">
        <f>(Table3032[[#This Row],[Real M1 Money Stock]]-B521)/B521</f>
        <v>6.2968515742129619E-3</v>
      </c>
    </row>
    <row r="534" spans="1:3" x14ac:dyDescent="0.2">
      <c r="A534" s="26">
        <v>37622</v>
      </c>
      <c r="B534" s="27">
        <f>VLOOKUP(Table3032[[#This Row],[Month]],'DB Money Supply'!$A:$D,2)</f>
        <v>672.1</v>
      </c>
      <c r="C534" s="65">
        <f>(Table3032[[#This Row],[Real M1 Money Stock]]-B522)/B522</f>
        <v>2.9846291598268912E-3</v>
      </c>
    </row>
    <row r="535" spans="1:3" x14ac:dyDescent="0.2">
      <c r="A535" s="26">
        <v>37653</v>
      </c>
      <c r="B535" s="27">
        <f>VLOOKUP(Table3032[[#This Row],[Month]],'DB Money Supply'!$A:$D,2)</f>
        <v>674.4</v>
      </c>
      <c r="C535" s="65">
        <f>(Table3032[[#This Row],[Real M1 Money Stock]]-B523)/B523</f>
        <v>8.2224547764987287E-3</v>
      </c>
    </row>
    <row r="536" spans="1:3" x14ac:dyDescent="0.2">
      <c r="A536" s="26">
        <v>37681</v>
      </c>
      <c r="B536" s="27">
        <f>VLOOKUP(Table3032[[#This Row],[Month]],'DB Money Supply'!$A:$D,2)</f>
        <v>673.9</v>
      </c>
      <c r="C536" s="65">
        <f>(Table3032[[#This Row],[Real M1 Money Stock]]-B524)/B524</f>
        <v>8.0777860882572591E-3</v>
      </c>
    </row>
    <row r="537" spans="1:3" x14ac:dyDescent="0.2">
      <c r="A537" s="26">
        <v>37712</v>
      </c>
      <c r="B537" s="27">
        <f>VLOOKUP(Table3032[[#This Row],[Month]],'DB Money Supply'!$A:$D,2)</f>
        <v>682.3</v>
      </c>
      <c r="C537" s="65">
        <f>(Table3032[[#This Row],[Real M1 Money Stock]]-B525)/B525</f>
        <v>3.0664652567975761E-2</v>
      </c>
    </row>
    <row r="538" spans="1:3" x14ac:dyDescent="0.2">
      <c r="A538" s="26">
        <v>37742</v>
      </c>
      <c r="B538" s="27">
        <f>VLOOKUP(Table3032[[#This Row],[Month]],'DB Money Supply'!$A:$D,2)</f>
        <v>693.7</v>
      </c>
      <c r="C538" s="65">
        <f>(Table3032[[#This Row],[Real M1 Money Stock]]-B526)/B526</f>
        <v>4.6936311500150957E-2</v>
      </c>
    </row>
    <row r="539" spans="1:3" x14ac:dyDescent="0.2">
      <c r="A539" s="26">
        <v>37773</v>
      </c>
      <c r="B539" s="27">
        <f>VLOOKUP(Table3032[[#This Row],[Month]],'DB Money Supply'!$A:$D,2)</f>
        <v>699.6</v>
      </c>
      <c r="C539" s="65">
        <f>(Table3032[[#This Row],[Real M1 Money Stock]]-B527)/B527</f>
        <v>5.2980132450331195E-2</v>
      </c>
    </row>
    <row r="540" spans="1:3" x14ac:dyDescent="0.2">
      <c r="A540" s="26">
        <v>37803</v>
      </c>
      <c r="B540" s="27">
        <f>VLOOKUP(Table3032[[#This Row],[Month]],'DB Money Supply'!$A:$D,2)</f>
        <v>700.9</v>
      </c>
      <c r="C540" s="65">
        <f>(Table3032[[#This Row],[Real M1 Money Stock]]-B528)/B528</f>
        <v>5.2086460522365548E-2</v>
      </c>
    </row>
    <row r="541" spans="1:3" x14ac:dyDescent="0.2">
      <c r="A541" s="26">
        <v>37834</v>
      </c>
      <c r="B541" s="27">
        <f>VLOOKUP(Table3032[[#This Row],[Month]],'DB Money Supply'!$A:$D,2)</f>
        <v>702.7</v>
      </c>
      <c r="C541" s="65">
        <f>(Table3032[[#This Row],[Real M1 Money Stock]]-B529)/B529</f>
        <v>6.8420252394708836E-2</v>
      </c>
    </row>
    <row r="542" spans="1:3" x14ac:dyDescent="0.2">
      <c r="A542" s="26">
        <v>37865</v>
      </c>
      <c r="B542" s="27">
        <f>VLOOKUP(Table3032[[#This Row],[Month]],'DB Money Supply'!$A:$D,2)</f>
        <v>700.8</v>
      </c>
      <c r="C542" s="65">
        <f>(Table3032[[#This Row],[Real M1 Money Stock]]-B530)/B530</f>
        <v>5.9250302297460596E-2</v>
      </c>
    </row>
    <row r="543" spans="1:3" x14ac:dyDescent="0.2">
      <c r="A543" s="26">
        <v>37895</v>
      </c>
      <c r="B543" s="27">
        <f>VLOOKUP(Table3032[[#This Row],[Month]],'DB Money Supply'!$A:$D,2)</f>
        <v>701.9</v>
      </c>
      <c r="C543" s="65">
        <f>(Table3032[[#This Row],[Real M1 Money Stock]]-B531)/B531</f>
        <v>5.6282919488337059E-2</v>
      </c>
    </row>
    <row r="544" spans="1:3" x14ac:dyDescent="0.2">
      <c r="A544" s="26">
        <v>37926</v>
      </c>
      <c r="B544" s="27">
        <f>VLOOKUP(Table3032[[#This Row],[Month]],'DB Money Supply'!$A:$D,2)</f>
        <v>702.2</v>
      </c>
      <c r="C544" s="65">
        <f>(Table3032[[#This Row],[Real M1 Money Stock]]-B532)/B532</f>
        <v>5.372148859543828E-2</v>
      </c>
    </row>
    <row r="545" spans="1:3" x14ac:dyDescent="0.2">
      <c r="A545" s="26">
        <v>37956</v>
      </c>
      <c r="B545" s="27">
        <f>VLOOKUP(Table3032[[#This Row],[Month]],'DB Money Supply'!$A:$D,2)</f>
        <v>704.2</v>
      </c>
      <c r="C545" s="65">
        <f>(Table3032[[#This Row],[Real M1 Money Stock]]-B533)/B533</f>
        <v>4.9165673420738971E-2</v>
      </c>
    </row>
    <row r="546" spans="1:3" x14ac:dyDescent="0.2">
      <c r="A546" s="26">
        <v>37987</v>
      </c>
      <c r="B546" s="27">
        <f>VLOOKUP(Table3032[[#This Row],[Month]],'DB Money Supply'!$A:$D,2)</f>
        <v>701</v>
      </c>
      <c r="C546" s="65">
        <f>(Table3032[[#This Row],[Real M1 Money Stock]]-B534)/B534</f>
        <v>4.2999553637851476E-2</v>
      </c>
    </row>
    <row r="547" spans="1:3" x14ac:dyDescent="0.2">
      <c r="A547" s="26">
        <v>38018</v>
      </c>
      <c r="B547" s="27">
        <f>VLOOKUP(Table3032[[#This Row],[Month]],'DB Money Supply'!$A:$D,2)</f>
        <v>707.8</v>
      </c>
      <c r="C547" s="65">
        <f>(Table3032[[#This Row],[Real M1 Money Stock]]-B535)/B535</f>
        <v>4.9525504151838637E-2</v>
      </c>
    </row>
    <row r="548" spans="1:3" x14ac:dyDescent="0.2">
      <c r="A548" s="26">
        <v>38047</v>
      </c>
      <c r="B548" s="27">
        <f>VLOOKUP(Table3032[[#This Row],[Month]],'DB Money Supply'!$A:$D,2)</f>
        <v>710.2</v>
      </c>
      <c r="C548" s="65">
        <f>(Table3032[[#This Row],[Real M1 Money Stock]]-B536)/B536</f>
        <v>5.3865558688232777E-2</v>
      </c>
    </row>
    <row r="549" spans="1:3" x14ac:dyDescent="0.2">
      <c r="A549" s="26">
        <v>38078</v>
      </c>
      <c r="B549" s="27">
        <f>VLOOKUP(Table3032[[#This Row],[Month]],'DB Money Supply'!$A:$D,2)</f>
        <v>711.2</v>
      </c>
      <c r="C549" s="65">
        <f>(Table3032[[#This Row],[Real M1 Money Stock]]-B537)/B537</f>
        <v>4.2356734574234341E-2</v>
      </c>
    </row>
    <row r="550" spans="1:3" x14ac:dyDescent="0.2">
      <c r="A550" s="26">
        <v>38108</v>
      </c>
      <c r="B550" s="27">
        <f>VLOOKUP(Table3032[[#This Row],[Month]],'DB Money Supply'!$A:$D,2)</f>
        <v>708.4</v>
      </c>
      <c r="C550" s="65">
        <f>(Table3032[[#This Row],[Real M1 Money Stock]]-B538)/B538</f>
        <v>2.119071644803219E-2</v>
      </c>
    </row>
    <row r="551" spans="1:3" x14ac:dyDescent="0.2">
      <c r="A551" s="26">
        <v>38139</v>
      </c>
      <c r="B551" s="27">
        <f>VLOOKUP(Table3032[[#This Row],[Month]],'DB Money Supply'!$A:$D,2)</f>
        <v>710.8</v>
      </c>
      <c r="C551" s="65">
        <f>(Table3032[[#This Row],[Real M1 Money Stock]]-B539)/B539</f>
        <v>1.6009148084619684E-2</v>
      </c>
    </row>
    <row r="552" spans="1:3" x14ac:dyDescent="0.2">
      <c r="A552" s="26">
        <v>38169</v>
      </c>
      <c r="B552" s="27">
        <f>VLOOKUP(Table3032[[#This Row],[Month]],'DB Money Supply'!$A:$D,2)</f>
        <v>709</v>
      </c>
      <c r="C552" s="65">
        <f>(Table3032[[#This Row],[Real M1 Money Stock]]-B540)/B540</f>
        <v>1.1556570124126156E-2</v>
      </c>
    </row>
    <row r="553" spans="1:3" x14ac:dyDescent="0.2">
      <c r="A553" s="26">
        <v>38200</v>
      </c>
      <c r="B553" s="27">
        <f>VLOOKUP(Table3032[[#This Row],[Month]],'DB Money Supply'!$A:$D,2)</f>
        <v>715.8</v>
      </c>
      <c r="C553" s="65">
        <f>(Table3032[[#This Row],[Real M1 Money Stock]]-B541)/B541</f>
        <v>1.864237939376677E-2</v>
      </c>
    </row>
    <row r="554" spans="1:3" x14ac:dyDescent="0.2">
      <c r="A554" s="26">
        <v>38231</v>
      </c>
      <c r="B554" s="27">
        <f>VLOOKUP(Table3032[[#This Row],[Month]],'DB Money Supply'!$A:$D,2)</f>
        <v>717.9</v>
      </c>
      <c r="C554" s="65">
        <f>(Table3032[[#This Row],[Real M1 Money Stock]]-B542)/B542</f>
        <v>2.4400684931506884E-2</v>
      </c>
    </row>
    <row r="555" spans="1:3" x14ac:dyDescent="0.2">
      <c r="A555" s="26">
        <v>38261</v>
      </c>
      <c r="B555" s="27">
        <f>VLOOKUP(Table3032[[#This Row],[Month]],'DB Money Supply'!$A:$D,2)</f>
        <v>714</v>
      </c>
      <c r="C555" s="65">
        <f>(Table3032[[#This Row],[Real M1 Money Stock]]-B543)/B543</f>
        <v>1.7238922923493407E-2</v>
      </c>
    </row>
    <row r="556" spans="1:3" x14ac:dyDescent="0.2">
      <c r="A556" s="26">
        <v>38292</v>
      </c>
      <c r="B556" s="27">
        <f>VLOOKUP(Table3032[[#This Row],[Month]],'DB Money Supply'!$A:$D,2)</f>
        <v>716.8</v>
      </c>
      <c r="C556" s="65">
        <f>(Table3032[[#This Row],[Real M1 Money Stock]]-B544)/B544</f>
        <v>2.0791797208772299E-2</v>
      </c>
    </row>
    <row r="557" spans="1:3" x14ac:dyDescent="0.2">
      <c r="A557" s="26">
        <v>38322</v>
      </c>
      <c r="B557" s="27">
        <f>VLOOKUP(Table3032[[#This Row],[Month]],'DB Money Supply'!$A:$D,2)</f>
        <v>717.8</v>
      </c>
      <c r="C557" s="65">
        <f>(Table3032[[#This Row],[Real M1 Money Stock]]-B545)/B545</f>
        <v>1.9312695257029121E-2</v>
      </c>
    </row>
    <row r="558" spans="1:3" x14ac:dyDescent="0.2">
      <c r="A558" s="26">
        <v>38353</v>
      </c>
      <c r="B558" s="27">
        <f>VLOOKUP(Table3032[[#This Row],[Month]],'DB Money Supply'!$A:$D,2)</f>
        <v>713.5</v>
      </c>
      <c r="C558" s="65">
        <f>(Table3032[[#This Row],[Real M1 Money Stock]]-B546)/B546</f>
        <v>1.783166904422254E-2</v>
      </c>
    </row>
    <row r="559" spans="1:3" x14ac:dyDescent="0.2">
      <c r="A559" s="26">
        <v>38384</v>
      </c>
      <c r="B559" s="27">
        <f>VLOOKUP(Table3032[[#This Row],[Month]],'DB Money Supply'!$A:$D,2)</f>
        <v>712.6</v>
      </c>
      <c r="C559" s="65">
        <f>(Table3032[[#This Row],[Real M1 Money Stock]]-B547)/B547</f>
        <v>6.7815767165867033E-3</v>
      </c>
    </row>
    <row r="560" spans="1:3" x14ac:dyDescent="0.2">
      <c r="A560" s="26">
        <v>38412</v>
      </c>
      <c r="B560" s="27">
        <f>VLOOKUP(Table3032[[#This Row],[Month]],'DB Money Supply'!$A:$D,2)</f>
        <v>709.9</v>
      </c>
      <c r="C560" s="65">
        <f>(Table3032[[#This Row],[Real M1 Money Stock]]-B548)/B548</f>
        <v>-4.224162207829741E-4</v>
      </c>
    </row>
    <row r="561" spans="1:3" x14ac:dyDescent="0.2">
      <c r="A561" s="26">
        <v>38443</v>
      </c>
      <c r="B561" s="27">
        <f>VLOOKUP(Table3032[[#This Row],[Month]],'DB Money Supply'!$A:$D,2)</f>
        <v>701.3</v>
      </c>
      <c r="C561" s="65">
        <f>(Table3032[[#This Row],[Real M1 Money Stock]]-B549)/B549</f>
        <v>-1.3920134983127237E-2</v>
      </c>
    </row>
    <row r="562" spans="1:3" x14ac:dyDescent="0.2">
      <c r="A562" s="26">
        <v>38473</v>
      </c>
      <c r="B562" s="27">
        <f>VLOOKUP(Table3032[[#This Row],[Month]],'DB Money Supply'!$A:$D,2)</f>
        <v>705.6</v>
      </c>
      <c r="C562" s="65">
        <f>(Table3032[[#This Row],[Real M1 Money Stock]]-B550)/B550</f>
        <v>-3.9525691699604099E-3</v>
      </c>
    </row>
    <row r="563" spans="1:3" x14ac:dyDescent="0.2">
      <c r="A563" s="26">
        <v>38504</v>
      </c>
      <c r="B563" s="27">
        <f>VLOOKUP(Table3032[[#This Row],[Month]],'DB Money Supply'!$A:$D,2)</f>
        <v>712.5</v>
      </c>
      <c r="C563" s="65">
        <f>(Table3032[[#This Row],[Real M1 Money Stock]]-B551)/B551</f>
        <v>2.3916713562184095E-3</v>
      </c>
    </row>
    <row r="564" spans="1:3" x14ac:dyDescent="0.2">
      <c r="A564" s="26">
        <v>38534</v>
      </c>
      <c r="B564" s="27">
        <f>VLOOKUP(Table3032[[#This Row],[Month]],'DB Money Supply'!$A:$D,2)</f>
        <v>702.4</v>
      </c>
      <c r="C564" s="65">
        <f>(Table3032[[#This Row],[Real M1 Money Stock]]-B552)/B552</f>
        <v>-9.3088857545839537E-3</v>
      </c>
    </row>
    <row r="565" spans="1:3" x14ac:dyDescent="0.2">
      <c r="A565" s="26">
        <v>38565</v>
      </c>
      <c r="B565" s="27">
        <f>VLOOKUP(Table3032[[#This Row],[Month]],'DB Money Supply'!$A:$D,2)</f>
        <v>702.6</v>
      </c>
      <c r="C565" s="65">
        <f>(Table3032[[#This Row],[Real M1 Money Stock]]-B553)/B553</f>
        <v>-1.8440905280804599E-2</v>
      </c>
    </row>
    <row r="566" spans="1:3" x14ac:dyDescent="0.2">
      <c r="A566" s="26">
        <v>38596</v>
      </c>
      <c r="B566" s="27">
        <f>VLOOKUP(Table3032[[#This Row],[Month]],'DB Money Supply'!$A:$D,2)</f>
        <v>693.5</v>
      </c>
      <c r="C566" s="65">
        <f>(Table3032[[#This Row],[Real M1 Money Stock]]-B554)/B554</f>
        <v>-3.3988020615684608E-2</v>
      </c>
    </row>
    <row r="567" spans="1:3" x14ac:dyDescent="0.2">
      <c r="A567" s="26">
        <v>38626</v>
      </c>
      <c r="B567" s="27">
        <f>VLOOKUP(Table3032[[#This Row],[Month]],'DB Money Supply'!$A:$D,2)</f>
        <v>691.4</v>
      </c>
      <c r="C567" s="65">
        <f>(Table3032[[#This Row],[Real M1 Money Stock]]-B555)/B555</f>
        <v>-3.1652661064425804E-2</v>
      </c>
    </row>
    <row r="568" spans="1:3" x14ac:dyDescent="0.2">
      <c r="A568" s="26">
        <v>38657</v>
      </c>
      <c r="B568" s="27">
        <f>VLOOKUP(Table3032[[#This Row],[Month]],'DB Money Supply'!$A:$D,2)</f>
        <v>694.6</v>
      </c>
      <c r="C568" s="65">
        <f>(Table3032[[#This Row],[Real M1 Money Stock]]-B556)/B556</f>
        <v>-3.097098214285705E-2</v>
      </c>
    </row>
    <row r="569" spans="1:3" x14ac:dyDescent="0.2">
      <c r="A569" s="26">
        <v>38687</v>
      </c>
      <c r="B569" s="27">
        <f>VLOOKUP(Table3032[[#This Row],[Month]],'DB Money Supply'!$A:$D,2)</f>
        <v>693.7</v>
      </c>
      <c r="C569" s="65">
        <f>(Table3032[[#This Row],[Real M1 Money Stock]]-B557)/B557</f>
        <v>-3.3574811925327262E-2</v>
      </c>
    </row>
    <row r="570" spans="1:3" x14ac:dyDescent="0.2">
      <c r="A570" s="26">
        <v>38718</v>
      </c>
      <c r="B570" s="27">
        <f>VLOOKUP(Table3032[[#This Row],[Month]],'DB Money Supply'!$A:$D,2)</f>
        <v>692.2</v>
      </c>
      <c r="C570" s="65">
        <f>(Table3032[[#This Row],[Real M1 Money Stock]]-B558)/B558</f>
        <v>-2.9852838121934063E-2</v>
      </c>
    </row>
    <row r="571" spans="1:3" x14ac:dyDescent="0.2">
      <c r="A571" s="26">
        <v>38749</v>
      </c>
      <c r="B571" s="27">
        <f>VLOOKUP(Table3032[[#This Row],[Month]],'DB Money Supply'!$A:$D,2)</f>
        <v>691.3</v>
      </c>
      <c r="C571" s="65">
        <f>(Table3032[[#This Row],[Real M1 Money Stock]]-B559)/B559</f>
        <v>-2.9890541678361027E-2</v>
      </c>
    </row>
    <row r="572" spans="1:3" x14ac:dyDescent="0.2">
      <c r="A572" s="26">
        <v>38777</v>
      </c>
      <c r="B572" s="27">
        <f>VLOOKUP(Table3032[[#This Row],[Month]],'DB Money Supply'!$A:$D,2)</f>
        <v>692.6</v>
      </c>
      <c r="C572" s="65">
        <f>(Table3032[[#This Row],[Real M1 Money Stock]]-B560)/B560</f>
        <v>-2.4369629525285187E-2</v>
      </c>
    </row>
    <row r="573" spans="1:3" x14ac:dyDescent="0.2">
      <c r="A573" s="26">
        <v>38808</v>
      </c>
      <c r="B573" s="27">
        <f>VLOOKUP(Table3032[[#This Row],[Month]],'DB Money Supply'!$A:$D,2)</f>
        <v>688.3</v>
      </c>
      <c r="C573" s="65">
        <f>(Table3032[[#This Row],[Real M1 Money Stock]]-B561)/B561</f>
        <v>-1.8537002709254242E-2</v>
      </c>
    </row>
    <row r="574" spans="1:3" x14ac:dyDescent="0.2">
      <c r="A574" s="26">
        <v>38838</v>
      </c>
      <c r="B574" s="27">
        <f>VLOOKUP(Table3032[[#This Row],[Month]],'DB Money Supply'!$A:$D,2)</f>
        <v>689.1</v>
      </c>
      <c r="C574" s="65">
        <f>(Table3032[[#This Row],[Real M1 Money Stock]]-B562)/B562</f>
        <v>-2.3384353741496597E-2</v>
      </c>
    </row>
    <row r="575" spans="1:3" x14ac:dyDescent="0.2">
      <c r="A575" s="26">
        <v>38869</v>
      </c>
      <c r="B575" s="27">
        <f>VLOOKUP(Table3032[[#This Row],[Month]],'DB Money Supply'!$A:$D,2)</f>
        <v>681.6</v>
      </c>
      <c r="C575" s="65">
        <f>(Table3032[[#This Row],[Real M1 Money Stock]]-B563)/B563</f>
        <v>-4.3368421052631549E-2</v>
      </c>
    </row>
    <row r="576" spans="1:3" x14ac:dyDescent="0.2">
      <c r="A576" s="26">
        <v>38899</v>
      </c>
      <c r="B576" s="27">
        <f>VLOOKUP(Table3032[[#This Row],[Month]],'DB Money Supply'!$A:$D,2)</f>
        <v>676.4</v>
      </c>
      <c r="C576" s="65">
        <f>(Table3032[[#This Row],[Real M1 Money Stock]]-B564)/B564</f>
        <v>-3.7015945330296132E-2</v>
      </c>
    </row>
    <row r="577" spans="1:3" x14ac:dyDescent="0.2">
      <c r="A577" s="26">
        <v>38930</v>
      </c>
      <c r="B577" s="27">
        <f>VLOOKUP(Table3032[[#This Row],[Month]],'DB Money Supply'!$A:$D,2)</f>
        <v>673.4</v>
      </c>
      <c r="C577" s="65">
        <f>(Table3032[[#This Row],[Real M1 Money Stock]]-B565)/B565</f>
        <v>-4.1559920296043329E-2</v>
      </c>
    </row>
    <row r="578" spans="1:3" x14ac:dyDescent="0.2">
      <c r="A578" s="26">
        <v>38961</v>
      </c>
      <c r="B578" s="27">
        <f>VLOOKUP(Table3032[[#This Row],[Month]],'DB Money Supply'!$A:$D,2)</f>
        <v>672.8</v>
      </c>
      <c r="C578" s="65">
        <f>(Table3032[[#This Row],[Real M1 Money Stock]]-B566)/B566</f>
        <v>-2.9848594087959691E-2</v>
      </c>
    </row>
    <row r="579" spans="1:3" x14ac:dyDescent="0.2">
      <c r="A579" s="26">
        <v>38991</v>
      </c>
      <c r="B579" s="27">
        <f>VLOOKUP(Table3032[[#This Row],[Month]],'DB Money Supply'!$A:$D,2)</f>
        <v>678.7</v>
      </c>
      <c r="C579" s="65">
        <f>(Table3032[[#This Row],[Real M1 Money Stock]]-B567)/B567</f>
        <v>-1.8368527625108377E-2</v>
      </c>
    </row>
    <row r="580" spans="1:3" x14ac:dyDescent="0.2">
      <c r="A580" s="26">
        <v>39022</v>
      </c>
      <c r="B580" s="27">
        <f>VLOOKUP(Table3032[[#This Row],[Month]],'DB Money Supply'!$A:$D,2)</f>
        <v>678.6</v>
      </c>
      <c r="C580" s="65">
        <f>(Table3032[[#This Row],[Real M1 Money Stock]]-B568)/B568</f>
        <v>-2.3034840195796141E-2</v>
      </c>
    </row>
    <row r="581" spans="1:3" x14ac:dyDescent="0.2">
      <c r="A581" s="26">
        <v>39052</v>
      </c>
      <c r="B581" s="27">
        <f>VLOOKUP(Table3032[[#This Row],[Month]],'DB Money Supply'!$A:$D,2)</f>
        <v>672.9</v>
      </c>
      <c r="C581" s="65">
        <f>(Table3032[[#This Row],[Real M1 Money Stock]]-B569)/B569</f>
        <v>-2.9984143001297488E-2</v>
      </c>
    </row>
    <row r="582" spans="1:3" x14ac:dyDescent="0.2">
      <c r="A582" s="26">
        <v>39083</v>
      </c>
      <c r="B582" s="27">
        <f>VLOOKUP(Table3032[[#This Row],[Month]],'DB Money Supply'!$A:$D,2)</f>
        <v>674.3</v>
      </c>
      <c r="C582" s="65">
        <f>(Table3032[[#This Row],[Real M1 Money Stock]]-B570)/B570</f>
        <v>-2.5859578156602267E-2</v>
      </c>
    </row>
    <row r="583" spans="1:3" x14ac:dyDescent="0.2">
      <c r="A583" s="26">
        <v>39114</v>
      </c>
      <c r="B583" s="27">
        <f>VLOOKUP(Table3032[[#This Row],[Month]],'DB Money Supply'!$A:$D,2)</f>
        <v>667.4</v>
      </c>
      <c r="C583" s="65">
        <f>(Table3032[[#This Row],[Real M1 Money Stock]]-B571)/B571</f>
        <v>-3.4572544481411803E-2</v>
      </c>
    </row>
    <row r="584" spans="1:3" x14ac:dyDescent="0.2">
      <c r="A584" s="26">
        <v>39142</v>
      </c>
      <c r="B584" s="27">
        <f>VLOOKUP(Table3032[[#This Row],[Month]],'DB Money Supply'!$A:$D,2)</f>
        <v>665.7</v>
      </c>
      <c r="C584" s="65">
        <f>(Table3032[[#This Row],[Real M1 Money Stock]]-B572)/B572</f>
        <v>-3.8839156800461995E-2</v>
      </c>
    </row>
    <row r="585" spans="1:3" x14ac:dyDescent="0.2">
      <c r="A585" s="26">
        <v>39173</v>
      </c>
      <c r="B585" s="27">
        <f>VLOOKUP(Table3032[[#This Row],[Month]],'DB Money Supply'!$A:$D,2)</f>
        <v>669.2</v>
      </c>
      <c r="C585" s="65">
        <f>(Table3032[[#This Row],[Real M1 Money Stock]]-B573)/B573</f>
        <v>-2.7749527822170435E-2</v>
      </c>
    </row>
    <row r="586" spans="1:3" x14ac:dyDescent="0.2">
      <c r="A586" s="26">
        <v>39203</v>
      </c>
      <c r="B586" s="27">
        <f>VLOOKUP(Table3032[[#This Row],[Month]],'DB Money Supply'!$A:$D,2)</f>
        <v>667.9</v>
      </c>
      <c r="C586" s="65">
        <f>(Table3032[[#This Row],[Real M1 Money Stock]]-B574)/B574</f>
        <v>-3.0764765636337316E-2</v>
      </c>
    </row>
    <row r="587" spans="1:3" x14ac:dyDescent="0.2">
      <c r="A587" s="26">
        <v>39234</v>
      </c>
      <c r="B587" s="27">
        <f>VLOOKUP(Table3032[[#This Row],[Month]],'DB Money Supply'!$A:$D,2)</f>
        <v>660.2</v>
      </c>
      <c r="C587" s="65">
        <f>(Table3032[[#This Row],[Real M1 Money Stock]]-B575)/B575</f>
        <v>-3.1396713615023442E-2</v>
      </c>
    </row>
    <row r="588" spans="1:3" x14ac:dyDescent="0.2">
      <c r="A588" s="26">
        <v>39264</v>
      </c>
      <c r="B588" s="27">
        <f>VLOOKUP(Table3032[[#This Row],[Month]],'DB Money Supply'!$A:$D,2)</f>
        <v>660.8</v>
      </c>
      <c r="C588" s="65">
        <f>(Table3032[[#This Row],[Real M1 Money Stock]]-B576)/B576</f>
        <v>-2.3063276167947993E-2</v>
      </c>
    </row>
    <row r="589" spans="1:3" x14ac:dyDescent="0.2">
      <c r="A589" s="26">
        <v>39295</v>
      </c>
      <c r="B589" s="27">
        <f>VLOOKUP(Table3032[[#This Row],[Month]],'DB Money Supply'!$A:$D,2)</f>
        <v>662.7</v>
      </c>
      <c r="C589" s="65">
        <f>(Table3032[[#This Row],[Real M1 Money Stock]]-B577)/B577</f>
        <v>-1.5889515889515787E-2</v>
      </c>
    </row>
    <row r="590" spans="1:3" x14ac:dyDescent="0.2">
      <c r="A590" s="26">
        <v>39326</v>
      </c>
      <c r="B590" s="27">
        <f>VLOOKUP(Table3032[[#This Row],[Month]],'DB Money Supply'!$A:$D,2)</f>
        <v>659.7</v>
      </c>
      <c r="C590" s="65">
        <f>(Table3032[[#This Row],[Real M1 Money Stock]]-B578)/B578</f>
        <v>-1.9470868014268596E-2</v>
      </c>
    </row>
    <row r="591" spans="1:3" x14ac:dyDescent="0.2">
      <c r="A591" s="26">
        <v>39356</v>
      </c>
      <c r="B591" s="27">
        <f>VLOOKUP(Table3032[[#This Row],[Month]],'DB Money Supply'!$A:$D,2)</f>
        <v>659.4</v>
      </c>
      <c r="C591" s="65">
        <f>(Table3032[[#This Row],[Real M1 Money Stock]]-B579)/B579</f>
        <v>-2.8436717253573107E-2</v>
      </c>
    </row>
    <row r="592" spans="1:3" x14ac:dyDescent="0.2">
      <c r="A592" s="26">
        <v>39387</v>
      </c>
      <c r="B592" s="27">
        <f>VLOOKUP(Table3032[[#This Row],[Month]],'DB Money Supply'!$A:$D,2)</f>
        <v>650.70000000000005</v>
      </c>
      <c r="C592" s="65">
        <f>(Table3032[[#This Row],[Real M1 Money Stock]]-B580)/B580</f>
        <v>-4.1114058355437633E-2</v>
      </c>
    </row>
    <row r="593" spans="1:3" x14ac:dyDescent="0.2">
      <c r="A593" s="26">
        <v>39417</v>
      </c>
      <c r="B593" s="27">
        <f>VLOOKUP(Table3032[[#This Row],[Month]],'DB Money Supply'!$A:$D,2)</f>
        <v>649.5</v>
      </c>
      <c r="C593" s="65">
        <f>(Table3032[[#This Row],[Real M1 Money Stock]]-B581)/B581</f>
        <v>-3.4774855104770366E-2</v>
      </c>
    </row>
    <row r="594" spans="1:3" x14ac:dyDescent="0.2">
      <c r="A594" s="26">
        <v>39448</v>
      </c>
      <c r="B594" s="27">
        <f>VLOOKUP(Table3032[[#This Row],[Month]],'DB Money Supply'!$A:$D,2)</f>
        <v>649.29999999999995</v>
      </c>
      <c r="C594" s="65">
        <f>(Table3032[[#This Row],[Real M1 Money Stock]]-B582)/B582</f>
        <v>-3.7075485688862528E-2</v>
      </c>
    </row>
    <row r="595" spans="1:3" x14ac:dyDescent="0.2">
      <c r="A595" s="26">
        <v>39479</v>
      </c>
      <c r="B595" s="27">
        <f>VLOOKUP(Table3032[[#This Row],[Month]],'DB Money Supply'!$A:$D,2)</f>
        <v>649</v>
      </c>
      <c r="C595" s="65">
        <f>(Table3032[[#This Row],[Real M1 Money Stock]]-B583)/B583</f>
        <v>-2.7569673359304731E-2</v>
      </c>
    </row>
    <row r="596" spans="1:3" x14ac:dyDescent="0.2">
      <c r="A596" s="26">
        <v>39508</v>
      </c>
      <c r="B596" s="27">
        <f>VLOOKUP(Table3032[[#This Row],[Month]],'DB Money Supply'!$A:$D,2)</f>
        <v>650.6</v>
      </c>
      <c r="C596" s="65">
        <f>(Table3032[[#This Row],[Real M1 Money Stock]]-B584)/B584</f>
        <v>-2.2682890190776659E-2</v>
      </c>
    </row>
    <row r="597" spans="1:3" x14ac:dyDescent="0.2">
      <c r="A597" s="26">
        <v>39539</v>
      </c>
      <c r="B597" s="27">
        <f>VLOOKUP(Table3032[[#This Row],[Month]],'DB Money Supply'!$A:$D,2)</f>
        <v>650.4</v>
      </c>
      <c r="C597" s="65">
        <f>(Table3032[[#This Row],[Real M1 Money Stock]]-B585)/B585</f>
        <v>-2.8093245666467523E-2</v>
      </c>
    </row>
    <row r="598" spans="1:3" x14ac:dyDescent="0.2">
      <c r="A598" s="26">
        <v>39569</v>
      </c>
      <c r="B598" s="27">
        <f>VLOOKUP(Table3032[[#This Row],[Month]],'DB Money Supply'!$A:$D,2)</f>
        <v>647.5</v>
      </c>
      <c r="C598" s="65">
        <f>(Table3032[[#This Row],[Real M1 Money Stock]]-B586)/B586</f>
        <v>-3.0543494535110013E-2</v>
      </c>
    </row>
    <row r="599" spans="1:3" x14ac:dyDescent="0.2">
      <c r="A599" s="26">
        <v>39600</v>
      </c>
      <c r="B599" s="27">
        <f>VLOOKUP(Table3032[[#This Row],[Month]],'DB Money Supply'!$A:$D,2)</f>
        <v>645.9</v>
      </c>
      <c r="C599" s="65">
        <f>(Table3032[[#This Row],[Real M1 Money Stock]]-B587)/B587</f>
        <v>-2.1660102999091286E-2</v>
      </c>
    </row>
    <row r="600" spans="1:3" x14ac:dyDescent="0.2">
      <c r="A600" s="26">
        <v>39630</v>
      </c>
      <c r="B600" s="27">
        <f>VLOOKUP(Table3032[[#This Row],[Month]],'DB Money Supply'!$A:$D,2)</f>
        <v>648.9</v>
      </c>
      <c r="C600" s="65">
        <f>(Table3032[[#This Row],[Real M1 Money Stock]]-B588)/B588</f>
        <v>-1.8008474576271152E-2</v>
      </c>
    </row>
    <row r="601" spans="1:3" x14ac:dyDescent="0.2">
      <c r="A601" s="26">
        <v>39661</v>
      </c>
      <c r="B601" s="27">
        <f>VLOOKUP(Table3032[[#This Row],[Month]],'DB Money Supply'!$A:$D,2)</f>
        <v>643.6</v>
      </c>
      <c r="C601" s="65">
        <f>(Table3032[[#This Row],[Real M1 Money Stock]]-B589)/B589</f>
        <v>-2.8821487852723739E-2</v>
      </c>
    </row>
    <row r="602" spans="1:3" x14ac:dyDescent="0.2">
      <c r="A602" s="26">
        <v>39692</v>
      </c>
      <c r="B602" s="27">
        <f>VLOOKUP(Table3032[[#This Row],[Month]],'DB Money Supply'!$A:$D,2)</f>
        <v>668</v>
      </c>
      <c r="C602" s="65">
        <f>(Table3032[[#This Row],[Real M1 Money Stock]]-B590)/B590</f>
        <v>1.2581476428679633E-2</v>
      </c>
    </row>
    <row r="603" spans="1:3" x14ac:dyDescent="0.2">
      <c r="A603" s="26">
        <v>39722</v>
      </c>
      <c r="B603" s="27">
        <f>VLOOKUP(Table3032[[#This Row],[Month]],'DB Money Supply'!$A:$D,2)</f>
        <v>679.2</v>
      </c>
      <c r="C603" s="65">
        <f>(Table3032[[#This Row],[Real M1 Money Stock]]-B591)/B591</f>
        <v>3.0027297543221216E-2</v>
      </c>
    </row>
    <row r="604" spans="1:3" x14ac:dyDescent="0.2">
      <c r="A604" s="26">
        <v>39753</v>
      </c>
      <c r="B604" s="27">
        <f>VLOOKUP(Table3032[[#This Row],[Month]],'DB Money Supply'!$A:$D,2)</f>
        <v>710.6</v>
      </c>
      <c r="C604" s="65">
        <f>(Table3032[[#This Row],[Real M1 Money Stock]]-B592)/B592</f>
        <v>9.2054710311971683E-2</v>
      </c>
    </row>
    <row r="605" spans="1:3" x14ac:dyDescent="0.2">
      <c r="A605" s="26">
        <v>39783</v>
      </c>
      <c r="B605" s="27">
        <f>VLOOKUP(Table3032[[#This Row],[Month]],'DB Money Supply'!$A:$D,2)</f>
        <v>757.7</v>
      </c>
      <c r="C605" s="65">
        <f>(Table3032[[#This Row],[Real M1 Money Stock]]-B593)/B593</f>
        <v>0.16658968437259436</v>
      </c>
    </row>
    <row r="606" spans="1:3" x14ac:dyDescent="0.2">
      <c r="A606" s="26">
        <v>39814</v>
      </c>
      <c r="B606" s="27">
        <f>VLOOKUP(Table3032[[#This Row],[Month]],'DB Money Supply'!$A:$D,2)</f>
        <v>746.8</v>
      </c>
      <c r="C606" s="65">
        <f>(Table3032[[#This Row],[Real M1 Money Stock]]-B594)/B594</f>
        <v>0.15016171261358388</v>
      </c>
    </row>
    <row r="607" spans="1:3" x14ac:dyDescent="0.2">
      <c r="A607" s="26">
        <v>39845</v>
      </c>
      <c r="B607" s="27">
        <f>VLOOKUP(Table3032[[#This Row],[Month]],'DB Money Supply'!$A:$D,2)</f>
        <v>736.8</v>
      </c>
      <c r="C607" s="65">
        <f>(Table3032[[#This Row],[Real M1 Money Stock]]-B595)/B595</f>
        <v>0.13528505392912166</v>
      </c>
    </row>
    <row r="608" spans="1:3" x14ac:dyDescent="0.2">
      <c r="A608" s="26">
        <v>39873</v>
      </c>
      <c r="B608" s="27">
        <f>VLOOKUP(Table3032[[#This Row],[Month]],'DB Money Supply'!$A:$D,2)</f>
        <v>743</v>
      </c>
      <c r="C608" s="65">
        <f>(Table3032[[#This Row],[Real M1 Money Stock]]-B596)/B596</f>
        <v>0.14202274823240083</v>
      </c>
    </row>
    <row r="609" spans="1:3" x14ac:dyDescent="0.2">
      <c r="A609" s="26">
        <v>39904</v>
      </c>
      <c r="B609" s="27">
        <f>VLOOKUP(Table3032[[#This Row],[Month]],'DB Money Supply'!$A:$D,2)</f>
        <v>757.7</v>
      </c>
      <c r="C609" s="65">
        <f>(Table3032[[#This Row],[Real M1 Money Stock]]-B597)/B597</f>
        <v>0.16497539975399764</v>
      </c>
    </row>
    <row r="610" spans="1:3" x14ac:dyDescent="0.2">
      <c r="A610" s="26">
        <v>39934</v>
      </c>
      <c r="B610" s="27">
        <f>VLOOKUP(Table3032[[#This Row],[Month]],'DB Money Supply'!$A:$D,2)</f>
        <v>759.3</v>
      </c>
      <c r="C610" s="65">
        <f>(Table3032[[#This Row],[Real M1 Money Stock]]-B598)/B598</f>
        <v>0.17266409266409261</v>
      </c>
    </row>
    <row r="611" spans="1:3" x14ac:dyDescent="0.2">
      <c r="A611" s="26">
        <v>39965</v>
      </c>
      <c r="B611" s="27">
        <f>VLOOKUP(Table3032[[#This Row],[Month]],'DB Money Supply'!$A:$D,2)</f>
        <v>772.3</v>
      </c>
      <c r="C611" s="65">
        <f>(Table3032[[#This Row],[Real M1 Money Stock]]-B599)/B599</f>
        <v>0.1956959281622542</v>
      </c>
    </row>
    <row r="612" spans="1:3" x14ac:dyDescent="0.2">
      <c r="A612" s="26">
        <v>39995</v>
      </c>
      <c r="B612" s="27">
        <f>VLOOKUP(Table3032[[#This Row],[Month]],'DB Money Supply'!$A:$D,2)</f>
        <v>774.2</v>
      </c>
      <c r="C612" s="65">
        <f>(Table3032[[#This Row],[Real M1 Money Stock]]-B600)/B600</f>
        <v>0.19309600862998932</v>
      </c>
    </row>
    <row r="613" spans="1:3" x14ac:dyDescent="0.2">
      <c r="A613" s="26">
        <v>40026</v>
      </c>
      <c r="B613" s="27">
        <f>VLOOKUP(Table3032[[#This Row],[Month]],'DB Money Supply'!$A:$D,2)</f>
        <v>770.5</v>
      </c>
      <c r="C613" s="65">
        <f>(Table3032[[#This Row],[Real M1 Money Stock]]-B601)/B601</f>
        <v>0.19717215661901799</v>
      </c>
    </row>
    <row r="614" spans="1:3" x14ac:dyDescent="0.2">
      <c r="A614" s="26">
        <v>40057</v>
      </c>
      <c r="B614" s="27">
        <f>VLOOKUP(Table3032[[#This Row],[Month]],'DB Money Supply'!$A:$D,2)</f>
        <v>771.3</v>
      </c>
      <c r="C614" s="65">
        <f>(Table3032[[#This Row],[Real M1 Money Stock]]-B602)/B602</f>
        <v>0.15464071856287417</v>
      </c>
    </row>
    <row r="615" spans="1:3" x14ac:dyDescent="0.2">
      <c r="A615" s="26">
        <v>40087</v>
      </c>
      <c r="B615" s="27">
        <f>VLOOKUP(Table3032[[#This Row],[Month]],'DB Money Supply'!$A:$D,2)</f>
        <v>774.9</v>
      </c>
      <c r="C615" s="65">
        <f>(Table3032[[#This Row],[Real M1 Money Stock]]-B603)/B603</f>
        <v>0.14090106007067127</v>
      </c>
    </row>
    <row r="616" spans="1:3" x14ac:dyDescent="0.2">
      <c r="A616" s="26">
        <v>40118</v>
      </c>
      <c r="B616" s="27">
        <f>VLOOKUP(Table3032[[#This Row],[Month]],'DB Money Supply'!$A:$D,2)</f>
        <v>774.7</v>
      </c>
      <c r="C616" s="65">
        <f>(Table3032[[#This Row],[Real M1 Money Stock]]-B604)/B604</f>
        <v>9.0205460174500457E-2</v>
      </c>
    </row>
    <row r="617" spans="1:3" x14ac:dyDescent="0.2">
      <c r="A617" s="26">
        <v>40148</v>
      </c>
      <c r="B617" s="27">
        <f>VLOOKUP(Table3032[[#This Row],[Month]],'DB Money Supply'!$A:$D,2)</f>
        <v>778.8</v>
      </c>
      <c r="C617" s="65">
        <f>(Table3032[[#This Row],[Real M1 Money Stock]]-B605)/B605</f>
        <v>2.7847433020984438E-2</v>
      </c>
    </row>
    <row r="618" spans="1:3" x14ac:dyDescent="0.2">
      <c r="A618" s="26">
        <v>40179</v>
      </c>
      <c r="B618" s="27">
        <f>VLOOKUP(Table3032[[#This Row],[Month]],'DB Money Supply'!$A:$D,2)</f>
        <v>770</v>
      </c>
      <c r="C618" s="65">
        <f>(Table3032[[#This Row],[Real M1 Money Stock]]-B606)/B606</f>
        <v>3.1065881092662086E-2</v>
      </c>
    </row>
    <row r="619" spans="1:3" x14ac:dyDescent="0.2">
      <c r="A619" s="26">
        <v>40210</v>
      </c>
      <c r="B619" s="27">
        <f>VLOOKUP(Table3032[[#This Row],[Month]],'DB Money Supply'!$A:$D,2)</f>
        <v>782.3</v>
      </c>
      <c r="C619" s="65">
        <f>(Table3032[[#This Row],[Real M1 Money Stock]]-B607)/B607</f>
        <v>6.1753528773072754E-2</v>
      </c>
    </row>
    <row r="620" spans="1:3" x14ac:dyDescent="0.2">
      <c r="A620" s="26">
        <v>40238</v>
      </c>
      <c r="B620" s="27">
        <f>VLOOKUP(Table3032[[#This Row],[Month]],'DB Money Supply'!$A:$D,2)</f>
        <v>787.6</v>
      </c>
      <c r="C620" s="65">
        <f>(Table3032[[#This Row],[Real M1 Money Stock]]-B608)/B608</f>
        <v>6.0026917900403799E-2</v>
      </c>
    </row>
    <row r="621" spans="1:3" x14ac:dyDescent="0.2">
      <c r="A621" s="26">
        <v>40269</v>
      </c>
      <c r="B621" s="27">
        <f>VLOOKUP(Table3032[[#This Row],[Month]],'DB Money Supply'!$A:$D,2)</f>
        <v>781.5</v>
      </c>
      <c r="C621" s="65">
        <f>(Table3032[[#This Row],[Real M1 Money Stock]]-B609)/B609</f>
        <v>3.1410848620826125E-2</v>
      </c>
    </row>
    <row r="622" spans="1:3" x14ac:dyDescent="0.2">
      <c r="A622" s="26">
        <v>40299</v>
      </c>
      <c r="B622" s="27">
        <f>VLOOKUP(Table3032[[#This Row],[Month]],'DB Money Supply'!$A:$D,2)</f>
        <v>787</v>
      </c>
      <c r="C622" s="65">
        <f>(Table3032[[#This Row],[Real M1 Money Stock]]-B610)/B610</f>
        <v>3.648096931384176E-2</v>
      </c>
    </row>
    <row r="623" spans="1:3" x14ac:dyDescent="0.2">
      <c r="A623" s="26">
        <v>40330</v>
      </c>
      <c r="B623" s="27">
        <f>VLOOKUP(Table3032[[#This Row],[Month]],'DB Money Supply'!$A:$D,2)</f>
        <v>797.2</v>
      </c>
      <c r="C623" s="65">
        <f>(Table3032[[#This Row],[Real M1 Money Stock]]-B611)/B611</f>
        <v>3.2241356985627467E-2</v>
      </c>
    </row>
    <row r="624" spans="1:3" x14ac:dyDescent="0.2">
      <c r="A624" s="26">
        <v>40360</v>
      </c>
      <c r="B624" s="27">
        <f>VLOOKUP(Table3032[[#This Row],[Month]],'DB Money Supply'!$A:$D,2)</f>
        <v>792.3</v>
      </c>
      <c r="C624" s="65">
        <f>(Table3032[[#This Row],[Real M1 Money Stock]]-B612)/B612</f>
        <v>2.33789718419012E-2</v>
      </c>
    </row>
    <row r="625" spans="1:3" x14ac:dyDescent="0.2">
      <c r="A625" s="26">
        <v>40391</v>
      </c>
      <c r="B625" s="27">
        <f>VLOOKUP(Table3032[[#This Row],[Month]],'DB Money Supply'!$A:$D,2)</f>
        <v>802.4</v>
      </c>
      <c r="C625" s="65">
        <f>(Table3032[[#This Row],[Real M1 Money Stock]]-B613)/B613</f>
        <v>4.1401687216093414E-2</v>
      </c>
    </row>
    <row r="626" spans="1:3" x14ac:dyDescent="0.2">
      <c r="A626" s="26">
        <v>40422</v>
      </c>
      <c r="B626" s="27">
        <f>VLOOKUP(Table3032[[#This Row],[Month]],'DB Money Supply'!$A:$D,2)</f>
        <v>809.2</v>
      </c>
      <c r="C626" s="65">
        <f>(Table3032[[#This Row],[Real M1 Money Stock]]-B614)/B614</f>
        <v>4.913781926617411E-2</v>
      </c>
    </row>
    <row r="627" spans="1:3" x14ac:dyDescent="0.2">
      <c r="A627" s="26">
        <v>40452</v>
      </c>
      <c r="B627" s="27">
        <f>VLOOKUP(Table3032[[#This Row],[Month]],'DB Money Supply'!$A:$D,2)</f>
        <v>812.8</v>
      </c>
      <c r="C627" s="65">
        <f>(Table3032[[#This Row],[Real M1 Money Stock]]-B615)/B615</f>
        <v>4.8909536714414732E-2</v>
      </c>
    </row>
    <row r="628" spans="1:3" x14ac:dyDescent="0.2">
      <c r="A628" s="26">
        <v>40483</v>
      </c>
      <c r="B628" s="27">
        <f>VLOOKUP(Table3032[[#This Row],[Month]],'DB Money Supply'!$A:$D,2)</f>
        <v>832.6</v>
      </c>
      <c r="C628" s="65">
        <f>(Table3032[[#This Row],[Real M1 Money Stock]]-B616)/B616</f>
        <v>7.4738608493610401E-2</v>
      </c>
    </row>
    <row r="629" spans="1:3" x14ac:dyDescent="0.2">
      <c r="A629" s="26">
        <v>40513</v>
      </c>
      <c r="B629" s="27">
        <f>VLOOKUP(Table3032[[#This Row],[Month]],'DB Money Supply'!$A:$D,2)</f>
        <v>833.1</v>
      </c>
      <c r="C629" s="65">
        <f>(Table3032[[#This Row],[Real M1 Money Stock]]-B617)/B617</f>
        <v>6.9722650231124894E-2</v>
      </c>
    </row>
    <row r="630" spans="1:3" x14ac:dyDescent="0.2">
      <c r="A630" s="26">
        <v>40544</v>
      </c>
      <c r="B630" s="27">
        <f>VLOOKUP(Table3032[[#This Row],[Month]],'DB Money Supply'!$A:$D,2)</f>
        <v>834.7</v>
      </c>
      <c r="C630" s="65">
        <f>(Table3032[[#This Row],[Real M1 Money Stock]]-B618)/B618</f>
        <v>8.4025974025974087E-2</v>
      </c>
    </row>
    <row r="631" spans="1:3" x14ac:dyDescent="0.2">
      <c r="A631" s="26">
        <v>40575</v>
      </c>
      <c r="B631" s="27">
        <f>VLOOKUP(Table3032[[#This Row],[Month]],'DB Money Supply'!$A:$D,2)</f>
        <v>842.8</v>
      </c>
      <c r="C631" s="65">
        <f>(Table3032[[#This Row],[Real M1 Money Stock]]-B619)/B619</f>
        <v>7.733606033490989E-2</v>
      </c>
    </row>
    <row r="632" spans="1:3" x14ac:dyDescent="0.2">
      <c r="A632" s="26">
        <v>40603</v>
      </c>
      <c r="B632" s="27">
        <f>VLOOKUP(Table3032[[#This Row],[Month]],'DB Money Supply'!$A:$D,2)</f>
        <v>850.3</v>
      </c>
      <c r="C632" s="65">
        <f>(Table3032[[#This Row],[Real M1 Money Stock]]-B620)/B620</f>
        <v>7.960893854748595E-2</v>
      </c>
    </row>
    <row r="633" spans="1:3" x14ac:dyDescent="0.2">
      <c r="A633" s="26">
        <v>40634</v>
      </c>
      <c r="B633" s="27">
        <f>VLOOKUP(Table3032[[#This Row],[Month]],'DB Money Supply'!$A:$D,2)</f>
        <v>846.5</v>
      </c>
      <c r="C633" s="65">
        <f>(Table3032[[#This Row],[Real M1 Money Stock]]-B621)/B621</f>
        <v>8.3173384516954579E-2</v>
      </c>
    </row>
    <row r="634" spans="1:3" x14ac:dyDescent="0.2">
      <c r="A634" s="26">
        <v>40664</v>
      </c>
      <c r="B634" s="27">
        <f>VLOOKUP(Table3032[[#This Row],[Month]],'DB Money Supply'!$A:$D,2)</f>
        <v>863.7</v>
      </c>
      <c r="C634" s="65">
        <f>(Table3032[[#This Row],[Real M1 Money Stock]]-B622)/B622</f>
        <v>9.7458703939008948E-2</v>
      </c>
    </row>
    <row r="635" spans="1:3" x14ac:dyDescent="0.2">
      <c r="A635" s="26">
        <v>40695</v>
      </c>
      <c r="B635" s="27">
        <f>VLOOKUP(Table3032[[#This Row],[Month]],'DB Money Supply'!$A:$D,2)</f>
        <v>873.4</v>
      </c>
      <c r="C635" s="65">
        <f>(Table3032[[#This Row],[Real M1 Money Stock]]-B623)/B623</f>
        <v>9.558454591068731E-2</v>
      </c>
    </row>
    <row r="636" spans="1:3" x14ac:dyDescent="0.2">
      <c r="A636" s="26">
        <v>40725</v>
      </c>
      <c r="B636" s="27">
        <f>VLOOKUP(Table3032[[#This Row],[Month]],'DB Money Supply'!$A:$D,2)</f>
        <v>885.6</v>
      </c>
      <c r="C636" s="65">
        <f>(Table3032[[#This Row],[Real M1 Money Stock]]-B624)/B624</f>
        <v>0.1177584248390762</v>
      </c>
    </row>
    <row r="637" spans="1:3" x14ac:dyDescent="0.2">
      <c r="A637" s="26">
        <v>40756</v>
      </c>
      <c r="B637" s="27">
        <f>VLOOKUP(Table3032[[#This Row],[Month]],'DB Money Supply'!$A:$D,2)</f>
        <v>935.6</v>
      </c>
      <c r="C637" s="65">
        <f>(Table3032[[#This Row],[Real M1 Money Stock]]-B625)/B625</f>
        <v>0.16600199401794621</v>
      </c>
    </row>
    <row r="638" spans="1:3" x14ac:dyDescent="0.2">
      <c r="A638" s="26">
        <v>40787</v>
      </c>
      <c r="B638" s="27">
        <f>VLOOKUP(Table3032[[#This Row],[Month]],'DB Money Supply'!$A:$D,2)</f>
        <v>935.6</v>
      </c>
      <c r="C638" s="65">
        <f>(Table3032[[#This Row],[Real M1 Money Stock]]-B626)/B626</f>
        <v>0.1562036579337617</v>
      </c>
    </row>
    <row r="639" spans="1:3" x14ac:dyDescent="0.2">
      <c r="A639" s="26">
        <v>40817</v>
      </c>
      <c r="B639" s="27">
        <f>VLOOKUP(Table3032[[#This Row],[Month]],'DB Money Supply'!$A:$D,2)</f>
        <v>938.7</v>
      </c>
      <c r="C639" s="65">
        <f>(Table3032[[#This Row],[Real M1 Money Stock]]-B627)/B627</f>
        <v>0.1548966535433072</v>
      </c>
    </row>
    <row r="640" spans="1:3" x14ac:dyDescent="0.2">
      <c r="A640" s="26">
        <v>40848</v>
      </c>
      <c r="B640" s="27">
        <f>VLOOKUP(Table3032[[#This Row],[Month]],'DB Money Supply'!$A:$D,2)</f>
        <v>960.5</v>
      </c>
      <c r="C640" s="65">
        <f>(Table3032[[#This Row],[Real M1 Money Stock]]-B628)/B628</f>
        <v>0.15361518135959643</v>
      </c>
    </row>
    <row r="641" spans="1:3" x14ac:dyDescent="0.2">
      <c r="A641" s="26">
        <v>40878</v>
      </c>
      <c r="B641" s="27">
        <f>VLOOKUP(Table3032[[#This Row],[Month]],'DB Money Supply'!$A:$D,2)</f>
        <v>953.1</v>
      </c>
      <c r="C641" s="65">
        <f>(Table3032[[#This Row],[Real M1 Money Stock]]-B629)/B629</f>
        <v>0.14404033129276198</v>
      </c>
    </row>
    <row r="642" spans="1:3" x14ac:dyDescent="0.2">
      <c r="A642" s="26">
        <v>40909</v>
      </c>
      <c r="B642" s="27">
        <f>VLOOKUP(Table3032[[#This Row],[Month]],'DB Money Supply'!$A:$D,2)</f>
        <v>964.5</v>
      </c>
      <c r="C642" s="65">
        <f>(Table3032[[#This Row],[Real M1 Money Stock]]-B630)/B630</f>
        <v>0.15550497184617221</v>
      </c>
    </row>
    <row r="643" spans="1:3" x14ac:dyDescent="0.2">
      <c r="A643" s="26">
        <v>40940</v>
      </c>
      <c r="B643" s="27">
        <f>VLOOKUP(Table3032[[#This Row],[Month]],'DB Money Supply'!$A:$D,2)</f>
        <v>967.8</v>
      </c>
      <c r="C643" s="65">
        <f>(Table3032[[#This Row],[Real M1 Money Stock]]-B631)/B631</f>
        <v>0.14831514000949217</v>
      </c>
    </row>
    <row r="644" spans="1:3" x14ac:dyDescent="0.2">
      <c r="A644" s="26">
        <v>40969</v>
      </c>
      <c r="B644" s="27">
        <f>VLOOKUP(Table3032[[#This Row],[Month]],'DB Money Supply'!$A:$D,2)</f>
        <v>975.7</v>
      </c>
      <c r="C644" s="65">
        <f>(Table3032[[#This Row],[Real M1 Money Stock]]-B632)/B632</f>
        <v>0.14747736093143607</v>
      </c>
    </row>
    <row r="645" spans="1:3" x14ac:dyDescent="0.2">
      <c r="A645" s="26">
        <v>41000</v>
      </c>
      <c r="B645" s="27">
        <f>VLOOKUP(Table3032[[#This Row],[Month]],'DB Money Supply'!$A:$D,2)</f>
        <v>979.2</v>
      </c>
      <c r="C645" s="65">
        <f>(Table3032[[#This Row],[Real M1 Money Stock]]-B633)/B633</f>
        <v>0.15676314235085653</v>
      </c>
    </row>
    <row r="646" spans="1:3" x14ac:dyDescent="0.2">
      <c r="A646" s="26">
        <v>41030</v>
      </c>
      <c r="B646" s="27">
        <f>VLOOKUP(Table3032[[#This Row],[Month]],'DB Money Supply'!$A:$D,2)</f>
        <v>988.3</v>
      </c>
      <c r="C646" s="65">
        <f>(Table3032[[#This Row],[Real M1 Money Stock]]-B634)/B634</f>
        <v>0.14426305430126191</v>
      </c>
    </row>
    <row r="647" spans="1:3" x14ac:dyDescent="0.2">
      <c r="A647" s="26">
        <v>41061</v>
      </c>
      <c r="B647" s="27">
        <f>VLOOKUP(Table3032[[#This Row],[Month]],'DB Money Supply'!$A:$D,2)</f>
        <v>998.5</v>
      </c>
      <c r="C647" s="65">
        <f>(Table3032[[#This Row],[Real M1 Money Stock]]-B635)/B635</f>
        <v>0.14323334096633847</v>
      </c>
    </row>
    <row r="648" spans="1:3" x14ac:dyDescent="0.2">
      <c r="A648" s="26">
        <v>41091</v>
      </c>
      <c r="B648" s="27">
        <f>VLOOKUP(Table3032[[#This Row],[Month]],'DB Money Supply'!$A:$D,2)</f>
        <v>1012.1</v>
      </c>
      <c r="C648" s="65">
        <f>(Table3032[[#This Row],[Real M1 Money Stock]]-B636)/B636</f>
        <v>0.14284101174345076</v>
      </c>
    </row>
    <row r="649" spans="1:3" x14ac:dyDescent="0.2">
      <c r="A649" s="26">
        <v>41122</v>
      </c>
      <c r="B649" s="27">
        <f>VLOOKUP(Table3032[[#This Row],[Month]],'DB Money Supply'!$A:$D,2)</f>
        <v>1022.5</v>
      </c>
      <c r="C649" s="65">
        <f>(Table3032[[#This Row],[Real M1 Money Stock]]-B637)/B637</f>
        <v>9.288157332193242E-2</v>
      </c>
    </row>
    <row r="650" spans="1:3" x14ac:dyDescent="0.2">
      <c r="A650" s="26">
        <v>41153</v>
      </c>
      <c r="B650" s="27">
        <f>VLOOKUP(Table3032[[#This Row],[Month]],'DB Money Supply'!$A:$D,2)</f>
        <v>1031.3</v>
      </c>
      <c r="C650" s="65">
        <f>(Table3032[[#This Row],[Real M1 Money Stock]]-B638)/B638</f>
        <v>0.10228730226592553</v>
      </c>
    </row>
    <row r="651" spans="1:3" x14ac:dyDescent="0.2">
      <c r="A651" s="26">
        <v>41183</v>
      </c>
      <c r="B651" s="27">
        <f>VLOOKUP(Table3032[[#This Row],[Month]],'DB Money Supply'!$A:$D,2)</f>
        <v>1042.7</v>
      </c>
      <c r="C651" s="65">
        <f>(Table3032[[#This Row],[Real M1 Money Stock]]-B639)/B639</f>
        <v>0.11079152018749333</v>
      </c>
    </row>
    <row r="652" spans="1:3" x14ac:dyDescent="0.2">
      <c r="A652" s="26">
        <v>41214</v>
      </c>
      <c r="B652" s="27">
        <f>VLOOKUP(Table3032[[#This Row],[Month]],'DB Money Supply'!$A:$D,2)</f>
        <v>1053.4000000000001</v>
      </c>
      <c r="C652" s="65">
        <f>(Table3032[[#This Row],[Real M1 Money Stock]]-B640)/B640</f>
        <v>9.6720458094742418E-2</v>
      </c>
    </row>
    <row r="653" spans="1:3" x14ac:dyDescent="0.2">
      <c r="A653" s="26">
        <v>41244</v>
      </c>
      <c r="B653" s="27">
        <f>VLOOKUP(Table3032[[#This Row],[Month]],'DB Money Supply'!$A:$D,2)</f>
        <v>1063.7</v>
      </c>
      <c r="C653" s="65">
        <f>(Table3032[[#This Row],[Real M1 Money Stock]]-B641)/B641</f>
        <v>0.11604238799706224</v>
      </c>
    </row>
    <row r="654" spans="1:3" x14ac:dyDescent="0.2">
      <c r="A654" s="26">
        <v>41275</v>
      </c>
      <c r="B654" s="27">
        <f>VLOOKUP(Table3032[[#This Row],[Month]],'DB Money Supply'!$A:$D,2)</f>
        <v>1066.8</v>
      </c>
      <c r="C654" s="65">
        <f>(Table3032[[#This Row],[Real M1 Money Stock]]-B642)/B642</f>
        <v>0.10606531881804039</v>
      </c>
    </row>
    <row r="655" spans="1:3" x14ac:dyDescent="0.2">
      <c r="A655" s="26">
        <v>41306</v>
      </c>
      <c r="B655" s="27">
        <f>VLOOKUP(Table3032[[#This Row],[Month]],'DB Money Supply'!$A:$D,2)</f>
        <v>1062.0999999999999</v>
      </c>
      <c r="C655" s="65">
        <f>(Table3032[[#This Row],[Real M1 Money Stock]]-B643)/B643</f>
        <v>9.7437487084108251E-2</v>
      </c>
    </row>
    <row r="656" spans="1:3" x14ac:dyDescent="0.2">
      <c r="A656" s="26">
        <v>41334</v>
      </c>
      <c r="B656" s="27">
        <f>VLOOKUP(Table3032[[#This Row],[Month]],'DB Money Supply'!$A:$D,2)</f>
        <v>1068.5999999999999</v>
      </c>
      <c r="C656" s="65">
        <f>(Table3032[[#This Row],[Real M1 Money Stock]]-B644)/B644</f>
        <v>9.521369273342202E-2</v>
      </c>
    </row>
    <row r="657" spans="1:3" x14ac:dyDescent="0.2">
      <c r="A657" s="26">
        <v>41365</v>
      </c>
      <c r="B657" s="27">
        <f>VLOOKUP(Table3032[[#This Row],[Month]],'DB Money Supply'!$A:$D,2)</f>
        <v>1084.2</v>
      </c>
      <c r="C657" s="65">
        <f>(Table3032[[#This Row],[Real M1 Money Stock]]-B645)/B645</f>
        <v>0.10723039215686274</v>
      </c>
    </row>
    <row r="658" spans="1:3" x14ac:dyDescent="0.2">
      <c r="A658" s="26">
        <v>41395</v>
      </c>
      <c r="B658" s="27">
        <f>VLOOKUP(Table3032[[#This Row],[Month]],'DB Money Supply'!$A:$D,2)</f>
        <v>1091.8</v>
      </c>
      <c r="C658" s="65">
        <f>(Table3032[[#This Row],[Real M1 Money Stock]]-B646)/B646</f>
        <v>0.10472528584437925</v>
      </c>
    </row>
    <row r="659" spans="1:3" x14ac:dyDescent="0.2">
      <c r="A659" s="26">
        <v>41426</v>
      </c>
      <c r="B659" s="27">
        <f>VLOOKUP(Table3032[[#This Row],[Month]],'DB Money Supply'!$A:$D,2)</f>
        <v>1089.5</v>
      </c>
      <c r="C659" s="65">
        <f>(Table3032[[#This Row],[Real M1 Money Stock]]-B647)/B647</f>
        <v>9.1136705057586379E-2</v>
      </c>
    </row>
    <row r="660" spans="1:3" x14ac:dyDescent="0.2">
      <c r="A660" s="26">
        <v>41456</v>
      </c>
      <c r="B660" s="27">
        <f>VLOOKUP(Table3032[[#This Row],[Month]],'DB Money Supply'!$A:$D,2)</f>
        <v>1091.4000000000001</v>
      </c>
      <c r="C660" s="65">
        <f>(Table3032[[#This Row],[Real M1 Money Stock]]-B648)/B648</f>
        <v>7.835194150775622E-2</v>
      </c>
    </row>
    <row r="661" spans="1:3" x14ac:dyDescent="0.2">
      <c r="A661" s="26">
        <v>41487</v>
      </c>
      <c r="B661" s="27">
        <f>VLOOKUP(Table3032[[#This Row],[Month]],'DB Money Supply'!$A:$D,2)</f>
        <v>1093.9000000000001</v>
      </c>
      <c r="C661" s="65">
        <f>(Table3032[[#This Row],[Real M1 Money Stock]]-B649)/B649</f>
        <v>6.9828850855745805E-2</v>
      </c>
    </row>
    <row r="662" spans="1:3" x14ac:dyDescent="0.2">
      <c r="A662" s="26">
        <v>41518</v>
      </c>
      <c r="B662" s="27">
        <f>VLOOKUP(Table3032[[#This Row],[Month]],'DB Money Supply'!$A:$D,2)</f>
        <v>1105.2</v>
      </c>
      <c r="C662" s="65">
        <f>(Table3032[[#This Row],[Real M1 Money Stock]]-B650)/B650</f>
        <v>7.1657131775429164E-2</v>
      </c>
    </row>
    <row r="663" spans="1:3" x14ac:dyDescent="0.2">
      <c r="A663" s="26">
        <v>41548</v>
      </c>
      <c r="B663" s="27">
        <f>VLOOKUP(Table3032[[#This Row],[Month]],'DB Money Supply'!$A:$D,2)</f>
        <v>1121.2</v>
      </c>
      <c r="C663" s="65">
        <f>(Table3032[[#This Row],[Real M1 Money Stock]]-B651)/B651</f>
        <v>7.5285316965570157E-2</v>
      </c>
    </row>
    <row r="664" spans="1:3" x14ac:dyDescent="0.2">
      <c r="A664" s="26">
        <v>41579</v>
      </c>
      <c r="B664" s="27">
        <f>VLOOKUP(Table3032[[#This Row],[Month]],'DB Money Supply'!$A:$D,2)</f>
        <v>1123.7</v>
      </c>
      <c r="C664" s="65">
        <f>(Table3032[[#This Row],[Real M1 Money Stock]]-B652)/B652</f>
        <v>6.67362825137649E-2</v>
      </c>
    </row>
    <row r="665" spans="1:3" x14ac:dyDescent="0.2">
      <c r="A665" s="26">
        <v>41609</v>
      </c>
      <c r="B665" s="27">
        <f>VLOOKUP(Table3032[[#This Row],[Month]],'DB Money Supply'!$A:$D,2)</f>
        <v>1134.5</v>
      </c>
      <c r="C665" s="65">
        <f>(Table3032[[#This Row],[Real M1 Money Stock]]-B653)/B653</f>
        <v>6.6560120334680783E-2</v>
      </c>
    </row>
    <row r="666" spans="1:3" x14ac:dyDescent="0.2">
      <c r="A666" s="26">
        <v>41640</v>
      </c>
      <c r="B666" s="27">
        <f>VLOOKUP(Table3032[[#This Row],[Month]],'DB Money Supply'!$A:$D,2)</f>
        <v>1146.0999999999999</v>
      </c>
      <c r="C666" s="65">
        <f>(Table3032[[#This Row],[Real M1 Money Stock]]-B654)/B654</f>
        <v>7.4334458192725869E-2</v>
      </c>
    </row>
    <row r="667" spans="1:3" x14ac:dyDescent="0.2">
      <c r="A667" s="26">
        <v>41671</v>
      </c>
      <c r="B667" s="27">
        <f>VLOOKUP(Table3032[[#This Row],[Month]],'DB Money Supply'!$A:$D,2)</f>
        <v>1158.3</v>
      </c>
      <c r="C667" s="65">
        <f>(Table3032[[#This Row],[Real M1 Money Stock]]-B655)/B655</f>
        <v>9.0575275397796862E-2</v>
      </c>
    </row>
    <row r="668" spans="1:3" x14ac:dyDescent="0.2">
      <c r="A668" s="26">
        <v>41699</v>
      </c>
      <c r="B668" s="27">
        <f>VLOOKUP(Table3032[[#This Row],[Month]],'DB Money Supply'!$A:$D,2)</f>
        <v>1167.3</v>
      </c>
      <c r="C668" s="65">
        <f>(Table3032[[#This Row],[Real M1 Money Stock]]-B656)/B656</f>
        <v>9.2363840539023065E-2</v>
      </c>
    </row>
    <row r="669" spans="1:3" x14ac:dyDescent="0.2">
      <c r="A669" s="26">
        <v>41730</v>
      </c>
      <c r="B669" s="27">
        <f>VLOOKUP(Table3032[[#This Row],[Month]],'DB Money Supply'!$A:$D,2)</f>
        <v>1174.7</v>
      </c>
      <c r="C669" s="65">
        <f>(Table3032[[#This Row],[Real M1 Money Stock]]-B657)/B657</f>
        <v>8.3471684191108647E-2</v>
      </c>
    </row>
    <row r="670" spans="1:3" x14ac:dyDescent="0.2">
      <c r="A670" s="26">
        <v>41760</v>
      </c>
      <c r="B670" s="27">
        <f>VLOOKUP(Table3032[[#This Row],[Month]],'DB Money Supply'!$A:$D,2)</f>
        <v>1179.4000000000001</v>
      </c>
      <c r="C670" s="65">
        <f>(Table3032[[#This Row],[Real M1 Money Stock]]-B658)/B658</f>
        <v>8.023447517860427E-2</v>
      </c>
    </row>
    <row r="671" spans="1:3" x14ac:dyDescent="0.2">
      <c r="A671" s="26">
        <v>41791</v>
      </c>
      <c r="B671" s="27">
        <f>VLOOKUP(Table3032[[#This Row],[Month]],'DB Money Supply'!$A:$D,2)</f>
        <v>1192.7</v>
      </c>
      <c r="C671" s="65">
        <f>(Table3032[[#This Row],[Real M1 Money Stock]]-B659)/B659</f>
        <v>9.4722349701698072E-2</v>
      </c>
    </row>
    <row r="672" spans="1:3" x14ac:dyDescent="0.2">
      <c r="A672" s="26">
        <v>41821</v>
      </c>
      <c r="B672" s="27">
        <f>VLOOKUP(Table3032[[#This Row],[Month]],'DB Money Supply'!$A:$D,2)</f>
        <v>1195.8</v>
      </c>
      <c r="C672" s="65">
        <f>(Table3032[[#This Row],[Real M1 Money Stock]]-B660)/B660</f>
        <v>9.565695437053312E-2</v>
      </c>
    </row>
    <row r="673" spans="1:3" x14ac:dyDescent="0.2">
      <c r="A673" s="26">
        <v>41852</v>
      </c>
      <c r="B673" s="27">
        <f>VLOOKUP(Table3032[[#This Row],[Month]],'DB Money Supply'!$A:$D,2)</f>
        <v>1180.7</v>
      </c>
      <c r="C673" s="65">
        <f>(Table3032[[#This Row],[Real M1 Money Stock]]-B661)/B661</f>
        <v>7.9349117835268254E-2</v>
      </c>
    </row>
    <row r="674" spans="1:3" x14ac:dyDescent="0.2">
      <c r="A674" s="26">
        <v>41883</v>
      </c>
      <c r="B674" s="27">
        <f>VLOOKUP(Table3032[[#This Row],[Month]],'DB Money Supply'!$A:$D,2)</f>
        <v>1204.9000000000001</v>
      </c>
      <c r="C674" s="65">
        <f>(Table3032[[#This Row],[Real M1 Money Stock]]-B662)/B662</f>
        <v>9.0209916757148068E-2</v>
      </c>
    </row>
    <row r="675" spans="1:3" x14ac:dyDescent="0.2">
      <c r="A675" s="26">
        <v>41913</v>
      </c>
      <c r="B675" s="27">
        <f>VLOOKUP(Table3032[[#This Row],[Month]],'DB Money Supply'!$A:$D,2)</f>
        <v>1208.0999999999999</v>
      </c>
      <c r="C675" s="65">
        <f>(Table3032[[#This Row],[Real M1 Money Stock]]-B663)/B663</f>
        <v>7.7506243310738368E-2</v>
      </c>
    </row>
    <row r="676" spans="1:3" x14ac:dyDescent="0.2">
      <c r="A676" s="26">
        <v>41944</v>
      </c>
      <c r="B676" s="27">
        <f>VLOOKUP(Table3032[[#This Row],[Month]],'DB Money Supply'!$A:$D,2)</f>
        <v>1217.9000000000001</v>
      </c>
      <c r="C676" s="65">
        <f>(Table3032[[#This Row],[Real M1 Money Stock]]-B664)/B664</f>
        <v>8.383020379104747E-2</v>
      </c>
    </row>
    <row r="677" spans="1:3" x14ac:dyDescent="0.2">
      <c r="A677" s="26">
        <v>41974</v>
      </c>
      <c r="B677" s="27">
        <f>VLOOKUP(Table3032[[#This Row],[Month]],'DB Money Supply'!$A:$D,2)</f>
        <v>1244.2</v>
      </c>
      <c r="C677" s="65">
        <f>(Table3032[[#This Row],[Real M1 Money Stock]]-B665)/B665</f>
        <v>9.6694579109740011E-2</v>
      </c>
    </row>
    <row r="678" spans="1:3" x14ac:dyDescent="0.2">
      <c r="A678" s="26">
        <v>42005</v>
      </c>
      <c r="B678" s="27">
        <f>VLOOKUP(Table3032[[#This Row],[Month]],'DB Money Supply'!$A:$D,2)</f>
        <v>1252.8</v>
      </c>
      <c r="C678" s="65">
        <f>(Table3032[[#This Row],[Real M1 Money Stock]]-B666)/B666</f>
        <v>9.3098333478754083E-2</v>
      </c>
    </row>
    <row r="679" spans="1:3" x14ac:dyDescent="0.2">
      <c r="A679" s="26">
        <v>42036</v>
      </c>
      <c r="B679" s="27">
        <f>VLOOKUP(Table3032[[#This Row],[Month]],'DB Money Supply'!$A:$D,2)</f>
        <v>1278.7</v>
      </c>
      <c r="C679" s="65">
        <f>(Table3032[[#This Row],[Real M1 Money Stock]]-B667)/B667</f>
        <v>0.10394543727877069</v>
      </c>
    </row>
    <row r="680" spans="1:3" x14ac:dyDescent="0.2">
      <c r="A680" s="26">
        <v>42064</v>
      </c>
      <c r="B680" s="27">
        <f>VLOOKUP(Table3032[[#This Row],[Month]],'DB Money Supply'!$A:$D,2)</f>
        <v>1272.2</v>
      </c>
      <c r="C680" s="65">
        <f>(Table3032[[#This Row],[Real M1 Money Stock]]-B668)/B668</f>
        <v>8.9865501584854013E-2</v>
      </c>
    </row>
    <row r="681" spans="1:3" x14ac:dyDescent="0.2">
      <c r="A681" s="26">
        <v>42095</v>
      </c>
      <c r="B681" s="27">
        <f>VLOOKUP(Table3032[[#This Row],[Month]],'DB Money Supply'!$A:$D,2)</f>
        <v>1270.5999999999999</v>
      </c>
      <c r="C681" s="65">
        <f>(Table3032[[#This Row],[Real M1 Money Stock]]-B669)/B669</f>
        <v>8.1637864986805017E-2</v>
      </c>
    </row>
    <row r="682" spans="1:3" x14ac:dyDescent="0.2">
      <c r="A682" s="26">
        <v>42125</v>
      </c>
      <c r="B682" s="27">
        <f>VLOOKUP(Table3032[[#This Row],[Month]],'DB Money Supply'!$A:$D,2)</f>
        <v>1258.9000000000001</v>
      </c>
      <c r="C682" s="65">
        <f>(Table3032[[#This Row],[Real M1 Money Stock]]-B670)/B670</f>
        <v>6.7407156181109026E-2</v>
      </c>
    </row>
    <row r="683" spans="1:3" x14ac:dyDescent="0.2">
      <c r="A683" s="26">
        <v>42156</v>
      </c>
      <c r="B683" s="27">
        <f>VLOOKUP(Table3032[[#This Row],[Month]],'DB Money Supply'!$A:$D,2)</f>
        <v>1270.9000000000001</v>
      </c>
      <c r="C683" s="65">
        <f>(Table3032[[#This Row],[Real M1 Money Stock]]-B671)/B671</f>
        <v>6.556552360191166E-2</v>
      </c>
    </row>
    <row r="684" spans="1:3" x14ac:dyDescent="0.2">
      <c r="A684" s="26">
        <v>42186</v>
      </c>
      <c r="B684" s="27">
        <f>VLOOKUP(Table3032[[#This Row],[Month]],'DB Money Supply'!$A:$D,2)</f>
        <v>1276.3</v>
      </c>
      <c r="C684" s="65">
        <f>(Table3032[[#This Row],[Real M1 Money Stock]]-B672)/B672</f>
        <v>6.7318949657133309E-2</v>
      </c>
    </row>
    <row r="685" spans="1:3" x14ac:dyDescent="0.2">
      <c r="A685" s="26">
        <v>42217</v>
      </c>
      <c r="B685" s="27">
        <f>VLOOKUP(Table3032[[#This Row],[Month]],'DB Money Supply'!$A:$D,2)</f>
        <v>1272.3</v>
      </c>
      <c r="C685" s="65">
        <f>(Table3032[[#This Row],[Real M1 Money Stock]]-B673)/B673</f>
        <v>7.7581095960023633E-2</v>
      </c>
    </row>
    <row r="686" spans="1:3" x14ac:dyDescent="0.2">
      <c r="A686" s="26">
        <v>42248</v>
      </c>
      <c r="B686" s="27">
        <f>VLOOKUP(Table3032[[#This Row],[Month]],'DB Money Supply'!$A:$D,2)</f>
        <v>1281.3</v>
      </c>
      <c r="C686" s="65">
        <f>(Table3032[[#This Row],[Real M1 Money Stock]]-B674)/B674</f>
        <v>6.3407751680637281E-2</v>
      </c>
    </row>
    <row r="687" spans="1:3" x14ac:dyDescent="0.2">
      <c r="A687" s="26">
        <v>42278</v>
      </c>
      <c r="B687" s="27">
        <f>VLOOKUP(Table3032[[#This Row],[Month]],'DB Money Supply'!$A:$D,2)</f>
        <v>1269.0999999999999</v>
      </c>
      <c r="C687" s="65">
        <f>(Table3032[[#This Row],[Real M1 Money Stock]]-B675)/B675</f>
        <v>5.0492508898270012E-2</v>
      </c>
    </row>
    <row r="688" spans="1:3" x14ac:dyDescent="0.2">
      <c r="A688" s="26">
        <v>42309</v>
      </c>
      <c r="B688" s="27">
        <f>VLOOKUP(Table3032[[#This Row],[Month]],'DB Money Supply'!$A:$D,2)</f>
        <v>1294.5</v>
      </c>
      <c r="C688" s="65">
        <f>(Table3032[[#This Row],[Real M1 Money Stock]]-B676)/B676</f>
        <v>6.2895147384842684E-2</v>
      </c>
    </row>
    <row r="689" spans="1:3" x14ac:dyDescent="0.2">
      <c r="A689" s="26">
        <v>42339</v>
      </c>
      <c r="B689" s="27">
        <f>VLOOKUP(Table3032[[#This Row],[Month]],'DB Money Supply'!$A:$D,2)</f>
        <v>1302.3</v>
      </c>
      <c r="C689" s="65">
        <f>(Table3032[[#This Row],[Real M1 Money Stock]]-B677)/B677</f>
        <v>4.6696672560681489E-2</v>
      </c>
    </row>
    <row r="690" spans="1:3" x14ac:dyDescent="0.2">
      <c r="A690" s="26">
        <v>42370</v>
      </c>
      <c r="B690" s="27">
        <f>VLOOKUP(Table3032[[#This Row],[Month]],'DB Money Supply'!$A:$D,2)</f>
        <v>1304.4000000000001</v>
      </c>
      <c r="C690" s="65">
        <f>(Table3032[[#This Row],[Real M1 Money Stock]]-B678)/B678</f>
        <v>4.1187739463601644E-2</v>
      </c>
    </row>
    <row r="691" spans="1:3" x14ac:dyDescent="0.2">
      <c r="A691" s="26">
        <v>42401</v>
      </c>
      <c r="B691" s="27">
        <f>VLOOKUP(Table3032[[#This Row],[Month]],'DB Money Supply'!$A:$D,2)</f>
        <v>1320.2</v>
      </c>
      <c r="C691" s="65">
        <f>(Table3032[[#This Row],[Real M1 Money Stock]]-B679)/B679</f>
        <v>3.2454836943771014E-2</v>
      </c>
    </row>
    <row r="692" spans="1:3" x14ac:dyDescent="0.2">
      <c r="A692" s="26">
        <v>42430</v>
      </c>
      <c r="B692" s="27">
        <f>VLOOKUP(Table3032[[#This Row],[Month]],'DB Money Supply'!$A:$D,2)</f>
        <v>1326.1</v>
      </c>
      <c r="C692" s="65">
        <f>(Table3032[[#This Row],[Real M1 Money Stock]]-B680)/B680</f>
        <v>4.2367552271655291E-2</v>
      </c>
    </row>
    <row r="693" spans="1:3" x14ac:dyDescent="0.2">
      <c r="A693" s="26">
        <v>42461</v>
      </c>
      <c r="B693" s="27">
        <f>VLOOKUP(Table3032[[#This Row],[Month]],'DB Money Supply'!$A:$D,2)</f>
        <v>1338.6</v>
      </c>
      <c r="C693" s="65">
        <f>(Table3032[[#This Row],[Real M1 Money Stock]]-B681)/B681</f>
        <v>5.3518022981268697E-2</v>
      </c>
    </row>
    <row r="694" spans="1:3" x14ac:dyDescent="0.2">
      <c r="A694" s="26">
        <v>42491</v>
      </c>
      <c r="B694" s="27">
        <f>VLOOKUP(Table3032[[#This Row],[Month]],'DB Money Supply'!$A:$D,2)</f>
        <v>1351.4</v>
      </c>
      <c r="C694" s="65">
        <f>(Table3032[[#This Row],[Real M1 Money Stock]]-B682)/B682</f>
        <v>7.3476844864564295E-2</v>
      </c>
    </row>
    <row r="695" spans="1:3" x14ac:dyDescent="0.2">
      <c r="A695" s="26">
        <v>42522</v>
      </c>
      <c r="B695" s="27">
        <f>VLOOKUP(Table3032[[#This Row],[Month]],'DB Money Supply'!$A:$D,2)</f>
        <v>1350.5</v>
      </c>
      <c r="C695" s="65">
        <f>(Table3032[[#This Row],[Real M1 Money Stock]]-B683)/B683</f>
        <v>6.2632779919741838E-2</v>
      </c>
    </row>
    <row r="696" spans="1:3" x14ac:dyDescent="0.2">
      <c r="A696" s="26">
        <v>42552</v>
      </c>
      <c r="B696" s="27">
        <f>VLOOKUP(Table3032[[#This Row],[Month]],'DB Money Supply'!$A:$D,2)</f>
        <v>1350.5</v>
      </c>
      <c r="C696" s="65">
        <f>(Table3032[[#This Row],[Real M1 Money Stock]]-B684)/B684</f>
        <v>5.8136801692392111E-2</v>
      </c>
    </row>
    <row r="697" spans="1:3" x14ac:dyDescent="0.2">
      <c r="A697" s="26">
        <v>42583</v>
      </c>
      <c r="B697" s="27">
        <f>VLOOKUP(Table3032[[#This Row],[Month]],'DB Money Supply'!$A:$D,2)</f>
        <v>1378.4</v>
      </c>
      <c r="C697" s="65">
        <f>(Table3032[[#This Row],[Real M1 Money Stock]]-B685)/B685</f>
        <v>8.3392281694568998E-2</v>
      </c>
    </row>
    <row r="698" spans="1:3" x14ac:dyDescent="0.2">
      <c r="A698" s="26">
        <v>42614</v>
      </c>
      <c r="B698" s="27">
        <f>VLOOKUP(Table3032[[#This Row],[Month]],'DB Money Supply'!$A:$D,2)</f>
        <v>1377.7</v>
      </c>
      <c r="C698" s="65">
        <f>(Table3032[[#This Row],[Real M1 Money Stock]]-B686)/B686</f>
        <v>7.5236088347771873E-2</v>
      </c>
    </row>
    <row r="699" spans="1:3" x14ac:dyDescent="0.2">
      <c r="A699" s="26">
        <v>42644</v>
      </c>
      <c r="B699" s="27">
        <f>VLOOKUP(Table3032[[#This Row],[Month]],'DB Money Supply'!$A:$D,2)</f>
        <v>1377.6</v>
      </c>
      <c r="C699" s="65">
        <f>(Table3032[[#This Row],[Real M1 Money Stock]]-B687)/B687</f>
        <v>8.549365692222835E-2</v>
      </c>
    </row>
    <row r="700" spans="1:3" x14ac:dyDescent="0.2">
      <c r="A700" s="26">
        <v>42675</v>
      </c>
      <c r="B700" s="27">
        <f>VLOOKUP(Table3032[[#This Row],[Month]],'DB Money Supply'!$A:$D,2)</f>
        <v>1386.1</v>
      </c>
      <c r="C700" s="65">
        <f>(Table3032[[#This Row],[Real M1 Money Stock]]-B688)/B688</f>
        <v>7.0760911548860495E-2</v>
      </c>
    </row>
    <row r="701" spans="1:3" x14ac:dyDescent="0.2">
      <c r="A701" s="26">
        <v>42705</v>
      </c>
      <c r="B701" s="27">
        <f>VLOOKUP(Table3032[[#This Row],[Month]],'DB Money Supply'!$A:$D,2)</f>
        <v>1378.8</v>
      </c>
      <c r="C701" s="65">
        <f>(Table3032[[#This Row],[Real M1 Money Stock]]-B689)/B689</f>
        <v>5.8742225293711127E-2</v>
      </c>
    </row>
    <row r="702" spans="1:3" x14ac:dyDescent="0.2">
      <c r="A702" s="26">
        <v>42736</v>
      </c>
      <c r="B702" s="27">
        <f>VLOOKUP(Table3032[[#This Row],[Month]],'DB Money Supply'!$A:$D,2)</f>
        <v>1394.9</v>
      </c>
      <c r="C702" s="65">
        <f>(Table3032[[#This Row],[Real M1 Money Stock]]-B690)/B690</f>
        <v>6.9380558111008891E-2</v>
      </c>
    </row>
    <row r="703" spans="1:3" x14ac:dyDescent="0.2">
      <c r="A703" s="26">
        <v>42767</v>
      </c>
      <c r="B703" s="27">
        <f>VLOOKUP(Table3032[[#This Row],[Month]],'DB Money Supply'!$A:$D,2)</f>
        <v>1398.8</v>
      </c>
      <c r="C703" s="65">
        <f>(Table3032[[#This Row],[Real M1 Money Stock]]-B691)/B691</f>
        <v>5.9536433873655432E-2</v>
      </c>
    </row>
    <row r="704" spans="1:3" x14ac:dyDescent="0.2">
      <c r="A704" s="26">
        <v>42795</v>
      </c>
      <c r="B704" s="27">
        <f>VLOOKUP(Table3032[[#This Row],[Month]],'DB Money Supply'!$A:$D,2)</f>
        <v>1417.8</v>
      </c>
      <c r="C704" s="65">
        <f>(Table3032[[#This Row],[Real M1 Money Stock]]-B692)/B692</f>
        <v>6.9150139506824568E-2</v>
      </c>
    </row>
    <row r="705" spans="1:3" x14ac:dyDescent="0.2">
      <c r="A705" s="26">
        <v>42826</v>
      </c>
      <c r="B705" s="27">
        <f>VLOOKUP(Table3032[[#This Row],[Month]],'DB Money Supply'!$A:$D,2)</f>
        <v>1412.4</v>
      </c>
      <c r="C705" s="65">
        <f>(Table3032[[#This Row],[Real M1 Money Stock]]-B693)/B693</f>
        <v>5.5132227700582841E-2</v>
      </c>
    </row>
    <row r="706" spans="1:3" x14ac:dyDescent="0.2">
      <c r="A706" s="26">
        <v>42856</v>
      </c>
      <c r="B706" s="27">
        <f>VLOOKUP(Table3032[[#This Row],[Month]],'DB Money Supply'!$A:$D,2)</f>
        <v>1439.3</v>
      </c>
      <c r="C706" s="65">
        <f>(Table3032[[#This Row],[Real M1 Money Stock]]-B694)/B694</f>
        <v>6.5043658428296472E-2</v>
      </c>
    </row>
    <row r="707" spans="1:3" x14ac:dyDescent="0.2">
      <c r="A707" s="26">
        <v>42887</v>
      </c>
      <c r="B707" s="27">
        <f>VLOOKUP(Table3032[[#This Row],[Month]],'DB Money Supply'!$A:$D,2)</f>
        <v>1441.7</v>
      </c>
      <c r="C707" s="65">
        <f>(Table3032[[#This Row],[Real M1 Money Stock]]-B695)/B695</f>
        <v>6.7530544242873039E-2</v>
      </c>
    </row>
    <row r="708" spans="1:3" x14ac:dyDescent="0.2">
      <c r="A708" s="26">
        <v>42917</v>
      </c>
      <c r="B708" s="27">
        <f>VLOOKUP(Table3032[[#This Row],[Month]],'DB Money Supply'!$A:$D,2)</f>
        <v>1449.9</v>
      </c>
      <c r="C708" s="65">
        <f>(Table3032[[#This Row],[Real M1 Money Stock]]-B696)/B696</f>
        <v>7.3602369492780526E-2</v>
      </c>
    </row>
    <row r="709" spans="1:3" x14ac:dyDescent="0.2">
      <c r="A709" s="26">
        <v>42948</v>
      </c>
      <c r="B709" s="27">
        <f>VLOOKUP(Table3032[[#This Row],[Month]],'DB Money Supply'!$A:$D,2)</f>
        <v>1460.1</v>
      </c>
      <c r="C709" s="65">
        <f>(Table3032[[#This Row],[Real M1 Money Stock]]-B697)/B697</f>
        <v>5.927161926871722E-2</v>
      </c>
    </row>
    <row r="710" spans="1:3" x14ac:dyDescent="0.2">
      <c r="A710" s="26">
        <v>42979</v>
      </c>
      <c r="B710" s="27">
        <f>VLOOKUP(Table3032[[#This Row],[Month]],'DB Money Supply'!$A:$D,2)</f>
        <v>1445.3</v>
      </c>
      <c r="C710" s="65">
        <f>(Table3032[[#This Row],[Real M1 Money Stock]]-B698)/B698</f>
        <v>4.9067286056470864E-2</v>
      </c>
    </row>
    <row r="711" spans="1:3" x14ac:dyDescent="0.2">
      <c r="A711" s="26">
        <v>43009</v>
      </c>
      <c r="B711" s="27">
        <f>VLOOKUP(Table3032[[#This Row],[Month]],'DB Money Supply'!$A:$D,2)</f>
        <v>1460</v>
      </c>
      <c r="C711" s="65">
        <f>(Table3032[[#This Row],[Real M1 Money Stock]]-B699)/B699</f>
        <v>5.9814169570267202E-2</v>
      </c>
    </row>
    <row r="712" spans="1:3" x14ac:dyDescent="0.2">
      <c r="A712" s="26">
        <v>43040</v>
      </c>
      <c r="B712" s="27">
        <f>VLOOKUP(Table3032[[#This Row],[Month]],'DB Money Supply'!$A:$D,2)</f>
        <v>1468.2</v>
      </c>
      <c r="C712" s="65">
        <f>(Table3032[[#This Row],[Real M1 Money Stock]]-B700)/B700</f>
        <v>5.9230935718923704E-2</v>
      </c>
    </row>
    <row r="713" spans="1:3" x14ac:dyDescent="0.2">
      <c r="A713" s="26">
        <v>43070</v>
      </c>
      <c r="B713" s="27">
        <f>VLOOKUP(Table3032[[#This Row],[Month]],'DB Money Supply'!$A:$D,2)</f>
        <v>1460.8</v>
      </c>
      <c r="C713" s="65">
        <f>(Table3032[[#This Row],[Real M1 Money Stock]]-B701)/B701</f>
        <v>5.9472004641717438E-2</v>
      </c>
    </row>
    <row r="714" spans="1:3" x14ac:dyDescent="0.2">
      <c r="A714" s="26">
        <v>43101</v>
      </c>
      <c r="B714" s="27">
        <f>VLOOKUP(Table3032[[#This Row],[Month]],'DB Money Supply'!$A:$D,2)</f>
        <v>1474.9</v>
      </c>
      <c r="C714" s="65">
        <f>(Table3032[[#This Row],[Real M1 Money Stock]]-B702)/B702</f>
        <v>5.7351781489712518E-2</v>
      </c>
    </row>
    <row r="715" spans="1:3" x14ac:dyDescent="0.2">
      <c r="A715" s="26">
        <v>43132</v>
      </c>
      <c r="B715" s="27">
        <f>VLOOKUP(Table3032[[#This Row],[Month]],'DB Money Supply'!$A:$D,2)</f>
        <v>1457.6</v>
      </c>
      <c r="C715" s="65">
        <f>(Table3032[[#This Row],[Real M1 Money Stock]]-B703)/B703</f>
        <v>4.2036030883614496E-2</v>
      </c>
    </row>
    <row r="716" spans="1:3" x14ac:dyDescent="0.2">
      <c r="A716" s="26">
        <v>43160</v>
      </c>
      <c r="B716" s="27">
        <f>VLOOKUP(Table3032[[#This Row],[Month]],'DB Money Supply'!$A:$D,2)</f>
        <v>1471.8</v>
      </c>
      <c r="C716" s="65">
        <f>(Table3032[[#This Row],[Real M1 Money Stock]]-B704)/B704</f>
        <v>3.8087177316969957E-2</v>
      </c>
    </row>
    <row r="717" spans="1:3" x14ac:dyDescent="0.2">
      <c r="A717" s="26">
        <v>43191</v>
      </c>
      <c r="B717" s="27">
        <f>VLOOKUP(Table3032[[#This Row],[Month]],'DB Money Supply'!$A:$D,2)</f>
        <v>1459.8</v>
      </c>
      <c r="C717" s="65">
        <f>(Table3032[[#This Row],[Real M1 Money Stock]]-B705)/B705</f>
        <v>3.3559898045879256E-2</v>
      </c>
    </row>
    <row r="718" spans="1:3" x14ac:dyDescent="0.2">
      <c r="A718" s="26">
        <v>43221</v>
      </c>
      <c r="B718" s="27">
        <f>VLOOKUP(Table3032[[#This Row],[Month]],'DB Money Supply'!$A:$D,2)</f>
        <v>1453.9</v>
      </c>
      <c r="C718" s="65">
        <f>(Table3032[[#This Row],[Real M1 Money Stock]]-B706)/B706</f>
        <v>1.014381991245754E-2</v>
      </c>
    </row>
    <row r="719" spans="1:3" x14ac:dyDescent="0.2">
      <c r="A719" s="26">
        <v>43252</v>
      </c>
      <c r="B719" s="27">
        <f>VLOOKUP(Table3032[[#This Row],[Month]],'DB Money Supply'!$A:$D,2)</f>
        <v>1451.2</v>
      </c>
      <c r="C719" s="65">
        <f>(Table3032[[#This Row],[Real M1 Money Stock]]-B707)/B707</f>
        <v>6.5894430186585282E-3</v>
      </c>
    </row>
    <row r="720" spans="1:3" x14ac:dyDescent="0.2">
      <c r="A720" s="26">
        <v>43282</v>
      </c>
      <c r="B720" s="27">
        <f>VLOOKUP(Table3032[[#This Row],[Month]],'DB Money Supply'!$A:$D,2)</f>
        <v>1459.8</v>
      </c>
      <c r="C720" s="65">
        <f>(Table3032[[#This Row],[Real M1 Money Stock]]-B708)/B708</f>
        <v>6.8280571073866215E-3</v>
      </c>
    </row>
    <row r="721" spans="1:3" x14ac:dyDescent="0.2">
      <c r="A721" s="26">
        <v>43313</v>
      </c>
      <c r="B721" s="27">
        <f>VLOOKUP(Table3032[[#This Row],[Month]],'DB Money Supply'!$A:$D,2)</f>
        <v>1462.9</v>
      </c>
      <c r="C721" s="65">
        <f>(Table3032[[#This Row],[Real M1 Money Stock]]-B709)/B709</f>
        <v>1.9176768714472857E-3</v>
      </c>
    </row>
    <row r="722" spans="1:3" x14ac:dyDescent="0.2">
      <c r="A722" s="26">
        <v>43344</v>
      </c>
      <c r="B722" s="27">
        <f>VLOOKUP(Table3032[[#This Row],[Month]],'DB Money Supply'!$A:$D,2)</f>
        <v>1464.1</v>
      </c>
      <c r="C722" s="65">
        <f>(Table3032[[#This Row],[Real M1 Money Stock]]-B710)/B710</f>
        <v>1.3007680066422165E-2</v>
      </c>
    </row>
    <row r="723" spans="1:3" x14ac:dyDescent="0.2">
      <c r="A723" s="26">
        <v>43374</v>
      </c>
      <c r="B723" s="27">
        <f>VLOOKUP(Table3032[[#This Row],[Month]],'DB Money Supply'!$A:$D,2)</f>
        <v>1471.5</v>
      </c>
      <c r="C723" s="65">
        <f>(Table3032[[#This Row],[Real M1 Money Stock]]-B711)/B711</f>
        <v>7.8767123287671239E-3</v>
      </c>
    </row>
    <row r="724" spans="1:3" x14ac:dyDescent="0.2">
      <c r="A724" s="26">
        <v>43405</v>
      </c>
      <c r="B724" s="27">
        <f>VLOOKUP(Table3032[[#This Row],[Month]],'DB Money Supply'!$A:$D,2)</f>
        <v>1466.8</v>
      </c>
      <c r="C724" s="65">
        <f>(Table3032[[#This Row],[Real M1 Money Stock]]-B712)/B712</f>
        <v>-9.5354856286615649E-4</v>
      </c>
    </row>
    <row r="725" spans="1:3" x14ac:dyDescent="0.2">
      <c r="A725" s="26">
        <v>43435</v>
      </c>
      <c r="B725" s="27">
        <f>VLOOKUP(Table3032[[#This Row],[Month]],'DB Money Supply'!$A:$D,2)</f>
        <v>1493.6</v>
      </c>
      <c r="C725" s="65">
        <f>(Table3032[[#This Row],[Real M1 Money Stock]]-B713)/B713</f>
        <v>2.2453450164293506E-2</v>
      </c>
    </row>
    <row r="726" spans="1:3" x14ac:dyDescent="0.2">
      <c r="A726" s="26">
        <v>43466</v>
      </c>
      <c r="B726" s="27">
        <f>VLOOKUP(Table3032[[#This Row],[Month]],'DB Money Supply'!$A:$D,2)</f>
        <v>1494.6</v>
      </c>
      <c r="C726" s="65">
        <f>(Table3032[[#This Row],[Real M1 Money Stock]]-B714)/B714</f>
        <v>1.3356837751711856E-2</v>
      </c>
    </row>
    <row r="727" spans="1:3" x14ac:dyDescent="0.2">
      <c r="A727" s="26">
        <v>43497</v>
      </c>
      <c r="B727" s="27">
        <f>VLOOKUP(Table3032[[#This Row],[Month]],'DB Money Supply'!$A:$D,2)</f>
        <v>1495.6</v>
      </c>
      <c r="C727" s="65">
        <f>(Table3032[[#This Row],[Real M1 Money Stock]]-B715)/B715</f>
        <v>2.6070252469813395E-2</v>
      </c>
    </row>
    <row r="728" spans="1:3" x14ac:dyDescent="0.2">
      <c r="A728" s="26">
        <v>43525</v>
      </c>
      <c r="B728" s="27">
        <f>VLOOKUP(Table3032[[#This Row],[Month]],'DB Money Supply'!$A:$D,2)</f>
        <v>1474.1</v>
      </c>
      <c r="C728" s="65">
        <f>(Table3032[[#This Row],[Real M1 Money Stock]]-B716)/B716</f>
        <v>1.5627123250441328E-3</v>
      </c>
    </row>
    <row r="729" spans="1:3" x14ac:dyDescent="0.2">
      <c r="A729" s="26">
        <v>43556</v>
      </c>
      <c r="B729" s="27">
        <f>VLOOKUP(Table3032[[#This Row],[Month]],'DB Money Supply'!$A:$D,2)</f>
        <v>1476.8</v>
      </c>
      <c r="C729" s="65">
        <f>(Table3032[[#This Row],[Real M1 Money Stock]]-B717)/B717</f>
        <v>1.1645430880942595E-2</v>
      </c>
    </row>
    <row r="730" spans="1:3" x14ac:dyDescent="0.2">
      <c r="A730" s="26">
        <v>43586</v>
      </c>
      <c r="B730" s="27">
        <f>VLOOKUP(Table3032[[#This Row],[Month]],'DB Money Supply'!$A:$D,2)</f>
        <v>1478.4</v>
      </c>
      <c r="C730" s="65">
        <f>(Table3032[[#This Row],[Real M1 Money Stock]]-B718)/B718</f>
        <v>1.6851227732306209E-2</v>
      </c>
    </row>
    <row r="731" spans="1:3" x14ac:dyDescent="0.2">
      <c r="A731" s="26">
        <v>43617</v>
      </c>
      <c r="B731" s="27">
        <f>VLOOKUP(Table3032[[#This Row],[Month]],'DB Money Supply'!$A:$D,2)</f>
        <v>1493</v>
      </c>
      <c r="C731" s="65">
        <f>(Table3032[[#This Row],[Real M1 Money Stock]]-B719)/B719</f>
        <v>2.8803748621830178E-2</v>
      </c>
    </row>
    <row r="732" spans="1:3" x14ac:dyDescent="0.2">
      <c r="A732" s="26">
        <v>43647</v>
      </c>
      <c r="B732" s="27">
        <f>VLOOKUP(Table3032[[#This Row],[Month]],'DB Money Supply'!$A:$D,2)</f>
        <v>1502.3</v>
      </c>
      <c r="C732" s="65">
        <f>(Table3032[[#This Row],[Real M1 Money Stock]]-B720)/B720</f>
        <v>2.9113577202356487E-2</v>
      </c>
    </row>
    <row r="733" spans="1:3" x14ac:dyDescent="0.2">
      <c r="A733" s="26">
        <v>43678</v>
      </c>
      <c r="B733" s="27">
        <f>VLOOKUP(Table3032[[#This Row],[Month]],'DB Money Supply'!$A:$D,2)</f>
        <v>1500.9</v>
      </c>
      <c r="C733" s="65">
        <f>(Table3032[[#This Row],[Real M1 Money Stock]]-B721)/B721</f>
        <v>2.5975801490190714E-2</v>
      </c>
    </row>
    <row r="734" spans="1:3" x14ac:dyDescent="0.2">
      <c r="A734" s="26">
        <v>43709</v>
      </c>
      <c r="B734" s="27">
        <f>VLOOKUP(Table3032[[#This Row],[Month]],'DB Money Supply'!$A:$D,2)</f>
        <v>1515.5</v>
      </c>
      <c r="C734" s="65">
        <f>(Table3032[[#This Row],[Real M1 Money Stock]]-B722)/B722</f>
        <v>3.5106891605764697E-2</v>
      </c>
    </row>
    <row r="735" spans="1:3" x14ac:dyDescent="0.2">
      <c r="A735" s="26">
        <v>43739</v>
      </c>
      <c r="B735" s="27">
        <f>VLOOKUP(Table3032[[#This Row],[Month]],'DB Money Supply'!$A:$D,2)</f>
        <v>1525.4</v>
      </c>
      <c r="C735" s="65">
        <f>(Table3032[[#This Row],[Real M1 Money Stock]]-B723)/B723</f>
        <v>3.6629289840299076E-2</v>
      </c>
    </row>
    <row r="736" spans="1:3" x14ac:dyDescent="0.2">
      <c r="A736" s="26">
        <v>43770</v>
      </c>
      <c r="B736" s="27">
        <f>VLOOKUP(Table3032[[#This Row],[Month]],'DB Money Supply'!$A:$D,2)</f>
        <v>1533.2</v>
      </c>
      <c r="C736" s="65">
        <f>(Table3032[[#This Row],[Real M1 Money Stock]]-B724)/B724</f>
        <v>4.5268611944368757E-2</v>
      </c>
    </row>
    <row r="737" spans="1:3" x14ac:dyDescent="0.2">
      <c r="A737" s="26">
        <v>43800</v>
      </c>
      <c r="B737" s="27">
        <f>VLOOKUP(Table3032[[#This Row],[Month]],'DB Money Supply'!$A:$D,2)</f>
        <v>1553.5</v>
      </c>
      <c r="C737" s="65">
        <f>(Table3032[[#This Row],[Real M1 Money Stock]]-B725)/B725</f>
        <v>4.010444563470815E-2</v>
      </c>
    </row>
    <row r="738" spans="1:3" x14ac:dyDescent="0.2">
      <c r="A738" s="26">
        <v>43831</v>
      </c>
      <c r="B738" s="27">
        <f>VLOOKUP(Table3032[[#This Row],[Month]],'DB Money Supply'!$A:$D,2)</f>
        <v>1553.7</v>
      </c>
      <c r="C738" s="65">
        <f>(Table3032[[#This Row],[Real M1 Money Stock]]-B726)/B726</f>
        <v>3.9542352468888091E-2</v>
      </c>
    </row>
    <row r="739" spans="1:3" x14ac:dyDescent="0.2">
      <c r="A739" s="26">
        <v>43862</v>
      </c>
      <c r="B739" s="27">
        <f>VLOOKUP(Table3032[[#This Row],[Month]],'DB Money Supply'!$A:$D,2)</f>
        <v>1556.4</v>
      </c>
      <c r="C739" s="65">
        <f>(Table3032[[#This Row],[Real M1 Money Stock]]-B727)/B727</f>
        <v>4.0652580903985144E-2</v>
      </c>
    </row>
    <row r="740" spans="1:3" x14ac:dyDescent="0.2">
      <c r="A740" s="26">
        <v>43891</v>
      </c>
      <c r="B740" s="27">
        <f>VLOOKUP(Table3032[[#This Row],[Month]],'DB Money Supply'!$A:$D,2)</f>
        <v>1659.5</v>
      </c>
      <c r="C740" s="65">
        <f>(Table3032[[#This Row],[Real M1 Money Stock]]-B728)/B728</f>
        <v>0.12577165728240969</v>
      </c>
    </row>
    <row r="741" spans="1:3" x14ac:dyDescent="0.2">
      <c r="A741" s="26">
        <v>43922</v>
      </c>
      <c r="B741" s="27">
        <f>VLOOKUP(Table3032[[#This Row],[Month]],'DB Money Supply'!$A:$D,2)</f>
        <v>1863.6</v>
      </c>
      <c r="C741" s="65">
        <f>(Table3032[[#This Row],[Real M1 Money Stock]]-B729)/B729</f>
        <v>0.26191765980498372</v>
      </c>
    </row>
    <row r="742" spans="1:3" x14ac:dyDescent="0.2">
      <c r="A742" s="26">
        <v>43952</v>
      </c>
      <c r="B742" s="27">
        <f>VLOOKUP(Table3032[[#This Row],[Month]],'DB Money Supply'!$A:$D,2)</f>
        <v>6353.8</v>
      </c>
      <c r="C742" s="65">
        <f>(Table3032[[#This Row],[Real M1 Money Stock]]-B730)/B730</f>
        <v>3.2977543290043285</v>
      </c>
    </row>
    <row r="743" spans="1:3" x14ac:dyDescent="0.2">
      <c r="A743" s="26">
        <v>43983</v>
      </c>
      <c r="B743" s="27">
        <f>VLOOKUP(Table3032[[#This Row],[Month]],'DB Money Supply'!$A:$D,2)</f>
        <v>6445.8</v>
      </c>
      <c r="C743" s="65">
        <f>(Table3032[[#This Row],[Real M1 Money Stock]]-B731)/B731</f>
        <v>3.3173476222371066</v>
      </c>
    </row>
    <row r="744" spans="1:3" x14ac:dyDescent="0.2">
      <c r="A744" s="26">
        <v>44013</v>
      </c>
      <c r="B744" s="27">
        <f>VLOOKUP(Table3032[[#This Row],[Month]],'DB Money Supply'!$A:$D,2)</f>
        <v>6486.3</v>
      </c>
      <c r="C744" s="65">
        <f>(Table3032[[#This Row],[Real M1 Money Stock]]-B732)/B732</f>
        <v>3.3175797111096319</v>
      </c>
    </row>
    <row r="745" spans="1:3" x14ac:dyDescent="0.2">
      <c r="A745" s="26">
        <v>44044</v>
      </c>
      <c r="B745" s="27">
        <f>VLOOKUP(Table3032[[#This Row],[Month]],'DB Money Supply'!$A:$D,2)</f>
        <v>6507.2</v>
      </c>
      <c r="C745" s="65">
        <f>(Table3032[[#This Row],[Real M1 Money Stock]]-B733)/B733</f>
        <v>3.3355320141248579</v>
      </c>
    </row>
    <row r="746" spans="1:3" x14ac:dyDescent="0.2">
      <c r="A746" s="26">
        <v>44075</v>
      </c>
      <c r="B746" s="27">
        <f>VLOOKUP(Table3032[[#This Row],[Month]],'DB Money Supply'!$A:$D,2)</f>
        <v>6595</v>
      </c>
      <c r="C746" s="65">
        <f>(Table3032[[#This Row],[Real M1 Money Stock]]-B734)/B734</f>
        <v>3.3516991092048829</v>
      </c>
    </row>
    <row r="747" spans="1:3" x14ac:dyDescent="0.2">
      <c r="A747" s="26">
        <v>44105</v>
      </c>
      <c r="B747" s="27">
        <f>VLOOKUP(Table3032[[#This Row],[Month]],'DB Money Supply'!$A:$D,2)</f>
        <v>6660</v>
      </c>
      <c r="C747" s="65">
        <f>(Table3032[[#This Row],[Real M1 Money Stock]]-B735)/B735</f>
        <v>3.3660679166120362</v>
      </c>
    </row>
    <row r="748" spans="1:3" x14ac:dyDescent="0.2">
      <c r="A748" s="26">
        <v>44136</v>
      </c>
      <c r="B748" s="27">
        <f>VLOOKUP(Table3032[[#This Row],[Month]],'DB Money Supply'!$A:$D,2)</f>
        <v>6741</v>
      </c>
      <c r="C748" s="65">
        <f>(Table3032[[#This Row],[Real M1 Money Stock]]-B736)/B736</f>
        <v>3.3966866684059482</v>
      </c>
    </row>
    <row r="749" spans="1:3" x14ac:dyDescent="0.2">
      <c r="A749" s="26">
        <v>44166</v>
      </c>
      <c r="B749" s="27">
        <f>VLOOKUP(Table3032[[#This Row],[Month]],'DB Money Supply'!$A:$D,2)</f>
        <v>6810.1</v>
      </c>
      <c r="C749" s="65">
        <f>(Table3032[[#This Row],[Real M1 Money Stock]]-B737)/B737</f>
        <v>3.3837141937560351</v>
      </c>
    </row>
    <row r="750" spans="1:3" x14ac:dyDescent="0.2">
      <c r="A750" s="26">
        <v>44197</v>
      </c>
      <c r="B750" s="27">
        <f>VLOOKUP(Table3032[[#This Row],[Month]],'DB Money Supply'!$A:$D,2)</f>
        <v>6902.6</v>
      </c>
      <c r="C750" s="65">
        <f>(Table3032[[#This Row],[Real M1 Money Stock]]-B738)/B738</f>
        <v>3.4426852030636548</v>
      </c>
    </row>
    <row r="751" spans="1:3" x14ac:dyDescent="0.2">
      <c r="A751" s="26">
        <v>44228</v>
      </c>
      <c r="B751" s="27">
        <f>VLOOKUP(Table3032[[#This Row],[Month]],'DB Money Supply'!$A:$D,2)</f>
        <v>6987.9</v>
      </c>
      <c r="C751" s="65">
        <f>(Table3032[[#This Row],[Real M1 Money Stock]]-B739)/B739</f>
        <v>3.4897841171935231</v>
      </c>
    </row>
    <row r="752" spans="1:3" x14ac:dyDescent="0.2">
      <c r="A752" s="26">
        <v>44256</v>
      </c>
      <c r="B752" s="27">
        <f>VLOOKUP(Table3032[[#This Row],[Month]],'DB Money Supply'!$A:$D,2)</f>
        <v>7050.5</v>
      </c>
      <c r="C752" s="65">
        <f>(Table3032[[#This Row],[Real M1 Money Stock]]-B740)/B740</f>
        <v>3.2485688460379634</v>
      </c>
    </row>
    <row r="753" spans="1:3" x14ac:dyDescent="0.2">
      <c r="A753" s="26">
        <v>44287</v>
      </c>
      <c r="B753" s="27">
        <f>VLOOKUP(Table3032[[#This Row],[Month]],'DB Money Supply'!$A:$D,2)</f>
        <v>7093.4</v>
      </c>
      <c r="C753" s="65">
        <f>(Table3032[[#This Row],[Real M1 Money Stock]]-B741)/B741</f>
        <v>2.8062889031981109</v>
      </c>
    </row>
    <row r="754" spans="1:3" x14ac:dyDescent="0.2">
      <c r="A754" s="26">
        <v>44317</v>
      </c>
      <c r="B754" s="27">
        <f>VLOOKUP(Table3032[[#This Row],[Month]],'DB Money Supply'!$A:$D,2)</f>
        <v>7152.8</v>
      </c>
      <c r="C754" s="65">
        <f>(Table3032[[#This Row],[Real M1 Money Stock]]-B742)/B742</f>
        <v>0.12575151877616544</v>
      </c>
    </row>
    <row r="755" spans="1:3" x14ac:dyDescent="0.2">
      <c r="A755" s="26">
        <v>44348</v>
      </c>
      <c r="B755" s="27">
        <f>VLOOKUP(Table3032[[#This Row],[Month]],'DB Money Supply'!$A:$D,2)</f>
        <v>7106</v>
      </c>
      <c r="C755" s="65">
        <f>(Table3032[[#This Row],[Real M1 Money Stock]]-B743)/B743</f>
        <v>0.10242328337832383</v>
      </c>
    </row>
    <row r="756" spans="1:3" x14ac:dyDescent="0.2">
      <c r="A756" s="26">
        <v>44378</v>
      </c>
      <c r="B756" s="27">
        <f>VLOOKUP(Table3032[[#This Row],[Month]],'DB Money Supply'!$A:$D,2)</f>
        <v>7132.8</v>
      </c>
      <c r="C756" s="65">
        <f>(Table3032[[#This Row],[Real M1 Money Stock]]-B744)/B744</f>
        <v>9.967161555894731E-2</v>
      </c>
    </row>
    <row r="757" spans="1:3" x14ac:dyDescent="0.2">
      <c r="A757" s="26">
        <v>44409</v>
      </c>
      <c r="B757" s="27">
        <f>VLOOKUP(Table3032[[#This Row],[Month]],'DB Money Supply'!$A:$D,2)</f>
        <v>7214</v>
      </c>
      <c r="C757" s="65">
        <f>(Table3032[[#This Row],[Real M1 Money Stock]]-B745)/B745</f>
        <v>0.10861814605360219</v>
      </c>
    </row>
    <row r="758" spans="1:3" x14ac:dyDescent="0.2">
      <c r="A758" s="26">
        <v>44440</v>
      </c>
      <c r="B758" s="27">
        <f>VLOOKUP(Table3032[[#This Row],[Month]],'DB Money Supply'!$A:$D,2)</f>
        <v>7249.9</v>
      </c>
      <c r="C758" s="65">
        <f>(Table3032[[#This Row],[Real M1 Money Stock]]-B746)/B746</f>
        <v>9.9302501895375234E-2</v>
      </c>
    </row>
    <row r="759" spans="1:3" x14ac:dyDescent="0.2">
      <c r="A759" s="26">
        <v>44470</v>
      </c>
      <c r="B759" s="27">
        <f>VLOOKUP(Table3032[[#This Row],[Month]],'DB Money Supply'!$A:$D,2)</f>
        <v>7257.6</v>
      </c>
      <c r="C759" s="65">
        <f>(Table3032[[#This Row],[Real M1 Money Stock]]-B747)/B747</f>
        <v>8.9729729729729785E-2</v>
      </c>
    </row>
    <row r="760" spans="1:3" x14ac:dyDescent="0.2">
      <c r="A760" s="26">
        <v>44501</v>
      </c>
      <c r="B760" s="27">
        <f>VLOOKUP(Table3032[[#This Row],[Month]],'DB Money Supply'!$A:$D,2)</f>
        <v>7295.3</v>
      </c>
      <c r="C760" s="65">
        <f>(Table3032[[#This Row],[Real M1 Money Stock]]-B748)/B748</f>
        <v>8.2228156059931792E-2</v>
      </c>
    </row>
  </sheetData>
  <conditionalFormatting sqref="C18:C760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400-000000000000}"/>
  </hyperlinks>
  <pageMargins left="0.7" right="0.7" top="0.75" bottom="0.75" header="0.3" footer="0.3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M760"/>
  <sheetViews>
    <sheetView zoomScale="170" zoomScaleNormal="170" workbookViewId="0">
      <pane ySplit="5" topLeftCell="A731" activePane="bottomLeft" state="frozen"/>
      <selection pane="bottomLeft" activeCell="O752" sqref="O752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8" customWidth="1"/>
    <col min="7" max="7" width="13.33203125" style="78" customWidth="1"/>
    <col min="8" max="11" width="9.1640625" style="78" customWidth="1"/>
    <col min="12" max="16384" width="9.1640625" style="78"/>
  </cols>
  <sheetData>
    <row r="1" spans="1:13" x14ac:dyDescent="0.2">
      <c r="A1" s="1" t="s">
        <v>11</v>
      </c>
    </row>
    <row r="2" spans="1:13" x14ac:dyDescent="0.2">
      <c r="A2" s="78" t="s">
        <v>979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3" t="s">
        <v>976</v>
      </c>
      <c r="B5" s="54" t="s">
        <v>980</v>
      </c>
      <c r="C5" s="55" t="s">
        <v>981</v>
      </c>
    </row>
    <row r="6" spans="1:13" x14ac:dyDescent="0.2">
      <c r="A6" s="23">
        <v>21551</v>
      </c>
      <c r="B6" s="25">
        <f>VLOOKUP(Table30[[#This Row],[Month]],'DB Money Supply'!$A:$D,3)</f>
        <v>987.9</v>
      </c>
      <c r="C6" s="24"/>
    </row>
    <row r="7" spans="1:13" x14ac:dyDescent="0.2">
      <c r="A7" s="23">
        <v>21582</v>
      </c>
      <c r="B7" s="25">
        <f>VLOOKUP(Table30[[#This Row],[Month]],'DB Money Supply'!$A:$D,3)</f>
        <v>992.1</v>
      </c>
      <c r="C7" s="24"/>
    </row>
    <row r="8" spans="1:13" x14ac:dyDescent="0.2">
      <c r="A8" s="23">
        <v>21610</v>
      </c>
      <c r="B8" s="25">
        <f>VLOOKUP(Table30[[#This Row],[Month]],'DB Money Supply'!$A:$D,3)</f>
        <v>998.3</v>
      </c>
      <c r="C8" s="24"/>
    </row>
    <row r="9" spans="1:13" x14ac:dyDescent="0.2">
      <c r="A9" s="23">
        <v>21641</v>
      </c>
      <c r="B9" s="25">
        <f>VLOOKUP(Table30[[#This Row],[Month]],'DB Money Supply'!$A:$D,3)</f>
        <v>1001</v>
      </c>
      <c r="C9" s="24"/>
    </row>
    <row r="10" spans="1:13" x14ac:dyDescent="0.2">
      <c r="A10" s="23">
        <v>21671</v>
      </c>
      <c r="B10" s="25">
        <f>VLOOKUP(Table30[[#This Row],[Month]],'DB Money Supply'!$A:$D,3)</f>
        <v>1006.2</v>
      </c>
      <c r="C10" s="24"/>
    </row>
    <row r="11" spans="1:13" x14ac:dyDescent="0.2">
      <c r="A11" s="23">
        <v>21702</v>
      </c>
      <c r="B11" s="25">
        <f>VLOOKUP(Table30[[#This Row],[Month]],'DB Money Supply'!$A:$D,3)</f>
        <v>1010.3</v>
      </c>
      <c r="C11" s="24"/>
    </row>
    <row r="12" spans="1:13" x14ac:dyDescent="0.2">
      <c r="A12" s="23">
        <v>21732</v>
      </c>
      <c r="B12" s="25">
        <f>VLOOKUP(Table30[[#This Row],[Month]],'DB Money Supply'!$A:$D,3)</f>
        <v>1012.7</v>
      </c>
      <c r="C12" s="24"/>
    </row>
    <row r="13" spans="1:13" x14ac:dyDescent="0.2">
      <c r="A13" s="23">
        <v>21763</v>
      </c>
      <c r="B13" s="25">
        <f>VLOOKUP(Table30[[#This Row],[Month]],'DB Money Supply'!$A:$D,3)</f>
        <v>1015.8</v>
      </c>
      <c r="C13" s="24"/>
    </row>
    <row r="14" spans="1:13" x14ac:dyDescent="0.2">
      <c r="A14" s="23">
        <v>21794</v>
      </c>
      <c r="B14" s="25">
        <f>VLOOKUP(Table30[[#This Row],[Month]],'DB Money Supply'!$A:$D,3)</f>
        <v>1014.4</v>
      </c>
      <c r="C14" s="24"/>
    </row>
    <row r="15" spans="1:13" x14ac:dyDescent="0.2">
      <c r="A15" s="23">
        <v>21824</v>
      </c>
      <c r="B15" s="25">
        <f>VLOOKUP(Table30[[#This Row],[Month]],'DB Money Supply'!$A:$D,3)</f>
        <v>1010.2</v>
      </c>
      <c r="C15" s="24"/>
    </row>
    <row r="16" spans="1:13" x14ac:dyDescent="0.2">
      <c r="A16" s="23">
        <v>21855</v>
      </c>
      <c r="B16" s="25">
        <f>VLOOKUP(Table30[[#This Row],[Month]],'DB Money Supply'!$A:$D,3)</f>
        <v>1012.3</v>
      </c>
      <c r="C16" s="24"/>
    </row>
    <row r="17" spans="1:3" x14ac:dyDescent="0.2">
      <c r="A17" s="23">
        <v>21885</v>
      </c>
      <c r="B17" s="25">
        <f>VLOOKUP(Table30[[#This Row],[Month]],'DB Money Supply'!$A:$D,3)</f>
        <v>1012.6</v>
      </c>
      <c r="C17" s="24"/>
    </row>
    <row r="18" spans="1:3" x14ac:dyDescent="0.2">
      <c r="A18" s="23">
        <v>21916</v>
      </c>
      <c r="B18" s="25">
        <f>VLOOKUP(Table30[[#This Row],[Month]],'DB Money Supply'!$A:$D,3)</f>
        <v>1015.3</v>
      </c>
      <c r="C18" s="65">
        <f>(Table30[[#This Row],[Real M2 Money Stock]]-B6)/B6</f>
        <v>2.7735600769308612E-2</v>
      </c>
    </row>
    <row r="19" spans="1:3" x14ac:dyDescent="0.2">
      <c r="A19" s="23">
        <v>21947</v>
      </c>
      <c r="B19" s="25">
        <f>VLOOKUP(Table30[[#This Row],[Month]],'DB Money Supply'!$A:$D,3)</f>
        <v>1014.6</v>
      </c>
      <c r="C19" s="65">
        <f>(Table30[[#This Row],[Real M2 Money Stock]]-B7)/B7</f>
        <v>2.2679165406713032E-2</v>
      </c>
    </row>
    <row r="20" spans="1:3" x14ac:dyDescent="0.2">
      <c r="A20" s="23">
        <v>21976</v>
      </c>
      <c r="B20" s="25">
        <f>VLOOKUP(Table30[[#This Row],[Month]],'DB Money Supply'!$A:$D,3)</f>
        <v>1017.7</v>
      </c>
      <c r="C20" s="65">
        <f>(Table30[[#This Row],[Real M2 Money Stock]]-B8)/B8</f>
        <v>1.9433036161474598E-2</v>
      </c>
    </row>
    <row r="21" spans="1:3" x14ac:dyDescent="0.2">
      <c r="A21" s="23">
        <v>22007</v>
      </c>
      <c r="B21" s="25">
        <f>VLOOKUP(Table30[[#This Row],[Month]],'DB Money Supply'!$A:$D,3)</f>
        <v>1015.9</v>
      </c>
      <c r="C21" s="65">
        <f>(Table30[[#This Row],[Real M2 Money Stock]]-B9)/B9</f>
        <v>1.4885114885114863E-2</v>
      </c>
    </row>
    <row r="22" spans="1:3" x14ac:dyDescent="0.2">
      <c r="A22" s="23">
        <v>22037</v>
      </c>
      <c r="B22" s="25">
        <f>VLOOKUP(Table30[[#This Row],[Month]],'DB Money Supply'!$A:$D,3)</f>
        <v>1017.6</v>
      </c>
      <c r="C22" s="65">
        <f>(Table30[[#This Row],[Real M2 Money Stock]]-B10)/B10</f>
        <v>1.1329755515802004E-2</v>
      </c>
    </row>
    <row r="23" spans="1:3" x14ac:dyDescent="0.2">
      <c r="A23" s="23">
        <v>22068</v>
      </c>
      <c r="B23" s="25">
        <f>VLOOKUP(Table30[[#This Row],[Month]],'DB Money Supply'!$A:$D,3)</f>
        <v>1020.9</v>
      </c>
      <c r="C23" s="65">
        <f>(Table30[[#This Row],[Real M2 Money Stock]]-B11)/B11</f>
        <v>1.0491933089181454E-2</v>
      </c>
    </row>
    <row r="24" spans="1:3" x14ac:dyDescent="0.2">
      <c r="A24" s="23">
        <v>22098</v>
      </c>
      <c r="B24" s="25">
        <f>VLOOKUP(Table30[[#This Row],[Month]],'DB Money Supply'!$A:$D,3)</f>
        <v>1029.0999999999999</v>
      </c>
      <c r="C24" s="65">
        <f>(Table30[[#This Row],[Real M2 Money Stock]]-B12)/B12</f>
        <v>1.6194331983805533E-2</v>
      </c>
    </row>
    <row r="25" spans="1:3" x14ac:dyDescent="0.2">
      <c r="A25" s="23">
        <v>22129</v>
      </c>
      <c r="B25" s="25">
        <f>VLOOKUP(Table30[[#This Row],[Month]],'DB Money Supply'!$A:$D,3)</f>
        <v>1036.5</v>
      </c>
      <c r="C25" s="65">
        <f>(Table30[[#This Row],[Real M2 Money Stock]]-B13)/B13</f>
        <v>2.0378027170702941E-2</v>
      </c>
    </row>
    <row r="26" spans="1:3" x14ac:dyDescent="0.2">
      <c r="A26" s="23">
        <v>22160</v>
      </c>
      <c r="B26" s="25">
        <f>VLOOKUP(Table30[[#This Row],[Month]],'DB Money Supply'!$A:$D,3)</f>
        <v>1041.5</v>
      </c>
      <c r="C26" s="65">
        <f>(Table30[[#This Row],[Real M2 Money Stock]]-B14)/B14</f>
        <v>2.6715299684542611E-2</v>
      </c>
    </row>
    <row r="27" spans="1:3" x14ac:dyDescent="0.2">
      <c r="A27" s="23">
        <v>22190</v>
      </c>
      <c r="B27" s="25">
        <f>VLOOKUP(Table30[[#This Row],[Month]],'DB Money Supply'!$A:$D,3)</f>
        <v>1040.3</v>
      </c>
      <c r="C27" s="65">
        <f>(Table30[[#This Row],[Real M2 Money Stock]]-B15)/B15</f>
        <v>2.979607998416146E-2</v>
      </c>
    </row>
    <row r="28" spans="1:3" x14ac:dyDescent="0.2">
      <c r="A28" s="23">
        <v>22221</v>
      </c>
      <c r="B28" s="25">
        <f>VLOOKUP(Table30[[#This Row],[Month]],'DB Money Supply'!$A:$D,3)</f>
        <v>1044</v>
      </c>
      <c r="C28" s="65">
        <f>(Table30[[#This Row],[Real M2 Money Stock]]-B16)/B16</f>
        <v>3.131482762027072E-2</v>
      </c>
    </row>
    <row r="29" spans="1:3" x14ac:dyDescent="0.2">
      <c r="A29" s="23">
        <v>22251</v>
      </c>
      <c r="B29" s="25">
        <f>VLOOKUP(Table30[[#This Row],[Month]],'DB Money Supply'!$A:$D,3)</f>
        <v>1048</v>
      </c>
      <c r="C29" s="65">
        <f>(Table30[[#This Row],[Real M2 Money Stock]]-B17)/B17</f>
        <v>3.4959510171834858E-2</v>
      </c>
    </row>
    <row r="30" spans="1:3" x14ac:dyDescent="0.2">
      <c r="A30" s="23">
        <v>22282</v>
      </c>
      <c r="B30" s="25">
        <f>VLOOKUP(Table30[[#This Row],[Month]],'DB Money Supply'!$A:$D,3)</f>
        <v>1052.5999999999999</v>
      </c>
      <c r="C30" s="65">
        <f>(Table30[[#This Row],[Real M2 Money Stock]]-B18)/B18</f>
        <v>3.6737909977346557E-2</v>
      </c>
    </row>
    <row r="31" spans="1:3" x14ac:dyDescent="0.2">
      <c r="A31" s="23">
        <v>22313</v>
      </c>
      <c r="B31" s="25">
        <f>VLOOKUP(Table30[[#This Row],[Month]],'DB Money Supply'!$A:$D,3)</f>
        <v>1060.7</v>
      </c>
      <c r="C31" s="65">
        <f>(Table30[[#This Row],[Real M2 Money Stock]]-B19)/B19</f>
        <v>4.5436625271042794E-2</v>
      </c>
    </row>
    <row r="32" spans="1:3" x14ac:dyDescent="0.2">
      <c r="A32" s="23">
        <v>22341</v>
      </c>
      <c r="B32" s="25">
        <f>VLOOKUP(Table30[[#This Row],[Month]],'DB Money Supply'!$A:$D,3)</f>
        <v>1066.7</v>
      </c>
      <c r="C32" s="65">
        <f>(Table30[[#This Row],[Real M2 Money Stock]]-B20)/B20</f>
        <v>4.814778421931807E-2</v>
      </c>
    </row>
    <row r="33" spans="1:3" x14ac:dyDescent="0.2">
      <c r="A33" s="23">
        <v>22372</v>
      </c>
      <c r="B33" s="25">
        <f>VLOOKUP(Table30[[#This Row],[Month]],'DB Money Supply'!$A:$D,3)</f>
        <v>1073.0999999999999</v>
      </c>
      <c r="C33" s="65">
        <f>(Table30[[#This Row],[Real M2 Money Stock]]-B21)/B21</f>
        <v>5.6304754404961049E-2</v>
      </c>
    </row>
    <row r="34" spans="1:3" x14ac:dyDescent="0.2">
      <c r="A34" s="23">
        <v>22402</v>
      </c>
      <c r="B34" s="25">
        <f>VLOOKUP(Table30[[#This Row],[Month]],'DB Money Supply'!$A:$D,3)</f>
        <v>1079.8</v>
      </c>
      <c r="C34" s="65">
        <f>(Table30[[#This Row],[Real M2 Money Stock]]-B22)/B22</f>
        <v>6.1124213836477918E-2</v>
      </c>
    </row>
    <row r="35" spans="1:3" x14ac:dyDescent="0.2">
      <c r="A35" s="23">
        <v>22433</v>
      </c>
      <c r="B35" s="25">
        <f>VLOOKUP(Table30[[#This Row],[Month]],'DB Money Supply'!$A:$D,3)</f>
        <v>1086.8</v>
      </c>
      <c r="C35" s="65">
        <f>(Table30[[#This Row],[Real M2 Money Stock]]-B23)/B23</f>
        <v>6.4550886472720129E-2</v>
      </c>
    </row>
    <row r="36" spans="1:3" x14ac:dyDescent="0.2">
      <c r="A36" s="23">
        <v>22463</v>
      </c>
      <c r="B36" s="25">
        <f>VLOOKUP(Table30[[#This Row],[Month]],'DB Money Supply'!$A:$D,3)</f>
        <v>1088.2</v>
      </c>
      <c r="C36" s="65">
        <f>(Table30[[#This Row],[Real M2 Money Stock]]-B24)/B24</f>
        <v>5.7428821300165328E-2</v>
      </c>
    </row>
    <row r="37" spans="1:3" x14ac:dyDescent="0.2">
      <c r="A37" s="23">
        <v>22494</v>
      </c>
      <c r="B37" s="25">
        <f>VLOOKUP(Table30[[#This Row],[Month]],'DB Money Supply'!$A:$D,3)</f>
        <v>1094.2</v>
      </c>
      <c r="C37" s="65">
        <f>(Table30[[#This Row],[Real M2 Money Stock]]-B25)/B25</f>
        <v>5.5668113844669603E-2</v>
      </c>
    </row>
    <row r="38" spans="1:3" x14ac:dyDescent="0.2">
      <c r="A38" s="23">
        <v>22525</v>
      </c>
      <c r="B38" s="25">
        <f>VLOOKUP(Table30[[#This Row],[Month]],'DB Money Supply'!$A:$D,3)</f>
        <v>1099.0999999999999</v>
      </c>
      <c r="C38" s="65">
        <f>(Table30[[#This Row],[Real M2 Money Stock]]-B26)/B26</f>
        <v>5.5304848775804043E-2</v>
      </c>
    </row>
    <row r="39" spans="1:3" x14ac:dyDescent="0.2">
      <c r="A39" s="23">
        <v>22555</v>
      </c>
      <c r="B39" s="25">
        <f>VLOOKUP(Table30[[#This Row],[Month]],'DB Money Supply'!$A:$D,3)</f>
        <v>1104.4000000000001</v>
      </c>
      <c r="C39" s="65">
        <f>(Table30[[#This Row],[Real M2 Money Stock]]-B27)/B27</f>
        <v>6.1616841295780198E-2</v>
      </c>
    </row>
    <row r="40" spans="1:3" x14ac:dyDescent="0.2">
      <c r="A40" s="23">
        <v>22586</v>
      </c>
      <c r="B40" s="25">
        <f>VLOOKUP(Table30[[#This Row],[Month]],'DB Money Supply'!$A:$D,3)</f>
        <v>1112.0999999999999</v>
      </c>
      <c r="C40" s="65">
        <f>(Table30[[#This Row],[Real M2 Money Stock]]-B28)/B28</f>
        <v>6.5229885057471182E-2</v>
      </c>
    </row>
    <row r="41" spans="1:3" x14ac:dyDescent="0.2">
      <c r="A41" s="23">
        <v>22616</v>
      </c>
      <c r="B41" s="25">
        <f>VLOOKUP(Table30[[#This Row],[Month]],'DB Money Supply'!$A:$D,3)</f>
        <v>1118</v>
      </c>
      <c r="C41" s="65">
        <f>(Table30[[#This Row],[Real M2 Money Stock]]-B29)/B29</f>
        <v>6.6793893129770993E-2</v>
      </c>
    </row>
    <row r="42" spans="1:3" x14ac:dyDescent="0.2">
      <c r="A42" s="23">
        <v>22647</v>
      </c>
      <c r="B42" s="25">
        <f>VLOOKUP(Table30[[#This Row],[Month]],'DB Money Supply'!$A:$D,3)</f>
        <v>1123.5</v>
      </c>
      <c r="C42" s="65">
        <f>(Table30[[#This Row],[Real M2 Money Stock]]-B30)/B30</f>
        <v>6.7357020710621412E-2</v>
      </c>
    </row>
    <row r="43" spans="1:3" x14ac:dyDescent="0.2">
      <c r="A43" s="23">
        <v>22678</v>
      </c>
      <c r="B43" s="25">
        <f>VLOOKUP(Table30[[#This Row],[Month]],'DB Money Supply'!$A:$D,3)</f>
        <v>1129.5</v>
      </c>
      <c r="C43" s="65">
        <f>(Table30[[#This Row],[Real M2 Money Stock]]-B31)/B31</f>
        <v>6.486282643537282E-2</v>
      </c>
    </row>
    <row r="44" spans="1:3" x14ac:dyDescent="0.2">
      <c r="A44" s="23">
        <v>22706</v>
      </c>
      <c r="B44" s="25">
        <f>VLOOKUP(Table30[[#This Row],[Month]],'DB Money Supply'!$A:$D,3)</f>
        <v>1137.2</v>
      </c>
      <c r="C44" s="65">
        <f>(Table30[[#This Row],[Real M2 Money Stock]]-B32)/B32</f>
        <v>6.6091684634855152E-2</v>
      </c>
    </row>
    <row r="45" spans="1:3" x14ac:dyDescent="0.2">
      <c r="A45" s="23">
        <v>22737</v>
      </c>
      <c r="B45" s="25">
        <f>VLOOKUP(Table30[[#This Row],[Month]],'DB Money Supply'!$A:$D,3)</f>
        <v>1143.7</v>
      </c>
      <c r="C45" s="65">
        <f>(Table30[[#This Row],[Real M2 Money Stock]]-B33)/B33</f>
        <v>6.5790699841580605E-2</v>
      </c>
    </row>
    <row r="46" spans="1:3" x14ac:dyDescent="0.2">
      <c r="A46" s="23">
        <v>22767</v>
      </c>
      <c r="B46" s="25">
        <f>VLOOKUP(Table30[[#This Row],[Month]],'DB Money Supply'!$A:$D,3)</f>
        <v>1149.0999999999999</v>
      </c>
      <c r="C46" s="65">
        <f>(Table30[[#This Row],[Real M2 Money Stock]]-B34)/B34</f>
        <v>6.4178551583626564E-2</v>
      </c>
    </row>
    <row r="47" spans="1:3" x14ac:dyDescent="0.2">
      <c r="A47" s="23">
        <v>22798</v>
      </c>
      <c r="B47" s="25">
        <f>VLOOKUP(Table30[[#This Row],[Month]],'DB Money Supply'!$A:$D,3)</f>
        <v>1156.2</v>
      </c>
      <c r="C47" s="65">
        <f>(Table30[[#This Row],[Real M2 Money Stock]]-B35)/B35</f>
        <v>6.3857195436142891E-2</v>
      </c>
    </row>
    <row r="48" spans="1:3" x14ac:dyDescent="0.2">
      <c r="A48" s="23">
        <v>22828</v>
      </c>
      <c r="B48" s="25">
        <f>VLOOKUP(Table30[[#This Row],[Month]],'DB Money Supply'!$A:$D,3)</f>
        <v>1160.8</v>
      </c>
      <c r="C48" s="65">
        <f>(Table30[[#This Row],[Real M2 Money Stock]]-B36)/B36</f>
        <v>6.6715677265208509E-2</v>
      </c>
    </row>
    <row r="49" spans="1:3" x14ac:dyDescent="0.2">
      <c r="A49" s="23">
        <v>22859</v>
      </c>
      <c r="B49" s="25">
        <f>VLOOKUP(Table30[[#This Row],[Month]],'DB Money Supply'!$A:$D,3)</f>
        <v>1165.0999999999999</v>
      </c>
      <c r="C49" s="65">
        <f>(Table30[[#This Row],[Real M2 Money Stock]]-B37)/B37</f>
        <v>6.4796198135624067E-2</v>
      </c>
    </row>
    <row r="50" spans="1:3" x14ac:dyDescent="0.2">
      <c r="A50" s="23">
        <v>22890</v>
      </c>
      <c r="B50" s="25">
        <f>VLOOKUP(Table30[[#This Row],[Month]],'DB Money Supply'!$A:$D,3)</f>
        <v>1166.7</v>
      </c>
      <c r="C50" s="65">
        <f>(Table30[[#This Row],[Real M2 Money Stock]]-B38)/B38</f>
        <v>6.1504867618961095E-2</v>
      </c>
    </row>
    <row r="51" spans="1:3" x14ac:dyDescent="0.2">
      <c r="A51" s="23">
        <v>22920</v>
      </c>
      <c r="B51" s="25">
        <f>VLOOKUP(Table30[[#This Row],[Month]],'DB Money Supply'!$A:$D,3)</f>
        <v>1175.8</v>
      </c>
      <c r="C51" s="65">
        <f>(Table30[[#This Row],[Real M2 Money Stock]]-B39)/B39</f>
        <v>6.4650488953277671E-2</v>
      </c>
    </row>
    <row r="52" spans="1:3" x14ac:dyDescent="0.2">
      <c r="A52" s="23">
        <v>22951</v>
      </c>
      <c r="B52" s="25">
        <f>VLOOKUP(Table30[[#This Row],[Month]],'DB Money Supply'!$A:$D,3)</f>
        <v>1184.3</v>
      </c>
      <c r="C52" s="65">
        <f>(Table30[[#This Row],[Real M2 Money Stock]]-B40)/B40</f>
        <v>6.4922219224889888E-2</v>
      </c>
    </row>
    <row r="53" spans="1:3" x14ac:dyDescent="0.2">
      <c r="A53" s="23">
        <v>22981</v>
      </c>
      <c r="B53" s="25">
        <f>VLOOKUP(Table30[[#This Row],[Month]],'DB Money Supply'!$A:$D,3)</f>
        <v>1193.9000000000001</v>
      </c>
      <c r="C53" s="65">
        <f>(Table30[[#This Row],[Real M2 Money Stock]]-B41)/B41</f>
        <v>6.7889087656529595E-2</v>
      </c>
    </row>
    <row r="54" spans="1:3" x14ac:dyDescent="0.2">
      <c r="A54" s="23">
        <v>23012</v>
      </c>
      <c r="B54" s="25">
        <f>VLOOKUP(Table30[[#This Row],[Month]],'DB Money Supply'!$A:$D,3)</f>
        <v>1199.7</v>
      </c>
      <c r="C54" s="65">
        <f>(Table30[[#This Row],[Real M2 Money Stock]]-B42)/B42</f>
        <v>6.7823765020026738E-2</v>
      </c>
    </row>
    <row r="55" spans="1:3" x14ac:dyDescent="0.2">
      <c r="A55" s="23">
        <v>23043</v>
      </c>
      <c r="B55" s="25">
        <f>VLOOKUP(Table30[[#This Row],[Month]],'DB Money Supply'!$A:$D,3)</f>
        <v>1207</v>
      </c>
      <c r="C55" s="65">
        <f>(Table30[[#This Row],[Real M2 Money Stock]]-B43)/B43</f>
        <v>6.8614431164231965E-2</v>
      </c>
    </row>
    <row r="56" spans="1:3" x14ac:dyDescent="0.2">
      <c r="A56" s="23">
        <v>23071</v>
      </c>
      <c r="B56" s="25">
        <f>VLOOKUP(Table30[[#This Row],[Month]],'DB Money Supply'!$A:$D,3)</f>
        <v>1215</v>
      </c>
      <c r="C56" s="65">
        <f>(Table30[[#This Row],[Real M2 Money Stock]]-B44)/B44</f>
        <v>6.8413647555399179E-2</v>
      </c>
    </row>
    <row r="57" spans="1:3" x14ac:dyDescent="0.2">
      <c r="A57" s="23">
        <v>23102</v>
      </c>
      <c r="B57" s="25">
        <f>VLOOKUP(Table30[[#This Row],[Month]],'DB Money Supply'!$A:$D,3)</f>
        <v>1224.7</v>
      </c>
      <c r="C57" s="65">
        <f>(Table30[[#This Row],[Real M2 Money Stock]]-B45)/B45</f>
        <v>7.0822768208446268E-2</v>
      </c>
    </row>
    <row r="58" spans="1:3" x14ac:dyDescent="0.2">
      <c r="A58" s="23">
        <v>23132</v>
      </c>
      <c r="B58" s="25">
        <f>VLOOKUP(Table30[[#This Row],[Month]],'DB Money Supply'!$A:$D,3)</f>
        <v>1232.7</v>
      </c>
      <c r="C58" s="65">
        <f>(Table30[[#This Row],[Real M2 Money Stock]]-B46)/B46</f>
        <v>7.275258898268222E-2</v>
      </c>
    </row>
    <row r="59" spans="1:3" x14ac:dyDescent="0.2">
      <c r="A59" s="23">
        <v>23163</v>
      </c>
      <c r="B59" s="25">
        <f>VLOOKUP(Table30[[#This Row],[Month]],'DB Money Supply'!$A:$D,3)</f>
        <v>1236.2</v>
      </c>
      <c r="C59" s="65">
        <f>(Table30[[#This Row],[Real M2 Money Stock]]-B47)/B47</f>
        <v>6.9192181283514967E-2</v>
      </c>
    </row>
    <row r="60" spans="1:3" x14ac:dyDescent="0.2">
      <c r="A60" s="23">
        <v>23193</v>
      </c>
      <c r="B60" s="25">
        <f>VLOOKUP(Table30[[#This Row],[Month]],'DB Money Supply'!$A:$D,3)</f>
        <v>1241.8</v>
      </c>
      <c r="C60" s="65">
        <f>(Table30[[#This Row],[Real M2 Money Stock]]-B48)/B48</f>
        <v>6.9779462439696766E-2</v>
      </c>
    </row>
    <row r="61" spans="1:3" x14ac:dyDescent="0.2">
      <c r="A61" s="23">
        <v>23224</v>
      </c>
      <c r="B61" s="25">
        <f>VLOOKUP(Table30[[#This Row],[Month]],'DB Money Supply'!$A:$D,3)</f>
        <v>1247.5</v>
      </c>
      <c r="C61" s="65">
        <f>(Table30[[#This Row],[Real M2 Money Stock]]-B49)/B49</f>
        <v>7.0723543043515663E-2</v>
      </c>
    </row>
    <row r="62" spans="1:3" x14ac:dyDescent="0.2">
      <c r="A62" s="23">
        <v>23255</v>
      </c>
      <c r="B62" s="25">
        <f>VLOOKUP(Table30[[#This Row],[Month]],'DB Money Supply'!$A:$D,3)</f>
        <v>1256.5</v>
      </c>
      <c r="C62" s="65">
        <f>(Table30[[#This Row],[Real M2 Money Stock]]-B50)/B50</f>
        <v>7.6969229450587082E-2</v>
      </c>
    </row>
    <row r="63" spans="1:3" x14ac:dyDescent="0.2">
      <c r="A63" s="23">
        <v>23285</v>
      </c>
      <c r="B63" s="25">
        <f>VLOOKUP(Table30[[#This Row],[Month]],'DB Money Supply'!$A:$D,3)</f>
        <v>1262.8</v>
      </c>
      <c r="C63" s="65">
        <f>(Table30[[#This Row],[Real M2 Money Stock]]-B51)/B51</f>
        <v>7.3992175540057839E-2</v>
      </c>
    </row>
    <row r="64" spans="1:3" x14ac:dyDescent="0.2">
      <c r="A64" s="23">
        <v>23316</v>
      </c>
      <c r="B64" s="25">
        <f>VLOOKUP(Table30[[#This Row],[Month]],'DB Money Supply'!$A:$D,3)</f>
        <v>1271.9000000000001</v>
      </c>
      <c r="C64" s="65">
        <f>(Table30[[#This Row],[Real M2 Money Stock]]-B52)/B52</f>
        <v>7.3967744659292525E-2</v>
      </c>
    </row>
    <row r="65" spans="1:3" x14ac:dyDescent="0.2">
      <c r="A65" s="23">
        <v>23346</v>
      </c>
      <c r="B65" s="25">
        <f>VLOOKUP(Table30[[#This Row],[Month]],'DB Money Supply'!$A:$D,3)</f>
        <v>1273.3</v>
      </c>
      <c r="C65" s="65">
        <f>(Table30[[#This Row],[Real M2 Money Stock]]-B53)/B53</f>
        <v>6.6504732389647256E-2</v>
      </c>
    </row>
    <row r="66" spans="1:3" x14ac:dyDescent="0.2">
      <c r="A66" s="23">
        <v>23377</v>
      </c>
      <c r="B66" s="25">
        <f>VLOOKUP(Table30[[#This Row],[Month]],'DB Money Supply'!$A:$D,3)</f>
        <v>1277.3</v>
      </c>
      <c r="C66" s="65">
        <f>(Table30[[#This Row],[Real M2 Money Stock]]-B54)/B54</f>
        <v>6.4682837376010591E-2</v>
      </c>
    </row>
    <row r="67" spans="1:3" x14ac:dyDescent="0.2">
      <c r="A67" s="23">
        <v>23408</v>
      </c>
      <c r="B67" s="25">
        <f>VLOOKUP(Table30[[#This Row],[Month]],'DB Money Supply'!$A:$D,3)</f>
        <v>1286.3</v>
      </c>
      <c r="C67" s="65">
        <f>(Table30[[#This Row],[Real M2 Money Stock]]-B55)/B55</f>
        <v>6.5700082850041391E-2</v>
      </c>
    </row>
    <row r="68" spans="1:3" x14ac:dyDescent="0.2">
      <c r="A68" s="23">
        <v>23437</v>
      </c>
      <c r="B68" s="25">
        <f>VLOOKUP(Table30[[#This Row],[Month]],'DB Money Supply'!$A:$D,3)</f>
        <v>1292.2</v>
      </c>
      <c r="C68" s="65">
        <f>(Table30[[#This Row],[Real M2 Money Stock]]-B56)/B56</f>
        <v>6.3539094650205796E-2</v>
      </c>
    </row>
    <row r="69" spans="1:3" x14ac:dyDescent="0.2">
      <c r="A69" s="23">
        <v>23468</v>
      </c>
      <c r="B69" s="25">
        <f>VLOOKUP(Table30[[#This Row],[Month]],'DB Money Supply'!$A:$D,3)</f>
        <v>1297.9000000000001</v>
      </c>
      <c r="C69" s="65">
        <f>(Table30[[#This Row],[Real M2 Money Stock]]-B57)/B57</f>
        <v>5.9769739528047719E-2</v>
      </c>
    </row>
    <row r="70" spans="1:3" x14ac:dyDescent="0.2">
      <c r="A70" s="23">
        <v>23498</v>
      </c>
      <c r="B70" s="25">
        <f>VLOOKUP(Table30[[#This Row],[Month]],'DB Money Supply'!$A:$D,3)</f>
        <v>1304.7</v>
      </c>
      <c r="C70" s="65">
        <f>(Table30[[#This Row],[Real M2 Money Stock]]-B58)/B58</f>
        <v>5.8408371866634216E-2</v>
      </c>
    </row>
    <row r="71" spans="1:3" x14ac:dyDescent="0.2">
      <c r="A71" s="23">
        <v>23529</v>
      </c>
      <c r="B71" s="25">
        <f>VLOOKUP(Table30[[#This Row],[Month]],'DB Money Supply'!$A:$D,3)</f>
        <v>1312.8</v>
      </c>
      <c r="C71" s="65">
        <f>(Table30[[#This Row],[Real M2 Money Stock]]-B59)/B59</f>
        <v>6.1964083481637199E-2</v>
      </c>
    </row>
    <row r="72" spans="1:3" x14ac:dyDescent="0.2">
      <c r="A72" s="23">
        <v>23559</v>
      </c>
      <c r="B72" s="25">
        <f>VLOOKUP(Table30[[#This Row],[Month]],'DB Money Supply'!$A:$D,3)</f>
        <v>1322.1</v>
      </c>
      <c r="C72" s="65">
        <f>(Table30[[#This Row],[Real M2 Money Stock]]-B60)/B60</f>
        <v>6.4664197133193713E-2</v>
      </c>
    </row>
    <row r="73" spans="1:3" x14ac:dyDescent="0.2">
      <c r="A73" s="23">
        <v>23590</v>
      </c>
      <c r="B73" s="25">
        <f>VLOOKUP(Table30[[#This Row],[Month]],'DB Money Supply'!$A:$D,3)</f>
        <v>1331.4</v>
      </c>
      <c r="C73" s="65">
        <f>(Table30[[#This Row],[Real M2 Money Stock]]-B61)/B61</f>
        <v>6.7254509018036146E-2</v>
      </c>
    </row>
    <row r="74" spans="1:3" x14ac:dyDescent="0.2">
      <c r="A74" s="23">
        <v>23621</v>
      </c>
      <c r="B74" s="25">
        <f>VLOOKUP(Table30[[#This Row],[Month]],'DB Money Supply'!$A:$D,3)</f>
        <v>1341.4</v>
      </c>
      <c r="C74" s="65">
        <f>(Table30[[#This Row],[Real M2 Money Stock]]-B62)/B62</f>
        <v>6.756864305610831E-2</v>
      </c>
    </row>
    <row r="75" spans="1:3" x14ac:dyDescent="0.2">
      <c r="A75" s="23">
        <v>23651</v>
      </c>
      <c r="B75" s="25">
        <f>VLOOKUP(Table30[[#This Row],[Month]],'DB Money Supply'!$A:$D,3)</f>
        <v>1346.7</v>
      </c>
      <c r="C75" s="65">
        <f>(Table30[[#This Row],[Real M2 Money Stock]]-B63)/B63</f>
        <v>6.6439657903072616E-2</v>
      </c>
    </row>
    <row r="76" spans="1:3" x14ac:dyDescent="0.2">
      <c r="A76" s="23">
        <v>23682</v>
      </c>
      <c r="B76" s="25">
        <f>VLOOKUP(Table30[[#This Row],[Month]],'DB Money Supply'!$A:$D,3)</f>
        <v>1352.1</v>
      </c>
      <c r="C76" s="65">
        <f>(Table30[[#This Row],[Real M2 Money Stock]]-B64)/B64</f>
        <v>6.3055271640852117E-2</v>
      </c>
    </row>
    <row r="77" spans="1:3" x14ac:dyDescent="0.2">
      <c r="A77" s="23">
        <v>23712</v>
      </c>
      <c r="B77" s="25">
        <f>VLOOKUP(Table30[[#This Row],[Month]],'DB Money Supply'!$A:$D,3)</f>
        <v>1359</v>
      </c>
      <c r="C77" s="65">
        <f>(Table30[[#This Row],[Real M2 Money Stock]]-B65)/B65</f>
        <v>6.7305426843634691E-2</v>
      </c>
    </row>
    <row r="78" spans="1:3" x14ac:dyDescent="0.2">
      <c r="A78" s="23">
        <v>23743</v>
      </c>
      <c r="B78" s="25">
        <f>VLOOKUP(Table30[[#This Row],[Month]],'DB Money Supply'!$A:$D,3)</f>
        <v>1366.7</v>
      </c>
      <c r="C78" s="65">
        <f>(Table30[[#This Row],[Real M2 Money Stock]]-B66)/B66</f>
        <v>6.9991388084240269E-2</v>
      </c>
    </row>
    <row r="79" spans="1:3" x14ac:dyDescent="0.2">
      <c r="A79" s="23">
        <v>23774</v>
      </c>
      <c r="B79" s="25">
        <f>VLOOKUP(Table30[[#This Row],[Month]],'DB Money Supply'!$A:$D,3)</f>
        <v>1376</v>
      </c>
      <c r="C79" s="65">
        <f>(Table30[[#This Row],[Real M2 Money Stock]]-B67)/B67</f>
        <v>6.9734898546217866E-2</v>
      </c>
    </row>
    <row r="80" spans="1:3" x14ac:dyDescent="0.2">
      <c r="A80" s="23">
        <v>23802</v>
      </c>
      <c r="B80" s="25">
        <f>VLOOKUP(Table30[[#This Row],[Month]],'DB Money Supply'!$A:$D,3)</f>
        <v>1383.6</v>
      </c>
      <c r="C80" s="65">
        <f>(Table30[[#This Row],[Real M2 Money Stock]]-B68)/B68</f>
        <v>7.0732084816591753E-2</v>
      </c>
    </row>
    <row r="81" spans="1:3" x14ac:dyDescent="0.2">
      <c r="A81" s="23">
        <v>23833</v>
      </c>
      <c r="B81" s="25">
        <f>VLOOKUP(Table30[[#This Row],[Month]],'DB Money Supply'!$A:$D,3)</f>
        <v>1387.5</v>
      </c>
      <c r="C81" s="65">
        <f>(Table30[[#This Row],[Real M2 Money Stock]]-B69)/B69</f>
        <v>6.9034594344710612E-2</v>
      </c>
    </row>
    <row r="82" spans="1:3" x14ac:dyDescent="0.2">
      <c r="A82" s="23">
        <v>23863</v>
      </c>
      <c r="B82" s="25">
        <f>VLOOKUP(Table30[[#This Row],[Month]],'DB Money Supply'!$A:$D,3)</f>
        <v>1388.5</v>
      </c>
      <c r="C82" s="65">
        <f>(Table30[[#This Row],[Real M2 Money Stock]]-B70)/B70</f>
        <v>6.4229324748984407E-2</v>
      </c>
    </row>
    <row r="83" spans="1:3" x14ac:dyDescent="0.2">
      <c r="A83" s="23">
        <v>23894</v>
      </c>
      <c r="B83" s="25">
        <f>VLOOKUP(Table30[[#This Row],[Month]],'DB Money Supply'!$A:$D,3)</f>
        <v>1392.3</v>
      </c>
      <c r="C83" s="65">
        <f>(Table30[[#This Row],[Real M2 Money Stock]]-B71)/B71</f>
        <v>6.0557586837294335E-2</v>
      </c>
    </row>
    <row r="84" spans="1:3" x14ac:dyDescent="0.2">
      <c r="A84" s="23">
        <v>23924</v>
      </c>
      <c r="B84" s="25">
        <f>VLOOKUP(Table30[[#This Row],[Month]],'DB Money Supply'!$A:$D,3)</f>
        <v>1402.5</v>
      </c>
      <c r="C84" s="65">
        <f>(Table30[[#This Row],[Real M2 Money Stock]]-B72)/B72</f>
        <v>6.0812343998184776E-2</v>
      </c>
    </row>
    <row r="85" spans="1:3" x14ac:dyDescent="0.2">
      <c r="A85" s="23">
        <v>23955</v>
      </c>
      <c r="B85" s="25">
        <f>VLOOKUP(Table30[[#This Row],[Month]],'DB Money Supply'!$A:$D,3)</f>
        <v>1413</v>
      </c>
      <c r="C85" s="65">
        <f>(Table30[[#This Row],[Real M2 Money Stock]]-B73)/B73</f>
        <v>6.1288868859846704E-2</v>
      </c>
    </row>
    <row r="86" spans="1:3" x14ac:dyDescent="0.2">
      <c r="A86" s="23">
        <v>23986</v>
      </c>
      <c r="B86" s="25">
        <f>VLOOKUP(Table30[[#This Row],[Month]],'DB Money Supply'!$A:$D,3)</f>
        <v>1421.6</v>
      </c>
      <c r="C86" s="65">
        <f>(Table30[[#This Row],[Real M2 Money Stock]]-B74)/B74</f>
        <v>5.9788280900551521E-2</v>
      </c>
    </row>
    <row r="87" spans="1:3" x14ac:dyDescent="0.2">
      <c r="A87" s="23">
        <v>24016</v>
      </c>
      <c r="B87" s="25">
        <f>VLOOKUP(Table30[[#This Row],[Month]],'DB Money Supply'!$A:$D,3)</f>
        <v>1430</v>
      </c>
      <c r="C87" s="65">
        <f>(Table30[[#This Row],[Real M2 Money Stock]]-B75)/B75</f>
        <v>6.1854904581569725E-2</v>
      </c>
    </row>
    <row r="88" spans="1:3" x14ac:dyDescent="0.2">
      <c r="A88" s="23">
        <v>24047</v>
      </c>
      <c r="B88" s="25">
        <f>VLOOKUP(Table30[[#This Row],[Month]],'DB Money Supply'!$A:$D,3)</f>
        <v>1435.3</v>
      </c>
      <c r="C88" s="65">
        <f>(Table30[[#This Row],[Real M2 Money Stock]]-B76)/B76</f>
        <v>6.1533910213741626E-2</v>
      </c>
    </row>
    <row r="89" spans="1:3" x14ac:dyDescent="0.2">
      <c r="A89" s="23">
        <v>24077</v>
      </c>
      <c r="B89" s="25">
        <f>VLOOKUP(Table30[[#This Row],[Month]],'DB Money Supply'!$A:$D,3)</f>
        <v>1441.8</v>
      </c>
      <c r="C89" s="65">
        <f>(Table30[[#This Row],[Real M2 Money Stock]]-B77)/B77</f>
        <v>6.0927152317880762E-2</v>
      </c>
    </row>
    <row r="90" spans="1:3" x14ac:dyDescent="0.2">
      <c r="A90" s="23">
        <v>24108</v>
      </c>
      <c r="B90" s="25">
        <f>VLOOKUP(Table30[[#This Row],[Month]],'DB Money Supply'!$A:$D,3)</f>
        <v>1449.2</v>
      </c>
      <c r="C90" s="65">
        <f>(Table30[[#This Row],[Real M2 Money Stock]]-B78)/B78</f>
        <v>6.0364381356552275E-2</v>
      </c>
    </row>
    <row r="91" spans="1:3" x14ac:dyDescent="0.2">
      <c r="A91" s="23">
        <v>24139</v>
      </c>
      <c r="B91" s="25">
        <f>VLOOKUP(Table30[[#This Row],[Month]],'DB Money Supply'!$A:$D,3)</f>
        <v>1448.3</v>
      </c>
      <c r="C91" s="65">
        <f>(Table30[[#This Row],[Real M2 Money Stock]]-B79)/B79</f>
        <v>5.2543604651162756E-2</v>
      </c>
    </row>
    <row r="92" spans="1:3" x14ac:dyDescent="0.2">
      <c r="A92" s="23">
        <v>24167</v>
      </c>
      <c r="B92" s="25">
        <f>VLOOKUP(Table30[[#This Row],[Month]],'DB Money Supply'!$A:$D,3)</f>
        <v>1451.8</v>
      </c>
      <c r="C92" s="65">
        <f>(Table30[[#This Row],[Real M2 Money Stock]]-B80)/B80</f>
        <v>4.9291702804278727E-2</v>
      </c>
    </row>
    <row r="93" spans="1:3" x14ac:dyDescent="0.2">
      <c r="A93" s="23">
        <v>24198</v>
      </c>
      <c r="B93" s="25">
        <f>VLOOKUP(Table30[[#This Row],[Month]],'DB Money Supply'!$A:$D,3)</f>
        <v>1453.8</v>
      </c>
      <c r="C93" s="65">
        <f>(Table30[[#This Row],[Real M2 Money Stock]]-B81)/B81</f>
        <v>4.778378378378375E-2</v>
      </c>
    </row>
    <row r="94" spans="1:3" x14ac:dyDescent="0.2">
      <c r="A94" s="23">
        <v>24228</v>
      </c>
      <c r="B94" s="25">
        <f>VLOOKUP(Table30[[#This Row],[Month]],'DB Money Supply'!$A:$D,3)</f>
        <v>1453.2</v>
      </c>
      <c r="C94" s="65">
        <f>(Table30[[#This Row],[Real M2 Money Stock]]-B82)/B82</f>
        <v>4.6597047173208533E-2</v>
      </c>
    </row>
    <row r="95" spans="1:3" x14ac:dyDescent="0.2">
      <c r="A95" s="23">
        <v>24259</v>
      </c>
      <c r="B95" s="25">
        <f>VLOOKUP(Table30[[#This Row],[Month]],'DB Money Supply'!$A:$D,3)</f>
        <v>1455.2</v>
      </c>
      <c r="C95" s="65">
        <f>(Table30[[#This Row],[Real M2 Money Stock]]-B83)/B83</f>
        <v>4.5177045177045246E-2</v>
      </c>
    </row>
    <row r="96" spans="1:3" x14ac:dyDescent="0.2">
      <c r="A96" s="23">
        <v>24289</v>
      </c>
      <c r="B96" s="25">
        <f>VLOOKUP(Table30[[#This Row],[Month]],'DB Money Supply'!$A:$D,3)</f>
        <v>1451.2</v>
      </c>
      <c r="C96" s="65">
        <f>(Table30[[#This Row],[Real M2 Money Stock]]-B84)/B84</f>
        <v>3.4723707664884168E-2</v>
      </c>
    </row>
    <row r="97" spans="1:3" x14ac:dyDescent="0.2">
      <c r="A97" s="23">
        <v>24320</v>
      </c>
      <c r="B97" s="25">
        <f>VLOOKUP(Table30[[#This Row],[Month]],'DB Money Supply'!$A:$D,3)</f>
        <v>1447.5</v>
      </c>
      <c r="C97" s="65">
        <f>(Table30[[#This Row],[Real M2 Money Stock]]-B85)/B85</f>
        <v>2.4416135881104035E-2</v>
      </c>
    </row>
    <row r="98" spans="1:3" x14ac:dyDescent="0.2">
      <c r="A98" s="23">
        <v>24351</v>
      </c>
      <c r="B98" s="25">
        <f>VLOOKUP(Table30[[#This Row],[Month]],'DB Money Supply'!$A:$D,3)</f>
        <v>1451.6</v>
      </c>
      <c r="C98" s="65">
        <f>(Table30[[#This Row],[Real M2 Money Stock]]-B86)/B86</f>
        <v>2.1102982554867755E-2</v>
      </c>
    </row>
    <row r="99" spans="1:3" x14ac:dyDescent="0.2">
      <c r="A99" s="23">
        <v>24381</v>
      </c>
      <c r="B99" s="25">
        <f>VLOOKUP(Table30[[#This Row],[Month]],'DB Money Supply'!$A:$D,3)</f>
        <v>1448.1</v>
      </c>
      <c r="C99" s="65">
        <f>(Table30[[#This Row],[Real M2 Money Stock]]-B87)/B87</f>
        <v>1.2657342657342594E-2</v>
      </c>
    </row>
    <row r="100" spans="1:3" x14ac:dyDescent="0.2">
      <c r="A100" s="23">
        <v>24412</v>
      </c>
      <c r="B100" s="25">
        <f>VLOOKUP(Table30[[#This Row],[Month]],'DB Money Supply'!$A:$D,3)</f>
        <v>1451.6</v>
      </c>
      <c r="C100" s="65">
        <f>(Table30[[#This Row],[Real M2 Money Stock]]-B88)/B88</f>
        <v>1.1356510833971961E-2</v>
      </c>
    </row>
    <row r="101" spans="1:3" x14ac:dyDescent="0.2">
      <c r="A101" s="23">
        <v>24442</v>
      </c>
      <c r="B101" s="25">
        <f>VLOOKUP(Table30[[#This Row],[Month]],'DB Money Supply'!$A:$D,3)</f>
        <v>1458.7</v>
      </c>
      <c r="C101" s="65">
        <f>(Table30[[#This Row],[Real M2 Money Stock]]-B89)/B89</f>
        <v>1.1721459287002422E-2</v>
      </c>
    </row>
    <row r="102" spans="1:3" x14ac:dyDescent="0.2">
      <c r="A102" s="23">
        <v>24473</v>
      </c>
      <c r="B102" s="25">
        <f>VLOOKUP(Table30[[#This Row],[Month]],'DB Money Supply'!$A:$D,3)</f>
        <v>1463.8</v>
      </c>
      <c r="C102" s="65">
        <f>(Table30[[#This Row],[Real M2 Money Stock]]-B90)/B90</f>
        <v>1.0074523875241449E-2</v>
      </c>
    </row>
    <row r="103" spans="1:3" x14ac:dyDescent="0.2">
      <c r="A103" s="23">
        <v>24504</v>
      </c>
      <c r="B103" s="25">
        <f>VLOOKUP(Table30[[#This Row],[Month]],'DB Money Supply'!$A:$D,3)</f>
        <v>1470</v>
      </c>
      <c r="C103" s="65">
        <f>(Table30[[#This Row],[Real M2 Money Stock]]-B91)/B91</f>
        <v>1.4983083615273111E-2</v>
      </c>
    </row>
    <row r="104" spans="1:3" x14ac:dyDescent="0.2">
      <c r="A104" s="23">
        <v>24532</v>
      </c>
      <c r="B104" s="25">
        <f>VLOOKUP(Table30[[#This Row],[Month]],'DB Money Supply'!$A:$D,3)</f>
        <v>1483.9</v>
      </c>
      <c r="C104" s="65">
        <f>(Table30[[#This Row],[Real M2 Money Stock]]-B92)/B92</f>
        <v>2.2110483537677462E-2</v>
      </c>
    </row>
    <row r="105" spans="1:3" x14ac:dyDescent="0.2">
      <c r="A105" s="23">
        <v>24563</v>
      </c>
      <c r="B105" s="25">
        <f>VLOOKUP(Table30[[#This Row],[Month]],'DB Money Supply'!$A:$D,3)</f>
        <v>1486.7</v>
      </c>
      <c r="C105" s="65">
        <f>(Table30[[#This Row],[Real M2 Money Stock]]-B93)/B93</f>
        <v>2.2630348053377419E-2</v>
      </c>
    </row>
    <row r="106" spans="1:3" x14ac:dyDescent="0.2">
      <c r="A106" s="23">
        <v>24593</v>
      </c>
      <c r="B106" s="25">
        <f>VLOOKUP(Table30[[#This Row],[Month]],'DB Money Supply'!$A:$D,3)</f>
        <v>1502.1</v>
      </c>
      <c r="C106" s="65">
        <f>(Table30[[#This Row],[Real M2 Money Stock]]-B94)/B94</f>
        <v>3.3649876135425173E-2</v>
      </c>
    </row>
    <row r="107" spans="1:3" x14ac:dyDescent="0.2">
      <c r="A107" s="23">
        <v>24624</v>
      </c>
      <c r="B107" s="25">
        <f>VLOOKUP(Table30[[#This Row],[Month]],'DB Money Supply'!$A:$D,3)</f>
        <v>1507.5</v>
      </c>
      <c r="C107" s="65">
        <f>(Table30[[#This Row],[Real M2 Money Stock]]-B95)/B95</f>
        <v>3.5940076965365553E-2</v>
      </c>
    </row>
    <row r="108" spans="1:3" x14ac:dyDescent="0.2">
      <c r="A108" s="23">
        <v>24654</v>
      </c>
      <c r="B108" s="25">
        <f>VLOOKUP(Table30[[#This Row],[Month]],'DB Money Supply'!$A:$D,3)</f>
        <v>1515.9</v>
      </c>
      <c r="C108" s="65">
        <f>(Table30[[#This Row],[Real M2 Money Stock]]-B96)/B96</f>
        <v>4.4583792723263536E-2</v>
      </c>
    </row>
    <row r="109" spans="1:3" x14ac:dyDescent="0.2">
      <c r="A109" s="23">
        <v>24685</v>
      </c>
      <c r="B109" s="25">
        <f>VLOOKUP(Table30[[#This Row],[Month]],'DB Money Supply'!$A:$D,3)</f>
        <v>1524.8</v>
      </c>
      <c r="C109" s="65">
        <f>(Table30[[#This Row],[Real M2 Money Stock]]-B97)/B97</f>
        <v>5.3402417962003422E-2</v>
      </c>
    </row>
    <row r="110" spans="1:3" x14ac:dyDescent="0.2">
      <c r="A110" s="23">
        <v>24716</v>
      </c>
      <c r="B110" s="25">
        <f>VLOOKUP(Table30[[#This Row],[Month]],'DB Money Supply'!$A:$D,3)</f>
        <v>1531.8</v>
      </c>
      <c r="C110" s="65">
        <f>(Table30[[#This Row],[Real M2 Money Stock]]-B98)/B98</f>
        <v>5.5249379994488874E-2</v>
      </c>
    </row>
    <row r="111" spans="1:3" x14ac:dyDescent="0.2">
      <c r="A111" s="23">
        <v>24746</v>
      </c>
      <c r="B111" s="25">
        <f>VLOOKUP(Table30[[#This Row],[Month]],'DB Money Supply'!$A:$D,3)</f>
        <v>1537.7</v>
      </c>
      <c r="C111" s="65">
        <f>(Table30[[#This Row],[Real M2 Money Stock]]-B99)/B99</f>
        <v>6.1874179959947616E-2</v>
      </c>
    </row>
    <row r="112" spans="1:3" x14ac:dyDescent="0.2">
      <c r="A112" s="23">
        <v>24777</v>
      </c>
      <c r="B112" s="25">
        <f>VLOOKUP(Table30[[#This Row],[Month]],'DB Money Supply'!$A:$D,3)</f>
        <v>1537.5</v>
      </c>
      <c r="C112" s="65">
        <f>(Table30[[#This Row],[Real M2 Money Stock]]-B100)/B100</f>
        <v>5.9176081565169535E-2</v>
      </c>
    </row>
    <row r="113" spans="1:3" x14ac:dyDescent="0.2">
      <c r="A113" s="23">
        <v>24807</v>
      </c>
      <c r="B113" s="25">
        <f>VLOOKUP(Table30[[#This Row],[Month]],'DB Money Supply'!$A:$D,3)</f>
        <v>1543.5</v>
      </c>
      <c r="C113" s="65">
        <f>(Table30[[#This Row],[Real M2 Money Stock]]-B101)/B101</f>
        <v>5.8133954891341572E-2</v>
      </c>
    </row>
    <row r="114" spans="1:3" x14ac:dyDescent="0.2">
      <c r="A114" s="23">
        <v>24838</v>
      </c>
      <c r="B114" s="25">
        <f>VLOOKUP(Table30[[#This Row],[Month]],'DB Money Supply'!$A:$D,3)</f>
        <v>1546.6</v>
      </c>
      <c r="C114" s="65">
        <f>(Table30[[#This Row],[Real M2 Money Stock]]-B102)/B102</f>
        <v>5.656510452247572E-2</v>
      </c>
    </row>
    <row r="115" spans="1:3" x14ac:dyDescent="0.2">
      <c r="A115" s="23">
        <v>24869</v>
      </c>
      <c r="B115" s="25">
        <f>VLOOKUP(Table30[[#This Row],[Month]],'DB Money Supply'!$A:$D,3)</f>
        <v>1550.9</v>
      </c>
      <c r="C115" s="65">
        <f>(Table30[[#This Row],[Real M2 Money Stock]]-B103)/B103</f>
        <v>5.5034013605442238E-2</v>
      </c>
    </row>
    <row r="116" spans="1:3" x14ac:dyDescent="0.2">
      <c r="A116" s="23">
        <v>24898</v>
      </c>
      <c r="B116" s="25">
        <f>VLOOKUP(Table30[[#This Row],[Month]],'DB Money Supply'!$A:$D,3)</f>
        <v>1554.5</v>
      </c>
      <c r="C116" s="65">
        <f>(Table30[[#This Row],[Real M2 Money Stock]]-B104)/B104</f>
        <v>4.7577330008760632E-2</v>
      </c>
    </row>
    <row r="117" spans="1:3" x14ac:dyDescent="0.2">
      <c r="A117" s="23">
        <v>24929</v>
      </c>
      <c r="B117" s="25">
        <f>VLOOKUP(Table30[[#This Row],[Month]],'DB Money Supply'!$A:$D,3)</f>
        <v>1557.3</v>
      </c>
      <c r="C117" s="65">
        <f>(Table30[[#This Row],[Real M2 Money Stock]]-B105)/B105</f>
        <v>4.7487724490482212E-2</v>
      </c>
    </row>
    <row r="118" spans="1:3" x14ac:dyDescent="0.2">
      <c r="A118" s="23">
        <v>24959</v>
      </c>
      <c r="B118" s="25">
        <f>VLOOKUP(Table30[[#This Row],[Month]],'DB Money Supply'!$A:$D,3)</f>
        <v>1562</v>
      </c>
      <c r="C118" s="65">
        <f>(Table30[[#This Row],[Real M2 Money Stock]]-B106)/B106</f>
        <v>3.9877504826576191E-2</v>
      </c>
    </row>
    <row r="119" spans="1:3" x14ac:dyDescent="0.2">
      <c r="A119" s="23">
        <v>24990</v>
      </c>
      <c r="B119" s="25">
        <f>VLOOKUP(Table30[[#This Row],[Month]],'DB Money Supply'!$A:$D,3)</f>
        <v>1563.7</v>
      </c>
      <c r="C119" s="65">
        <f>(Table30[[#This Row],[Real M2 Money Stock]]-B107)/B107</f>
        <v>3.728026533996686E-2</v>
      </c>
    </row>
    <row r="120" spans="1:3" x14ac:dyDescent="0.2">
      <c r="A120" s="23">
        <v>25020</v>
      </c>
      <c r="B120" s="25">
        <f>VLOOKUP(Table30[[#This Row],[Month]],'DB Money Supply'!$A:$D,3)</f>
        <v>1563.3</v>
      </c>
      <c r="C120" s="65">
        <f>(Table30[[#This Row],[Real M2 Money Stock]]-B108)/B108</f>
        <v>3.1268553334652588E-2</v>
      </c>
    </row>
    <row r="121" spans="1:3" x14ac:dyDescent="0.2">
      <c r="A121" s="23">
        <v>25051</v>
      </c>
      <c r="B121" s="25">
        <f>VLOOKUP(Table30[[#This Row],[Month]],'DB Money Supply'!$A:$D,3)</f>
        <v>1569.7</v>
      </c>
      <c r="C121" s="65">
        <f>(Table30[[#This Row],[Real M2 Money Stock]]-B109)/B109</f>
        <v>2.9446484784889881E-2</v>
      </c>
    </row>
    <row r="122" spans="1:3" x14ac:dyDescent="0.2">
      <c r="A122" s="23">
        <v>25082</v>
      </c>
      <c r="B122" s="25">
        <f>VLOOKUP(Table30[[#This Row],[Month]],'DB Money Supply'!$A:$D,3)</f>
        <v>1577.2</v>
      </c>
      <c r="C122" s="65">
        <f>(Table30[[#This Row],[Real M2 Money Stock]]-B110)/B110</f>
        <v>2.9638333986160132E-2</v>
      </c>
    </row>
    <row r="123" spans="1:3" x14ac:dyDescent="0.2">
      <c r="A123" s="23">
        <v>25112</v>
      </c>
      <c r="B123" s="25">
        <f>VLOOKUP(Table30[[#This Row],[Month]],'DB Money Supply'!$A:$D,3)</f>
        <v>1579.6</v>
      </c>
      <c r="C123" s="65">
        <f>(Table30[[#This Row],[Real M2 Money Stock]]-B111)/B111</f>
        <v>2.7248488001560683E-2</v>
      </c>
    </row>
    <row r="124" spans="1:3" x14ac:dyDescent="0.2">
      <c r="A124" s="23">
        <v>25143</v>
      </c>
      <c r="B124" s="25">
        <f>VLOOKUP(Table30[[#This Row],[Month]],'DB Money Supply'!$A:$D,3)</f>
        <v>1588.7</v>
      </c>
      <c r="C124" s="65">
        <f>(Table30[[#This Row],[Real M2 Money Stock]]-B112)/B112</f>
        <v>3.3300813008130113E-2</v>
      </c>
    </row>
    <row r="125" spans="1:3" x14ac:dyDescent="0.2">
      <c r="A125" s="23">
        <v>25173</v>
      </c>
      <c r="B125" s="25">
        <f>VLOOKUP(Table30[[#This Row],[Month]],'DB Money Supply'!$A:$D,3)</f>
        <v>1592.1</v>
      </c>
      <c r="C125" s="65">
        <f>(Table30[[#This Row],[Real M2 Money Stock]]-B113)/B113</f>
        <v>3.1486880466472245E-2</v>
      </c>
    </row>
    <row r="126" spans="1:3" x14ac:dyDescent="0.2">
      <c r="A126" s="23">
        <v>25204</v>
      </c>
      <c r="B126" s="25">
        <f>VLOOKUP(Table30[[#This Row],[Month]],'DB Money Supply'!$A:$D,3)</f>
        <v>1594.7</v>
      </c>
      <c r="C126" s="65">
        <f>(Table30[[#This Row],[Real M2 Money Stock]]-B114)/B114</f>
        <v>3.1100478468899611E-2</v>
      </c>
    </row>
    <row r="127" spans="1:3" x14ac:dyDescent="0.2">
      <c r="A127" s="23">
        <v>25235</v>
      </c>
      <c r="B127" s="25">
        <f>VLOOKUP(Table30[[#This Row],[Month]],'DB Money Supply'!$A:$D,3)</f>
        <v>1597.5</v>
      </c>
      <c r="C127" s="65">
        <f>(Table30[[#This Row],[Real M2 Money Stock]]-B115)/B115</f>
        <v>3.0047069443548846E-2</v>
      </c>
    </row>
    <row r="128" spans="1:3" x14ac:dyDescent="0.2">
      <c r="A128" s="23">
        <v>25263</v>
      </c>
      <c r="B128" s="25">
        <f>VLOOKUP(Table30[[#This Row],[Month]],'DB Money Supply'!$A:$D,3)</f>
        <v>1591.1</v>
      </c>
      <c r="C128" s="65">
        <f>(Table30[[#This Row],[Real M2 Money Stock]]-B116)/B116</f>
        <v>2.3544548086201291E-2</v>
      </c>
    </row>
    <row r="129" spans="1:3" x14ac:dyDescent="0.2">
      <c r="A129" s="23">
        <v>25294</v>
      </c>
      <c r="B129" s="25">
        <f>VLOOKUP(Table30[[#This Row],[Month]],'DB Money Supply'!$A:$D,3)</f>
        <v>1586</v>
      </c>
      <c r="C129" s="65">
        <f>(Table30[[#This Row],[Real M2 Money Stock]]-B117)/B117</f>
        <v>1.8429332819623737E-2</v>
      </c>
    </row>
    <row r="130" spans="1:3" x14ac:dyDescent="0.2">
      <c r="A130" s="23">
        <v>25324</v>
      </c>
      <c r="B130" s="25">
        <f>VLOOKUP(Table30[[#This Row],[Month]],'DB Money Supply'!$A:$D,3)</f>
        <v>1583.8</v>
      </c>
      <c r="C130" s="65">
        <f>(Table30[[#This Row],[Real M2 Money Stock]]-B118)/B118</f>
        <v>1.3956466069142096E-2</v>
      </c>
    </row>
    <row r="131" spans="1:3" x14ac:dyDescent="0.2">
      <c r="A131" s="23">
        <v>25355</v>
      </c>
      <c r="B131" s="25">
        <f>VLOOKUP(Table30[[#This Row],[Month]],'DB Money Supply'!$A:$D,3)</f>
        <v>1580.6</v>
      </c>
      <c r="C131" s="65">
        <f>(Table30[[#This Row],[Real M2 Money Stock]]-B119)/B119</f>
        <v>1.0807699686640573E-2</v>
      </c>
    </row>
    <row r="132" spans="1:3" x14ac:dyDescent="0.2">
      <c r="A132" s="23">
        <v>25385</v>
      </c>
      <c r="B132" s="25">
        <f>VLOOKUP(Table30[[#This Row],[Month]],'DB Money Supply'!$A:$D,3)</f>
        <v>1574.7</v>
      </c>
      <c r="C132" s="65">
        <f>(Table30[[#This Row],[Real M2 Money Stock]]-B120)/B120</f>
        <v>7.2922663596239308E-3</v>
      </c>
    </row>
    <row r="133" spans="1:3" x14ac:dyDescent="0.2">
      <c r="A133" s="23">
        <v>25416</v>
      </c>
      <c r="B133" s="25">
        <f>VLOOKUP(Table30[[#This Row],[Month]],'DB Money Supply'!$A:$D,3)</f>
        <v>1572.1</v>
      </c>
      <c r="C133" s="65">
        <f>(Table30[[#This Row],[Real M2 Money Stock]]-B121)/B121</f>
        <v>1.5289545773076788E-3</v>
      </c>
    </row>
    <row r="134" spans="1:3" x14ac:dyDescent="0.2">
      <c r="A134" s="23">
        <v>25447</v>
      </c>
      <c r="B134" s="25">
        <f>VLOOKUP(Table30[[#This Row],[Month]],'DB Money Supply'!$A:$D,3)</f>
        <v>1569</v>
      </c>
      <c r="C134" s="65">
        <f>(Table30[[#This Row],[Real M2 Money Stock]]-B122)/B122</f>
        <v>-5.1990869896018548E-3</v>
      </c>
    </row>
    <row r="135" spans="1:3" x14ac:dyDescent="0.2">
      <c r="A135" s="23">
        <v>25477</v>
      </c>
      <c r="B135" s="25">
        <f>VLOOKUP(Table30[[#This Row],[Month]],'DB Money Supply'!$A:$D,3)</f>
        <v>1564.1</v>
      </c>
      <c r="C135" s="65">
        <f>(Table30[[#This Row],[Real M2 Money Stock]]-B123)/B123</f>
        <v>-9.8126107875411497E-3</v>
      </c>
    </row>
    <row r="136" spans="1:3" x14ac:dyDescent="0.2">
      <c r="A136" s="23">
        <v>25508</v>
      </c>
      <c r="B136" s="25">
        <f>VLOOKUP(Table30[[#This Row],[Month]],'DB Money Supply'!$A:$D,3)</f>
        <v>1561.1</v>
      </c>
      <c r="C136" s="65">
        <f>(Table30[[#This Row],[Real M2 Money Stock]]-B124)/B124</f>
        <v>-1.7372694656008141E-2</v>
      </c>
    </row>
    <row r="137" spans="1:3" x14ac:dyDescent="0.2">
      <c r="A137" s="23">
        <v>25538</v>
      </c>
      <c r="B137" s="25">
        <f>VLOOKUP(Table30[[#This Row],[Month]],'DB Money Supply'!$A:$D,3)</f>
        <v>1559.4</v>
      </c>
      <c r="C137" s="65">
        <f>(Table30[[#This Row],[Real M2 Money Stock]]-B125)/B125</f>
        <v>-2.0538910872432523E-2</v>
      </c>
    </row>
    <row r="138" spans="1:3" x14ac:dyDescent="0.2">
      <c r="A138" s="23">
        <v>25569</v>
      </c>
      <c r="B138" s="25">
        <f>VLOOKUP(Table30[[#This Row],[Month]],'DB Money Supply'!$A:$D,3)</f>
        <v>1555.7</v>
      </c>
      <c r="C138" s="65">
        <f>(Table30[[#This Row],[Real M2 Money Stock]]-B126)/B126</f>
        <v>-2.4456010534896846E-2</v>
      </c>
    </row>
    <row r="139" spans="1:3" x14ac:dyDescent="0.2">
      <c r="A139" s="23">
        <v>25600</v>
      </c>
      <c r="B139" s="25">
        <f>VLOOKUP(Table30[[#This Row],[Month]],'DB Money Supply'!$A:$D,3)</f>
        <v>1538.8</v>
      </c>
      <c r="C139" s="65">
        <f>(Table30[[#This Row],[Real M2 Money Stock]]-B127)/B127</f>
        <v>-3.6744913928012546E-2</v>
      </c>
    </row>
    <row r="140" spans="1:3" x14ac:dyDescent="0.2">
      <c r="A140" s="23">
        <v>25628</v>
      </c>
      <c r="B140" s="25">
        <f>VLOOKUP(Table30[[#This Row],[Month]],'DB Money Supply'!$A:$D,3)</f>
        <v>1533.4</v>
      </c>
      <c r="C140" s="65">
        <f>(Table30[[#This Row],[Real M2 Money Stock]]-B128)/B128</f>
        <v>-3.6264219722204651E-2</v>
      </c>
    </row>
    <row r="141" spans="1:3" x14ac:dyDescent="0.2">
      <c r="A141" s="23">
        <v>25659</v>
      </c>
      <c r="B141" s="25">
        <f>VLOOKUP(Table30[[#This Row],[Month]],'DB Money Supply'!$A:$D,3)</f>
        <v>1528.3</v>
      </c>
      <c r="C141" s="65">
        <f>(Table30[[#This Row],[Real M2 Money Stock]]-B129)/B129</f>
        <v>-3.6380832282471652E-2</v>
      </c>
    </row>
    <row r="142" spans="1:3" x14ac:dyDescent="0.2">
      <c r="A142" s="23">
        <v>25689</v>
      </c>
      <c r="B142" s="25">
        <f>VLOOKUP(Table30[[#This Row],[Month]],'DB Money Supply'!$A:$D,3)</f>
        <v>1532.4</v>
      </c>
      <c r="C142" s="65">
        <f>(Table30[[#This Row],[Real M2 Money Stock]]-B130)/B130</f>
        <v>-3.2453592625331394E-2</v>
      </c>
    </row>
    <row r="143" spans="1:3" x14ac:dyDescent="0.2">
      <c r="A143" s="23">
        <v>25720</v>
      </c>
      <c r="B143" s="25">
        <f>VLOOKUP(Table30[[#This Row],[Month]],'DB Money Supply'!$A:$D,3)</f>
        <v>1534</v>
      </c>
      <c r="C143" s="65">
        <f>(Table30[[#This Row],[Real M2 Money Stock]]-B131)/B131</f>
        <v>-2.9482475009490011E-2</v>
      </c>
    </row>
    <row r="144" spans="1:3" x14ac:dyDescent="0.2">
      <c r="A144" s="23">
        <v>25750</v>
      </c>
      <c r="B144" s="25">
        <f>VLOOKUP(Table30[[#This Row],[Month]],'DB Money Supply'!$A:$D,3)</f>
        <v>1540.1</v>
      </c>
      <c r="C144" s="65">
        <f>(Table30[[#This Row],[Real M2 Money Stock]]-B132)/B132</f>
        <v>-2.1972439194767344E-2</v>
      </c>
    </row>
    <row r="145" spans="1:3" x14ac:dyDescent="0.2">
      <c r="A145" s="23">
        <v>25781</v>
      </c>
      <c r="B145" s="25">
        <f>VLOOKUP(Table30[[#This Row],[Month]],'DB Money Supply'!$A:$D,3)</f>
        <v>1551</v>
      </c>
      <c r="C145" s="65">
        <f>(Table30[[#This Row],[Real M2 Money Stock]]-B133)/B133</f>
        <v>-1.3421538070097265E-2</v>
      </c>
    </row>
    <row r="146" spans="1:3" x14ac:dyDescent="0.2">
      <c r="A146" s="23">
        <v>25812</v>
      </c>
      <c r="B146" s="25">
        <f>VLOOKUP(Table30[[#This Row],[Month]],'DB Money Supply'!$A:$D,3)</f>
        <v>1559.2</v>
      </c>
      <c r="C146" s="65">
        <f>(Table30[[#This Row],[Real M2 Money Stock]]-B134)/B134</f>
        <v>-6.2460165710643435E-3</v>
      </c>
    </row>
    <row r="147" spans="1:3" x14ac:dyDescent="0.2">
      <c r="A147" s="23">
        <v>25842</v>
      </c>
      <c r="B147" s="25">
        <f>VLOOKUP(Table30[[#This Row],[Month]],'DB Money Supply'!$A:$D,3)</f>
        <v>1564.5</v>
      </c>
      <c r="C147" s="65">
        <f>(Table30[[#This Row],[Real M2 Money Stock]]-B135)/B135</f>
        <v>2.5573812416091742E-4</v>
      </c>
    </row>
    <row r="148" spans="1:3" x14ac:dyDescent="0.2">
      <c r="A148" s="23">
        <v>25873</v>
      </c>
      <c r="B148" s="25">
        <f>VLOOKUP(Table30[[#This Row],[Month]],'DB Money Supply'!$A:$D,3)</f>
        <v>1568.4</v>
      </c>
      <c r="C148" s="65">
        <f>(Table30[[#This Row],[Real M2 Money Stock]]-B136)/B136</f>
        <v>4.6761898661201607E-3</v>
      </c>
    </row>
    <row r="149" spans="1:3" x14ac:dyDescent="0.2">
      <c r="A149" s="23">
        <v>25903</v>
      </c>
      <c r="B149" s="25">
        <f>VLOOKUP(Table30[[#This Row],[Month]],'DB Money Supply'!$A:$D,3)</f>
        <v>1574.1</v>
      </c>
      <c r="C149" s="65">
        <f>(Table30[[#This Row],[Real M2 Money Stock]]-B137)/B137</f>
        <v>9.4267025779144649E-3</v>
      </c>
    </row>
    <row r="150" spans="1:3" x14ac:dyDescent="0.2">
      <c r="A150" s="23">
        <v>25934</v>
      </c>
      <c r="B150" s="25">
        <f>VLOOKUP(Table30[[#This Row],[Month]],'DB Money Supply'!$A:$D,3)</f>
        <v>1586.2</v>
      </c>
      <c r="C150" s="65">
        <f>(Table30[[#This Row],[Real M2 Money Stock]]-B138)/B138</f>
        <v>1.9605322362923443E-2</v>
      </c>
    </row>
    <row r="151" spans="1:3" x14ac:dyDescent="0.2">
      <c r="A151" s="23">
        <v>25965</v>
      </c>
      <c r="B151" s="25">
        <f>VLOOKUP(Table30[[#This Row],[Month]],'DB Money Supply'!$A:$D,3)</f>
        <v>1606.5</v>
      </c>
      <c r="C151" s="65">
        <f>(Table30[[#This Row],[Real M2 Money Stock]]-B139)/B139</f>
        <v>4.399532102937357E-2</v>
      </c>
    </row>
    <row r="152" spans="1:3" x14ac:dyDescent="0.2">
      <c r="A152" s="23">
        <v>25993</v>
      </c>
      <c r="B152" s="25">
        <f>VLOOKUP(Table30[[#This Row],[Month]],'DB Money Supply'!$A:$D,3)</f>
        <v>1624.7</v>
      </c>
      <c r="C152" s="65">
        <f>(Table30[[#This Row],[Real M2 Money Stock]]-B140)/B140</f>
        <v>5.9540889526542289E-2</v>
      </c>
    </row>
    <row r="153" spans="1:3" x14ac:dyDescent="0.2">
      <c r="A153" s="23">
        <v>26024</v>
      </c>
      <c r="B153" s="25">
        <f>VLOOKUP(Table30[[#This Row],[Month]],'DB Money Supply'!$A:$D,3)</f>
        <v>1641.9</v>
      </c>
      <c r="C153" s="65">
        <f>(Table30[[#This Row],[Real M2 Money Stock]]-B141)/B141</f>
        <v>7.4330955964143255E-2</v>
      </c>
    </row>
    <row r="154" spans="1:3" x14ac:dyDescent="0.2">
      <c r="A154" s="23">
        <v>26054</v>
      </c>
      <c r="B154" s="25">
        <f>VLOOKUP(Table30[[#This Row],[Month]],'DB Money Supply'!$A:$D,3)</f>
        <v>1654.3</v>
      </c>
      <c r="C154" s="65">
        <f>(Table30[[#This Row],[Real M2 Money Stock]]-B142)/B142</f>
        <v>7.9548420777864698E-2</v>
      </c>
    </row>
    <row r="155" spans="1:3" x14ac:dyDescent="0.2">
      <c r="A155" s="23">
        <v>26085</v>
      </c>
      <c r="B155" s="25">
        <f>VLOOKUP(Table30[[#This Row],[Month]],'DB Money Supply'!$A:$D,3)</f>
        <v>1661.7</v>
      </c>
      <c r="C155" s="65">
        <f>(Table30[[#This Row],[Real M2 Money Stock]]-B143)/B143</f>
        <v>8.324641460234683E-2</v>
      </c>
    </row>
    <row r="156" spans="1:3" x14ac:dyDescent="0.2">
      <c r="A156" s="23">
        <v>26115</v>
      </c>
      <c r="B156" s="25">
        <f>VLOOKUP(Table30[[#This Row],[Month]],'DB Money Supply'!$A:$D,3)</f>
        <v>1673.9</v>
      </c>
      <c r="C156" s="65">
        <f>(Table30[[#This Row],[Real M2 Money Stock]]-B144)/B144</f>
        <v>8.6877475488604763E-2</v>
      </c>
    </row>
    <row r="157" spans="1:3" x14ac:dyDescent="0.2">
      <c r="A157" s="23">
        <v>26146</v>
      </c>
      <c r="B157" s="25">
        <f>VLOOKUP(Table30[[#This Row],[Month]],'DB Money Supply'!$A:$D,3)</f>
        <v>1684.3</v>
      </c>
      <c r="C157" s="65">
        <f>(Table30[[#This Row],[Real M2 Money Stock]]-B145)/B145</f>
        <v>8.5944551901998678E-2</v>
      </c>
    </row>
    <row r="158" spans="1:3" x14ac:dyDescent="0.2">
      <c r="A158" s="23">
        <v>26177</v>
      </c>
      <c r="B158" s="25">
        <f>VLOOKUP(Table30[[#This Row],[Month]],'DB Money Supply'!$A:$D,3)</f>
        <v>1697.3</v>
      </c>
      <c r="C158" s="65">
        <f>(Table30[[#This Row],[Real M2 Money Stock]]-B146)/B146</f>
        <v>8.8571062083119489E-2</v>
      </c>
    </row>
    <row r="159" spans="1:3" x14ac:dyDescent="0.2">
      <c r="A159" s="23">
        <v>26207</v>
      </c>
      <c r="B159" s="25">
        <f>VLOOKUP(Table30[[#This Row],[Month]],'DB Money Supply'!$A:$D,3)</f>
        <v>1707.6</v>
      </c>
      <c r="C159" s="65">
        <f>(Table30[[#This Row],[Real M2 Money Stock]]-B147)/B147</f>
        <v>9.1466922339405496E-2</v>
      </c>
    </row>
    <row r="160" spans="1:3" x14ac:dyDescent="0.2">
      <c r="A160" s="23">
        <v>26238</v>
      </c>
      <c r="B160" s="25">
        <f>VLOOKUP(Table30[[#This Row],[Month]],'DB Money Supply'!$A:$D,3)</f>
        <v>1718.5</v>
      </c>
      <c r="C160" s="65">
        <f>(Table30[[#This Row],[Real M2 Money Stock]]-B148)/B148</f>
        <v>9.5702626880897673E-2</v>
      </c>
    </row>
    <row r="161" spans="1:3" x14ac:dyDescent="0.2">
      <c r="A161" s="23">
        <v>26268</v>
      </c>
      <c r="B161" s="25">
        <f>VLOOKUP(Table30[[#This Row],[Month]],'DB Money Supply'!$A:$D,3)</f>
        <v>1728.2</v>
      </c>
      <c r="C161" s="65">
        <f>(Table30[[#This Row],[Real M2 Money Stock]]-B149)/B149</f>
        <v>9.7897211104758367E-2</v>
      </c>
    </row>
    <row r="162" spans="1:3" x14ac:dyDescent="0.2">
      <c r="A162" s="23">
        <v>26299</v>
      </c>
      <c r="B162" s="25">
        <f>VLOOKUP(Table30[[#This Row],[Month]],'DB Money Supply'!$A:$D,3)</f>
        <v>1742</v>
      </c>
      <c r="C162" s="65">
        <f>(Table30[[#This Row],[Real M2 Money Stock]]-B150)/B150</f>
        <v>9.8222166183331197E-2</v>
      </c>
    </row>
    <row r="163" spans="1:3" x14ac:dyDescent="0.2">
      <c r="A163" s="23">
        <v>26330</v>
      </c>
      <c r="B163" s="25">
        <f>VLOOKUP(Table30[[#This Row],[Month]],'DB Money Supply'!$A:$D,3)</f>
        <v>1752.9</v>
      </c>
      <c r="C163" s="65">
        <f>(Table30[[#This Row],[Real M2 Money Stock]]-B151)/B151</f>
        <v>9.1129785247432357E-2</v>
      </c>
    </row>
    <row r="164" spans="1:3" x14ac:dyDescent="0.2">
      <c r="A164" s="23">
        <v>26359</v>
      </c>
      <c r="B164" s="25">
        <f>VLOOKUP(Table30[[#This Row],[Month]],'DB Money Supply'!$A:$D,3)</f>
        <v>1771.7</v>
      </c>
      <c r="C164" s="65">
        <f>(Table30[[#This Row],[Real M2 Money Stock]]-B152)/B152</f>
        <v>9.0478242137009904E-2</v>
      </c>
    </row>
    <row r="165" spans="1:3" x14ac:dyDescent="0.2">
      <c r="A165" s="23">
        <v>26390</v>
      </c>
      <c r="B165" s="25">
        <f>VLOOKUP(Table30[[#This Row],[Month]],'DB Money Supply'!$A:$D,3)</f>
        <v>1779.3</v>
      </c>
      <c r="C165" s="65">
        <f>(Table30[[#This Row],[Real M2 Money Stock]]-B153)/B153</f>
        <v>8.3683537365247487E-2</v>
      </c>
    </row>
    <row r="166" spans="1:3" x14ac:dyDescent="0.2">
      <c r="A166" s="23">
        <v>26420</v>
      </c>
      <c r="B166" s="25">
        <f>VLOOKUP(Table30[[#This Row],[Month]],'DB Money Supply'!$A:$D,3)</f>
        <v>1786.8</v>
      </c>
      <c r="C166" s="65">
        <f>(Table30[[#This Row],[Real M2 Money Stock]]-B154)/B154</f>
        <v>8.0094299703802219E-2</v>
      </c>
    </row>
    <row r="167" spans="1:3" x14ac:dyDescent="0.2">
      <c r="A167" s="23">
        <v>26451</v>
      </c>
      <c r="B167" s="25">
        <f>VLOOKUP(Table30[[#This Row],[Month]],'DB Money Supply'!$A:$D,3)</f>
        <v>1797.8</v>
      </c>
      <c r="C167" s="65">
        <f>(Table30[[#This Row],[Real M2 Money Stock]]-B155)/B155</f>
        <v>8.1904074140939948E-2</v>
      </c>
    </row>
    <row r="168" spans="1:3" x14ac:dyDescent="0.2">
      <c r="A168" s="23">
        <v>26481</v>
      </c>
      <c r="B168" s="25">
        <f>VLOOKUP(Table30[[#This Row],[Month]],'DB Money Supply'!$A:$D,3)</f>
        <v>1817</v>
      </c>
      <c r="C168" s="65">
        <f>(Table30[[#This Row],[Real M2 Money Stock]]-B156)/B156</f>
        <v>8.5488977836190874E-2</v>
      </c>
    </row>
    <row r="169" spans="1:3" x14ac:dyDescent="0.2">
      <c r="A169" s="23">
        <v>26512</v>
      </c>
      <c r="B169" s="25">
        <f>VLOOKUP(Table30[[#This Row],[Month]],'DB Money Supply'!$A:$D,3)</f>
        <v>1834.6</v>
      </c>
      <c r="C169" s="65">
        <f>(Table30[[#This Row],[Real M2 Money Stock]]-B157)/B157</f>
        <v>8.9235884343644226E-2</v>
      </c>
    </row>
    <row r="170" spans="1:3" x14ac:dyDescent="0.2">
      <c r="A170" s="23">
        <v>26543</v>
      </c>
      <c r="B170" s="25">
        <f>VLOOKUP(Table30[[#This Row],[Month]],'DB Money Supply'!$A:$D,3)</f>
        <v>1848.7</v>
      </c>
      <c r="C170" s="65">
        <f>(Table30[[#This Row],[Real M2 Money Stock]]-B158)/B158</f>
        <v>8.9200494903670588E-2</v>
      </c>
    </row>
    <row r="171" spans="1:3" x14ac:dyDescent="0.2">
      <c r="A171" s="23">
        <v>26573</v>
      </c>
      <c r="B171" s="25">
        <f>VLOOKUP(Table30[[#This Row],[Month]],'DB Money Supply'!$A:$D,3)</f>
        <v>1864.7</v>
      </c>
      <c r="C171" s="65">
        <f>(Table30[[#This Row],[Real M2 Money Stock]]-B159)/B159</f>
        <v>9.2000468493792537E-2</v>
      </c>
    </row>
    <row r="172" spans="1:3" x14ac:dyDescent="0.2">
      <c r="A172" s="23">
        <v>26604</v>
      </c>
      <c r="B172" s="25">
        <f>VLOOKUP(Table30[[#This Row],[Month]],'DB Money Supply'!$A:$D,3)</f>
        <v>1872.4</v>
      </c>
      <c r="C172" s="65">
        <f>(Table30[[#This Row],[Real M2 Money Stock]]-B160)/B160</f>
        <v>8.9554844340995102E-2</v>
      </c>
    </row>
    <row r="173" spans="1:3" x14ac:dyDescent="0.2">
      <c r="A173" s="23">
        <v>26634</v>
      </c>
      <c r="B173" s="25">
        <f>VLOOKUP(Table30[[#This Row],[Month]],'DB Money Supply'!$A:$D,3)</f>
        <v>1887.8</v>
      </c>
      <c r="C173" s="65">
        <f>(Table30[[#This Row],[Real M2 Money Stock]]-B161)/B161</f>
        <v>9.2350422404814198E-2</v>
      </c>
    </row>
    <row r="174" spans="1:3" x14ac:dyDescent="0.2">
      <c r="A174" s="23">
        <v>26665</v>
      </c>
      <c r="B174" s="25">
        <f>VLOOKUP(Table30[[#This Row],[Month]],'DB Money Supply'!$A:$D,3)</f>
        <v>1897.7</v>
      </c>
      <c r="C174" s="65">
        <f>(Table30[[#This Row],[Real M2 Money Stock]]-B162)/B162</f>
        <v>8.9380022962112546E-2</v>
      </c>
    </row>
    <row r="175" spans="1:3" x14ac:dyDescent="0.2">
      <c r="A175" s="23">
        <v>26696</v>
      </c>
      <c r="B175" s="25">
        <f>VLOOKUP(Table30[[#This Row],[Month]],'DB Money Supply'!$A:$D,3)</f>
        <v>1893.3</v>
      </c>
      <c r="C175" s="65">
        <f>(Table30[[#This Row],[Real M2 Money Stock]]-B163)/B163</f>
        <v>8.0095841177477242E-2</v>
      </c>
    </row>
    <row r="176" spans="1:3" x14ac:dyDescent="0.2">
      <c r="A176" s="23">
        <v>26724</v>
      </c>
      <c r="B176" s="25">
        <f>VLOOKUP(Table30[[#This Row],[Month]],'DB Money Supply'!$A:$D,3)</f>
        <v>1878.6</v>
      </c>
      <c r="C176" s="65">
        <f>(Table30[[#This Row],[Real M2 Money Stock]]-B164)/B164</f>
        <v>6.0337528927019171E-2</v>
      </c>
    </row>
    <row r="177" spans="1:3" x14ac:dyDescent="0.2">
      <c r="A177" s="23">
        <v>26755</v>
      </c>
      <c r="B177" s="25">
        <f>VLOOKUP(Table30[[#This Row],[Month]],'DB Money Supply'!$A:$D,3)</f>
        <v>1875.7</v>
      </c>
      <c r="C177" s="65">
        <f>(Table30[[#This Row],[Real M2 Money Stock]]-B165)/B165</f>
        <v>5.4178609565559539E-2</v>
      </c>
    </row>
    <row r="178" spans="1:3" x14ac:dyDescent="0.2">
      <c r="A178" s="23">
        <v>26785</v>
      </c>
      <c r="B178" s="25">
        <f>VLOOKUP(Table30[[#This Row],[Month]],'DB Money Supply'!$A:$D,3)</f>
        <v>1883.4</v>
      </c>
      <c r="C178" s="65">
        <f>(Table30[[#This Row],[Real M2 Money Stock]]-B166)/B166</f>
        <v>5.4063129617192826E-2</v>
      </c>
    </row>
    <row r="179" spans="1:3" x14ac:dyDescent="0.2">
      <c r="A179" s="23">
        <v>26816</v>
      </c>
      <c r="B179" s="25">
        <f>VLOOKUP(Table30[[#This Row],[Month]],'DB Money Supply'!$A:$D,3)</f>
        <v>1885.3</v>
      </c>
      <c r="C179" s="65">
        <f>(Table30[[#This Row],[Real M2 Money Stock]]-B167)/B167</f>
        <v>4.8670597396818338E-2</v>
      </c>
    </row>
    <row r="180" spans="1:3" x14ac:dyDescent="0.2">
      <c r="A180" s="23">
        <v>26846</v>
      </c>
      <c r="B180" s="25">
        <f>VLOOKUP(Table30[[#This Row],[Month]],'DB Money Supply'!$A:$D,3)</f>
        <v>1892.5</v>
      </c>
      <c r="C180" s="65">
        <f>(Table30[[#This Row],[Real M2 Money Stock]]-B168)/B168</f>
        <v>4.1552008805723718E-2</v>
      </c>
    </row>
    <row r="181" spans="1:3" x14ac:dyDescent="0.2">
      <c r="A181" s="23">
        <v>26877</v>
      </c>
      <c r="B181" s="25">
        <f>VLOOKUP(Table30[[#This Row],[Month]],'DB Money Supply'!$A:$D,3)</f>
        <v>1864</v>
      </c>
      <c r="C181" s="65">
        <f>(Table30[[#This Row],[Real M2 Money Stock]]-B169)/B169</f>
        <v>1.6025291616701239E-2</v>
      </c>
    </row>
    <row r="182" spans="1:3" x14ac:dyDescent="0.2">
      <c r="A182" s="23">
        <v>26908</v>
      </c>
      <c r="B182" s="25">
        <f>VLOOKUP(Table30[[#This Row],[Month]],'DB Money Supply'!$A:$D,3)</f>
        <v>1856.9</v>
      </c>
      <c r="C182" s="65">
        <f>(Table30[[#This Row],[Real M2 Money Stock]]-B170)/B170</f>
        <v>4.4355493049169931E-3</v>
      </c>
    </row>
    <row r="183" spans="1:3" x14ac:dyDescent="0.2">
      <c r="A183" s="23">
        <v>26938</v>
      </c>
      <c r="B183" s="25">
        <f>VLOOKUP(Table30[[#This Row],[Month]],'DB Money Supply'!$A:$D,3)</f>
        <v>1847.8</v>
      </c>
      <c r="C183" s="65">
        <f>(Table30[[#This Row],[Real M2 Money Stock]]-B171)/B171</f>
        <v>-9.063120072934033E-3</v>
      </c>
    </row>
    <row r="184" spans="1:3" x14ac:dyDescent="0.2">
      <c r="A184" s="23">
        <v>26969</v>
      </c>
      <c r="B184" s="25">
        <f>VLOOKUP(Table30[[#This Row],[Month]],'DB Money Supply'!$A:$D,3)</f>
        <v>1849.5</v>
      </c>
      <c r="C184" s="65">
        <f>(Table30[[#This Row],[Real M2 Money Stock]]-B172)/B172</f>
        <v>-1.2230292672505923E-2</v>
      </c>
    </row>
    <row r="185" spans="1:3" x14ac:dyDescent="0.2">
      <c r="A185" s="23">
        <v>26999</v>
      </c>
      <c r="B185" s="25">
        <f>VLOOKUP(Table30[[#This Row],[Month]],'DB Money Supply'!$A:$D,3)</f>
        <v>1847.7</v>
      </c>
      <c r="C185" s="65">
        <f>(Table30[[#This Row],[Real M2 Money Stock]]-B173)/B173</f>
        <v>-2.1241656955185883E-2</v>
      </c>
    </row>
    <row r="186" spans="1:3" x14ac:dyDescent="0.2">
      <c r="A186" s="23">
        <v>27030</v>
      </c>
      <c r="B186" s="25">
        <f>VLOOKUP(Table30[[#This Row],[Month]],'DB Money Supply'!$A:$D,3)</f>
        <v>1837</v>
      </c>
      <c r="C186" s="65">
        <f>(Table30[[#This Row],[Real M2 Money Stock]]-B174)/B174</f>
        <v>-3.1986088422827658E-2</v>
      </c>
    </row>
    <row r="187" spans="1:3" x14ac:dyDescent="0.2">
      <c r="A187" s="23">
        <v>27061</v>
      </c>
      <c r="B187" s="25">
        <f>VLOOKUP(Table30[[#This Row],[Month]],'DB Money Supply'!$A:$D,3)</f>
        <v>1827.1</v>
      </c>
      <c r="C187" s="65">
        <f>(Table30[[#This Row],[Real M2 Money Stock]]-B175)/B175</f>
        <v>-3.4965404320498626E-2</v>
      </c>
    </row>
    <row r="188" spans="1:3" x14ac:dyDescent="0.2">
      <c r="A188" s="23">
        <v>27089</v>
      </c>
      <c r="B188" s="25">
        <f>VLOOKUP(Table30[[#This Row],[Month]],'DB Money Supply'!$A:$D,3)</f>
        <v>1820.3</v>
      </c>
      <c r="C188" s="65">
        <f>(Table30[[#This Row],[Real M2 Money Stock]]-B176)/B176</f>
        <v>-3.1033748536143914E-2</v>
      </c>
    </row>
    <row r="189" spans="1:3" x14ac:dyDescent="0.2">
      <c r="A189" s="23">
        <v>27120</v>
      </c>
      <c r="B189" s="25">
        <f>VLOOKUP(Table30[[#This Row],[Month]],'DB Money Supply'!$A:$D,3)</f>
        <v>1814.8</v>
      </c>
      <c r="C189" s="65">
        <f>(Table30[[#This Row],[Real M2 Money Stock]]-B177)/B177</f>
        <v>-3.246787865863416E-2</v>
      </c>
    </row>
    <row r="190" spans="1:3" x14ac:dyDescent="0.2">
      <c r="A190" s="23">
        <v>27150</v>
      </c>
      <c r="B190" s="25">
        <f>VLOOKUP(Table30[[#This Row],[Month]],'DB Money Supply'!$A:$D,3)</f>
        <v>1799.6</v>
      </c>
      <c r="C190" s="65">
        <f>(Table30[[#This Row],[Real M2 Money Stock]]-B178)/B178</f>
        <v>-4.4494000212381958E-2</v>
      </c>
    </row>
    <row r="191" spans="1:3" x14ac:dyDescent="0.2">
      <c r="A191" s="23">
        <v>27181</v>
      </c>
      <c r="B191" s="25">
        <f>VLOOKUP(Table30[[#This Row],[Month]],'DB Money Supply'!$A:$D,3)</f>
        <v>1791.4</v>
      </c>
      <c r="C191" s="65">
        <f>(Table30[[#This Row],[Real M2 Money Stock]]-B179)/B179</f>
        <v>-4.980639685991612E-2</v>
      </c>
    </row>
    <row r="192" spans="1:3" x14ac:dyDescent="0.2">
      <c r="A192" s="23">
        <v>27211</v>
      </c>
      <c r="B192" s="25">
        <f>VLOOKUP(Table30[[#This Row],[Month]],'DB Money Supply'!$A:$D,3)</f>
        <v>1787.8</v>
      </c>
      <c r="C192" s="65">
        <f>(Table30[[#This Row],[Real M2 Money Stock]]-B180)/B180</f>
        <v>-5.5323645970937939E-2</v>
      </c>
    </row>
    <row r="193" spans="1:3" x14ac:dyDescent="0.2">
      <c r="A193" s="23">
        <v>27242</v>
      </c>
      <c r="B193" s="25">
        <f>VLOOKUP(Table30[[#This Row],[Month]],'DB Money Supply'!$A:$D,3)</f>
        <v>1771.7</v>
      </c>
      <c r="C193" s="65">
        <f>(Table30[[#This Row],[Real M2 Money Stock]]-B181)/B181</f>
        <v>-4.9517167381974224E-2</v>
      </c>
    </row>
    <row r="194" spans="1:3" x14ac:dyDescent="0.2">
      <c r="A194" s="23">
        <v>27273</v>
      </c>
      <c r="B194" s="25">
        <f>VLOOKUP(Table30[[#This Row],[Month]],'DB Money Supply'!$A:$D,3)</f>
        <v>1754.7</v>
      </c>
      <c r="C194" s="65">
        <f>(Table30[[#This Row],[Real M2 Money Stock]]-B182)/B182</f>
        <v>-5.503796650331199E-2</v>
      </c>
    </row>
    <row r="195" spans="1:3" x14ac:dyDescent="0.2">
      <c r="A195" s="23">
        <v>27303</v>
      </c>
      <c r="B195" s="25">
        <f>VLOOKUP(Table30[[#This Row],[Month]],'DB Money Supply'!$A:$D,3)</f>
        <v>1751.6</v>
      </c>
      <c r="C195" s="65">
        <f>(Table30[[#This Row],[Real M2 Money Stock]]-B183)/B183</f>
        <v>-5.2061911462279495E-2</v>
      </c>
    </row>
    <row r="196" spans="1:3" x14ac:dyDescent="0.2">
      <c r="A196" s="23">
        <v>27334</v>
      </c>
      <c r="B196" s="25">
        <f>VLOOKUP(Table30[[#This Row],[Month]],'DB Money Supply'!$A:$D,3)</f>
        <v>1744.9</v>
      </c>
      <c r="C196" s="65">
        <f>(Table30[[#This Row],[Real M2 Money Stock]]-B184)/B184</f>
        <v>-5.6555825898891542E-2</v>
      </c>
    </row>
    <row r="197" spans="1:3" x14ac:dyDescent="0.2">
      <c r="A197" s="23">
        <v>27364</v>
      </c>
      <c r="B197" s="25">
        <f>VLOOKUP(Table30[[#This Row],[Month]],'DB Money Supply'!$A:$D,3)</f>
        <v>1738.2</v>
      </c>
      <c r="C197" s="65">
        <f>(Table30[[#This Row],[Real M2 Money Stock]]-B185)/B185</f>
        <v>-5.9262867348595552E-2</v>
      </c>
    </row>
    <row r="198" spans="1:3" x14ac:dyDescent="0.2">
      <c r="A198" s="23">
        <v>27395</v>
      </c>
      <c r="B198" s="25">
        <f>VLOOKUP(Table30[[#This Row],[Month]],'DB Money Supply'!$A:$D,3)</f>
        <v>1732.9</v>
      </c>
      <c r="C198" s="65">
        <f>(Table30[[#This Row],[Real M2 Money Stock]]-B186)/B186</f>
        <v>-5.6668481219379375E-2</v>
      </c>
    </row>
    <row r="199" spans="1:3" x14ac:dyDescent="0.2">
      <c r="A199" s="23">
        <v>27426</v>
      </c>
      <c r="B199" s="25">
        <f>VLOOKUP(Table30[[#This Row],[Month]],'DB Money Supply'!$A:$D,3)</f>
        <v>1737.8</v>
      </c>
      <c r="C199" s="65">
        <f>(Table30[[#This Row],[Real M2 Money Stock]]-B187)/B187</f>
        <v>-4.8875266816266194E-2</v>
      </c>
    </row>
    <row r="200" spans="1:3" x14ac:dyDescent="0.2">
      <c r="A200" s="23">
        <v>27454</v>
      </c>
      <c r="B200" s="25">
        <f>VLOOKUP(Table30[[#This Row],[Month]],'DB Money Supply'!$A:$D,3)</f>
        <v>1751.9</v>
      </c>
      <c r="C200" s="65">
        <f>(Table30[[#This Row],[Real M2 Money Stock]]-B188)/B188</f>
        <v>-3.7576223699390135E-2</v>
      </c>
    </row>
    <row r="201" spans="1:3" x14ac:dyDescent="0.2">
      <c r="A201" s="23">
        <v>27485</v>
      </c>
      <c r="B201" s="25">
        <f>VLOOKUP(Table30[[#This Row],[Month]],'DB Money Supply'!$A:$D,3)</f>
        <v>1764.3</v>
      </c>
      <c r="C201" s="65">
        <f>(Table30[[#This Row],[Real M2 Money Stock]]-B189)/B189</f>
        <v>-2.782675776945118E-2</v>
      </c>
    </row>
    <row r="202" spans="1:3" x14ac:dyDescent="0.2">
      <c r="A202" s="23">
        <v>27515</v>
      </c>
      <c r="B202" s="25">
        <f>VLOOKUP(Table30[[#This Row],[Month]],'DB Money Supply'!$A:$D,3)</f>
        <v>1785.1</v>
      </c>
      <c r="C202" s="65">
        <f>(Table30[[#This Row],[Real M2 Money Stock]]-B190)/B190</f>
        <v>-8.0573460769059798E-3</v>
      </c>
    </row>
    <row r="203" spans="1:3" x14ac:dyDescent="0.2">
      <c r="A203" s="23">
        <v>27546</v>
      </c>
      <c r="B203" s="25">
        <f>VLOOKUP(Table30[[#This Row],[Month]],'DB Money Supply'!$A:$D,3)</f>
        <v>1800</v>
      </c>
      <c r="C203" s="65">
        <f>(Table30[[#This Row],[Real M2 Money Stock]]-B191)/B191</f>
        <v>4.8007145249525001E-3</v>
      </c>
    </row>
    <row r="204" spans="1:3" x14ac:dyDescent="0.2">
      <c r="A204" s="23">
        <v>27576</v>
      </c>
      <c r="B204" s="25">
        <f>VLOOKUP(Table30[[#This Row],[Month]],'DB Money Supply'!$A:$D,3)</f>
        <v>1805.7</v>
      </c>
      <c r="C204" s="65">
        <f>(Table30[[#This Row],[Real M2 Money Stock]]-B192)/B192</f>
        <v>1.0012305627027682E-2</v>
      </c>
    </row>
    <row r="205" spans="1:3" x14ac:dyDescent="0.2">
      <c r="A205" s="23">
        <v>27607</v>
      </c>
      <c r="B205" s="25">
        <f>VLOOKUP(Table30[[#This Row],[Month]],'DB Money Supply'!$A:$D,3)</f>
        <v>1813.8</v>
      </c>
      <c r="C205" s="65">
        <f>(Table30[[#This Row],[Real M2 Money Stock]]-B193)/B193</f>
        <v>2.3762488005870018E-2</v>
      </c>
    </row>
    <row r="206" spans="1:3" x14ac:dyDescent="0.2">
      <c r="A206" s="23">
        <v>27638</v>
      </c>
      <c r="B206" s="25">
        <f>VLOOKUP(Table30[[#This Row],[Month]],'DB Money Supply'!$A:$D,3)</f>
        <v>1815.9</v>
      </c>
      <c r="C206" s="65">
        <f>(Table30[[#This Row],[Real M2 Money Stock]]-B194)/B194</f>
        <v>3.4877756881518236E-2</v>
      </c>
    </row>
    <row r="207" spans="1:3" x14ac:dyDescent="0.2">
      <c r="A207" s="23">
        <v>27668</v>
      </c>
      <c r="B207" s="25">
        <f>VLOOKUP(Table30[[#This Row],[Month]],'DB Money Supply'!$A:$D,3)</f>
        <v>1817.5</v>
      </c>
      <c r="C207" s="65">
        <f>(Table30[[#This Row],[Real M2 Money Stock]]-B195)/B195</f>
        <v>3.762274491893132E-2</v>
      </c>
    </row>
    <row r="208" spans="1:3" x14ac:dyDescent="0.2">
      <c r="A208" s="23">
        <v>27699</v>
      </c>
      <c r="B208" s="25">
        <f>VLOOKUP(Table30[[#This Row],[Month]],'DB Money Supply'!$A:$D,3)</f>
        <v>1820.8</v>
      </c>
      <c r="C208" s="65">
        <f>(Table30[[#This Row],[Real M2 Money Stock]]-B196)/B196</f>
        <v>4.3498194738953444E-2</v>
      </c>
    </row>
    <row r="209" spans="1:3" x14ac:dyDescent="0.2">
      <c r="A209" s="23">
        <v>27729</v>
      </c>
      <c r="B209" s="25">
        <f>VLOOKUP(Table30[[#This Row],[Month]],'DB Money Supply'!$A:$D,3)</f>
        <v>1827.7</v>
      </c>
      <c r="C209" s="65">
        <f>(Table30[[#This Row],[Real M2 Money Stock]]-B197)/B197</f>
        <v>5.1490047175238751E-2</v>
      </c>
    </row>
    <row r="210" spans="1:3" x14ac:dyDescent="0.2">
      <c r="A210" s="23">
        <v>27760</v>
      </c>
      <c r="B210" s="25">
        <f>VLOOKUP(Table30[[#This Row],[Month]],'DB Money Supply'!$A:$D,3)</f>
        <v>1839.8</v>
      </c>
      <c r="C210" s="65">
        <f>(Table30[[#This Row],[Real M2 Money Stock]]-B198)/B198</f>
        <v>6.1688499047838803E-2</v>
      </c>
    </row>
    <row r="211" spans="1:3" x14ac:dyDescent="0.2">
      <c r="A211" s="23">
        <v>27791</v>
      </c>
      <c r="B211" s="25">
        <f>VLOOKUP(Table30[[#This Row],[Month]],'DB Money Supply'!$A:$D,3)</f>
        <v>1861</v>
      </c>
      <c r="C211" s="65">
        <f>(Table30[[#This Row],[Real M2 Money Stock]]-B199)/B199</f>
        <v>7.0894234089078176E-2</v>
      </c>
    </row>
    <row r="212" spans="1:3" x14ac:dyDescent="0.2">
      <c r="A212" s="23">
        <v>27820</v>
      </c>
      <c r="B212" s="25">
        <f>VLOOKUP(Table30[[#This Row],[Month]],'DB Money Supply'!$A:$D,3)</f>
        <v>1875</v>
      </c>
      <c r="C212" s="65">
        <f>(Table30[[#This Row],[Real M2 Money Stock]]-B200)/B200</f>
        <v>7.0266567726468346E-2</v>
      </c>
    </row>
    <row r="213" spans="1:3" x14ac:dyDescent="0.2">
      <c r="A213" s="23">
        <v>27851</v>
      </c>
      <c r="B213" s="25">
        <f>VLOOKUP(Table30[[#This Row],[Month]],'DB Money Supply'!$A:$D,3)</f>
        <v>1890.9</v>
      </c>
      <c r="C213" s="65">
        <f>(Table30[[#This Row],[Real M2 Money Stock]]-B201)/B201</f>
        <v>7.1756503995919138E-2</v>
      </c>
    </row>
    <row r="214" spans="1:3" x14ac:dyDescent="0.2">
      <c r="A214" s="23">
        <v>27881</v>
      </c>
      <c r="B214" s="25">
        <f>VLOOKUP(Table30[[#This Row],[Month]],'DB Money Supply'!$A:$D,3)</f>
        <v>1900.9</v>
      </c>
      <c r="C214" s="65">
        <f>(Table30[[#This Row],[Real M2 Money Stock]]-B202)/B202</f>
        <v>6.4870315388493749E-2</v>
      </c>
    </row>
    <row r="215" spans="1:3" x14ac:dyDescent="0.2">
      <c r="A215" s="23">
        <v>27912</v>
      </c>
      <c r="B215" s="25">
        <f>VLOOKUP(Table30[[#This Row],[Month]],'DB Money Supply'!$A:$D,3)</f>
        <v>1900.5</v>
      </c>
      <c r="C215" s="65">
        <f>(Table30[[#This Row],[Real M2 Money Stock]]-B203)/B203</f>
        <v>5.5833333333333332E-2</v>
      </c>
    </row>
    <row r="216" spans="1:3" x14ac:dyDescent="0.2">
      <c r="A216" s="23">
        <v>27942</v>
      </c>
      <c r="B216" s="25">
        <f>VLOOKUP(Table30[[#This Row],[Month]],'DB Money Supply'!$A:$D,3)</f>
        <v>1905.8</v>
      </c>
      <c r="C216" s="65">
        <f>(Table30[[#This Row],[Real M2 Money Stock]]-B204)/B204</f>
        <v>5.5435565154787564E-2</v>
      </c>
    </row>
    <row r="217" spans="1:3" x14ac:dyDescent="0.2">
      <c r="A217" s="23">
        <v>27973</v>
      </c>
      <c r="B217" s="25">
        <f>VLOOKUP(Table30[[#This Row],[Month]],'DB Money Supply'!$A:$D,3)</f>
        <v>1917.5</v>
      </c>
      <c r="C217" s="65">
        <f>(Table30[[#This Row],[Real M2 Money Stock]]-B205)/B205</f>
        <v>5.7172786415260808E-2</v>
      </c>
    </row>
    <row r="218" spans="1:3" x14ac:dyDescent="0.2">
      <c r="A218" s="23">
        <v>28004</v>
      </c>
      <c r="B218" s="25">
        <f>VLOOKUP(Table30[[#This Row],[Month]],'DB Money Supply'!$A:$D,3)</f>
        <v>1928.5</v>
      </c>
      <c r="C218" s="65">
        <f>(Table30[[#This Row],[Real M2 Money Stock]]-B206)/B206</f>
        <v>6.2007819813866348E-2</v>
      </c>
    </row>
    <row r="219" spans="1:3" x14ac:dyDescent="0.2">
      <c r="A219" s="23">
        <v>28034</v>
      </c>
      <c r="B219" s="25">
        <f>VLOOKUP(Table30[[#This Row],[Month]],'DB Money Supply'!$A:$D,3)</f>
        <v>1943</v>
      </c>
      <c r="C219" s="65">
        <f>(Table30[[#This Row],[Real M2 Money Stock]]-B207)/B207</f>
        <v>6.9050894085281977E-2</v>
      </c>
    </row>
    <row r="220" spans="1:3" x14ac:dyDescent="0.2">
      <c r="A220" s="23">
        <v>28065</v>
      </c>
      <c r="B220" s="25">
        <f>VLOOKUP(Table30[[#This Row],[Month]],'DB Money Supply'!$A:$D,3)</f>
        <v>1959</v>
      </c>
      <c r="C220" s="65">
        <f>(Table30[[#This Row],[Real M2 Money Stock]]-B208)/B208</f>
        <v>7.5900702987697743E-2</v>
      </c>
    </row>
    <row r="221" spans="1:3" x14ac:dyDescent="0.2">
      <c r="A221" s="23">
        <v>28095</v>
      </c>
      <c r="B221" s="25">
        <f>VLOOKUP(Table30[[#This Row],[Month]],'DB Money Supply'!$A:$D,3)</f>
        <v>1972.6</v>
      </c>
      <c r="C221" s="65">
        <f>(Table30[[#This Row],[Real M2 Money Stock]]-B209)/B209</f>
        <v>7.9279969360398245E-2</v>
      </c>
    </row>
    <row r="222" spans="1:3" x14ac:dyDescent="0.2">
      <c r="A222" s="23">
        <v>28126</v>
      </c>
      <c r="B222" s="25">
        <f>VLOOKUP(Table30[[#This Row],[Month]],'DB Money Supply'!$A:$D,3)</f>
        <v>1985</v>
      </c>
      <c r="C222" s="65">
        <f>(Table30[[#This Row],[Real M2 Money Stock]]-B210)/B210</f>
        <v>7.8921621915425622E-2</v>
      </c>
    </row>
    <row r="223" spans="1:3" x14ac:dyDescent="0.2">
      <c r="A223" s="23">
        <v>28157</v>
      </c>
      <c r="B223" s="25">
        <f>VLOOKUP(Table30[[#This Row],[Month]],'DB Money Supply'!$A:$D,3)</f>
        <v>1985.8</v>
      </c>
      <c r="C223" s="65">
        <f>(Table30[[#This Row],[Real M2 Money Stock]]-B211)/B211</f>
        <v>6.7060720042987618E-2</v>
      </c>
    </row>
    <row r="224" spans="1:3" x14ac:dyDescent="0.2">
      <c r="A224" s="23">
        <v>28185</v>
      </c>
      <c r="B224" s="25">
        <f>VLOOKUP(Table30[[#This Row],[Month]],'DB Money Supply'!$A:$D,3)</f>
        <v>1994.1</v>
      </c>
      <c r="C224" s="65">
        <f>(Table30[[#This Row],[Real M2 Money Stock]]-B212)/B212</f>
        <v>6.3519999999999952E-2</v>
      </c>
    </row>
    <row r="225" spans="1:3" x14ac:dyDescent="0.2">
      <c r="A225" s="23">
        <v>28216</v>
      </c>
      <c r="B225" s="25">
        <f>VLOOKUP(Table30[[#This Row],[Month]],'DB Money Supply'!$A:$D,3)</f>
        <v>1999.3</v>
      </c>
      <c r="C225" s="65">
        <f>(Table30[[#This Row],[Real M2 Money Stock]]-B213)/B213</f>
        <v>5.7327198688455157E-2</v>
      </c>
    </row>
    <row r="226" spans="1:3" x14ac:dyDescent="0.2">
      <c r="A226" s="23">
        <v>28246</v>
      </c>
      <c r="B226" s="25">
        <f>VLOOKUP(Table30[[#This Row],[Month]],'DB Money Supply'!$A:$D,3)</f>
        <v>2008.3</v>
      </c>
      <c r="C226" s="65">
        <f>(Table30[[#This Row],[Real M2 Money Stock]]-B214)/B214</f>
        <v>5.6499552843389901E-2</v>
      </c>
    </row>
    <row r="227" spans="1:3" x14ac:dyDescent="0.2">
      <c r="A227" s="23">
        <v>28277</v>
      </c>
      <c r="B227" s="25">
        <f>VLOOKUP(Table30[[#This Row],[Month]],'DB Money Supply'!$A:$D,3)</f>
        <v>2012.9</v>
      </c>
      <c r="C227" s="65">
        <f>(Table30[[#This Row],[Real M2 Money Stock]]-B215)/B215</f>
        <v>5.9142330965535436E-2</v>
      </c>
    </row>
    <row r="228" spans="1:3" x14ac:dyDescent="0.2">
      <c r="A228" s="23">
        <v>28307</v>
      </c>
      <c r="B228" s="25">
        <f>VLOOKUP(Table30[[#This Row],[Month]],'DB Money Supply'!$A:$D,3)</f>
        <v>2017.6</v>
      </c>
      <c r="C228" s="65">
        <f>(Table30[[#This Row],[Real M2 Money Stock]]-B216)/B216</f>
        <v>5.8663028649386065E-2</v>
      </c>
    </row>
    <row r="229" spans="1:3" x14ac:dyDescent="0.2">
      <c r="A229" s="23">
        <v>28338</v>
      </c>
      <c r="B229" s="25">
        <f>VLOOKUP(Table30[[#This Row],[Month]],'DB Money Supply'!$A:$D,3)</f>
        <v>2024.5</v>
      </c>
      <c r="C229" s="65">
        <f>(Table30[[#This Row],[Real M2 Money Stock]]-B217)/B217</f>
        <v>5.5801825293350718E-2</v>
      </c>
    </row>
    <row r="230" spans="1:3" x14ac:dyDescent="0.2">
      <c r="A230" s="23">
        <v>28369</v>
      </c>
      <c r="B230" s="25">
        <f>VLOOKUP(Table30[[#This Row],[Month]],'DB Money Supply'!$A:$D,3)</f>
        <v>2033</v>
      </c>
      <c r="C230" s="65">
        <f>(Table30[[#This Row],[Real M2 Money Stock]]-B218)/B218</f>
        <v>5.4187192118226604E-2</v>
      </c>
    </row>
    <row r="231" spans="1:3" x14ac:dyDescent="0.2">
      <c r="A231" s="23">
        <v>28399</v>
      </c>
      <c r="B231" s="25">
        <f>VLOOKUP(Table30[[#This Row],[Month]],'DB Money Supply'!$A:$D,3)</f>
        <v>2035.7</v>
      </c>
      <c r="C231" s="65">
        <f>(Table30[[#This Row],[Real M2 Money Stock]]-B219)/B219</f>
        <v>4.7709727225939295E-2</v>
      </c>
    </row>
    <row r="232" spans="1:3" x14ac:dyDescent="0.2">
      <c r="A232" s="23">
        <v>28430</v>
      </c>
      <c r="B232" s="25">
        <f>VLOOKUP(Table30[[#This Row],[Month]],'DB Money Supply'!$A:$D,3)</f>
        <v>2036.1</v>
      </c>
      <c r="C232" s="65">
        <f>(Table30[[#This Row],[Real M2 Money Stock]]-B220)/B220</f>
        <v>3.9356814701378209E-2</v>
      </c>
    </row>
    <row r="233" spans="1:3" x14ac:dyDescent="0.2">
      <c r="A233" s="23">
        <v>28460</v>
      </c>
      <c r="B233" s="25">
        <f>VLOOKUP(Table30[[#This Row],[Month]],'DB Money Supply'!$A:$D,3)</f>
        <v>2039</v>
      </c>
      <c r="C233" s="65">
        <f>(Table30[[#This Row],[Real M2 Money Stock]]-B221)/B221</f>
        <v>3.3661157862719303E-2</v>
      </c>
    </row>
    <row r="234" spans="1:3" x14ac:dyDescent="0.2">
      <c r="A234" s="23">
        <v>28491</v>
      </c>
      <c r="B234" s="25">
        <f>VLOOKUP(Table30[[#This Row],[Month]],'DB Money Supply'!$A:$D,3)</f>
        <v>2041</v>
      </c>
      <c r="C234" s="65">
        <f>(Table30[[#This Row],[Real M2 Money Stock]]-B222)/B222</f>
        <v>2.8211586901763223E-2</v>
      </c>
    </row>
    <row r="235" spans="1:3" x14ac:dyDescent="0.2">
      <c r="A235" s="23">
        <v>28522</v>
      </c>
      <c r="B235" s="25">
        <f>VLOOKUP(Table30[[#This Row],[Month]],'DB Money Supply'!$A:$D,3)</f>
        <v>2040.5</v>
      </c>
      <c r="C235" s="65">
        <f>(Table30[[#This Row],[Real M2 Money Stock]]-B223)/B223</f>
        <v>2.7545573572363806E-2</v>
      </c>
    </row>
    <row r="236" spans="1:3" x14ac:dyDescent="0.2">
      <c r="A236" s="23">
        <v>28550</v>
      </c>
      <c r="B236" s="25">
        <f>VLOOKUP(Table30[[#This Row],[Month]],'DB Money Supply'!$A:$D,3)</f>
        <v>2038.2</v>
      </c>
      <c r="C236" s="65">
        <f>(Table30[[#This Row],[Real M2 Money Stock]]-B224)/B224</f>
        <v>2.2115239957875801E-2</v>
      </c>
    </row>
    <row r="237" spans="1:3" x14ac:dyDescent="0.2">
      <c r="A237" s="23">
        <v>28581</v>
      </c>
      <c r="B237" s="25">
        <f>VLOOKUP(Table30[[#This Row],[Month]],'DB Money Supply'!$A:$D,3)</f>
        <v>2035.1</v>
      </c>
      <c r="C237" s="65">
        <f>(Table30[[#This Row],[Real M2 Money Stock]]-B225)/B225</f>
        <v>1.7906267193517709E-2</v>
      </c>
    </row>
    <row r="238" spans="1:3" x14ac:dyDescent="0.2">
      <c r="A238" s="23">
        <v>28611</v>
      </c>
      <c r="B238" s="25">
        <f>VLOOKUP(Table30[[#This Row],[Month]],'DB Money Supply'!$A:$D,3)</f>
        <v>2031.8</v>
      </c>
      <c r="C238" s="65">
        <f>(Table30[[#This Row],[Real M2 Money Stock]]-B226)/B226</f>
        <v>1.1701439028033661E-2</v>
      </c>
    </row>
    <row r="239" spans="1:3" x14ac:dyDescent="0.2">
      <c r="A239" s="23">
        <v>28642</v>
      </c>
      <c r="B239" s="25">
        <f>VLOOKUP(Table30[[#This Row],[Month]],'DB Money Supply'!$A:$D,3)</f>
        <v>2028.5</v>
      </c>
      <c r="C239" s="65">
        <f>(Table30[[#This Row],[Real M2 Money Stock]]-B227)/B227</f>
        <v>7.7500124198916533E-3</v>
      </c>
    </row>
    <row r="240" spans="1:3" x14ac:dyDescent="0.2">
      <c r="A240" s="23">
        <v>28672</v>
      </c>
      <c r="B240" s="25">
        <f>VLOOKUP(Table30[[#This Row],[Month]],'DB Money Supply'!$A:$D,3)</f>
        <v>2021.5</v>
      </c>
      <c r="C240" s="65">
        <f>(Table30[[#This Row],[Real M2 Money Stock]]-B228)/B228</f>
        <v>1.9329896907216947E-3</v>
      </c>
    </row>
    <row r="241" spans="1:3" x14ac:dyDescent="0.2">
      <c r="A241" s="23">
        <v>28703</v>
      </c>
      <c r="B241" s="25">
        <f>VLOOKUP(Table30[[#This Row],[Month]],'DB Money Supply'!$A:$D,3)</f>
        <v>2023.5</v>
      </c>
      <c r="C241" s="65">
        <f>(Table30[[#This Row],[Real M2 Money Stock]]-B229)/B229</f>
        <v>-4.9394912324030624E-4</v>
      </c>
    </row>
    <row r="242" spans="1:3" x14ac:dyDescent="0.2">
      <c r="A242" s="23">
        <v>28734</v>
      </c>
      <c r="B242" s="25">
        <f>VLOOKUP(Table30[[#This Row],[Month]],'DB Money Supply'!$A:$D,3)</f>
        <v>2022.6</v>
      </c>
      <c r="C242" s="65">
        <f>(Table30[[#This Row],[Real M2 Money Stock]]-B230)/B230</f>
        <v>-5.1155927201180966E-3</v>
      </c>
    </row>
    <row r="243" spans="1:3" x14ac:dyDescent="0.2">
      <c r="A243" s="23">
        <v>28764</v>
      </c>
      <c r="B243" s="25">
        <f>VLOOKUP(Table30[[#This Row],[Month]],'DB Money Supply'!$A:$D,3)</f>
        <v>2015.4</v>
      </c>
      <c r="C243" s="65">
        <f>(Table30[[#This Row],[Real M2 Money Stock]]-B231)/B231</f>
        <v>-9.9719998035073705E-3</v>
      </c>
    </row>
    <row r="244" spans="1:3" x14ac:dyDescent="0.2">
      <c r="A244" s="23">
        <v>28795</v>
      </c>
      <c r="B244" s="25">
        <f>VLOOKUP(Table30[[#This Row],[Month]],'DB Money Supply'!$A:$D,3)</f>
        <v>2013.5</v>
      </c>
      <c r="C244" s="65">
        <f>(Table30[[#This Row],[Real M2 Money Stock]]-B232)/B232</f>
        <v>-1.1099651294140716E-2</v>
      </c>
    </row>
    <row r="245" spans="1:3" x14ac:dyDescent="0.2">
      <c r="A245" s="23">
        <v>28825</v>
      </c>
      <c r="B245" s="25">
        <f>VLOOKUP(Table30[[#This Row],[Month]],'DB Money Supply'!$A:$D,3)</f>
        <v>2011.8</v>
      </c>
      <c r="C245" s="65">
        <f>(Table30[[#This Row],[Real M2 Money Stock]]-B233)/B233</f>
        <v>-1.3339872486513018E-2</v>
      </c>
    </row>
    <row r="246" spans="1:3" x14ac:dyDescent="0.2">
      <c r="A246" s="23">
        <v>28856</v>
      </c>
      <c r="B246" s="25">
        <f>VLOOKUP(Table30[[#This Row],[Month]],'DB Money Supply'!$A:$D,3)</f>
        <v>2002.3</v>
      </c>
      <c r="C246" s="65">
        <f>(Table30[[#This Row],[Real M2 Money Stock]]-B234)/B234</f>
        <v>-1.8961293483586498E-2</v>
      </c>
    </row>
    <row r="247" spans="1:3" x14ac:dyDescent="0.2">
      <c r="A247" s="23">
        <v>28887</v>
      </c>
      <c r="B247" s="25">
        <f>VLOOKUP(Table30[[#This Row],[Month]],'DB Money Supply'!$A:$D,3)</f>
        <v>1991</v>
      </c>
      <c r="C247" s="65">
        <f>(Table30[[#This Row],[Real M2 Money Stock]]-B235)/B235</f>
        <v>-2.4258760107816711E-2</v>
      </c>
    </row>
    <row r="248" spans="1:3" x14ac:dyDescent="0.2">
      <c r="A248" s="23">
        <v>28915</v>
      </c>
      <c r="B248" s="25">
        <f>VLOOKUP(Table30[[#This Row],[Month]],'DB Money Supply'!$A:$D,3)</f>
        <v>1985.4</v>
      </c>
      <c r="C248" s="65">
        <f>(Table30[[#This Row],[Real M2 Money Stock]]-B236)/B236</f>
        <v>-2.5905210479835124E-2</v>
      </c>
    </row>
    <row r="249" spans="1:3" x14ac:dyDescent="0.2">
      <c r="A249" s="23">
        <v>28946</v>
      </c>
      <c r="B249" s="25">
        <f>VLOOKUP(Table30[[#This Row],[Month]],'DB Money Supply'!$A:$D,3)</f>
        <v>1986</v>
      </c>
      <c r="C249" s="65">
        <f>(Table30[[#This Row],[Real M2 Money Stock]]-B237)/B237</f>
        <v>-2.4126578546508726E-2</v>
      </c>
    </row>
    <row r="250" spans="1:3" x14ac:dyDescent="0.2">
      <c r="A250" s="23">
        <v>28976</v>
      </c>
      <c r="B250" s="25">
        <f>VLOOKUP(Table30[[#This Row],[Month]],'DB Money Supply'!$A:$D,3)</f>
        <v>1975.1</v>
      </c>
      <c r="C250" s="65">
        <f>(Table30[[#This Row],[Real M2 Money Stock]]-B238)/B238</f>
        <v>-2.7906289989172186E-2</v>
      </c>
    </row>
    <row r="251" spans="1:3" x14ac:dyDescent="0.2">
      <c r="A251" s="23">
        <v>29007</v>
      </c>
      <c r="B251" s="25">
        <f>VLOOKUP(Table30[[#This Row],[Month]],'DB Money Supply'!$A:$D,3)</f>
        <v>1970.9</v>
      </c>
      <c r="C251" s="65">
        <f>(Table30[[#This Row],[Real M2 Money Stock]]-B239)/B239</f>
        <v>-2.8395366034015237E-2</v>
      </c>
    </row>
    <row r="252" spans="1:3" x14ac:dyDescent="0.2">
      <c r="A252" s="23">
        <v>29037</v>
      </c>
      <c r="B252" s="25">
        <f>VLOOKUP(Table30[[#This Row],[Month]],'DB Money Supply'!$A:$D,3)</f>
        <v>1965.5</v>
      </c>
      <c r="C252" s="65">
        <f>(Table30[[#This Row],[Real M2 Money Stock]]-B240)/B240</f>
        <v>-2.770220133564185E-2</v>
      </c>
    </row>
    <row r="253" spans="1:3" x14ac:dyDescent="0.2">
      <c r="A253" s="23">
        <v>29068</v>
      </c>
      <c r="B253" s="25">
        <f>VLOOKUP(Table30[[#This Row],[Month]],'DB Money Supply'!$A:$D,3)</f>
        <v>1962.8</v>
      </c>
      <c r="C253" s="65">
        <f>(Table30[[#This Row],[Real M2 Money Stock]]-B241)/B241</f>
        <v>-2.999752903385226E-2</v>
      </c>
    </row>
    <row r="254" spans="1:3" x14ac:dyDescent="0.2">
      <c r="A254" s="23">
        <v>29099</v>
      </c>
      <c r="B254" s="25">
        <f>VLOOKUP(Table30[[#This Row],[Month]],'DB Money Supply'!$A:$D,3)</f>
        <v>1954.4</v>
      </c>
      <c r="C254" s="65">
        <f>(Table30[[#This Row],[Real M2 Money Stock]]-B242)/B242</f>
        <v>-3.3718975575991211E-2</v>
      </c>
    </row>
    <row r="255" spans="1:3" x14ac:dyDescent="0.2">
      <c r="A255" s="23">
        <v>29129</v>
      </c>
      <c r="B255" s="25">
        <f>VLOOKUP(Table30[[#This Row],[Month]],'DB Money Supply'!$A:$D,3)</f>
        <v>1942</v>
      </c>
      <c r="C255" s="65">
        <f>(Table30[[#This Row],[Real M2 Money Stock]]-B243)/B243</f>
        <v>-3.6419569316264805E-2</v>
      </c>
    </row>
    <row r="256" spans="1:3" x14ac:dyDescent="0.2">
      <c r="A256" s="23">
        <v>29160</v>
      </c>
      <c r="B256" s="25">
        <f>VLOOKUP(Table30[[#This Row],[Month]],'DB Money Supply'!$A:$D,3)</f>
        <v>1928.8</v>
      </c>
      <c r="C256" s="65">
        <f>(Table30[[#This Row],[Real M2 Money Stock]]-B244)/B244</f>
        <v>-4.2066054134591531E-2</v>
      </c>
    </row>
    <row r="257" spans="1:3" x14ac:dyDescent="0.2">
      <c r="A257" s="23">
        <v>29190</v>
      </c>
      <c r="B257" s="25">
        <f>VLOOKUP(Table30[[#This Row],[Month]],'DB Money Supply'!$A:$D,3)</f>
        <v>1916.4</v>
      </c>
      <c r="C257" s="65">
        <f>(Table30[[#This Row],[Real M2 Money Stock]]-B245)/B245</f>
        <v>-4.7420220697882424E-2</v>
      </c>
    </row>
    <row r="258" spans="1:3" x14ac:dyDescent="0.2">
      <c r="A258" s="23">
        <v>29221</v>
      </c>
      <c r="B258" s="25">
        <f>VLOOKUP(Table30[[#This Row],[Month]],'DB Money Supply'!$A:$D,3)</f>
        <v>1900.9</v>
      </c>
      <c r="C258" s="65">
        <f>(Table30[[#This Row],[Real M2 Money Stock]]-B246)/B246</f>
        <v>-5.0641761973730146E-2</v>
      </c>
    </row>
    <row r="259" spans="1:3" x14ac:dyDescent="0.2">
      <c r="A259" s="23">
        <v>29252</v>
      </c>
      <c r="B259" s="25">
        <f>VLOOKUP(Table30[[#This Row],[Month]],'DB Money Supply'!$A:$D,3)</f>
        <v>1891.9</v>
      </c>
      <c r="C259" s="65">
        <f>(Table30[[#This Row],[Real M2 Money Stock]]-B247)/B247</f>
        <v>-4.9773982923154145E-2</v>
      </c>
    </row>
    <row r="260" spans="1:3" x14ac:dyDescent="0.2">
      <c r="A260" s="23">
        <v>29281</v>
      </c>
      <c r="B260" s="25">
        <f>VLOOKUP(Table30[[#This Row],[Month]],'DB Money Supply'!$A:$D,3)</f>
        <v>1872.4</v>
      </c>
      <c r="C260" s="65">
        <f>(Table30[[#This Row],[Real M2 Money Stock]]-B248)/B248</f>
        <v>-5.6915483026090459E-2</v>
      </c>
    </row>
    <row r="261" spans="1:3" x14ac:dyDescent="0.2">
      <c r="A261" s="23">
        <v>29312</v>
      </c>
      <c r="B261" s="25">
        <f>VLOOKUP(Table30[[#This Row],[Month]],'DB Money Supply'!$A:$D,3)</f>
        <v>1856.9</v>
      </c>
      <c r="C261" s="65">
        <f>(Table30[[#This Row],[Real M2 Money Stock]]-B249)/B249</f>
        <v>-6.5005035246727044E-2</v>
      </c>
    </row>
    <row r="262" spans="1:3" x14ac:dyDescent="0.2">
      <c r="A262" s="23">
        <v>29342</v>
      </c>
      <c r="B262" s="25">
        <f>VLOOKUP(Table30[[#This Row],[Month]],'DB Money Supply'!$A:$D,3)</f>
        <v>1851</v>
      </c>
      <c r="C262" s="65">
        <f>(Table30[[#This Row],[Real M2 Money Stock]]-B250)/B250</f>
        <v>-6.2832261657637542E-2</v>
      </c>
    </row>
    <row r="263" spans="1:3" x14ac:dyDescent="0.2">
      <c r="A263" s="23">
        <v>29373</v>
      </c>
      <c r="B263" s="25">
        <f>VLOOKUP(Table30[[#This Row],[Month]],'DB Money Supply'!$A:$D,3)</f>
        <v>1853.6</v>
      </c>
      <c r="C263" s="65">
        <f>(Table30[[#This Row],[Real M2 Money Stock]]-B251)/B251</f>
        <v>-5.9515957176924338E-2</v>
      </c>
    </row>
    <row r="264" spans="1:3" x14ac:dyDescent="0.2">
      <c r="A264" s="23">
        <v>29403</v>
      </c>
      <c r="B264" s="25">
        <f>VLOOKUP(Table30[[#This Row],[Month]],'DB Money Supply'!$A:$D,3)</f>
        <v>1871.1</v>
      </c>
      <c r="C264" s="65">
        <f>(Table30[[#This Row],[Real M2 Money Stock]]-B252)/B252</f>
        <v>-4.8028491477995469E-2</v>
      </c>
    </row>
    <row r="265" spans="1:3" x14ac:dyDescent="0.2">
      <c r="A265" s="23">
        <v>29434</v>
      </c>
      <c r="B265" s="25">
        <f>VLOOKUP(Table30[[#This Row],[Month]],'DB Money Supply'!$A:$D,3)</f>
        <v>1876.8</v>
      </c>
      <c r="C265" s="65">
        <f>(Table30[[#This Row],[Real M2 Money Stock]]-B253)/B253</f>
        <v>-4.3814958222946815E-2</v>
      </c>
    </row>
    <row r="266" spans="1:3" x14ac:dyDescent="0.2">
      <c r="A266" s="23">
        <v>29465</v>
      </c>
      <c r="B266" s="25">
        <f>VLOOKUP(Table30[[#This Row],[Month]],'DB Money Supply'!$A:$D,3)</f>
        <v>1876</v>
      </c>
      <c r="C266" s="65">
        <f>(Table30[[#This Row],[Real M2 Money Stock]]-B254)/B254</f>
        <v>-4.0114613180515804E-2</v>
      </c>
    </row>
    <row r="267" spans="1:3" x14ac:dyDescent="0.2">
      <c r="A267" s="23">
        <v>29495</v>
      </c>
      <c r="B267" s="25">
        <f>VLOOKUP(Table30[[#This Row],[Month]],'DB Money Supply'!$A:$D,3)</f>
        <v>1871.1</v>
      </c>
      <c r="C267" s="65">
        <f>(Table30[[#This Row],[Real M2 Money Stock]]-B255)/B255</f>
        <v>-3.6508753861997985E-2</v>
      </c>
    </row>
    <row r="268" spans="1:3" x14ac:dyDescent="0.2">
      <c r="A268" s="23">
        <v>29526</v>
      </c>
      <c r="B268" s="25">
        <f>VLOOKUP(Table30[[#This Row],[Month]],'DB Money Supply'!$A:$D,3)</f>
        <v>1864.3</v>
      </c>
      <c r="C268" s="65">
        <f>(Table30[[#This Row],[Real M2 Money Stock]]-B256)/B256</f>
        <v>-3.3440481128162586E-2</v>
      </c>
    </row>
    <row r="269" spans="1:3" x14ac:dyDescent="0.2">
      <c r="A269" s="23">
        <v>29556</v>
      </c>
      <c r="B269" s="25">
        <f>VLOOKUP(Table30[[#This Row],[Month]],'DB Money Supply'!$A:$D,3)</f>
        <v>1851.6</v>
      </c>
      <c r="C269" s="65">
        <f>(Table30[[#This Row],[Real M2 Money Stock]]-B257)/B257</f>
        <v>-3.3813400125234906E-2</v>
      </c>
    </row>
    <row r="270" spans="1:3" x14ac:dyDescent="0.2">
      <c r="A270" s="23">
        <v>29587</v>
      </c>
      <c r="B270" s="25">
        <f>VLOOKUP(Table30[[#This Row],[Month]],'DB Money Supply'!$A:$D,3)</f>
        <v>1842.8</v>
      </c>
      <c r="C270" s="65">
        <f>(Table30[[#This Row],[Real M2 Money Stock]]-B258)/B258</f>
        <v>-3.056446946183394E-2</v>
      </c>
    </row>
    <row r="271" spans="1:3" x14ac:dyDescent="0.2">
      <c r="A271" s="23">
        <v>29618</v>
      </c>
      <c r="B271" s="25">
        <f>VLOOKUP(Table30[[#This Row],[Month]],'DB Money Supply'!$A:$D,3)</f>
        <v>1839.4</v>
      </c>
      <c r="C271" s="65">
        <f>(Table30[[#This Row],[Real M2 Money Stock]]-B259)/B259</f>
        <v>-2.7749881071938261E-2</v>
      </c>
    </row>
    <row r="272" spans="1:3" x14ac:dyDescent="0.2">
      <c r="A272" s="23">
        <v>29646</v>
      </c>
      <c r="B272" s="25">
        <f>VLOOKUP(Table30[[#This Row],[Month]],'DB Money Supply'!$A:$D,3)</f>
        <v>1847.2</v>
      </c>
      <c r="C272" s="65">
        <f>(Table30[[#This Row],[Real M2 Money Stock]]-B260)/B260</f>
        <v>-1.3458662678914785E-2</v>
      </c>
    </row>
    <row r="273" spans="1:3" x14ac:dyDescent="0.2">
      <c r="A273" s="23">
        <v>29677</v>
      </c>
      <c r="B273" s="25">
        <f>VLOOKUP(Table30[[#This Row],[Month]],'DB Money Supply'!$A:$D,3)</f>
        <v>1862.2</v>
      </c>
      <c r="C273" s="65">
        <f>(Table30[[#This Row],[Real M2 Money Stock]]-B261)/B261</f>
        <v>2.8542193979212418E-3</v>
      </c>
    </row>
    <row r="274" spans="1:3" x14ac:dyDescent="0.2">
      <c r="A274" s="23">
        <v>29707</v>
      </c>
      <c r="B274" s="25">
        <f>VLOOKUP(Table30[[#This Row],[Month]],'DB Money Supply'!$A:$D,3)</f>
        <v>1855.3</v>
      </c>
      <c r="C274" s="65">
        <f>(Table30[[#This Row],[Real M2 Money Stock]]-B262)/B262</f>
        <v>2.3230686115612935E-3</v>
      </c>
    </row>
    <row r="275" spans="1:3" x14ac:dyDescent="0.2">
      <c r="A275" s="23">
        <v>29738</v>
      </c>
      <c r="B275" s="25">
        <f>VLOOKUP(Table30[[#This Row],[Month]],'DB Money Supply'!$A:$D,3)</f>
        <v>1845.6</v>
      </c>
      <c r="C275" s="65">
        <f>(Table30[[#This Row],[Real M2 Money Stock]]-B263)/B263</f>
        <v>-4.3159257660768235E-3</v>
      </c>
    </row>
    <row r="276" spans="1:3" x14ac:dyDescent="0.2">
      <c r="A276" s="23">
        <v>29768</v>
      </c>
      <c r="B276" s="25">
        <f>VLOOKUP(Table30[[#This Row],[Month]],'DB Money Supply'!$A:$D,3)</f>
        <v>1838.1</v>
      </c>
      <c r="C276" s="65">
        <f>(Table30[[#This Row],[Real M2 Money Stock]]-B264)/B264</f>
        <v>-1.7636684303350973E-2</v>
      </c>
    </row>
    <row r="277" spans="1:3" x14ac:dyDescent="0.2">
      <c r="A277" s="23">
        <v>29799</v>
      </c>
      <c r="B277" s="25">
        <f>VLOOKUP(Table30[[#This Row],[Month]],'DB Money Supply'!$A:$D,3)</f>
        <v>1837.6</v>
      </c>
      <c r="C277" s="65">
        <f>(Table30[[#This Row],[Real M2 Money Stock]]-B265)/B265</f>
        <v>-2.0886615515771551E-2</v>
      </c>
    </row>
    <row r="278" spans="1:3" x14ac:dyDescent="0.2">
      <c r="A278" s="23">
        <v>29830</v>
      </c>
      <c r="B278" s="25">
        <f>VLOOKUP(Table30[[#This Row],[Month]],'DB Money Supply'!$A:$D,3)</f>
        <v>1832.4</v>
      </c>
      <c r="C278" s="65">
        <f>(Table30[[#This Row],[Real M2 Money Stock]]-B266)/B266</f>
        <v>-2.3240938166311252E-2</v>
      </c>
    </row>
    <row r="279" spans="1:3" x14ac:dyDescent="0.2">
      <c r="A279" s="23">
        <v>29860</v>
      </c>
      <c r="B279" s="25">
        <f>VLOOKUP(Table30[[#This Row],[Month]],'DB Money Supply'!$A:$D,3)</f>
        <v>1843.5</v>
      </c>
      <c r="C279" s="65">
        <f>(Table30[[#This Row],[Real M2 Money Stock]]-B267)/B267</f>
        <v>-1.4750681417348036E-2</v>
      </c>
    </row>
    <row r="280" spans="1:3" x14ac:dyDescent="0.2">
      <c r="A280" s="23">
        <v>29891</v>
      </c>
      <c r="B280" s="25">
        <f>VLOOKUP(Table30[[#This Row],[Month]],'DB Money Supply'!$A:$D,3)</f>
        <v>1850.9</v>
      </c>
      <c r="C280" s="65">
        <f>(Table30[[#This Row],[Real M2 Money Stock]]-B268)/B268</f>
        <v>-7.1876843855601912E-3</v>
      </c>
    </row>
    <row r="281" spans="1:3" x14ac:dyDescent="0.2">
      <c r="A281" s="23">
        <v>29921</v>
      </c>
      <c r="B281" s="25">
        <f>VLOOKUP(Table30[[#This Row],[Month]],'DB Money Supply'!$A:$D,3)</f>
        <v>1865.6</v>
      </c>
      <c r="C281" s="65">
        <f>(Table30[[#This Row],[Real M2 Money Stock]]-B269)/B269</f>
        <v>7.5610282998487795E-3</v>
      </c>
    </row>
    <row r="282" spans="1:3" x14ac:dyDescent="0.2">
      <c r="A282" s="23">
        <v>29952</v>
      </c>
      <c r="B282" s="25">
        <f>VLOOKUP(Table30[[#This Row],[Month]],'DB Money Supply'!$A:$D,3)</f>
        <v>1875.4</v>
      </c>
      <c r="C282" s="65">
        <f>(Table30[[#This Row],[Real M2 Money Stock]]-B270)/B270</f>
        <v>1.7690471022357358E-2</v>
      </c>
    </row>
    <row r="283" spans="1:3" x14ac:dyDescent="0.2">
      <c r="A283" s="23">
        <v>29983</v>
      </c>
      <c r="B283" s="25">
        <f>VLOOKUP(Table30[[#This Row],[Month]],'DB Money Supply'!$A:$D,3)</f>
        <v>1873.8</v>
      </c>
      <c r="C283" s="65">
        <f>(Table30[[#This Row],[Real M2 Money Stock]]-B271)/B271</f>
        <v>1.8701750570838241E-2</v>
      </c>
    </row>
    <row r="284" spans="1:3" x14ac:dyDescent="0.2">
      <c r="A284" s="23">
        <v>30011</v>
      </c>
      <c r="B284" s="25">
        <f>VLOOKUP(Table30[[#This Row],[Month]],'DB Money Supply'!$A:$D,3)</f>
        <v>1886.5</v>
      </c>
      <c r="C284" s="65">
        <f>(Table30[[#This Row],[Real M2 Money Stock]]-B272)/B272</f>
        <v>2.1275443915114742E-2</v>
      </c>
    </row>
    <row r="285" spans="1:3" x14ac:dyDescent="0.2">
      <c r="A285" s="23">
        <v>30042</v>
      </c>
      <c r="B285" s="25">
        <f>VLOOKUP(Table30[[#This Row],[Month]],'DB Money Supply'!$A:$D,3)</f>
        <v>1898.8</v>
      </c>
      <c r="C285" s="65">
        <f>(Table30[[#This Row],[Real M2 Money Stock]]-B273)/B273</f>
        <v>1.9654172484158471E-2</v>
      </c>
    </row>
    <row r="286" spans="1:3" x14ac:dyDescent="0.2">
      <c r="A286" s="23">
        <v>30072</v>
      </c>
      <c r="B286" s="25">
        <f>VLOOKUP(Table30[[#This Row],[Month]],'DB Money Supply'!$A:$D,3)</f>
        <v>1893</v>
      </c>
      <c r="C286" s="65">
        <f>(Table30[[#This Row],[Real M2 Money Stock]]-B274)/B274</f>
        <v>2.0320163854902196E-2</v>
      </c>
    </row>
    <row r="287" spans="1:3" x14ac:dyDescent="0.2">
      <c r="A287" s="23">
        <v>30103</v>
      </c>
      <c r="B287" s="25">
        <f>VLOOKUP(Table30[[#This Row],[Month]],'DB Money Supply'!$A:$D,3)</f>
        <v>1882.5</v>
      </c>
      <c r="C287" s="65">
        <f>(Table30[[#This Row],[Real M2 Money Stock]]-B275)/B275</f>
        <v>1.9993498049414873E-2</v>
      </c>
    </row>
    <row r="288" spans="1:3" x14ac:dyDescent="0.2">
      <c r="A288" s="23">
        <v>30133</v>
      </c>
      <c r="B288" s="25">
        <f>VLOOKUP(Table30[[#This Row],[Month]],'DB Money Supply'!$A:$D,3)</f>
        <v>1878.5</v>
      </c>
      <c r="C288" s="65">
        <f>(Table30[[#This Row],[Real M2 Money Stock]]-B276)/B276</f>
        <v>2.1979217670420593E-2</v>
      </c>
    </row>
    <row r="289" spans="1:3" x14ac:dyDescent="0.2">
      <c r="A289" s="23">
        <v>30164</v>
      </c>
      <c r="B289" s="25">
        <f>VLOOKUP(Table30[[#This Row],[Month]],'DB Money Supply'!$A:$D,3)</f>
        <v>1888.6</v>
      </c>
      <c r="C289" s="65">
        <f>(Table30[[#This Row],[Real M2 Money Stock]]-B277)/B277</f>
        <v>2.7753591641271225E-2</v>
      </c>
    </row>
    <row r="290" spans="1:3" x14ac:dyDescent="0.2">
      <c r="A290" s="23">
        <v>30195</v>
      </c>
      <c r="B290" s="25">
        <f>VLOOKUP(Table30[[#This Row],[Month]],'DB Money Supply'!$A:$D,3)</f>
        <v>1902.1</v>
      </c>
      <c r="C290" s="65">
        <f>(Table30[[#This Row],[Real M2 Money Stock]]-B278)/B278</f>
        <v>3.803754638725159E-2</v>
      </c>
    </row>
    <row r="291" spans="1:3" x14ac:dyDescent="0.2">
      <c r="A291" s="23">
        <v>30225</v>
      </c>
      <c r="B291" s="25">
        <f>VLOOKUP(Table30[[#This Row],[Month]],'DB Money Supply'!$A:$D,3)</f>
        <v>1905.9</v>
      </c>
      <c r="C291" s="65">
        <f>(Table30[[#This Row],[Real M2 Money Stock]]-B279)/B279</f>
        <v>3.3848657445077347E-2</v>
      </c>
    </row>
    <row r="292" spans="1:3" x14ac:dyDescent="0.2">
      <c r="A292" s="23">
        <v>30256</v>
      </c>
      <c r="B292" s="25">
        <f>VLOOKUP(Table30[[#This Row],[Month]],'DB Money Supply'!$A:$D,3)</f>
        <v>1922.1</v>
      </c>
      <c r="C292" s="65">
        <f>(Table30[[#This Row],[Real M2 Money Stock]]-B280)/B280</f>
        <v>3.8467772435031508E-2</v>
      </c>
    </row>
    <row r="293" spans="1:3" x14ac:dyDescent="0.2">
      <c r="A293" s="23">
        <v>30286</v>
      </c>
      <c r="B293" s="25">
        <f>VLOOKUP(Table30[[#This Row],[Month]],'DB Money Supply'!$A:$D,3)</f>
        <v>1950.8</v>
      </c>
      <c r="C293" s="65">
        <f>(Table30[[#This Row],[Real M2 Money Stock]]-B281)/B281</f>
        <v>4.5668953687821638E-2</v>
      </c>
    </row>
    <row r="294" spans="1:3" x14ac:dyDescent="0.2">
      <c r="A294" s="23">
        <v>30317</v>
      </c>
      <c r="B294" s="25">
        <f>VLOOKUP(Table30[[#This Row],[Month]],'DB Money Supply'!$A:$D,3)</f>
        <v>2001.4</v>
      </c>
      <c r="C294" s="65">
        <f>(Table30[[#This Row],[Real M2 Money Stock]]-B282)/B282</f>
        <v>6.7185667057694354E-2</v>
      </c>
    </row>
    <row r="295" spans="1:3" x14ac:dyDescent="0.2">
      <c r="A295" s="23">
        <v>30348</v>
      </c>
      <c r="B295" s="25">
        <f>VLOOKUP(Table30[[#This Row],[Month]],'DB Money Supply'!$A:$D,3)</f>
        <v>2037.6</v>
      </c>
      <c r="C295" s="65">
        <f>(Table30[[#This Row],[Real M2 Money Stock]]-B283)/B283</f>
        <v>8.741594620557154E-2</v>
      </c>
    </row>
    <row r="296" spans="1:3" x14ac:dyDescent="0.2">
      <c r="A296" s="23">
        <v>30376</v>
      </c>
      <c r="B296" s="25">
        <f>VLOOKUP(Table30[[#This Row],[Month]],'DB Money Supply'!$A:$D,3)</f>
        <v>2054.1999999999998</v>
      </c>
      <c r="C296" s="65">
        <f>(Table30[[#This Row],[Real M2 Money Stock]]-B284)/B284</f>
        <v>8.8894778690696966E-2</v>
      </c>
    </row>
    <row r="297" spans="1:3" x14ac:dyDescent="0.2">
      <c r="A297" s="23">
        <v>30407</v>
      </c>
      <c r="B297" s="25">
        <f>VLOOKUP(Table30[[#This Row],[Month]],'DB Money Supply'!$A:$D,3)</f>
        <v>2053.1999999999998</v>
      </c>
      <c r="C297" s="65">
        <f>(Table30[[#This Row],[Real M2 Money Stock]]-B285)/B285</f>
        <v>8.1314514430166351E-2</v>
      </c>
    </row>
    <row r="298" spans="1:3" x14ac:dyDescent="0.2">
      <c r="A298" s="23">
        <v>30437</v>
      </c>
      <c r="B298" s="25">
        <f>VLOOKUP(Table30[[#This Row],[Month]],'DB Money Supply'!$A:$D,3)</f>
        <v>2059.6</v>
      </c>
      <c r="C298" s="65">
        <f>(Table30[[#This Row],[Real M2 Money Stock]]-B286)/B286</f>
        <v>8.8008452192287326E-2</v>
      </c>
    </row>
    <row r="299" spans="1:3" x14ac:dyDescent="0.2">
      <c r="A299" s="23">
        <v>30468</v>
      </c>
      <c r="B299" s="25">
        <f>VLOOKUP(Table30[[#This Row],[Month]],'DB Money Supply'!$A:$D,3)</f>
        <v>2065.9</v>
      </c>
      <c r="C299" s="65">
        <f>(Table30[[#This Row],[Real M2 Money Stock]]-B287)/B287</f>
        <v>9.7423638778220495E-2</v>
      </c>
    </row>
    <row r="300" spans="1:3" x14ac:dyDescent="0.2">
      <c r="A300" s="23">
        <v>30498</v>
      </c>
      <c r="B300" s="25">
        <f>VLOOKUP(Table30[[#This Row],[Month]],'DB Money Supply'!$A:$D,3)</f>
        <v>2068.9</v>
      </c>
      <c r="C300" s="65">
        <f>(Table30[[#This Row],[Real M2 Money Stock]]-B288)/B288</f>
        <v>0.10135746606334846</v>
      </c>
    </row>
    <row r="301" spans="1:3" x14ac:dyDescent="0.2">
      <c r="A301" s="23">
        <v>30529</v>
      </c>
      <c r="B301" s="25">
        <f>VLOOKUP(Table30[[#This Row],[Month]],'DB Money Supply'!$A:$D,3)</f>
        <v>2071.9</v>
      </c>
      <c r="C301" s="65">
        <f>(Table30[[#This Row],[Real M2 Money Stock]]-B289)/B289</f>
        <v>9.7056020332521545E-2</v>
      </c>
    </row>
    <row r="302" spans="1:3" x14ac:dyDescent="0.2">
      <c r="A302" s="23">
        <v>30560</v>
      </c>
      <c r="B302" s="25">
        <f>VLOOKUP(Table30[[#This Row],[Month]],'DB Money Supply'!$A:$D,3)</f>
        <v>2074.9</v>
      </c>
      <c r="C302" s="65">
        <f>(Table30[[#This Row],[Real M2 Money Stock]]-B290)/B290</f>
        <v>9.0846958624678092E-2</v>
      </c>
    </row>
    <row r="303" spans="1:3" x14ac:dyDescent="0.2">
      <c r="A303" s="23">
        <v>30590</v>
      </c>
      <c r="B303" s="25">
        <f>VLOOKUP(Table30[[#This Row],[Month]],'DB Money Supply'!$A:$D,3)</f>
        <v>2082.5</v>
      </c>
      <c r="C303" s="65">
        <f>(Table30[[#This Row],[Real M2 Money Stock]]-B291)/B291</f>
        <v>9.2659635867569076E-2</v>
      </c>
    </row>
    <row r="304" spans="1:3" x14ac:dyDescent="0.2">
      <c r="A304" s="23">
        <v>30621</v>
      </c>
      <c r="B304" s="25">
        <f>VLOOKUP(Table30[[#This Row],[Month]],'DB Money Supply'!$A:$D,3)</f>
        <v>2089.3000000000002</v>
      </c>
      <c r="C304" s="65">
        <f>(Table30[[#This Row],[Real M2 Money Stock]]-B292)/B292</f>
        <v>8.698819000052041E-2</v>
      </c>
    </row>
    <row r="305" spans="1:3" x14ac:dyDescent="0.2">
      <c r="A305" s="23">
        <v>30651</v>
      </c>
      <c r="B305" s="25">
        <f>VLOOKUP(Table30[[#This Row],[Month]],'DB Money Supply'!$A:$D,3)</f>
        <v>2094.1999999999998</v>
      </c>
      <c r="C305" s="65">
        <f>(Table30[[#This Row],[Real M2 Money Stock]]-B293)/B293</f>
        <v>7.3508304285421294E-2</v>
      </c>
    </row>
    <row r="306" spans="1:3" x14ac:dyDescent="0.2">
      <c r="A306" s="23">
        <v>30682</v>
      </c>
      <c r="B306" s="25">
        <f>VLOOKUP(Table30[[#This Row],[Month]],'DB Money Supply'!$A:$D,3)</f>
        <v>2094.1999999999998</v>
      </c>
      <c r="C306" s="65">
        <f>(Table30[[#This Row],[Real M2 Money Stock]]-B294)/B294</f>
        <v>4.6367542720095793E-2</v>
      </c>
    </row>
    <row r="307" spans="1:3" x14ac:dyDescent="0.2">
      <c r="A307" s="23">
        <v>30713</v>
      </c>
      <c r="B307" s="25">
        <f>VLOOKUP(Table30[[#This Row],[Month]],'DB Money Supply'!$A:$D,3)</f>
        <v>2103.5</v>
      </c>
      <c r="C307" s="65">
        <f>(Table30[[#This Row],[Real M2 Money Stock]]-B295)/B295</f>
        <v>3.2341970946211274E-2</v>
      </c>
    </row>
    <row r="308" spans="1:3" x14ac:dyDescent="0.2">
      <c r="A308" s="23">
        <v>30742</v>
      </c>
      <c r="B308" s="25">
        <f>VLOOKUP(Table30[[#This Row],[Month]],'DB Money Supply'!$A:$D,3)</f>
        <v>2113.9</v>
      </c>
      <c r="C308" s="65">
        <f>(Table30[[#This Row],[Real M2 Money Stock]]-B296)/B296</f>
        <v>2.9062408723590828E-2</v>
      </c>
    </row>
    <row r="309" spans="1:3" x14ac:dyDescent="0.2">
      <c r="A309" s="23">
        <v>30773</v>
      </c>
      <c r="B309" s="25">
        <f>VLOOKUP(Table30[[#This Row],[Month]],'DB Money Supply'!$A:$D,3)</f>
        <v>2121.6999999999998</v>
      </c>
      <c r="C309" s="65">
        <f>(Table30[[#This Row],[Real M2 Money Stock]]-B297)/B297</f>
        <v>3.336255601013053E-2</v>
      </c>
    </row>
    <row r="310" spans="1:3" x14ac:dyDescent="0.2">
      <c r="A310" s="23">
        <v>30803</v>
      </c>
      <c r="B310" s="25">
        <f>VLOOKUP(Table30[[#This Row],[Month]],'DB Money Supply'!$A:$D,3)</f>
        <v>2129.6</v>
      </c>
      <c r="C310" s="65">
        <f>(Table30[[#This Row],[Real M2 Money Stock]]-B298)/B298</f>
        <v>3.3987181977082934E-2</v>
      </c>
    </row>
    <row r="311" spans="1:3" x14ac:dyDescent="0.2">
      <c r="A311" s="23">
        <v>30834</v>
      </c>
      <c r="B311" s="25">
        <f>VLOOKUP(Table30[[#This Row],[Month]],'DB Money Supply'!$A:$D,3)</f>
        <v>2136.1</v>
      </c>
      <c r="C311" s="65">
        <f>(Table30[[#This Row],[Real M2 Money Stock]]-B299)/B299</f>
        <v>3.3980347548283954E-2</v>
      </c>
    </row>
    <row r="312" spans="1:3" x14ac:dyDescent="0.2">
      <c r="A312" s="23">
        <v>30864</v>
      </c>
      <c r="B312" s="25">
        <f>VLOOKUP(Table30[[#This Row],[Month]],'DB Money Supply'!$A:$D,3)</f>
        <v>2135.9</v>
      </c>
      <c r="C312" s="65">
        <f>(Table30[[#This Row],[Real M2 Money Stock]]-B300)/B300</f>
        <v>3.238435883802987E-2</v>
      </c>
    </row>
    <row r="313" spans="1:3" x14ac:dyDescent="0.2">
      <c r="A313" s="23">
        <v>30895</v>
      </c>
      <c r="B313" s="25">
        <f>VLOOKUP(Table30[[#This Row],[Month]],'DB Money Supply'!$A:$D,3)</f>
        <v>2136.4</v>
      </c>
      <c r="C313" s="65">
        <f>(Table30[[#This Row],[Real M2 Money Stock]]-B301)/B301</f>
        <v>3.1130846083305179E-2</v>
      </c>
    </row>
    <row r="314" spans="1:3" x14ac:dyDescent="0.2">
      <c r="A314" s="23">
        <v>30926</v>
      </c>
      <c r="B314" s="25">
        <f>VLOOKUP(Table30[[#This Row],[Month]],'DB Money Supply'!$A:$D,3)</f>
        <v>2143.6</v>
      </c>
      <c r="C314" s="65">
        <f>(Table30[[#This Row],[Real M2 Money Stock]]-B302)/B302</f>
        <v>3.311002939900709E-2</v>
      </c>
    </row>
    <row r="315" spans="1:3" x14ac:dyDescent="0.2">
      <c r="A315" s="23">
        <v>30956</v>
      </c>
      <c r="B315" s="25">
        <f>VLOOKUP(Table30[[#This Row],[Month]],'DB Money Supply'!$A:$D,3)</f>
        <v>2149.3000000000002</v>
      </c>
      <c r="C315" s="65">
        <f>(Table30[[#This Row],[Real M2 Money Stock]]-B303)/B303</f>
        <v>3.2076830732293005E-2</v>
      </c>
    </row>
    <row r="316" spans="1:3" x14ac:dyDescent="0.2">
      <c r="A316" s="23">
        <v>30987</v>
      </c>
      <c r="B316" s="25">
        <f>VLOOKUP(Table30[[#This Row],[Month]],'DB Money Supply'!$A:$D,3)</f>
        <v>2166.6</v>
      </c>
      <c r="C316" s="65">
        <f>(Table30[[#This Row],[Real M2 Money Stock]]-B304)/B304</f>
        <v>3.6998037620255456E-2</v>
      </c>
    </row>
    <row r="317" spans="1:3" x14ac:dyDescent="0.2">
      <c r="A317" s="23">
        <v>31017</v>
      </c>
      <c r="B317" s="25">
        <f>VLOOKUP(Table30[[#This Row],[Month]],'DB Money Supply'!$A:$D,3)</f>
        <v>2186.1999999999998</v>
      </c>
      <c r="C317" s="65">
        <f>(Table30[[#This Row],[Real M2 Money Stock]]-B305)/B305</f>
        <v>4.3930856651704715E-2</v>
      </c>
    </row>
    <row r="318" spans="1:3" x14ac:dyDescent="0.2">
      <c r="A318" s="23">
        <v>31048</v>
      </c>
      <c r="B318" s="25">
        <f>VLOOKUP(Table30[[#This Row],[Month]],'DB Money Supply'!$A:$D,3)</f>
        <v>2206.6</v>
      </c>
      <c r="C318" s="65">
        <f>(Table30[[#This Row],[Real M2 Money Stock]]-B306)/B306</f>
        <v>5.3672046604908846E-2</v>
      </c>
    </row>
    <row r="319" spans="1:3" x14ac:dyDescent="0.2">
      <c r="A319" s="23">
        <v>31079</v>
      </c>
      <c r="B319" s="25">
        <f>VLOOKUP(Table30[[#This Row],[Month]],'DB Money Supply'!$A:$D,3)</f>
        <v>2214.6</v>
      </c>
      <c r="C319" s="65">
        <f>(Table30[[#This Row],[Real M2 Money Stock]]-B307)/B307</f>
        <v>5.2816734014737299E-2</v>
      </c>
    </row>
    <row r="320" spans="1:3" x14ac:dyDescent="0.2">
      <c r="A320" s="23">
        <v>31107</v>
      </c>
      <c r="B320" s="25">
        <f>VLOOKUP(Table30[[#This Row],[Month]],'DB Money Supply'!$A:$D,3)</f>
        <v>2215.5</v>
      </c>
      <c r="C320" s="65">
        <f>(Table30[[#This Row],[Real M2 Money Stock]]-B308)/B308</f>
        <v>4.8062822271630591E-2</v>
      </c>
    </row>
    <row r="321" spans="1:3" x14ac:dyDescent="0.2">
      <c r="A321" s="23">
        <v>31138</v>
      </c>
      <c r="B321" s="25">
        <f>VLOOKUP(Table30[[#This Row],[Month]],'DB Money Supply'!$A:$D,3)</f>
        <v>2220</v>
      </c>
      <c r="C321" s="65">
        <f>(Table30[[#This Row],[Real M2 Money Stock]]-B309)/B309</f>
        <v>4.6330772493755099E-2</v>
      </c>
    </row>
    <row r="322" spans="1:3" x14ac:dyDescent="0.2">
      <c r="A322" s="23">
        <v>31168</v>
      </c>
      <c r="B322" s="25">
        <f>VLOOKUP(Table30[[#This Row],[Month]],'DB Money Supply'!$A:$D,3)</f>
        <v>2229</v>
      </c>
      <c r="C322" s="65">
        <f>(Table30[[#This Row],[Real M2 Money Stock]]-B310)/B310</f>
        <v>4.6675432006010563E-2</v>
      </c>
    </row>
    <row r="323" spans="1:3" x14ac:dyDescent="0.2">
      <c r="A323" s="23">
        <v>31199</v>
      </c>
      <c r="B323" s="25">
        <f>VLOOKUP(Table30[[#This Row],[Month]],'DB Money Supply'!$A:$D,3)</f>
        <v>2244.3000000000002</v>
      </c>
      <c r="C323" s="65">
        <f>(Table30[[#This Row],[Real M2 Money Stock]]-B311)/B311</f>
        <v>5.0653059313702675E-2</v>
      </c>
    </row>
    <row r="324" spans="1:3" x14ac:dyDescent="0.2">
      <c r="A324" s="23">
        <v>31229</v>
      </c>
      <c r="B324" s="25">
        <f>VLOOKUP(Table30[[#This Row],[Month]],'DB Money Supply'!$A:$D,3)</f>
        <v>2255.8000000000002</v>
      </c>
      <c r="C324" s="65">
        <f>(Table30[[#This Row],[Real M2 Money Stock]]-B312)/B312</f>
        <v>5.6135586872044611E-2</v>
      </c>
    </row>
    <row r="325" spans="1:3" x14ac:dyDescent="0.2">
      <c r="A325" s="23">
        <v>31260</v>
      </c>
      <c r="B325" s="25">
        <f>VLOOKUP(Table30[[#This Row],[Month]],'DB Money Supply'!$A:$D,3)</f>
        <v>2265.1</v>
      </c>
      <c r="C325" s="65">
        <f>(Table30[[#This Row],[Real M2 Money Stock]]-B313)/B313</f>
        <v>6.0241527803781975E-2</v>
      </c>
    </row>
    <row r="326" spans="1:3" x14ac:dyDescent="0.2">
      <c r="A326" s="23">
        <v>31291</v>
      </c>
      <c r="B326" s="25">
        <f>VLOOKUP(Table30[[#This Row],[Month]],'DB Money Supply'!$A:$D,3)</f>
        <v>2272.3000000000002</v>
      </c>
      <c r="C326" s="65">
        <f>(Table30[[#This Row],[Real M2 Money Stock]]-B314)/B314</f>
        <v>6.0039186415376131E-2</v>
      </c>
    </row>
    <row r="327" spans="1:3" x14ac:dyDescent="0.2">
      <c r="A327" s="23">
        <v>31321</v>
      </c>
      <c r="B327" s="25">
        <f>VLOOKUP(Table30[[#This Row],[Month]],'DB Money Supply'!$A:$D,3)</f>
        <v>2274.6999999999998</v>
      </c>
      <c r="C327" s="65">
        <f>(Table30[[#This Row],[Real M2 Money Stock]]-B315)/B315</f>
        <v>5.8344577304238414E-2</v>
      </c>
    </row>
    <row r="328" spans="1:3" x14ac:dyDescent="0.2">
      <c r="A328" s="23">
        <v>31352</v>
      </c>
      <c r="B328" s="25">
        <f>VLOOKUP(Table30[[#This Row],[Month]],'DB Money Supply'!$A:$D,3)</f>
        <v>2273.1999999999998</v>
      </c>
      <c r="C328" s="65">
        <f>(Table30[[#This Row],[Real M2 Money Stock]]-B316)/B316</f>
        <v>4.9201513892735124E-2</v>
      </c>
    </row>
    <row r="329" spans="1:3" x14ac:dyDescent="0.2">
      <c r="A329" s="23">
        <v>31382</v>
      </c>
      <c r="B329" s="25">
        <f>VLOOKUP(Table30[[#This Row],[Month]],'DB Money Supply'!$A:$D,3)</f>
        <v>2275.9</v>
      </c>
      <c r="C329" s="65">
        <f>(Table30[[#This Row],[Real M2 Money Stock]]-B317)/B317</f>
        <v>4.1030097886744249E-2</v>
      </c>
    </row>
    <row r="330" spans="1:3" x14ac:dyDescent="0.2">
      <c r="A330" s="23">
        <v>31413</v>
      </c>
      <c r="B330" s="25">
        <f>VLOOKUP(Table30[[#This Row],[Month]],'DB Money Supply'!$A:$D,3)</f>
        <v>2276.6999999999998</v>
      </c>
      <c r="C330" s="65">
        <f>(Table30[[#This Row],[Real M2 Money Stock]]-B318)/B318</f>
        <v>3.1768331369527739E-2</v>
      </c>
    </row>
    <row r="331" spans="1:3" x14ac:dyDescent="0.2">
      <c r="A331" s="23">
        <v>31444</v>
      </c>
      <c r="B331" s="25">
        <f>VLOOKUP(Table30[[#This Row],[Month]],'DB Money Supply'!$A:$D,3)</f>
        <v>2290.6999999999998</v>
      </c>
      <c r="C331" s="65">
        <f>(Table30[[#This Row],[Real M2 Money Stock]]-B319)/B319</f>
        <v>3.4362864625665998E-2</v>
      </c>
    </row>
    <row r="332" spans="1:3" x14ac:dyDescent="0.2">
      <c r="A332" s="23">
        <v>31472</v>
      </c>
      <c r="B332" s="25">
        <f>VLOOKUP(Table30[[#This Row],[Month]],'DB Money Supply'!$A:$D,3)</f>
        <v>2321.8000000000002</v>
      </c>
      <c r="C332" s="65">
        <f>(Table30[[#This Row],[Real M2 Money Stock]]-B320)/B320</f>
        <v>4.7980139923267967E-2</v>
      </c>
    </row>
    <row r="333" spans="1:3" x14ac:dyDescent="0.2">
      <c r="A333" s="23">
        <v>31503</v>
      </c>
      <c r="B333" s="25">
        <f>VLOOKUP(Table30[[#This Row],[Month]],'DB Money Supply'!$A:$D,3)</f>
        <v>2353.1</v>
      </c>
      <c r="C333" s="65">
        <f>(Table30[[#This Row],[Real M2 Money Stock]]-B321)/B321</f>
        <v>5.9954954954954912E-2</v>
      </c>
    </row>
    <row r="334" spans="1:3" x14ac:dyDescent="0.2">
      <c r="A334" s="23">
        <v>31533</v>
      </c>
      <c r="B334" s="25">
        <f>VLOOKUP(Table30[[#This Row],[Month]],'DB Money Supply'!$A:$D,3)</f>
        <v>2371.4</v>
      </c>
      <c r="C334" s="65">
        <f>(Table30[[#This Row],[Real M2 Money Stock]]-B322)/B322</f>
        <v>6.3885150291610626E-2</v>
      </c>
    </row>
    <row r="335" spans="1:3" x14ac:dyDescent="0.2">
      <c r="A335" s="23">
        <v>31564</v>
      </c>
      <c r="B335" s="25">
        <f>VLOOKUP(Table30[[#This Row],[Month]],'DB Money Supply'!$A:$D,3)</f>
        <v>2381.1999999999998</v>
      </c>
      <c r="C335" s="65">
        <f>(Table30[[#This Row],[Real M2 Money Stock]]-B323)/B323</f>
        <v>6.0998975181570922E-2</v>
      </c>
    </row>
    <row r="336" spans="1:3" x14ac:dyDescent="0.2">
      <c r="A336" s="23">
        <v>31594</v>
      </c>
      <c r="B336" s="25">
        <f>VLOOKUP(Table30[[#This Row],[Month]],'DB Money Supply'!$A:$D,3)</f>
        <v>2398.6999999999998</v>
      </c>
      <c r="C336" s="65">
        <f>(Table30[[#This Row],[Real M2 Money Stock]]-B324)/B324</f>
        <v>6.3347814522563897E-2</v>
      </c>
    </row>
    <row r="337" spans="1:3" x14ac:dyDescent="0.2">
      <c r="A337" s="23">
        <v>31625</v>
      </c>
      <c r="B337" s="25">
        <f>VLOOKUP(Table30[[#This Row],[Month]],'DB Money Supply'!$A:$D,3)</f>
        <v>2414.6999999999998</v>
      </c>
      <c r="C337" s="65">
        <f>(Table30[[#This Row],[Real M2 Money Stock]]-B325)/B325</f>
        <v>6.6045649198710837E-2</v>
      </c>
    </row>
    <row r="338" spans="1:3" x14ac:dyDescent="0.2">
      <c r="A338" s="23">
        <v>31656</v>
      </c>
      <c r="B338" s="25">
        <f>VLOOKUP(Table30[[#This Row],[Month]],'DB Money Supply'!$A:$D,3)</f>
        <v>2425.3000000000002</v>
      </c>
      <c r="C338" s="65">
        <f>(Table30[[#This Row],[Real M2 Money Stock]]-B326)/B326</f>
        <v>6.7332658539805482E-2</v>
      </c>
    </row>
    <row r="339" spans="1:3" x14ac:dyDescent="0.2">
      <c r="A339" s="23">
        <v>31686</v>
      </c>
      <c r="B339" s="25">
        <f>VLOOKUP(Table30[[#This Row],[Month]],'DB Money Supply'!$A:$D,3)</f>
        <v>2438.6999999999998</v>
      </c>
      <c r="C339" s="65">
        <f>(Table30[[#This Row],[Real M2 Money Stock]]-B327)/B327</f>
        <v>7.2097419439926147E-2</v>
      </c>
    </row>
    <row r="340" spans="1:3" x14ac:dyDescent="0.2">
      <c r="A340" s="23">
        <v>31717</v>
      </c>
      <c r="B340" s="25">
        <f>VLOOKUP(Table30[[#This Row],[Month]],'DB Money Supply'!$A:$D,3)</f>
        <v>2446.8000000000002</v>
      </c>
      <c r="C340" s="65">
        <f>(Table30[[#This Row],[Real M2 Money Stock]]-B328)/B328</f>
        <v>7.6368115431990319E-2</v>
      </c>
    </row>
    <row r="341" spans="1:3" x14ac:dyDescent="0.2">
      <c r="A341" s="23">
        <v>31747</v>
      </c>
      <c r="B341" s="25">
        <f>VLOOKUP(Table30[[#This Row],[Month]],'DB Money Supply'!$A:$D,3)</f>
        <v>2462.1</v>
      </c>
      <c r="C341" s="65">
        <f>(Table30[[#This Row],[Real M2 Money Stock]]-B329)/B329</f>
        <v>8.1813787952018893E-2</v>
      </c>
    </row>
    <row r="342" spans="1:3" x14ac:dyDescent="0.2">
      <c r="A342" s="23">
        <v>31778</v>
      </c>
      <c r="B342" s="25">
        <f>VLOOKUP(Table30[[#This Row],[Month]],'DB Money Supply'!$A:$D,3)</f>
        <v>2463.1</v>
      </c>
      <c r="C342" s="65">
        <f>(Table30[[#This Row],[Real M2 Money Stock]]-B330)/B330</f>
        <v>8.1872886194931313E-2</v>
      </c>
    </row>
    <row r="343" spans="1:3" x14ac:dyDescent="0.2">
      <c r="A343" s="23">
        <v>31809</v>
      </c>
      <c r="B343" s="25">
        <f>VLOOKUP(Table30[[#This Row],[Month]],'DB Money Supply'!$A:$D,3)</f>
        <v>2457.5</v>
      </c>
      <c r="C343" s="65">
        <f>(Table30[[#This Row],[Real M2 Money Stock]]-B331)/B331</f>
        <v>7.2816169729777003E-2</v>
      </c>
    </row>
    <row r="344" spans="1:3" x14ac:dyDescent="0.2">
      <c r="A344" s="23">
        <v>31837</v>
      </c>
      <c r="B344" s="25">
        <f>VLOOKUP(Table30[[#This Row],[Month]],'DB Money Supply'!$A:$D,3)</f>
        <v>2454.3000000000002</v>
      </c>
      <c r="C344" s="65">
        <f>(Table30[[#This Row],[Real M2 Money Stock]]-B332)/B332</f>
        <v>5.7067792230166246E-2</v>
      </c>
    </row>
    <row r="345" spans="1:3" x14ac:dyDescent="0.2">
      <c r="A345" s="23">
        <v>31868</v>
      </c>
      <c r="B345" s="25">
        <f>VLOOKUP(Table30[[#This Row],[Month]],'DB Money Supply'!$A:$D,3)</f>
        <v>2455.8000000000002</v>
      </c>
      <c r="C345" s="65">
        <f>(Table30[[#This Row],[Real M2 Money Stock]]-B333)/B333</f>
        <v>4.3644553992605618E-2</v>
      </c>
    </row>
    <row r="346" spans="1:3" x14ac:dyDescent="0.2">
      <c r="A346" s="23">
        <v>31898</v>
      </c>
      <c r="B346" s="25">
        <f>VLOOKUP(Table30[[#This Row],[Month]],'DB Money Supply'!$A:$D,3)</f>
        <v>2453.9</v>
      </c>
      <c r="C346" s="65">
        <f>(Table30[[#This Row],[Real M2 Money Stock]]-B334)/B334</f>
        <v>3.4789575778021421E-2</v>
      </c>
    </row>
    <row r="347" spans="1:3" x14ac:dyDescent="0.2">
      <c r="A347" s="23">
        <v>31929</v>
      </c>
      <c r="B347" s="25">
        <f>VLOOKUP(Table30[[#This Row],[Month]],'DB Money Supply'!$A:$D,3)</f>
        <v>2444.6</v>
      </c>
      <c r="C347" s="65">
        <f>(Table30[[#This Row],[Real M2 Money Stock]]-B335)/B335</f>
        <v>2.6625230975978537E-2</v>
      </c>
    </row>
    <row r="348" spans="1:3" x14ac:dyDescent="0.2">
      <c r="A348" s="23">
        <v>31959</v>
      </c>
      <c r="B348" s="25">
        <f>VLOOKUP(Table30[[#This Row],[Month]],'DB Money Supply'!$A:$D,3)</f>
        <v>2442</v>
      </c>
      <c r="C348" s="65">
        <f>(Table30[[#This Row],[Real M2 Money Stock]]-B336)/B336</f>
        <v>1.8051444532455156E-2</v>
      </c>
    </row>
    <row r="349" spans="1:3" x14ac:dyDescent="0.2">
      <c r="A349" s="23">
        <v>31990</v>
      </c>
      <c r="B349" s="25">
        <f>VLOOKUP(Table30[[#This Row],[Month]],'DB Money Supply'!$A:$D,3)</f>
        <v>2439.4</v>
      </c>
      <c r="C349" s="65">
        <f>(Table30[[#This Row],[Real M2 Money Stock]]-B337)/B337</f>
        <v>1.0229013956185147E-2</v>
      </c>
    </row>
    <row r="350" spans="1:3" x14ac:dyDescent="0.2">
      <c r="A350" s="23">
        <v>32021</v>
      </c>
      <c r="B350" s="25">
        <f>VLOOKUP(Table30[[#This Row],[Month]],'DB Money Supply'!$A:$D,3)</f>
        <v>2440.6999999999998</v>
      </c>
      <c r="C350" s="65">
        <f>(Table30[[#This Row],[Real M2 Money Stock]]-B338)/B338</f>
        <v>6.3497299303177483E-3</v>
      </c>
    </row>
    <row r="351" spans="1:3" x14ac:dyDescent="0.2">
      <c r="A351" s="23">
        <v>32051</v>
      </c>
      <c r="B351" s="25">
        <f>VLOOKUP(Table30[[#This Row],[Month]],'DB Money Supply'!$A:$D,3)</f>
        <v>2447.6999999999998</v>
      </c>
      <c r="C351" s="65">
        <f>(Table30[[#This Row],[Real M2 Money Stock]]-B339)/B339</f>
        <v>3.6904908352810928E-3</v>
      </c>
    </row>
    <row r="352" spans="1:3" x14ac:dyDescent="0.2">
      <c r="A352" s="23">
        <v>32082</v>
      </c>
      <c r="B352" s="25">
        <f>VLOOKUP(Table30[[#This Row],[Month]],'DB Money Supply'!$A:$D,3)</f>
        <v>2442.6999999999998</v>
      </c>
      <c r="C352" s="65">
        <f>(Table30[[#This Row],[Real M2 Money Stock]]-B340)/B340</f>
        <v>-1.6756580022888523E-3</v>
      </c>
    </row>
    <row r="353" spans="1:3" x14ac:dyDescent="0.2">
      <c r="A353" s="23">
        <v>32112</v>
      </c>
      <c r="B353" s="25">
        <f>VLOOKUP(Table30[[#This Row],[Month]],'DB Money Supply'!$A:$D,3)</f>
        <v>2445</v>
      </c>
      <c r="C353" s="65">
        <f>(Table30[[#This Row],[Real M2 Money Stock]]-B341)/B341</f>
        <v>-6.9452906055805655E-3</v>
      </c>
    </row>
    <row r="354" spans="1:3" x14ac:dyDescent="0.2">
      <c r="A354" s="23">
        <v>32143</v>
      </c>
      <c r="B354" s="25">
        <f>VLOOKUP(Table30[[#This Row],[Month]],'DB Money Supply'!$A:$D,3)</f>
        <v>2454.6999999999998</v>
      </c>
      <c r="C354" s="65">
        <f>(Table30[[#This Row],[Real M2 Money Stock]]-B342)/B342</f>
        <v>-3.4103365677398772E-3</v>
      </c>
    </row>
    <row r="355" spans="1:3" x14ac:dyDescent="0.2">
      <c r="A355" s="23">
        <v>32174</v>
      </c>
      <c r="B355" s="25">
        <f>VLOOKUP(Table30[[#This Row],[Month]],'DB Money Supply'!$A:$D,3)</f>
        <v>2470.1999999999998</v>
      </c>
      <c r="C355" s="65">
        <f>(Table30[[#This Row],[Real M2 Money Stock]]-B343)/B343</f>
        <v>5.1678535096642188E-3</v>
      </c>
    </row>
    <row r="356" spans="1:3" x14ac:dyDescent="0.2">
      <c r="A356" s="23">
        <v>32203</v>
      </c>
      <c r="B356" s="25">
        <f>VLOOKUP(Table30[[#This Row],[Month]],'DB Money Supply'!$A:$D,3)</f>
        <v>2481.3000000000002</v>
      </c>
      <c r="C356" s="65">
        <f>(Table30[[#This Row],[Real M2 Money Stock]]-B344)/B344</f>
        <v>1.1001100110011E-2</v>
      </c>
    </row>
    <row r="357" spans="1:3" x14ac:dyDescent="0.2">
      <c r="A357" s="23">
        <v>32234</v>
      </c>
      <c r="B357" s="25">
        <f>VLOOKUP(Table30[[#This Row],[Month]],'DB Money Supply'!$A:$D,3)</f>
        <v>2483.5</v>
      </c>
      <c r="C357" s="65">
        <f>(Table30[[#This Row],[Real M2 Money Stock]]-B345)/B345</f>
        <v>1.1279420148220464E-2</v>
      </c>
    </row>
    <row r="358" spans="1:3" x14ac:dyDescent="0.2">
      <c r="A358" s="23">
        <v>32264</v>
      </c>
      <c r="B358" s="25">
        <f>VLOOKUP(Table30[[#This Row],[Month]],'DB Money Supply'!$A:$D,3)</f>
        <v>2490.1999999999998</v>
      </c>
      <c r="C358" s="65">
        <f>(Table30[[#This Row],[Real M2 Money Stock]]-B346)/B346</f>
        <v>1.4792778841843485E-2</v>
      </c>
    </row>
    <row r="359" spans="1:3" x14ac:dyDescent="0.2">
      <c r="A359" s="23">
        <v>32295</v>
      </c>
      <c r="B359" s="25">
        <f>VLOOKUP(Table30[[#This Row],[Month]],'DB Money Supply'!$A:$D,3)</f>
        <v>2490.1999999999998</v>
      </c>
      <c r="C359" s="65">
        <f>(Table30[[#This Row],[Real M2 Money Stock]]-B347)/B347</f>
        <v>1.8653358422645795E-2</v>
      </c>
    </row>
    <row r="360" spans="1:3" x14ac:dyDescent="0.2">
      <c r="A360" s="23">
        <v>32325</v>
      </c>
      <c r="B360" s="25">
        <f>VLOOKUP(Table30[[#This Row],[Month]],'DB Money Supply'!$A:$D,3)</f>
        <v>2487.1</v>
      </c>
      <c r="C360" s="65">
        <f>(Table30[[#This Row],[Real M2 Money Stock]]-B348)/B348</f>
        <v>1.8468468468468432E-2</v>
      </c>
    </row>
    <row r="361" spans="1:3" x14ac:dyDescent="0.2">
      <c r="A361" s="23">
        <v>32356</v>
      </c>
      <c r="B361" s="25">
        <f>VLOOKUP(Table30[[#This Row],[Month]],'DB Money Supply'!$A:$D,3)</f>
        <v>2480.6999999999998</v>
      </c>
      <c r="C361" s="65">
        <f>(Table30[[#This Row],[Real M2 Money Stock]]-B349)/B349</f>
        <v>1.6930392719521081E-2</v>
      </c>
    </row>
    <row r="362" spans="1:3" x14ac:dyDescent="0.2">
      <c r="A362" s="23">
        <v>32387</v>
      </c>
      <c r="B362" s="25">
        <f>VLOOKUP(Table30[[#This Row],[Month]],'DB Money Supply'!$A:$D,3)</f>
        <v>2474.4</v>
      </c>
      <c r="C362" s="65">
        <f>(Table30[[#This Row],[Real M2 Money Stock]]-B350)/B350</f>
        <v>1.3807514237718799E-2</v>
      </c>
    </row>
    <row r="363" spans="1:3" x14ac:dyDescent="0.2">
      <c r="A363" s="23">
        <v>32417</v>
      </c>
      <c r="B363" s="25">
        <f>VLOOKUP(Table30[[#This Row],[Month]],'DB Money Supply'!$A:$D,3)</f>
        <v>2473.1</v>
      </c>
      <c r="C363" s="65">
        <f>(Table30[[#This Row],[Real M2 Money Stock]]-B351)/B351</f>
        <v>1.0377088695510109E-2</v>
      </c>
    </row>
    <row r="364" spans="1:3" x14ac:dyDescent="0.2">
      <c r="A364" s="23">
        <v>32448</v>
      </c>
      <c r="B364" s="25">
        <f>VLOOKUP(Table30[[#This Row],[Month]],'DB Money Supply'!$A:$D,3)</f>
        <v>2477.3000000000002</v>
      </c>
      <c r="C364" s="65">
        <f>(Table30[[#This Row],[Real M2 Money Stock]]-B352)/B352</f>
        <v>1.4164653866623149E-2</v>
      </c>
    </row>
    <row r="365" spans="1:3" x14ac:dyDescent="0.2">
      <c r="A365" s="23">
        <v>32478</v>
      </c>
      <c r="B365" s="25">
        <f>VLOOKUP(Table30[[#This Row],[Month]],'DB Money Supply'!$A:$D,3)</f>
        <v>2475.6999999999998</v>
      </c>
      <c r="C365" s="65">
        <f>(Table30[[#This Row],[Real M2 Money Stock]]-B353)/B353</f>
        <v>1.2556237218813831E-2</v>
      </c>
    </row>
    <row r="366" spans="1:3" x14ac:dyDescent="0.2">
      <c r="A366" s="23">
        <v>32509</v>
      </c>
      <c r="B366" s="25">
        <f>VLOOKUP(Table30[[#This Row],[Month]],'DB Money Supply'!$A:$D,3)</f>
        <v>2468.4</v>
      </c>
      <c r="C366" s="65">
        <f>(Table30[[#This Row],[Real M2 Money Stock]]-B354)/B354</f>
        <v>5.5811300769952636E-3</v>
      </c>
    </row>
    <row r="367" spans="1:3" x14ac:dyDescent="0.2">
      <c r="A367" s="23">
        <v>32540</v>
      </c>
      <c r="B367" s="25">
        <f>VLOOKUP(Table30[[#This Row],[Month]],'DB Money Supply'!$A:$D,3)</f>
        <v>2460.6999999999998</v>
      </c>
      <c r="C367" s="65">
        <f>(Table30[[#This Row],[Real M2 Money Stock]]-B355)/B355</f>
        <v>-3.8458424419075383E-3</v>
      </c>
    </row>
    <row r="368" spans="1:3" x14ac:dyDescent="0.2">
      <c r="A368" s="23">
        <v>32568</v>
      </c>
      <c r="B368" s="25">
        <f>VLOOKUP(Table30[[#This Row],[Month]],'DB Money Supply'!$A:$D,3)</f>
        <v>2454.6999999999998</v>
      </c>
      <c r="C368" s="65">
        <f>(Table30[[#This Row],[Real M2 Money Stock]]-B356)/B356</f>
        <v>-1.07201869987508E-2</v>
      </c>
    </row>
    <row r="369" spans="1:3" x14ac:dyDescent="0.2">
      <c r="A369" s="23">
        <v>32599</v>
      </c>
      <c r="B369" s="25">
        <f>VLOOKUP(Table30[[#This Row],[Month]],'DB Money Supply'!$A:$D,3)</f>
        <v>2441.9</v>
      </c>
      <c r="C369" s="65">
        <f>(Table30[[#This Row],[Real M2 Money Stock]]-B357)/B357</f>
        <v>-1.6750553654117137E-2</v>
      </c>
    </row>
    <row r="370" spans="1:3" x14ac:dyDescent="0.2">
      <c r="A370" s="23">
        <v>32629</v>
      </c>
      <c r="B370" s="25">
        <f>VLOOKUP(Table30[[#This Row],[Month]],'DB Money Supply'!$A:$D,3)</f>
        <v>2434.6</v>
      </c>
      <c r="C370" s="65">
        <f>(Table30[[#This Row],[Real M2 Money Stock]]-B358)/B358</f>
        <v>-2.2327523893663125E-2</v>
      </c>
    </row>
    <row r="371" spans="1:3" x14ac:dyDescent="0.2">
      <c r="A371" s="23">
        <v>32660</v>
      </c>
      <c r="B371" s="25">
        <f>VLOOKUP(Table30[[#This Row],[Month]],'DB Money Supply'!$A:$D,3)</f>
        <v>2439.9</v>
      </c>
      <c r="C371" s="65">
        <f>(Table30[[#This Row],[Real M2 Money Stock]]-B359)/B359</f>
        <v>-2.0199180788691564E-2</v>
      </c>
    </row>
    <row r="372" spans="1:3" x14ac:dyDescent="0.2">
      <c r="A372" s="23">
        <v>32690</v>
      </c>
      <c r="B372" s="25">
        <f>VLOOKUP(Table30[[#This Row],[Month]],'DB Money Supply'!$A:$D,3)</f>
        <v>2451.6999999999998</v>
      </c>
      <c r="C372" s="65">
        <f>(Table30[[#This Row],[Real M2 Money Stock]]-B360)/B360</f>
        <v>-1.4233444574001887E-2</v>
      </c>
    </row>
    <row r="373" spans="1:3" x14ac:dyDescent="0.2">
      <c r="A373" s="23">
        <v>32721</v>
      </c>
      <c r="B373" s="25">
        <f>VLOOKUP(Table30[[#This Row],[Month]],'DB Money Supply'!$A:$D,3)</f>
        <v>2469.4</v>
      </c>
      <c r="C373" s="65">
        <f>(Table30[[#This Row],[Real M2 Money Stock]]-B361)/B361</f>
        <v>-4.5551658805981082E-3</v>
      </c>
    </row>
    <row r="374" spans="1:3" x14ac:dyDescent="0.2">
      <c r="A374" s="23">
        <v>32752</v>
      </c>
      <c r="B374" s="25">
        <f>VLOOKUP(Table30[[#This Row],[Month]],'DB Money Supply'!$A:$D,3)</f>
        <v>2478</v>
      </c>
      <c r="C374" s="65">
        <f>(Table30[[#This Row],[Real M2 Money Stock]]-B362)/B362</f>
        <v>1.4548981571289642E-3</v>
      </c>
    </row>
    <row r="375" spans="1:3" x14ac:dyDescent="0.2">
      <c r="A375" s="23">
        <v>32782</v>
      </c>
      <c r="B375" s="25">
        <f>VLOOKUP(Table30[[#This Row],[Month]],'DB Money Supply'!$A:$D,3)</f>
        <v>2483.3000000000002</v>
      </c>
      <c r="C375" s="65">
        <f>(Table30[[#This Row],[Real M2 Money Stock]]-B363)/B363</f>
        <v>4.124378310622406E-3</v>
      </c>
    </row>
    <row r="376" spans="1:3" x14ac:dyDescent="0.2">
      <c r="A376" s="23">
        <v>32813</v>
      </c>
      <c r="B376" s="25">
        <f>VLOOKUP(Table30[[#This Row],[Month]],'DB Money Supply'!$A:$D,3)</f>
        <v>2488.6999999999998</v>
      </c>
      <c r="C376" s="65">
        <f>(Table30[[#This Row],[Real M2 Money Stock]]-B364)/B364</f>
        <v>4.6017842005407639E-3</v>
      </c>
    </row>
    <row r="377" spans="1:3" x14ac:dyDescent="0.2">
      <c r="A377" s="23">
        <v>32843</v>
      </c>
      <c r="B377" s="25">
        <f>VLOOKUP(Table30[[#This Row],[Month]],'DB Money Supply'!$A:$D,3)</f>
        <v>2496</v>
      </c>
      <c r="C377" s="65">
        <f>(Table30[[#This Row],[Real M2 Money Stock]]-B365)/B365</f>
        <v>8.1997010946399732E-3</v>
      </c>
    </row>
    <row r="378" spans="1:3" x14ac:dyDescent="0.2">
      <c r="A378" s="23">
        <v>32874</v>
      </c>
      <c r="B378" s="25">
        <f>VLOOKUP(Table30[[#This Row],[Month]],'DB Money Supply'!$A:$D,3)</f>
        <v>2483.8000000000002</v>
      </c>
      <c r="C378" s="65">
        <f>(Table30[[#This Row],[Real M2 Money Stock]]-B366)/B366</f>
        <v>6.2388591800356871E-3</v>
      </c>
    </row>
    <row r="379" spans="1:3" x14ac:dyDescent="0.2">
      <c r="A379" s="23">
        <v>32905</v>
      </c>
      <c r="B379" s="25">
        <f>VLOOKUP(Table30[[#This Row],[Month]],'DB Money Supply'!$A:$D,3)</f>
        <v>2483.8000000000002</v>
      </c>
      <c r="C379" s="65">
        <f>(Table30[[#This Row],[Real M2 Money Stock]]-B367)/B367</f>
        <v>9.387572641931307E-3</v>
      </c>
    </row>
    <row r="380" spans="1:3" x14ac:dyDescent="0.2">
      <c r="A380" s="23">
        <v>32933</v>
      </c>
      <c r="B380" s="25">
        <f>VLOOKUP(Table30[[#This Row],[Month]],'DB Money Supply'!$A:$D,3)</f>
        <v>2480.6</v>
      </c>
      <c r="C380" s="65">
        <f>(Table30[[#This Row],[Real M2 Money Stock]]-B368)/B368</f>
        <v>1.0551187517822989E-2</v>
      </c>
    </row>
    <row r="381" spans="1:3" x14ac:dyDescent="0.2">
      <c r="A381" s="23">
        <v>32964</v>
      </c>
      <c r="B381" s="25">
        <f>VLOOKUP(Table30[[#This Row],[Month]],'DB Money Supply'!$A:$D,3)</f>
        <v>2483.8000000000002</v>
      </c>
      <c r="C381" s="65">
        <f>(Table30[[#This Row],[Real M2 Money Stock]]-B369)/B369</f>
        <v>1.7158769810393583E-2</v>
      </c>
    </row>
    <row r="382" spans="1:3" x14ac:dyDescent="0.2">
      <c r="A382" s="23">
        <v>32994</v>
      </c>
      <c r="B382" s="25">
        <f>VLOOKUP(Table30[[#This Row],[Month]],'DB Money Supply'!$A:$D,3)</f>
        <v>2479.1999999999998</v>
      </c>
      <c r="C382" s="65">
        <f>(Table30[[#This Row],[Real M2 Money Stock]]-B370)/B370</f>
        <v>1.8319231085188497E-2</v>
      </c>
    </row>
    <row r="383" spans="1:3" x14ac:dyDescent="0.2">
      <c r="A383" s="23">
        <v>33025</v>
      </c>
      <c r="B383" s="25">
        <f>VLOOKUP(Table30[[#This Row],[Month]],'DB Money Supply'!$A:$D,3)</f>
        <v>2474</v>
      </c>
      <c r="C383" s="65">
        <f>(Table30[[#This Row],[Real M2 Money Stock]]-B371)/B371</f>
        <v>1.3975982622238578E-2</v>
      </c>
    </row>
    <row r="384" spans="1:3" x14ac:dyDescent="0.2">
      <c r="A384" s="23">
        <v>33055</v>
      </c>
      <c r="B384" s="25">
        <f>VLOOKUP(Table30[[#This Row],[Month]],'DB Money Supply'!$A:$D,3)</f>
        <v>2470.9</v>
      </c>
      <c r="C384" s="65">
        <f>(Table30[[#This Row],[Real M2 Money Stock]]-B372)/B372</f>
        <v>7.831300730105753E-3</v>
      </c>
    </row>
    <row r="385" spans="1:3" x14ac:dyDescent="0.2">
      <c r="A385" s="23">
        <v>33086</v>
      </c>
      <c r="B385" s="25">
        <f>VLOOKUP(Table30[[#This Row],[Month]],'DB Money Supply'!$A:$D,3)</f>
        <v>2463.5</v>
      </c>
      <c r="C385" s="65">
        <f>(Table30[[#This Row],[Real M2 Money Stock]]-B373)/B373</f>
        <v>-2.3892443508544952E-3</v>
      </c>
    </row>
    <row r="386" spans="1:3" x14ac:dyDescent="0.2">
      <c r="A386" s="23">
        <v>33117</v>
      </c>
      <c r="B386" s="25">
        <f>VLOOKUP(Table30[[#This Row],[Month]],'DB Money Supply'!$A:$D,3)</f>
        <v>2456.3000000000002</v>
      </c>
      <c r="C386" s="65">
        <f>(Table30[[#This Row],[Real M2 Money Stock]]-B374)/B374</f>
        <v>-8.7570621468925827E-3</v>
      </c>
    </row>
    <row r="387" spans="1:3" x14ac:dyDescent="0.2">
      <c r="A387" s="23">
        <v>33147</v>
      </c>
      <c r="B387" s="25">
        <f>VLOOKUP(Table30[[#This Row],[Month]],'DB Money Supply'!$A:$D,3)</f>
        <v>2443.3000000000002</v>
      </c>
      <c r="C387" s="65">
        <f>(Table30[[#This Row],[Real M2 Money Stock]]-B375)/B375</f>
        <v>-1.6107598759714896E-2</v>
      </c>
    </row>
    <row r="388" spans="1:3" x14ac:dyDescent="0.2">
      <c r="A388" s="23">
        <v>33178</v>
      </c>
      <c r="B388" s="25">
        <f>VLOOKUP(Table30[[#This Row],[Month]],'DB Money Supply'!$A:$D,3)</f>
        <v>2440.1999999999998</v>
      </c>
      <c r="C388" s="65">
        <f>(Table30[[#This Row],[Real M2 Money Stock]]-B376)/B376</f>
        <v>-1.9488086149395269E-2</v>
      </c>
    </row>
    <row r="389" spans="1:3" x14ac:dyDescent="0.2">
      <c r="A389" s="23">
        <v>33208</v>
      </c>
      <c r="B389" s="25">
        <f>VLOOKUP(Table30[[#This Row],[Month]],'DB Money Supply'!$A:$D,3)</f>
        <v>2438</v>
      </c>
      <c r="C389" s="65">
        <f>(Table30[[#This Row],[Real M2 Money Stock]]-B377)/B377</f>
        <v>-2.3237179487179488E-2</v>
      </c>
    </row>
    <row r="390" spans="1:3" x14ac:dyDescent="0.2">
      <c r="A390" s="23">
        <v>33239</v>
      </c>
      <c r="B390" s="25">
        <f>VLOOKUP(Table30[[#This Row],[Month]],'DB Money Supply'!$A:$D,3)</f>
        <v>2440.8000000000002</v>
      </c>
      <c r="C390" s="65">
        <f>(Table30[[#This Row],[Real M2 Money Stock]]-B378)/B378</f>
        <v>-1.7312182945486754E-2</v>
      </c>
    </row>
    <row r="391" spans="1:3" x14ac:dyDescent="0.2">
      <c r="A391" s="23">
        <v>33270</v>
      </c>
      <c r="B391" s="25">
        <f>VLOOKUP(Table30[[#This Row],[Month]],'DB Money Supply'!$A:$D,3)</f>
        <v>2451.4</v>
      </c>
      <c r="C391" s="65">
        <f>(Table30[[#This Row],[Real M2 Money Stock]]-B379)/B379</f>
        <v>-1.304452854497145E-2</v>
      </c>
    </row>
    <row r="392" spans="1:3" x14ac:dyDescent="0.2">
      <c r="A392" s="23">
        <v>33298</v>
      </c>
      <c r="B392" s="25">
        <f>VLOOKUP(Table30[[#This Row],[Month]],'DB Money Supply'!$A:$D,3)</f>
        <v>2464.3000000000002</v>
      </c>
      <c r="C392" s="65">
        <f>(Table30[[#This Row],[Real M2 Money Stock]]-B380)/B380</f>
        <v>-6.5709908893008661E-3</v>
      </c>
    </row>
    <row r="393" spans="1:3" x14ac:dyDescent="0.2">
      <c r="A393" s="23">
        <v>33329</v>
      </c>
      <c r="B393" s="25">
        <f>VLOOKUP(Table30[[#This Row],[Month]],'DB Money Supply'!$A:$D,3)</f>
        <v>2466.6</v>
      </c>
      <c r="C393" s="65">
        <f>(Table30[[#This Row],[Real M2 Money Stock]]-B381)/B381</f>
        <v>-6.9248731781948111E-3</v>
      </c>
    </row>
    <row r="394" spans="1:3" x14ac:dyDescent="0.2">
      <c r="A394" s="23">
        <v>33359</v>
      </c>
      <c r="B394" s="25">
        <f>VLOOKUP(Table30[[#This Row],[Month]],'DB Money Supply'!$A:$D,3)</f>
        <v>2465.3000000000002</v>
      </c>
      <c r="C394" s="65">
        <f>(Table30[[#This Row],[Real M2 Money Stock]]-B382)/B382</f>
        <v>-5.6066473055822992E-3</v>
      </c>
    </row>
    <row r="395" spans="1:3" x14ac:dyDescent="0.2">
      <c r="A395" s="23">
        <v>33390</v>
      </c>
      <c r="B395" s="25">
        <f>VLOOKUP(Table30[[#This Row],[Month]],'DB Money Supply'!$A:$D,3)</f>
        <v>2464.6</v>
      </c>
      <c r="C395" s="65">
        <f>(Table30[[#This Row],[Real M2 Money Stock]]-B383)/B383</f>
        <v>-3.7995149555376277E-3</v>
      </c>
    </row>
    <row r="396" spans="1:3" x14ac:dyDescent="0.2">
      <c r="A396" s="23">
        <v>33420</v>
      </c>
      <c r="B396" s="25">
        <f>VLOOKUP(Table30[[#This Row],[Month]],'DB Money Supply'!$A:$D,3)</f>
        <v>2464.1</v>
      </c>
      <c r="C396" s="65">
        <f>(Table30[[#This Row],[Real M2 Money Stock]]-B384)/B384</f>
        <v>-2.7520336719414713E-3</v>
      </c>
    </row>
    <row r="397" spans="1:3" x14ac:dyDescent="0.2">
      <c r="A397" s="23">
        <v>33451</v>
      </c>
      <c r="B397" s="25">
        <f>VLOOKUP(Table30[[#This Row],[Month]],'DB Money Supply'!$A:$D,3)</f>
        <v>2456.1</v>
      </c>
      <c r="C397" s="65">
        <f>(Table30[[#This Row],[Real M2 Money Stock]]-B385)/B385</f>
        <v>-3.0038563020093733E-3</v>
      </c>
    </row>
    <row r="398" spans="1:3" x14ac:dyDescent="0.2">
      <c r="A398" s="23">
        <v>33482</v>
      </c>
      <c r="B398" s="25">
        <f>VLOOKUP(Table30[[#This Row],[Month]],'DB Money Supply'!$A:$D,3)</f>
        <v>2448.8000000000002</v>
      </c>
      <c r="C398" s="65">
        <f>(Table30[[#This Row],[Real M2 Money Stock]]-B386)/B386</f>
        <v>-3.0533729593290719E-3</v>
      </c>
    </row>
    <row r="399" spans="1:3" x14ac:dyDescent="0.2">
      <c r="A399" s="23">
        <v>33512</v>
      </c>
      <c r="B399" s="25">
        <f>VLOOKUP(Table30[[#This Row],[Month]],'DB Money Supply'!$A:$D,3)</f>
        <v>2449.1</v>
      </c>
      <c r="C399" s="65">
        <f>(Table30[[#This Row],[Real M2 Money Stock]]-B387)/B387</f>
        <v>2.3738386608274575E-3</v>
      </c>
    </row>
    <row r="400" spans="1:3" x14ac:dyDescent="0.2">
      <c r="A400" s="23">
        <v>33543</v>
      </c>
      <c r="B400" s="25">
        <f>VLOOKUP(Table30[[#This Row],[Month]],'DB Money Supply'!$A:$D,3)</f>
        <v>2442.3000000000002</v>
      </c>
      <c r="C400" s="65">
        <f>(Table30[[#This Row],[Real M2 Money Stock]]-B388)/B388</f>
        <v>8.6058519793474463E-4</v>
      </c>
    </row>
    <row r="401" spans="1:3" x14ac:dyDescent="0.2">
      <c r="A401" s="23">
        <v>33573</v>
      </c>
      <c r="B401" s="25">
        <f>VLOOKUP(Table30[[#This Row],[Month]],'DB Money Supply'!$A:$D,3)</f>
        <v>2440.1</v>
      </c>
      <c r="C401" s="65">
        <f>(Table30[[#This Row],[Real M2 Money Stock]]-B389)/B389</f>
        <v>8.6136177194417931E-4</v>
      </c>
    </row>
    <row r="402" spans="1:3" x14ac:dyDescent="0.2">
      <c r="A402" s="23">
        <v>33604</v>
      </c>
      <c r="B402" s="25">
        <f>VLOOKUP(Table30[[#This Row],[Month]],'DB Money Supply'!$A:$D,3)</f>
        <v>2444.8000000000002</v>
      </c>
      <c r="C402" s="65">
        <f>(Table30[[#This Row],[Real M2 Money Stock]]-B390)/B390</f>
        <v>1.6388069485414618E-3</v>
      </c>
    </row>
    <row r="403" spans="1:3" x14ac:dyDescent="0.2">
      <c r="A403" s="23">
        <v>33635</v>
      </c>
      <c r="B403" s="25">
        <f>VLOOKUP(Table30[[#This Row],[Month]],'DB Money Supply'!$A:$D,3)</f>
        <v>2453.1</v>
      </c>
      <c r="C403" s="65">
        <f>(Table30[[#This Row],[Real M2 Money Stock]]-B391)/B391</f>
        <v>6.934812760054736E-4</v>
      </c>
    </row>
    <row r="404" spans="1:3" x14ac:dyDescent="0.2">
      <c r="A404" s="23">
        <v>33664</v>
      </c>
      <c r="B404" s="25">
        <f>VLOOKUP(Table30[[#This Row],[Month]],'DB Money Supply'!$A:$D,3)</f>
        <v>2447.1</v>
      </c>
      <c r="C404" s="65">
        <f>(Table30[[#This Row],[Real M2 Money Stock]]-B392)/B392</f>
        <v>-6.9796696830744112E-3</v>
      </c>
    </row>
    <row r="405" spans="1:3" x14ac:dyDescent="0.2">
      <c r="A405" s="23">
        <v>33695</v>
      </c>
      <c r="B405" s="25">
        <f>VLOOKUP(Table30[[#This Row],[Month]],'DB Money Supply'!$A:$D,3)</f>
        <v>2438.8000000000002</v>
      </c>
      <c r="C405" s="65">
        <f>(Table30[[#This Row],[Real M2 Money Stock]]-B393)/B393</f>
        <v>-1.1270574880402062E-2</v>
      </c>
    </row>
    <row r="406" spans="1:3" x14ac:dyDescent="0.2">
      <c r="A406" s="23">
        <v>33725</v>
      </c>
      <c r="B406" s="25">
        <f>VLOOKUP(Table30[[#This Row],[Month]],'DB Money Supply'!$A:$D,3)</f>
        <v>2432.8000000000002</v>
      </c>
      <c r="C406" s="65">
        <f>(Table30[[#This Row],[Real M2 Money Stock]]-B394)/B394</f>
        <v>-1.3182979759055692E-2</v>
      </c>
    </row>
    <row r="407" spans="1:3" x14ac:dyDescent="0.2">
      <c r="A407" s="23">
        <v>33756</v>
      </c>
      <c r="B407" s="25">
        <f>VLOOKUP(Table30[[#This Row],[Month]],'DB Money Supply'!$A:$D,3)</f>
        <v>2422.1</v>
      </c>
      <c r="C407" s="65">
        <f>(Table30[[#This Row],[Real M2 Money Stock]]-B395)/B395</f>
        <v>-1.7244177554167007E-2</v>
      </c>
    </row>
    <row r="408" spans="1:3" x14ac:dyDescent="0.2">
      <c r="A408" s="23">
        <v>33786</v>
      </c>
      <c r="B408" s="25">
        <f>VLOOKUP(Table30[[#This Row],[Month]],'DB Money Supply'!$A:$D,3)</f>
        <v>2415.6</v>
      </c>
      <c r="C408" s="65">
        <f>(Table30[[#This Row],[Real M2 Money Stock]]-B396)/B396</f>
        <v>-1.9682642749888398E-2</v>
      </c>
    </row>
    <row r="409" spans="1:3" x14ac:dyDescent="0.2">
      <c r="A409" s="23">
        <v>33817</v>
      </c>
      <c r="B409" s="25">
        <f>VLOOKUP(Table30[[#This Row],[Month]],'DB Money Supply'!$A:$D,3)</f>
        <v>2413.9</v>
      </c>
      <c r="C409" s="65">
        <f>(Table30[[#This Row],[Real M2 Money Stock]]-B397)/B397</f>
        <v>-1.7181710842392336E-2</v>
      </c>
    </row>
    <row r="410" spans="1:3" x14ac:dyDescent="0.2">
      <c r="A410" s="23">
        <v>33848</v>
      </c>
      <c r="B410" s="25">
        <f>VLOOKUP(Table30[[#This Row],[Month]],'DB Money Supply'!$A:$D,3)</f>
        <v>2416.9</v>
      </c>
      <c r="C410" s="65">
        <f>(Table30[[#This Row],[Real M2 Money Stock]]-B398)/B398</f>
        <v>-1.3026788631166322E-2</v>
      </c>
    </row>
    <row r="411" spans="1:3" x14ac:dyDescent="0.2">
      <c r="A411" s="23">
        <v>33878</v>
      </c>
      <c r="B411" s="25">
        <f>VLOOKUP(Table30[[#This Row],[Month]],'DB Money Supply'!$A:$D,3)</f>
        <v>2416.1999999999998</v>
      </c>
      <c r="C411" s="65">
        <f>(Table30[[#This Row],[Real M2 Money Stock]]-B399)/B399</f>
        <v>-1.3433506185945895E-2</v>
      </c>
    </row>
    <row r="412" spans="1:3" x14ac:dyDescent="0.2">
      <c r="A412" s="23">
        <v>33909</v>
      </c>
      <c r="B412" s="25">
        <f>VLOOKUP(Table30[[#This Row],[Month]],'DB Money Supply'!$A:$D,3)</f>
        <v>2411.3000000000002</v>
      </c>
      <c r="C412" s="65">
        <f>(Table30[[#This Row],[Real M2 Money Stock]]-B400)/B400</f>
        <v>-1.2692953363632641E-2</v>
      </c>
    </row>
    <row r="413" spans="1:3" x14ac:dyDescent="0.2">
      <c r="A413" s="23">
        <v>33939</v>
      </c>
      <c r="B413" s="25">
        <f>VLOOKUP(Table30[[#This Row],[Month]],'DB Money Supply'!$A:$D,3)</f>
        <v>2406.6999999999998</v>
      </c>
      <c r="C413" s="65">
        <f>(Table30[[#This Row],[Real M2 Money Stock]]-B401)/B401</f>
        <v>-1.3687963608048888E-2</v>
      </c>
    </row>
    <row r="414" spans="1:3" x14ac:dyDescent="0.2">
      <c r="A414" s="23">
        <v>33970</v>
      </c>
      <c r="B414" s="25">
        <f>VLOOKUP(Table30[[#This Row],[Month]],'DB Money Supply'!$A:$D,3)</f>
        <v>2394.3000000000002</v>
      </c>
      <c r="C414" s="65">
        <f>(Table30[[#This Row],[Real M2 Money Stock]]-B402)/B402</f>
        <v>-2.0656086387434554E-2</v>
      </c>
    </row>
    <row r="415" spans="1:3" x14ac:dyDescent="0.2">
      <c r="A415" s="23">
        <v>34001</v>
      </c>
      <c r="B415" s="25">
        <f>VLOOKUP(Table30[[#This Row],[Month]],'DB Money Supply'!$A:$D,3)</f>
        <v>2386.1</v>
      </c>
      <c r="C415" s="65">
        <f>(Table30[[#This Row],[Real M2 Money Stock]]-B403)/B403</f>
        <v>-2.7312380253556725E-2</v>
      </c>
    </row>
    <row r="416" spans="1:3" x14ac:dyDescent="0.2">
      <c r="A416" s="23">
        <v>34029</v>
      </c>
      <c r="B416" s="25">
        <f>VLOOKUP(Table30[[#This Row],[Month]],'DB Money Supply'!$A:$D,3)</f>
        <v>2380.8000000000002</v>
      </c>
      <c r="C416" s="65">
        <f>(Table30[[#This Row],[Real M2 Money Stock]]-B404)/B404</f>
        <v>-2.7093294103224114E-2</v>
      </c>
    </row>
    <row r="417" spans="1:3" x14ac:dyDescent="0.2">
      <c r="A417" s="23">
        <v>34060</v>
      </c>
      <c r="B417" s="25">
        <f>VLOOKUP(Table30[[#This Row],[Month]],'DB Money Supply'!$A:$D,3)</f>
        <v>2372.3000000000002</v>
      </c>
      <c r="C417" s="65">
        <f>(Table30[[#This Row],[Real M2 Money Stock]]-B405)/B405</f>
        <v>-2.726750861079219E-2</v>
      </c>
    </row>
    <row r="418" spans="1:3" x14ac:dyDescent="0.2">
      <c r="A418" s="23">
        <v>34090</v>
      </c>
      <c r="B418" s="25">
        <f>VLOOKUP(Table30[[#This Row],[Month]],'DB Money Supply'!$A:$D,3)</f>
        <v>2383.4</v>
      </c>
      <c r="C418" s="65">
        <f>(Table30[[#This Row],[Real M2 Money Stock]]-B406)/B406</f>
        <v>-2.030582045379813E-2</v>
      </c>
    </row>
    <row r="419" spans="1:3" x14ac:dyDescent="0.2">
      <c r="A419" s="23">
        <v>34121</v>
      </c>
      <c r="B419" s="25">
        <f>VLOOKUP(Table30[[#This Row],[Month]],'DB Money Supply'!$A:$D,3)</f>
        <v>2385.6</v>
      </c>
      <c r="C419" s="65">
        <f>(Table30[[#This Row],[Real M2 Money Stock]]-B407)/B407</f>
        <v>-1.5069567730481815E-2</v>
      </c>
    </row>
    <row r="420" spans="1:3" x14ac:dyDescent="0.2">
      <c r="A420" s="23">
        <v>34151</v>
      </c>
      <c r="B420" s="25">
        <f>VLOOKUP(Table30[[#This Row],[Month]],'DB Money Supply'!$A:$D,3)</f>
        <v>2382</v>
      </c>
      <c r="C420" s="65">
        <f>(Table30[[#This Row],[Real M2 Money Stock]]-B408)/B408</f>
        <v>-1.3909587680079447E-2</v>
      </c>
    </row>
    <row r="421" spans="1:3" x14ac:dyDescent="0.2">
      <c r="A421" s="23">
        <v>34182</v>
      </c>
      <c r="B421" s="25">
        <f>VLOOKUP(Table30[[#This Row],[Month]],'DB Money Supply'!$A:$D,3)</f>
        <v>2379.6</v>
      </c>
      <c r="C421" s="65">
        <f>(Table30[[#This Row],[Real M2 Money Stock]]-B409)/B409</f>
        <v>-1.4209370727867841E-2</v>
      </c>
    </row>
    <row r="422" spans="1:3" x14ac:dyDescent="0.2">
      <c r="A422" s="23">
        <v>34213</v>
      </c>
      <c r="B422" s="25">
        <f>VLOOKUP(Table30[[#This Row],[Month]],'DB Money Supply'!$A:$D,3)</f>
        <v>2380.8000000000002</v>
      </c>
      <c r="C422" s="65">
        <f>(Table30[[#This Row],[Real M2 Money Stock]]-B410)/B410</f>
        <v>-1.4936488890727753E-2</v>
      </c>
    </row>
    <row r="423" spans="1:3" x14ac:dyDescent="0.2">
      <c r="A423" s="23">
        <v>34243</v>
      </c>
      <c r="B423" s="25">
        <f>VLOOKUP(Table30[[#This Row],[Month]],'DB Money Supply'!$A:$D,3)</f>
        <v>2374.1</v>
      </c>
      <c r="C423" s="65">
        <f>(Table30[[#This Row],[Real M2 Money Stock]]-B411)/B411</f>
        <v>-1.7424054300140681E-2</v>
      </c>
    </row>
    <row r="424" spans="1:3" x14ac:dyDescent="0.2">
      <c r="A424" s="23">
        <v>34274</v>
      </c>
      <c r="B424" s="25">
        <f>VLOOKUP(Table30[[#This Row],[Month]],'DB Money Supply'!$A:$D,3)</f>
        <v>2376.8000000000002</v>
      </c>
      <c r="C424" s="65">
        <f>(Table30[[#This Row],[Real M2 Money Stock]]-B412)/B412</f>
        <v>-1.4307634885746276E-2</v>
      </c>
    </row>
    <row r="425" spans="1:3" x14ac:dyDescent="0.2">
      <c r="A425" s="23">
        <v>34304</v>
      </c>
      <c r="B425" s="25">
        <f>VLOOKUP(Table30[[#This Row],[Month]],'DB Money Supply'!$A:$D,3)</f>
        <v>2374.9</v>
      </c>
      <c r="C425" s="65">
        <f>(Table30[[#This Row],[Real M2 Money Stock]]-B413)/B413</f>
        <v>-1.3213113391781165E-2</v>
      </c>
    </row>
    <row r="426" spans="1:3" x14ac:dyDescent="0.2">
      <c r="A426" s="23">
        <v>34335</v>
      </c>
      <c r="B426" s="25">
        <f>VLOOKUP(Table30[[#This Row],[Month]],'DB Money Supply'!$A:$D,3)</f>
        <v>2375.1999999999998</v>
      </c>
      <c r="C426" s="65">
        <f>(Table30[[#This Row],[Real M2 Money Stock]]-B414)/B414</f>
        <v>-7.9772793718416082E-3</v>
      </c>
    </row>
    <row r="427" spans="1:3" x14ac:dyDescent="0.2">
      <c r="A427" s="23">
        <v>34366</v>
      </c>
      <c r="B427" s="25">
        <f>VLOOKUP(Table30[[#This Row],[Month]],'DB Money Supply'!$A:$D,3)</f>
        <v>2369.3000000000002</v>
      </c>
      <c r="C427" s="65">
        <f>(Table30[[#This Row],[Real M2 Money Stock]]-B415)/B415</f>
        <v>-7.0407778383134523E-3</v>
      </c>
    </row>
    <row r="428" spans="1:3" x14ac:dyDescent="0.2">
      <c r="A428" s="23">
        <v>34394</v>
      </c>
      <c r="B428" s="25">
        <f>VLOOKUP(Table30[[#This Row],[Month]],'DB Money Supply'!$A:$D,3)</f>
        <v>2365.8000000000002</v>
      </c>
      <c r="C428" s="65">
        <f>(Table30[[#This Row],[Real M2 Money Stock]]-B416)/B416</f>
        <v>-6.3004032258064512E-3</v>
      </c>
    </row>
    <row r="429" spans="1:3" x14ac:dyDescent="0.2">
      <c r="A429" s="23">
        <v>34425</v>
      </c>
      <c r="B429" s="25">
        <f>VLOOKUP(Table30[[#This Row],[Month]],'DB Money Supply'!$A:$D,3)</f>
        <v>2365</v>
      </c>
      <c r="C429" s="65">
        <f>(Table30[[#This Row],[Real M2 Money Stock]]-B417)/B417</f>
        <v>-3.0771824811365264E-3</v>
      </c>
    </row>
    <row r="430" spans="1:3" x14ac:dyDescent="0.2">
      <c r="A430" s="23">
        <v>34455</v>
      </c>
      <c r="B430" s="25">
        <f>VLOOKUP(Table30[[#This Row],[Month]],'DB Money Supply'!$A:$D,3)</f>
        <v>2366.6</v>
      </c>
      <c r="C430" s="65">
        <f>(Table30[[#This Row],[Real M2 Money Stock]]-B418)/B418</f>
        <v>-7.0487538810103971E-3</v>
      </c>
    </row>
    <row r="431" spans="1:3" x14ac:dyDescent="0.2">
      <c r="A431" s="23">
        <v>34486</v>
      </c>
      <c r="B431" s="25">
        <f>VLOOKUP(Table30[[#This Row],[Month]],'DB Money Supply'!$A:$D,3)</f>
        <v>2352.6</v>
      </c>
      <c r="C431" s="65">
        <f>(Table30[[#This Row],[Real M2 Money Stock]]-B419)/B419</f>
        <v>-1.3832997987927566E-2</v>
      </c>
    </row>
    <row r="432" spans="1:3" x14ac:dyDescent="0.2">
      <c r="A432" s="23">
        <v>34516</v>
      </c>
      <c r="B432" s="25">
        <f>VLOOKUP(Table30[[#This Row],[Month]],'DB Money Supply'!$A:$D,3)</f>
        <v>2350.5</v>
      </c>
      <c r="C432" s="65">
        <f>(Table30[[#This Row],[Real M2 Money Stock]]-B420)/B420</f>
        <v>-1.3224181360201511E-2</v>
      </c>
    </row>
    <row r="433" spans="1:3" x14ac:dyDescent="0.2">
      <c r="A433" s="23">
        <v>34547</v>
      </c>
      <c r="B433" s="25">
        <f>VLOOKUP(Table30[[#This Row],[Month]],'DB Money Supply'!$A:$D,3)</f>
        <v>2339.4</v>
      </c>
      <c r="C433" s="65">
        <f>(Table30[[#This Row],[Real M2 Money Stock]]-B421)/B421</f>
        <v>-1.68935955622793E-2</v>
      </c>
    </row>
    <row r="434" spans="1:3" x14ac:dyDescent="0.2">
      <c r="A434" s="23">
        <v>34578</v>
      </c>
      <c r="B434" s="25">
        <f>VLOOKUP(Table30[[#This Row],[Month]],'DB Money Supply'!$A:$D,3)</f>
        <v>2335</v>
      </c>
      <c r="C434" s="65">
        <f>(Table30[[#This Row],[Real M2 Money Stock]]-B422)/B422</f>
        <v>-1.9237231182795776E-2</v>
      </c>
    </row>
    <row r="435" spans="1:3" x14ac:dyDescent="0.2">
      <c r="A435" s="23">
        <v>34608</v>
      </c>
      <c r="B435" s="25">
        <f>VLOOKUP(Table30[[#This Row],[Month]],'DB Money Supply'!$A:$D,3)</f>
        <v>2332.1999999999998</v>
      </c>
      <c r="C435" s="65">
        <f>(Table30[[#This Row],[Real M2 Money Stock]]-B423)/B423</f>
        <v>-1.7648793226907076E-2</v>
      </c>
    </row>
    <row r="436" spans="1:3" x14ac:dyDescent="0.2">
      <c r="A436" s="23">
        <v>34639</v>
      </c>
      <c r="B436" s="25">
        <f>VLOOKUP(Table30[[#This Row],[Month]],'DB Money Supply'!$A:$D,3)</f>
        <v>2327.9</v>
      </c>
      <c r="C436" s="65">
        <f>(Table30[[#This Row],[Real M2 Money Stock]]-B424)/B424</f>
        <v>-2.0573880848199295E-2</v>
      </c>
    </row>
    <row r="437" spans="1:3" x14ac:dyDescent="0.2">
      <c r="A437" s="23">
        <v>34669</v>
      </c>
      <c r="B437" s="25">
        <f>VLOOKUP(Table30[[#This Row],[Month]],'DB Money Supply'!$A:$D,3)</f>
        <v>2322.6999999999998</v>
      </c>
      <c r="C437" s="65">
        <f>(Table30[[#This Row],[Real M2 Money Stock]]-B425)/B425</f>
        <v>-2.1979872836751135E-2</v>
      </c>
    </row>
    <row r="438" spans="1:3" x14ac:dyDescent="0.2">
      <c r="A438" s="23">
        <v>34700</v>
      </c>
      <c r="B438" s="25">
        <f>VLOOKUP(Table30[[#This Row],[Month]],'DB Money Supply'!$A:$D,3)</f>
        <v>2320.5</v>
      </c>
      <c r="C438" s="65">
        <f>(Table30[[#This Row],[Real M2 Money Stock]]-B426)/B426</f>
        <v>-2.3029639609295983E-2</v>
      </c>
    </row>
    <row r="439" spans="1:3" x14ac:dyDescent="0.2">
      <c r="A439" s="23">
        <v>34731</v>
      </c>
      <c r="B439" s="25">
        <f>VLOOKUP(Table30[[#This Row],[Month]],'DB Money Supply'!$A:$D,3)</f>
        <v>2312.6999999999998</v>
      </c>
      <c r="C439" s="65">
        <f>(Table30[[#This Row],[Real M2 Money Stock]]-B427)/B427</f>
        <v>-2.3888912336977319E-2</v>
      </c>
    </row>
    <row r="440" spans="1:3" x14ac:dyDescent="0.2">
      <c r="A440" s="23">
        <v>34759</v>
      </c>
      <c r="B440" s="25">
        <f>VLOOKUP(Table30[[#This Row],[Month]],'DB Money Supply'!$A:$D,3)</f>
        <v>2308.9</v>
      </c>
      <c r="C440" s="65">
        <f>(Table30[[#This Row],[Real M2 Money Stock]]-B428)/B428</f>
        <v>-2.4051060951897914E-2</v>
      </c>
    </row>
    <row r="441" spans="1:3" x14ac:dyDescent="0.2">
      <c r="A441" s="23">
        <v>34790</v>
      </c>
      <c r="B441" s="25">
        <f>VLOOKUP(Table30[[#This Row],[Month]],'DB Money Supply'!$A:$D,3)</f>
        <v>2305.1</v>
      </c>
      <c r="C441" s="65">
        <f>(Table30[[#This Row],[Real M2 Money Stock]]-B429)/B429</f>
        <v>-2.5327695560253737E-2</v>
      </c>
    </row>
    <row r="442" spans="1:3" x14ac:dyDescent="0.2">
      <c r="A442" s="23">
        <v>34820</v>
      </c>
      <c r="B442" s="25">
        <f>VLOOKUP(Table30[[#This Row],[Month]],'DB Money Supply'!$A:$D,3)</f>
        <v>2317</v>
      </c>
      <c r="C442" s="65">
        <f>(Table30[[#This Row],[Real M2 Money Stock]]-B430)/B430</f>
        <v>-2.0958336854559247E-2</v>
      </c>
    </row>
    <row r="443" spans="1:3" x14ac:dyDescent="0.2">
      <c r="A443" s="23">
        <v>34851</v>
      </c>
      <c r="B443" s="25">
        <f>VLOOKUP(Table30[[#This Row],[Month]],'DB Money Supply'!$A:$D,3)</f>
        <v>2328.6999999999998</v>
      </c>
      <c r="C443" s="65">
        <f>(Table30[[#This Row],[Real M2 Money Stock]]-B431)/B431</f>
        <v>-1.0158973051092448E-2</v>
      </c>
    </row>
    <row r="444" spans="1:3" x14ac:dyDescent="0.2">
      <c r="A444" s="23">
        <v>34881</v>
      </c>
      <c r="B444" s="25">
        <f>VLOOKUP(Table30[[#This Row],[Month]],'DB Money Supply'!$A:$D,3)</f>
        <v>2337.6999999999998</v>
      </c>
      <c r="C444" s="65">
        <f>(Table30[[#This Row],[Real M2 Money Stock]]-B432)/B432</f>
        <v>-5.4456498617316239E-3</v>
      </c>
    </row>
    <row r="445" spans="1:3" x14ac:dyDescent="0.2">
      <c r="A445" s="23">
        <v>34912</v>
      </c>
      <c r="B445" s="25">
        <f>VLOOKUP(Table30[[#This Row],[Month]],'DB Money Supply'!$A:$D,3)</f>
        <v>2347.3000000000002</v>
      </c>
      <c r="C445" s="65">
        <f>(Table30[[#This Row],[Real M2 Money Stock]]-B433)/B433</f>
        <v>3.3769342566470424E-3</v>
      </c>
    </row>
    <row r="446" spans="1:3" x14ac:dyDescent="0.2">
      <c r="A446" s="23">
        <v>34943</v>
      </c>
      <c r="B446" s="25">
        <f>VLOOKUP(Table30[[#This Row],[Month]],'DB Money Supply'!$A:$D,3)</f>
        <v>2352.8000000000002</v>
      </c>
      <c r="C446" s="65">
        <f>(Table30[[#This Row],[Real M2 Money Stock]]-B434)/B434</f>
        <v>7.6231263383298425E-3</v>
      </c>
    </row>
    <row r="447" spans="1:3" x14ac:dyDescent="0.2">
      <c r="A447" s="23">
        <v>34973</v>
      </c>
      <c r="B447" s="25">
        <f>VLOOKUP(Table30[[#This Row],[Month]],'DB Money Supply'!$A:$D,3)</f>
        <v>2354</v>
      </c>
      <c r="C447" s="65">
        <f>(Table30[[#This Row],[Real M2 Money Stock]]-B435)/B435</f>
        <v>9.3473973072636073E-3</v>
      </c>
    </row>
    <row r="448" spans="1:3" x14ac:dyDescent="0.2">
      <c r="A448" s="23">
        <v>35004</v>
      </c>
      <c r="B448" s="25">
        <f>VLOOKUP(Table30[[#This Row],[Month]],'DB Money Supply'!$A:$D,3)</f>
        <v>2355.1999999999998</v>
      </c>
      <c r="C448" s="65">
        <f>(Table30[[#This Row],[Real M2 Money Stock]]-B436)/B436</f>
        <v>1.1727307874049455E-2</v>
      </c>
    </row>
    <row r="449" spans="1:3" x14ac:dyDescent="0.2">
      <c r="A449" s="23">
        <v>35034</v>
      </c>
      <c r="B449" s="25">
        <f>VLOOKUP(Table30[[#This Row],[Month]],'DB Money Supply'!$A:$D,3)</f>
        <v>2358.3000000000002</v>
      </c>
      <c r="C449" s="65">
        <f>(Table30[[#This Row],[Real M2 Money Stock]]-B437)/B437</f>
        <v>1.5326990140784589E-2</v>
      </c>
    </row>
    <row r="450" spans="1:3" x14ac:dyDescent="0.2">
      <c r="A450" s="23">
        <v>35065</v>
      </c>
      <c r="B450" s="25">
        <f>VLOOKUP(Table30[[#This Row],[Month]],'DB Money Supply'!$A:$D,3)</f>
        <v>2358</v>
      </c>
      <c r="C450" s="65">
        <f>(Table30[[#This Row],[Real M2 Money Stock]]-B438)/B438</f>
        <v>1.6160310277957338E-2</v>
      </c>
    </row>
    <row r="451" spans="1:3" x14ac:dyDescent="0.2">
      <c r="A451" s="23">
        <v>35096</v>
      </c>
      <c r="B451" s="25">
        <f>VLOOKUP(Table30[[#This Row],[Month]],'DB Money Supply'!$A:$D,3)</f>
        <v>2362.5</v>
      </c>
      <c r="C451" s="65">
        <f>(Table30[[#This Row],[Real M2 Money Stock]]-B439)/B439</f>
        <v>2.1533272798028358E-2</v>
      </c>
    </row>
    <row r="452" spans="1:3" x14ac:dyDescent="0.2">
      <c r="A452" s="23">
        <v>35125</v>
      </c>
      <c r="B452" s="25">
        <f>VLOOKUP(Table30[[#This Row],[Month]],'DB Money Supply'!$A:$D,3)</f>
        <v>2371</v>
      </c>
      <c r="C452" s="65">
        <f>(Table30[[#This Row],[Real M2 Money Stock]]-B440)/B440</f>
        <v>2.6895924466195983E-2</v>
      </c>
    </row>
    <row r="453" spans="1:3" x14ac:dyDescent="0.2">
      <c r="A453" s="23">
        <v>35156</v>
      </c>
      <c r="B453" s="25">
        <f>VLOOKUP(Table30[[#This Row],[Month]],'DB Money Supply'!$A:$D,3)</f>
        <v>2368.8000000000002</v>
      </c>
      <c r="C453" s="65">
        <f>(Table30[[#This Row],[Real M2 Money Stock]]-B441)/B441</f>
        <v>2.7634375948982812E-2</v>
      </c>
    </row>
    <row r="454" spans="1:3" x14ac:dyDescent="0.2">
      <c r="A454" s="23">
        <v>35186</v>
      </c>
      <c r="B454" s="25">
        <f>VLOOKUP(Table30[[#This Row],[Month]],'DB Money Supply'!$A:$D,3)</f>
        <v>2371.9</v>
      </c>
      <c r="C454" s="65">
        <f>(Table30[[#This Row],[Real M2 Money Stock]]-B442)/B442</f>
        <v>2.3694432455761801E-2</v>
      </c>
    </row>
    <row r="455" spans="1:3" x14ac:dyDescent="0.2">
      <c r="A455" s="23">
        <v>35217</v>
      </c>
      <c r="B455" s="25">
        <f>VLOOKUP(Table30[[#This Row],[Month]],'DB Money Supply'!$A:$D,3)</f>
        <v>2375.6</v>
      </c>
      <c r="C455" s="65">
        <f>(Table30[[#This Row],[Real M2 Money Stock]]-B443)/B443</f>
        <v>2.0139992270365479E-2</v>
      </c>
    </row>
    <row r="456" spans="1:3" x14ac:dyDescent="0.2">
      <c r="A456" s="23">
        <v>35247</v>
      </c>
      <c r="B456" s="25">
        <f>VLOOKUP(Table30[[#This Row],[Month]],'DB Money Supply'!$A:$D,3)</f>
        <v>2380.3000000000002</v>
      </c>
      <c r="C456" s="65">
        <f>(Table30[[#This Row],[Real M2 Money Stock]]-B444)/B444</f>
        <v>1.8223039739915459E-2</v>
      </c>
    </row>
    <row r="457" spans="1:3" x14ac:dyDescent="0.2">
      <c r="A457" s="23">
        <v>35278</v>
      </c>
      <c r="B457" s="25">
        <f>VLOOKUP(Table30[[#This Row],[Month]],'DB Money Supply'!$A:$D,3)</f>
        <v>2381.6999999999998</v>
      </c>
      <c r="C457" s="65">
        <f>(Table30[[#This Row],[Real M2 Money Stock]]-B445)/B445</f>
        <v>1.4655135687811372E-2</v>
      </c>
    </row>
    <row r="458" spans="1:3" x14ac:dyDescent="0.2">
      <c r="A458" s="23">
        <v>35309</v>
      </c>
      <c r="B458" s="25">
        <f>VLOOKUP(Table30[[#This Row],[Month]],'DB Money Supply'!$A:$D,3)</f>
        <v>2380.1</v>
      </c>
      <c r="C458" s="65">
        <f>(Table30[[#This Row],[Real M2 Money Stock]]-B446)/B446</f>
        <v>1.160319619177139E-2</v>
      </c>
    </row>
    <row r="459" spans="1:3" x14ac:dyDescent="0.2">
      <c r="A459" s="23">
        <v>35339</v>
      </c>
      <c r="B459" s="25">
        <f>VLOOKUP(Table30[[#This Row],[Month]],'DB Money Supply'!$A:$D,3)</f>
        <v>2384.8000000000002</v>
      </c>
      <c r="C459" s="65">
        <f>(Table30[[#This Row],[Real M2 Money Stock]]-B447)/B447</f>
        <v>1.3084112149532787E-2</v>
      </c>
    </row>
    <row r="460" spans="1:3" x14ac:dyDescent="0.2">
      <c r="A460" s="23">
        <v>35370</v>
      </c>
      <c r="B460" s="25">
        <f>VLOOKUP(Table30[[#This Row],[Month]],'DB Money Supply'!$A:$D,3)</f>
        <v>2391.4</v>
      </c>
      <c r="C460" s="65">
        <f>(Table30[[#This Row],[Real M2 Money Stock]]-B448)/B448</f>
        <v>1.5370244565217508E-2</v>
      </c>
    </row>
    <row r="461" spans="1:3" x14ac:dyDescent="0.2">
      <c r="A461" s="23">
        <v>35400</v>
      </c>
      <c r="B461" s="25">
        <f>VLOOKUP(Table30[[#This Row],[Month]],'DB Money Supply'!$A:$D,3)</f>
        <v>2400.1</v>
      </c>
      <c r="C461" s="65">
        <f>(Table30[[#This Row],[Real M2 Money Stock]]-B449)/B449</f>
        <v>1.7724632150277624E-2</v>
      </c>
    </row>
    <row r="462" spans="1:3" x14ac:dyDescent="0.2">
      <c r="A462" s="23">
        <v>35431</v>
      </c>
      <c r="B462" s="25">
        <f>VLOOKUP(Table30[[#This Row],[Month]],'DB Money Supply'!$A:$D,3)</f>
        <v>2405.6</v>
      </c>
      <c r="C462" s="65">
        <f>(Table30[[#This Row],[Real M2 Money Stock]]-B450)/B450</f>
        <v>2.0186598812552973E-2</v>
      </c>
    </row>
    <row r="463" spans="1:3" x14ac:dyDescent="0.2">
      <c r="A463" s="23">
        <v>35462</v>
      </c>
      <c r="B463" s="25">
        <f>VLOOKUP(Table30[[#This Row],[Month]],'DB Money Supply'!$A:$D,3)</f>
        <v>2408.5</v>
      </c>
      <c r="C463" s="65">
        <f>(Table30[[#This Row],[Real M2 Money Stock]]-B451)/B451</f>
        <v>1.9470899470899472E-2</v>
      </c>
    </row>
    <row r="464" spans="1:3" x14ac:dyDescent="0.2">
      <c r="A464" s="23">
        <v>35490</v>
      </c>
      <c r="B464" s="25">
        <f>VLOOKUP(Table30[[#This Row],[Month]],'DB Money Supply'!$A:$D,3)</f>
        <v>2416.3000000000002</v>
      </c>
      <c r="C464" s="65">
        <f>(Table30[[#This Row],[Real M2 Money Stock]]-B452)/B452</f>
        <v>1.9105862505272114E-2</v>
      </c>
    </row>
    <row r="465" spans="1:3" x14ac:dyDescent="0.2">
      <c r="A465" s="23">
        <v>35521</v>
      </c>
      <c r="B465" s="25">
        <f>VLOOKUP(Table30[[#This Row],[Month]],'DB Money Supply'!$A:$D,3)</f>
        <v>2424.6</v>
      </c>
      <c r="C465" s="65">
        <f>(Table30[[#This Row],[Real M2 Money Stock]]-B453)/B453</f>
        <v>2.3556231003039396E-2</v>
      </c>
    </row>
    <row r="466" spans="1:3" x14ac:dyDescent="0.2">
      <c r="A466" s="23">
        <v>35551</v>
      </c>
      <c r="B466" s="25">
        <f>VLOOKUP(Table30[[#This Row],[Month]],'DB Money Supply'!$A:$D,3)</f>
        <v>2432.3000000000002</v>
      </c>
      <c r="C466" s="65">
        <f>(Table30[[#This Row],[Real M2 Money Stock]]-B454)/B454</f>
        <v>2.5464817235127994E-2</v>
      </c>
    </row>
    <row r="467" spans="1:3" x14ac:dyDescent="0.2">
      <c r="A467" s="23">
        <v>35582</v>
      </c>
      <c r="B467" s="25">
        <f>VLOOKUP(Table30[[#This Row],[Month]],'DB Money Supply'!$A:$D,3)</f>
        <v>2438.1999999999998</v>
      </c>
      <c r="C467" s="65">
        <f>(Table30[[#This Row],[Real M2 Money Stock]]-B455)/B455</f>
        <v>2.6351237582084488E-2</v>
      </c>
    </row>
    <row r="468" spans="1:3" x14ac:dyDescent="0.2">
      <c r="A468" s="23">
        <v>35612</v>
      </c>
      <c r="B468" s="25">
        <f>VLOOKUP(Table30[[#This Row],[Month]],'DB Money Supply'!$A:$D,3)</f>
        <v>2446.3000000000002</v>
      </c>
      <c r="C468" s="65">
        <f>(Table30[[#This Row],[Real M2 Money Stock]]-B456)/B456</f>
        <v>2.7727597361677098E-2</v>
      </c>
    </row>
    <row r="469" spans="1:3" x14ac:dyDescent="0.2">
      <c r="A469" s="23">
        <v>35643</v>
      </c>
      <c r="B469" s="25">
        <f>VLOOKUP(Table30[[#This Row],[Month]],'DB Money Supply'!$A:$D,3)</f>
        <v>2461.1</v>
      </c>
      <c r="C469" s="65">
        <f>(Table30[[#This Row],[Real M2 Money Stock]]-B457)/B457</f>
        <v>3.3337532014947345E-2</v>
      </c>
    </row>
    <row r="470" spans="1:3" x14ac:dyDescent="0.2">
      <c r="A470" s="23">
        <v>35674</v>
      </c>
      <c r="B470" s="25">
        <f>VLOOKUP(Table30[[#This Row],[Month]],'DB Money Supply'!$A:$D,3)</f>
        <v>2464.6999999999998</v>
      </c>
      <c r="C470" s="65">
        <f>(Table30[[#This Row],[Real M2 Money Stock]]-B458)/B458</f>
        <v>3.5544725011554097E-2</v>
      </c>
    </row>
    <row r="471" spans="1:3" x14ac:dyDescent="0.2">
      <c r="A471" s="23">
        <v>35704</v>
      </c>
      <c r="B471" s="25">
        <f>VLOOKUP(Table30[[#This Row],[Month]],'DB Money Supply'!$A:$D,3)</f>
        <v>2472</v>
      </c>
      <c r="C471" s="65">
        <f>(Table30[[#This Row],[Real M2 Money Stock]]-B459)/B459</f>
        <v>3.6564911103656415E-2</v>
      </c>
    </row>
    <row r="472" spans="1:3" x14ac:dyDescent="0.2">
      <c r="A472" s="23">
        <v>35735</v>
      </c>
      <c r="B472" s="25">
        <f>VLOOKUP(Table30[[#This Row],[Month]],'DB Money Supply'!$A:$D,3)</f>
        <v>2482.9</v>
      </c>
      <c r="C472" s="65">
        <f>(Table30[[#This Row],[Real M2 Money Stock]]-B460)/B460</f>
        <v>3.8262105879401188E-2</v>
      </c>
    </row>
    <row r="473" spans="1:3" x14ac:dyDescent="0.2">
      <c r="A473" s="23">
        <v>35765</v>
      </c>
      <c r="B473" s="25">
        <f>VLOOKUP(Table30[[#This Row],[Month]],'DB Money Supply'!$A:$D,3)</f>
        <v>2492.5</v>
      </c>
      <c r="C473" s="65">
        <f>(Table30[[#This Row],[Real M2 Money Stock]]-B461)/B461</f>
        <v>3.8498395900170866E-2</v>
      </c>
    </row>
    <row r="474" spans="1:3" x14ac:dyDescent="0.2">
      <c r="A474" s="23">
        <v>35796</v>
      </c>
      <c r="B474" s="25">
        <f>VLOOKUP(Table30[[#This Row],[Month]],'DB Money Supply'!$A:$D,3)</f>
        <v>2503.8000000000002</v>
      </c>
      <c r="C474" s="65">
        <f>(Table30[[#This Row],[Real M2 Money Stock]]-B462)/B462</f>
        <v>4.0821416694379893E-2</v>
      </c>
    </row>
    <row r="475" spans="1:3" x14ac:dyDescent="0.2">
      <c r="A475" s="23">
        <v>35827</v>
      </c>
      <c r="B475" s="25">
        <f>VLOOKUP(Table30[[#This Row],[Month]],'DB Money Supply'!$A:$D,3)</f>
        <v>2524</v>
      </c>
      <c r="C475" s="65">
        <f>(Table30[[#This Row],[Real M2 Money Stock]]-B463)/B463</f>
        <v>4.7955158812538923E-2</v>
      </c>
    </row>
    <row r="476" spans="1:3" x14ac:dyDescent="0.2">
      <c r="A476" s="23">
        <v>35855</v>
      </c>
      <c r="B476" s="25">
        <f>VLOOKUP(Table30[[#This Row],[Month]],'DB Money Supply'!$A:$D,3)</f>
        <v>2539.6999999999998</v>
      </c>
      <c r="C476" s="65">
        <f>(Table30[[#This Row],[Real M2 Money Stock]]-B464)/B464</f>
        <v>5.1069817489549987E-2</v>
      </c>
    </row>
    <row r="477" spans="1:3" x14ac:dyDescent="0.2">
      <c r="A477" s="23">
        <v>35886</v>
      </c>
      <c r="B477" s="25">
        <f>VLOOKUP(Table30[[#This Row],[Month]],'DB Money Supply'!$A:$D,3)</f>
        <v>2552.5</v>
      </c>
      <c r="C477" s="65">
        <f>(Table30[[#This Row],[Real M2 Money Stock]]-B465)/B465</f>
        <v>5.2750969232038314E-2</v>
      </c>
    </row>
    <row r="478" spans="1:3" x14ac:dyDescent="0.2">
      <c r="A478" s="23">
        <v>35916</v>
      </c>
      <c r="B478" s="25">
        <f>VLOOKUP(Table30[[#This Row],[Month]],'DB Money Supply'!$A:$D,3)</f>
        <v>2561.1</v>
      </c>
      <c r="C478" s="65">
        <f>(Table30[[#This Row],[Real M2 Money Stock]]-B466)/B466</f>
        <v>5.2953994161904251E-2</v>
      </c>
    </row>
    <row r="479" spans="1:3" x14ac:dyDescent="0.2">
      <c r="A479" s="23">
        <v>35947</v>
      </c>
      <c r="B479" s="25">
        <f>VLOOKUP(Table30[[#This Row],[Month]],'DB Money Supply'!$A:$D,3)</f>
        <v>2570.1</v>
      </c>
      <c r="C479" s="65">
        <f>(Table30[[#This Row],[Real M2 Money Stock]]-B467)/B467</f>
        <v>5.4097284882290257E-2</v>
      </c>
    </row>
    <row r="480" spans="1:3" x14ac:dyDescent="0.2">
      <c r="A480" s="23">
        <v>35977</v>
      </c>
      <c r="B480" s="25">
        <f>VLOOKUP(Table30[[#This Row],[Month]],'DB Money Supply'!$A:$D,3)</f>
        <v>2575.9</v>
      </c>
      <c r="C480" s="65">
        <f>(Table30[[#This Row],[Real M2 Money Stock]]-B468)/B468</f>
        <v>5.2977966725258514E-2</v>
      </c>
    </row>
    <row r="481" spans="1:3" x14ac:dyDescent="0.2">
      <c r="A481" s="23">
        <v>36008</v>
      </c>
      <c r="B481" s="25">
        <f>VLOOKUP(Table30[[#This Row],[Month]],'DB Money Supply'!$A:$D,3)</f>
        <v>2587.9</v>
      </c>
      <c r="C481" s="65">
        <f>(Table30[[#This Row],[Real M2 Money Stock]]-B469)/B469</f>
        <v>5.1521677298768921E-2</v>
      </c>
    </row>
    <row r="482" spans="1:3" x14ac:dyDescent="0.2">
      <c r="A482" s="23">
        <v>36039</v>
      </c>
      <c r="B482" s="25">
        <f>VLOOKUP(Table30[[#This Row],[Month]],'DB Money Supply'!$A:$D,3)</f>
        <v>2610.1999999999998</v>
      </c>
      <c r="C482" s="65">
        <f>(Table30[[#This Row],[Real M2 Money Stock]]-B470)/B470</f>
        <v>5.9033553779364631E-2</v>
      </c>
    </row>
    <row r="483" spans="1:3" x14ac:dyDescent="0.2">
      <c r="A483" s="23">
        <v>36069</v>
      </c>
      <c r="B483" s="25">
        <f>VLOOKUP(Table30[[#This Row],[Month]],'DB Money Supply'!$A:$D,3)</f>
        <v>2628.2</v>
      </c>
      <c r="C483" s="65">
        <f>(Table30[[#This Row],[Real M2 Money Stock]]-B471)/B471</f>
        <v>6.3187702265372098E-2</v>
      </c>
    </row>
    <row r="484" spans="1:3" x14ac:dyDescent="0.2">
      <c r="A484" s="23">
        <v>36100</v>
      </c>
      <c r="B484" s="25">
        <f>VLOOKUP(Table30[[#This Row],[Month]],'DB Money Supply'!$A:$D,3)</f>
        <v>2648.6</v>
      </c>
      <c r="C484" s="65">
        <f>(Table30[[#This Row],[Real M2 Money Stock]]-B472)/B472</f>
        <v>6.6736477506141936E-2</v>
      </c>
    </row>
    <row r="485" spans="1:3" x14ac:dyDescent="0.2">
      <c r="A485" s="23">
        <v>36130</v>
      </c>
      <c r="B485" s="25">
        <f>VLOOKUP(Table30[[#This Row],[Month]],'DB Money Supply'!$A:$D,3)</f>
        <v>2661.3</v>
      </c>
      <c r="C485" s="65">
        <f>(Table30[[#This Row],[Real M2 Money Stock]]-B473)/B473</f>
        <v>6.7723169508525652E-2</v>
      </c>
    </row>
    <row r="486" spans="1:3" x14ac:dyDescent="0.2">
      <c r="A486" s="23">
        <v>36161</v>
      </c>
      <c r="B486" s="25">
        <f>VLOOKUP(Table30[[#This Row],[Month]],'DB Money Supply'!$A:$D,3)</f>
        <v>2673.1</v>
      </c>
      <c r="C486" s="65">
        <f>(Table30[[#This Row],[Real M2 Money Stock]]-B474)/B474</f>
        <v>6.7617221822829185E-2</v>
      </c>
    </row>
    <row r="487" spans="1:3" x14ac:dyDescent="0.2">
      <c r="A487" s="23">
        <v>36192</v>
      </c>
      <c r="B487" s="25">
        <f>VLOOKUP(Table30[[#This Row],[Month]],'DB Money Supply'!$A:$D,3)</f>
        <v>2686.9</v>
      </c>
      <c r="C487" s="65">
        <f>(Table30[[#This Row],[Real M2 Money Stock]]-B475)/B475</f>
        <v>6.4540412044374051E-2</v>
      </c>
    </row>
    <row r="488" spans="1:3" x14ac:dyDescent="0.2">
      <c r="A488" s="23">
        <v>36220</v>
      </c>
      <c r="B488" s="25">
        <f>VLOOKUP(Table30[[#This Row],[Month]],'DB Money Supply'!$A:$D,3)</f>
        <v>2689.4</v>
      </c>
      <c r="C488" s="65">
        <f>(Table30[[#This Row],[Real M2 Money Stock]]-B476)/B476</f>
        <v>5.8943969760208013E-2</v>
      </c>
    </row>
    <row r="489" spans="1:3" x14ac:dyDescent="0.2">
      <c r="A489" s="23">
        <v>36251</v>
      </c>
      <c r="B489" s="25">
        <f>VLOOKUP(Table30[[#This Row],[Month]],'DB Money Supply'!$A:$D,3)</f>
        <v>2688.8</v>
      </c>
      <c r="C489" s="65">
        <f>(Table30[[#This Row],[Real M2 Money Stock]]-B477)/B477</f>
        <v>5.3398628795298796E-2</v>
      </c>
    </row>
    <row r="490" spans="1:3" x14ac:dyDescent="0.2">
      <c r="A490" s="23">
        <v>36281</v>
      </c>
      <c r="B490" s="25">
        <f>VLOOKUP(Table30[[#This Row],[Month]],'DB Money Supply'!$A:$D,3)</f>
        <v>2702</v>
      </c>
      <c r="C490" s="65">
        <f>(Table30[[#This Row],[Real M2 Money Stock]]-B478)/B478</f>
        <v>5.5015423060403773E-2</v>
      </c>
    </row>
    <row r="491" spans="1:3" x14ac:dyDescent="0.2">
      <c r="A491" s="23">
        <v>36312</v>
      </c>
      <c r="B491" s="25">
        <f>VLOOKUP(Table30[[#This Row],[Month]],'DB Money Supply'!$A:$D,3)</f>
        <v>2715.2</v>
      </c>
      <c r="C491" s="65">
        <f>(Table30[[#This Row],[Real M2 Money Stock]]-B479)/B479</f>
        <v>5.6456947200498001E-2</v>
      </c>
    </row>
    <row r="492" spans="1:3" x14ac:dyDescent="0.2">
      <c r="A492" s="23">
        <v>36342</v>
      </c>
      <c r="B492" s="25">
        <f>VLOOKUP(Table30[[#This Row],[Month]],'DB Money Supply'!$A:$D,3)</f>
        <v>2720.2</v>
      </c>
      <c r="C492" s="65">
        <f>(Table30[[#This Row],[Real M2 Money Stock]]-B480)/B480</f>
        <v>5.6019255405877447E-2</v>
      </c>
    </row>
    <row r="493" spans="1:3" x14ac:dyDescent="0.2">
      <c r="A493" s="23">
        <v>36373</v>
      </c>
      <c r="B493" s="25">
        <f>VLOOKUP(Table30[[#This Row],[Month]],'DB Money Supply'!$A:$D,3)</f>
        <v>2723.9</v>
      </c>
      <c r="C493" s="65">
        <f>(Table30[[#This Row],[Real M2 Money Stock]]-B481)/B481</f>
        <v>5.2552262452181302E-2</v>
      </c>
    </row>
    <row r="494" spans="1:3" x14ac:dyDescent="0.2">
      <c r="A494" s="23">
        <v>36404</v>
      </c>
      <c r="B494" s="25">
        <f>VLOOKUP(Table30[[#This Row],[Month]],'DB Money Supply'!$A:$D,3)</f>
        <v>2722.1</v>
      </c>
      <c r="C494" s="65">
        <f>(Table30[[#This Row],[Real M2 Money Stock]]-B482)/B482</f>
        <v>4.2870278139606199E-2</v>
      </c>
    </row>
    <row r="495" spans="1:3" x14ac:dyDescent="0.2">
      <c r="A495" s="23">
        <v>36434</v>
      </c>
      <c r="B495" s="25">
        <f>VLOOKUP(Table30[[#This Row],[Month]],'DB Money Supply'!$A:$D,3)</f>
        <v>2731.4</v>
      </c>
      <c r="C495" s="65">
        <f>(Table30[[#This Row],[Real M2 Money Stock]]-B483)/B483</f>
        <v>3.9266418080815872E-2</v>
      </c>
    </row>
    <row r="496" spans="1:3" x14ac:dyDescent="0.2">
      <c r="A496" s="23">
        <v>36465</v>
      </c>
      <c r="B496" s="25">
        <f>VLOOKUP(Table30[[#This Row],[Month]],'DB Money Supply'!$A:$D,3)</f>
        <v>2737.8</v>
      </c>
      <c r="C496" s="65">
        <f>(Table30[[#This Row],[Real M2 Money Stock]]-B484)/B484</f>
        <v>3.3678169599033553E-2</v>
      </c>
    </row>
    <row r="497" spans="1:3" x14ac:dyDescent="0.2">
      <c r="A497" s="23">
        <v>36495</v>
      </c>
      <c r="B497" s="25">
        <f>VLOOKUP(Table30[[#This Row],[Month]],'DB Money Supply'!$A:$D,3)</f>
        <v>2747.6</v>
      </c>
      <c r="C497" s="65">
        <f>(Table30[[#This Row],[Real M2 Money Stock]]-B485)/B485</f>
        <v>3.2427760868748254E-2</v>
      </c>
    </row>
    <row r="498" spans="1:3" x14ac:dyDescent="0.2">
      <c r="A498" s="23">
        <v>36526</v>
      </c>
      <c r="B498" s="25">
        <f>VLOOKUP(Table30[[#This Row],[Month]],'DB Money Supply'!$A:$D,3)</f>
        <v>2756.2</v>
      </c>
      <c r="C498" s="65">
        <f>(Table30[[#This Row],[Real M2 Money Stock]]-B486)/B486</f>
        <v>3.1087501402865553E-2</v>
      </c>
    </row>
    <row r="499" spans="1:3" x14ac:dyDescent="0.2">
      <c r="A499" s="23">
        <v>36557</v>
      </c>
      <c r="B499" s="25">
        <f>VLOOKUP(Table30[[#This Row],[Month]],'DB Money Supply'!$A:$D,3)</f>
        <v>2752.6</v>
      </c>
      <c r="C499" s="65">
        <f>(Table30[[#This Row],[Real M2 Money Stock]]-B487)/B487</f>
        <v>2.445197067252217E-2</v>
      </c>
    </row>
    <row r="500" spans="1:3" x14ac:dyDescent="0.2">
      <c r="A500" s="23">
        <v>36586</v>
      </c>
      <c r="B500" s="25">
        <f>VLOOKUP(Table30[[#This Row],[Month]],'DB Money Supply'!$A:$D,3)</f>
        <v>2754.5</v>
      </c>
      <c r="C500" s="65">
        <f>(Table30[[#This Row],[Real M2 Money Stock]]-B488)/B488</f>
        <v>2.4206142634044733E-2</v>
      </c>
    </row>
    <row r="501" spans="1:3" x14ac:dyDescent="0.2">
      <c r="A501" s="23">
        <v>36617</v>
      </c>
      <c r="B501" s="25">
        <f>VLOOKUP(Table30[[#This Row],[Month]],'DB Money Supply'!$A:$D,3)</f>
        <v>2788.8</v>
      </c>
      <c r="C501" s="65">
        <f>(Table30[[#This Row],[Real M2 Money Stock]]-B489)/B489</f>
        <v>3.7191312109491219E-2</v>
      </c>
    </row>
    <row r="502" spans="1:3" x14ac:dyDescent="0.2">
      <c r="A502" s="23">
        <v>36647</v>
      </c>
      <c r="B502" s="25">
        <f>VLOOKUP(Table30[[#This Row],[Month]],'DB Money Supply'!$A:$D,3)</f>
        <v>2776.8</v>
      </c>
      <c r="C502" s="65">
        <f>(Table30[[#This Row],[Real M2 Money Stock]]-B490)/B490</f>
        <v>2.7683197631384226E-2</v>
      </c>
    </row>
    <row r="503" spans="1:3" x14ac:dyDescent="0.2">
      <c r="A503" s="23">
        <v>36678</v>
      </c>
      <c r="B503" s="25">
        <f>VLOOKUP(Table30[[#This Row],[Month]],'DB Money Supply'!$A:$D,3)</f>
        <v>2771.1</v>
      </c>
      <c r="C503" s="65">
        <f>(Table30[[#This Row],[Real M2 Money Stock]]-B491)/B491</f>
        <v>2.0587802003535684E-2</v>
      </c>
    </row>
    <row r="504" spans="1:3" x14ac:dyDescent="0.2">
      <c r="A504" s="23">
        <v>36708</v>
      </c>
      <c r="B504" s="25">
        <f>VLOOKUP(Table30[[#This Row],[Month]],'DB Money Supply'!$A:$D,3)</f>
        <v>2773.2</v>
      </c>
      <c r="C504" s="65">
        <f>(Table30[[#This Row],[Real M2 Money Stock]]-B492)/B492</f>
        <v>1.9483861480773475E-2</v>
      </c>
    </row>
    <row r="505" spans="1:3" x14ac:dyDescent="0.2">
      <c r="A505" s="23">
        <v>36739</v>
      </c>
      <c r="B505" s="25">
        <f>VLOOKUP(Table30[[#This Row],[Month]],'DB Money Supply'!$A:$D,3)</f>
        <v>2789.5</v>
      </c>
      <c r="C505" s="65">
        <f>(Table30[[#This Row],[Real M2 Money Stock]]-B493)/B493</f>
        <v>2.4083116120268699E-2</v>
      </c>
    </row>
    <row r="506" spans="1:3" x14ac:dyDescent="0.2">
      <c r="A506" s="23">
        <v>36770</v>
      </c>
      <c r="B506" s="25">
        <f>VLOOKUP(Table30[[#This Row],[Month]],'DB Money Supply'!$A:$D,3)</f>
        <v>2795.6</v>
      </c>
      <c r="C506" s="65">
        <f>(Table30[[#This Row],[Real M2 Money Stock]]-B494)/B494</f>
        <v>2.7001212299327726E-2</v>
      </c>
    </row>
    <row r="507" spans="1:3" x14ac:dyDescent="0.2">
      <c r="A507" s="23">
        <v>36800</v>
      </c>
      <c r="B507" s="25">
        <f>VLOOKUP(Table30[[#This Row],[Month]],'DB Money Supply'!$A:$D,3)</f>
        <v>2800</v>
      </c>
      <c r="C507" s="65">
        <f>(Table30[[#This Row],[Real M2 Money Stock]]-B495)/B495</f>
        <v>2.5115325474115803E-2</v>
      </c>
    </row>
    <row r="508" spans="1:3" x14ac:dyDescent="0.2">
      <c r="A508" s="23">
        <v>36831</v>
      </c>
      <c r="B508" s="25">
        <f>VLOOKUP(Table30[[#This Row],[Month]],'DB Money Supply'!$A:$D,3)</f>
        <v>2801.4</v>
      </c>
      <c r="C508" s="65">
        <f>(Table30[[#This Row],[Real M2 Money Stock]]-B496)/B496</f>
        <v>2.3230330922638581E-2</v>
      </c>
    </row>
    <row r="509" spans="1:3" x14ac:dyDescent="0.2">
      <c r="A509" s="23">
        <v>36861</v>
      </c>
      <c r="B509" s="25">
        <f>VLOOKUP(Table30[[#This Row],[Month]],'DB Money Supply'!$A:$D,3)</f>
        <v>2820.6</v>
      </c>
      <c r="C509" s="65">
        <f>(Table30[[#This Row],[Real M2 Money Stock]]-B497)/B497</f>
        <v>2.6568641723686125E-2</v>
      </c>
    </row>
    <row r="510" spans="1:3" x14ac:dyDescent="0.2">
      <c r="A510" s="23">
        <v>36892</v>
      </c>
      <c r="B510" s="25">
        <f>VLOOKUP(Table30[[#This Row],[Month]],'DB Money Supply'!$A:$D,3)</f>
        <v>2833.3</v>
      </c>
      <c r="C510" s="65">
        <f>(Table30[[#This Row],[Real M2 Money Stock]]-B498)/B498</f>
        <v>2.7973296567738323E-2</v>
      </c>
    </row>
    <row r="511" spans="1:3" x14ac:dyDescent="0.2">
      <c r="A511" s="23">
        <v>36923</v>
      </c>
      <c r="B511" s="25">
        <f>VLOOKUP(Table30[[#This Row],[Month]],'DB Money Supply'!$A:$D,3)</f>
        <v>2848.6</v>
      </c>
      <c r="C511" s="65">
        <f>(Table30[[#This Row],[Real M2 Money Stock]]-B499)/B499</f>
        <v>3.4876117125626681E-2</v>
      </c>
    </row>
    <row r="512" spans="1:3" x14ac:dyDescent="0.2">
      <c r="A512" s="23">
        <v>36951</v>
      </c>
      <c r="B512" s="25">
        <f>VLOOKUP(Table30[[#This Row],[Month]],'DB Money Supply'!$A:$D,3)</f>
        <v>2879.7</v>
      </c>
      <c r="C512" s="65">
        <f>(Table30[[#This Row],[Real M2 Money Stock]]-B500)/B500</f>
        <v>4.5452895262297989E-2</v>
      </c>
    </row>
    <row r="513" spans="1:3" x14ac:dyDescent="0.2">
      <c r="A513" s="23">
        <v>36982</v>
      </c>
      <c r="B513" s="25">
        <f>VLOOKUP(Table30[[#This Row],[Month]],'DB Money Supply'!$A:$D,3)</f>
        <v>2911.1</v>
      </c>
      <c r="C513" s="65">
        <f>(Table30[[#This Row],[Real M2 Money Stock]]-B501)/B501</f>
        <v>4.3853987378083666E-2</v>
      </c>
    </row>
    <row r="514" spans="1:3" x14ac:dyDescent="0.2">
      <c r="A514" s="23">
        <v>37012</v>
      </c>
      <c r="B514" s="25">
        <f>VLOOKUP(Table30[[#This Row],[Month]],'DB Money Supply'!$A:$D,3)</f>
        <v>2894.6</v>
      </c>
      <c r="C514" s="65">
        <f>(Table30[[#This Row],[Real M2 Money Stock]]-B502)/B502</f>
        <v>4.2422932872370971E-2</v>
      </c>
    </row>
    <row r="515" spans="1:3" x14ac:dyDescent="0.2">
      <c r="A515" s="23">
        <v>37043</v>
      </c>
      <c r="B515" s="25">
        <f>VLOOKUP(Table30[[#This Row],[Month]],'DB Money Supply'!$A:$D,3)</f>
        <v>2910.8</v>
      </c>
      <c r="C515" s="65">
        <f>(Table30[[#This Row],[Real M2 Money Stock]]-B503)/B503</f>
        <v>5.041319331673353E-2</v>
      </c>
    </row>
    <row r="516" spans="1:3" x14ac:dyDescent="0.2">
      <c r="A516" s="23">
        <v>37073</v>
      </c>
      <c r="B516" s="25">
        <f>VLOOKUP(Table30[[#This Row],[Month]],'DB Money Supply'!$A:$D,3)</f>
        <v>2932.6</v>
      </c>
      <c r="C516" s="65">
        <f>(Table30[[#This Row],[Real M2 Money Stock]]-B504)/B504</f>
        <v>5.7478724938699009E-2</v>
      </c>
    </row>
    <row r="517" spans="1:3" x14ac:dyDescent="0.2">
      <c r="A517" s="23">
        <v>37104</v>
      </c>
      <c r="B517" s="25">
        <f>VLOOKUP(Table30[[#This Row],[Month]],'DB Money Supply'!$A:$D,3)</f>
        <v>2951.7</v>
      </c>
      <c r="C517" s="65">
        <f>(Table30[[#This Row],[Real M2 Money Stock]]-B505)/B505</f>
        <v>5.8146621258289947E-2</v>
      </c>
    </row>
    <row r="518" spans="1:3" x14ac:dyDescent="0.2">
      <c r="A518" s="23">
        <v>37135</v>
      </c>
      <c r="B518" s="25">
        <f>VLOOKUP(Table30[[#This Row],[Month]],'DB Money Supply'!$A:$D,3)</f>
        <v>3002.5</v>
      </c>
      <c r="C518" s="65">
        <f>(Table30[[#This Row],[Real M2 Money Stock]]-B506)/B506</f>
        <v>7.4009157247102622E-2</v>
      </c>
    </row>
    <row r="519" spans="1:3" x14ac:dyDescent="0.2">
      <c r="A519" s="23">
        <v>37165</v>
      </c>
      <c r="B519" s="25">
        <f>VLOOKUP(Table30[[#This Row],[Month]],'DB Money Supply'!$A:$D,3)</f>
        <v>3004.5</v>
      </c>
      <c r="C519" s="65">
        <f>(Table30[[#This Row],[Real M2 Money Stock]]-B507)/B507</f>
        <v>7.3035714285714287E-2</v>
      </c>
    </row>
    <row r="520" spans="1:3" x14ac:dyDescent="0.2">
      <c r="A520" s="23">
        <v>37196</v>
      </c>
      <c r="B520" s="25">
        <f>VLOOKUP(Table30[[#This Row],[Month]],'DB Money Supply'!$A:$D,3)</f>
        <v>3030.8</v>
      </c>
      <c r="C520" s="65">
        <f>(Table30[[#This Row],[Real M2 Money Stock]]-B508)/B508</f>
        <v>8.1887627614764077E-2</v>
      </c>
    </row>
    <row r="521" spans="1:3" x14ac:dyDescent="0.2">
      <c r="A521" s="23">
        <v>37226</v>
      </c>
      <c r="B521" s="25">
        <f>VLOOKUP(Table30[[#This Row],[Month]],'DB Money Supply'!$A:$D,3)</f>
        <v>3062.4</v>
      </c>
      <c r="C521" s="65">
        <f>(Table30[[#This Row],[Real M2 Money Stock]]-B509)/B509</f>
        <v>8.5726441182727153E-2</v>
      </c>
    </row>
    <row r="522" spans="1:3" x14ac:dyDescent="0.2">
      <c r="A522" s="23">
        <v>37257</v>
      </c>
      <c r="B522" s="25">
        <f>VLOOKUP(Table30[[#This Row],[Month]],'DB Money Supply'!$A:$D,3)</f>
        <v>3068.7</v>
      </c>
      <c r="C522" s="65">
        <f>(Table30[[#This Row],[Real M2 Money Stock]]-B510)/B510</f>
        <v>8.3083330392122123E-2</v>
      </c>
    </row>
    <row r="523" spans="1:3" x14ac:dyDescent="0.2">
      <c r="A523" s="23">
        <v>37288</v>
      </c>
      <c r="B523" s="25">
        <f>VLOOKUP(Table30[[#This Row],[Month]],'DB Money Supply'!$A:$D,3)</f>
        <v>3080</v>
      </c>
      <c r="C523" s="65">
        <f>(Table30[[#This Row],[Real M2 Money Stock]]-B511)/B511</f>
        <v>8.123288633012711E-2</v>
      </c>
    </row>
    <row r="524" spans="1:3" x14ac:dyDescent="0.2">
      <c r="A524" s="23">
        <v>37316</v>
      </c>
      <c r="B524" s="25">
        <f>VLOOKUP(Table30[[#This Row],[Month]],'DB Money Supply'!$A:$D,3)</f>
        <v>3078</v>
      </c>
      <c r="C524" s="65">
        <f>(Table30[[#This Row],[Real M2 Money Stock]]-B512)/B512</f>
        <v>6.8861339722887868E-2</v>
      </c>
    </row>
    <row r="525" spans="1:3" x14ac:dyDescent="0.2">
      <c r="A525" s="23">
        <v>37347</v>
      </c>
      <c r="B525" s="25">
        <f>VLOOKUP(Table30[[#This Row],[Month]],'DB Money Supply'!$A:$D,3)</f>
        <v>3064.4</v>
      </c>
      <c r="C525" s="65">
        <f>(Table30[[#This Row],[Real M2 Money Stock]]-B513)/B513</f>
        <v>5.2660506337810511E-2</v>
      </c>
    </row>
    <row r="526" spans="1:3" x14ac:dyDescent="0.2">
      <c r="A526" s="23">
        <v>37377</v>
      </c>
      <c r="B526" s="25">
        <f>VLOOKUP(Table30[[#This Row],[Month]],'DB Money Supply'!$A:$D,3)</f>
        <v>3075.5</v>
      </c>
      <c r="C526" s="65">
        <f>(Table30[[#This Row],[Real M2 Money Stock]]-B514)/B514</f>
        <v>6.2495681614039969E-2</v>
      </c>
    </row>
    <row r="527" spans="1:3" x14ac:dyDescent="0.2">
      <c r="A527" s="23">
        <v>37408</v>
      </c>
      <c r="B527" s="25">
        <f>VLOOKUP(Table30[[#This Row],[Month]],'DB Money Supply'!$A:$D,3)</f>
        <v>3087.8</v>
      </c>
      <c r="C527" s="65">
        <f>(Table30[[#This Row],[Real M2 Money Stock]]-B515)/B515</f>
        <v>6.0808025285144972E-2</v>
      </c>
    </row>
    <row r="528" spans="1:3" x14ac:dyDescent="0.2">
      <c r="A528" s="23">
        <v>37438</v>
      </c>
      <c r="B528" s="25">
        <f>VLOOKUP(Table30[[#This Row],[Month]],'DB Money Supply'!$A:$D,3)</f>
        <v>3104.6</v>
      </c>
      <c r="C528" s="65">
        <f>(Table30[[#This Row],[Real M2 Money Stock]]-B516)/B516</f>
        <v>5.865102639296188E-2</v>
      </c>
    </row>
    <row r="529" spans="1:3" x14ac:dyDescent="0.2">
      <c r="A529" s="23">
        <v>37469</v>
      </c>
      <c r="B529" s="25">
        <f>VLOOKUP(Table30[[#This Row],[Month]],'DB Money Supply'!$A:$D,3)</f>
        <v>3119.4</v>
      </c>
      <c r="C529" s="65">
        <f>(Table30[[#This Row],[Real M2 Money Stock]]-B517)/B517</f>
        <v>5.6814716942778835E-2</v>
      </c>
    </row>
    <row r="530" spans="1:3" x14ac:dyDescent="0.2">
      <c r="A530" s="23">
        <v>37500</v>
      </c>
      <c r="B530" s="25">
        <f>VLOOKUP(Table30[[#This Row],[Month]],'DB Money Supply'!$A:$D,3)</f>
        <v>3127.8</v>
      </c>
      <c r="C530" s="65">
        <f>(Table30[[#This Row],[Real M2 Money Stock]]-B518)/B518</f>
        <v>4.1731890091590403E-2</v>
      </c>
    </row>
    <row r="531" spans="1:3" x14ac:dyDescent="0.2">
      <c r="A531" s="23">
        <v>37530</v>
      </c>
      <c r="B531" s="25">
        <f>VLOOKUP(Table30[[#This Row],[Month]],'DB Money Supply'!$A:$D,3)</f>
        <v>3145.5</v>
      </c>
      <c r="C531" s="65">
        <f>(Table30[[#This Row],[Real M2 Money Stock]]-B519)/B519</f>
        <v>4.6929605591612585E-2</v>
      </c>
    </row>
    <row r="532" spans="1:3" x14ac:dyDescent="0.2">
      <c r="A532" s="23">
        <v>37561</v>
      </c>
      <c r="B532" s="25">
        <f>VLOOKUP(Table30[[#This Row],[Month]],'DB Money Supply'!$A:$D,3)</f>
        <v>3167.9</v>
      </c>
      <c r="C532" s="65">
        <f>(Table30[[#This Row],[Real M2 Money Stock]]-B520)/B520</f>
        <v>4.5235581364656163E-2</v>
      </c>
    </row>
    <row r="533" spans="1:3" x14ac:dyDescent="0.2">
      <c r="A533" s="23">
        <v>37591</v>
      </c>
      <c r="B533" s="25">
        <f>VLOOKUP(Table30[[#This Row],[Month]],'DB Money Supply'!$A:$D,3)</f>
        <v>3174.3</v>
      </c>
      <c r="C533" s="65">
        <f>(Table30[[#This Row],[Real M2 Money Stock]]-B521)/B521</f>
        <v>3.6539968652037645E-2</v>
      </c>
    </row>
    <row r="534" spans="1:3" x14ac:dyDescent="0.2">
      <c r="A534" s="23">
        <v>37622</v>
      </c>
      <c r="B534" s="25">
        <f>VLOOKUP(Table30[[#This Row],[Month]],'DB Money Supply'!$A:$D,3)</f>
        <v>3178.3</v>
      </c>
      <c r="C534" s="65">
        <f>(Table30[[#This Row],[Real M2 Money Stock]]-B522)/B522</f>
        <v>3.5715449538892809E-2</v>
      </c>
    </row>
    <row r="535" spans="1:3" x14ac:dyDescent="0.2">
      <c r="A535" s="23">
        <v>37653</v>
      </c>
      <c r="B535" s="25">
        <f>VLOOKUP(Table30[[#This Row],[Month]],'DB Money Supply'!$A:$D,3)</f>
        <v>3180.6</v>
      </c>
      <c r="C535" s="65">
        <f>(Table30[[#This Row],[Real M2 Money Stock]]-B523)/B523</f>
        <v>3.2662337662337636E-2</v>
      </c>
    </row>
    <row r="536" spans="1:3" x14ac:dyDescent="0.2">
      <c r="A536" s="23">
        <v>37681</v>
      </c>
      <c r="B536" s="25">
        <f>VLOOKUP(Table30[[#This Row],[Month]],'DB Money Supply'!$A:$D,3)</f>
        <v>3186.7</v>
      </c>
      <c r="C536" s="65">
        <f>(Table30[[#This Row],[Real M2 Money Stock]]-B524)/B524</f>
        <v>3.5315139701104552E-2</v>
      </c>
    </row>
    <row r="537" spans="1:3" x14ac:dyDescent="0.2">
      <c r="A537" s="23">
        <v>37712</v>
      </c>
      <c r="B537" s="25">
        <f>VLOOKUP(Table30[[#This Row],[Month]],'DB Money Supply'!$A:$D,3)</f>
        <v>3219.3</v>
      </c>
      <c r="C537" s="65">
        <f>(Table30[[#This Row],[Real M2 Money Stock]]-B525)/B525</f>
        <v>5.0548231301396712E-2</v>
      </c>
    </row>
    <row r="538" spans="1:3" x14ac:dyDescent="0.2">
      <c r="A538" s="23">
        <v>37742</v>
      </c>
      <c r="B538" s="25">
        <f>VLOOKUP(Table30[[#This Row],[Month]],'DB Money Supply'!$A:$D,3)</f>
        <v>3257.5</v>
      </c>
      <c r="C538" s="65">
        <f>(Table30[[#This Row],[Real M2 Money Stock]]-B526)/B526</f>
        <v>5.9177369533409199E-2</v>
      </c>
    </row>
    <row r="539" spans="1:3" x14ac:dyDescent="0.2">
      <c r="A539" s="23">
        <v>37773</v>
      </c>
      <c r="B539" s="25">
        <f>VLOOKUP(Table30[[#This Row],[Month]],'DB Money Supply'!$A:$D,3)</f>
        <v>3274</v>
      </c>
      <c r="C539" s="65">
        <f>(Table30[[#This Row],[Real M2 Money Stock]]-B527)/B527</f>
        <v>6.0301833020273268E-2</v>
      </c>
    </row>
    <row r="540" spans="1:3" x14ac:dyDescent="0.2">
      <c r="A540" s="23">
        <v>37803</v>
      </c>
      <c r="B540" s="25">
        <f>VLOOKUP(Table30[[#This Row],[Month]],'DB Money Supply'!$A:$D,3)</f>
        <v>3288.7</v>
      </c>
      <c r="C540" s="65">
        <f>(Table30[[#This Row],[Real M2 Money Stock]]-B528)/B528</f>
        <v>5.929910455453196E-2</v>
      </c>
    </row>
    <row r="541" spans="1:3" x14ac:dyDescent="0.2">
      <c r="A541" s="23">
        <v>37834</v>
      </c>
      <c r="B541" s="25">
        <f>VLOOKUP(Table30[[#This Row],[Month]],'DB Money Supply'!$A:$D,3)</f>
        <v>3306</v>
      </c>
      <c r="C541" s="65">
        <f>(Table30[[#This Row],[Real M2 Money Stock]]-B529)/B529</f>
        <v>5.9819195999230593E-2</v>
      </c>
    </row>
    <row r="542" spans="1:3" x14ac:dyDescent="0.2">
      <c r="A542" s="23">
        <v>37865</v>
      </c>
      <c r="B542" s="25">
        <f>VLOOKUP(Table30[[#This Row],[Month]],'DB Money Supply'!$A:$D,3)</f>
        <v>3280.2</v>
      </c>
      <c r="C542" s="65">
        <f>(Table30[[#This Row],[Real M2 Money Stock]]-B530)/B530</f>
        <v>4.8724342988682022E-2</v>
      </c>
    </row>
    <row r="543" spans="1:3" x14ac:dyDescent="0.2">
      <c r="A543" s="23">
        <v>37895</v>
      </c>
      <c r="B543" s="25">
        <f>VLOOKUP(Table30[[#This Row],[Month]],'DB Money Supply'!$A:$D,3)</f>
        <v>3278.8</v>
      </c>
      <c r="C543" s="65">
        <f>(Table30[[#This Row],[Real M2 Money Stock]]-B531)/B531</f>
        <v>4.2378000317914541E-2</v>
      </c>
    </row>
    <row r="544" spans="1:3" x14ac:dyDescent="0.2">
      <c r="A544" s="23">
        <v>37926</v>
      </c>
      <c r="B544" s="25">
        <f>VLOOKUP(Table30[[#This Row],[Month]],'DB Money Supply'!$A:$D,3)</f>
        <v>3279.8</v>
      </c>
      <c r="C544" s="65">
        <f>(Table30[[#This Row],[Real M2 Money Stock]]-B532)/B532</f>
        <v>3.5323084693329995E-2</v>
      </c>
    </row>
    <row r="545" spans="1:3" x14ac:dyDescent="0.2">
      <c r="A545" s="23">
        <v>37956</v>
      </c>
      <c r="B545" s="25">
        <f>VLOOKUP(Table30[[#This Row],[Month]],'DB Money Supply'!$A:$D,3)</f>
        <v>3270</v>
      </c>
      <c r="C545" s="65">
        <f>(Table30[[#This Row],[Real M2 Money Stock]]-B533)/B533</f>
        <v>3.0148379170210696E-2</v>
      </c>
    </row>
    <row r="546" spans="1:3" x14ac:dyDescent="0.2">
      <c r="A546" s="23">
        <v>37987</v>
      </c>
      <c r="B546" s="25">
        <f>VLOOKUP(Table30[[#This Row],[Month]],'DB Money Supply'!$A:$D,3)</f>
        <v>3260.5</v>
      </c>
      <c r="C546" s="65">
        <f>(Table30[[#This Row],[Real M2 Money Stock]]-B534)/B534</f>
        <v>2.5862882673127086E-2</v>
      </c>
    </row>
    <row r="547" spans="1:3" x14ac:dyDescent="0.2">
      <c r="A547" s="23">
        <v>38018</v>
      </c>
      <c r="B547" s="25">
        <f>VLOOKUP(Table30[[#This Row],[Month]],'DB Money Supply'!$A:$D,3)</f>
        <v>3274.3</v>
      </c>
      <c r="C547" s="65">
        <f>(Table30[[#This Row],[Real M2 Money Stock]]-B535)/B535</f>
        <v>2.9459850342702723E-2</v>
      </c>
    </row>
    <row r="548" spans="1:3" x14ac:dyDescent="0.2">
      <c r="A548" s="23">
        <v>38047</v>
      </c>
      <c r="B548" s="25">
        <f>VLOOKUP(Table30[[#This Row],[Month]],'DB Money Supply'!$A:$D,3)</f>
        <v>3286.5</v>
      </c>
      <c r="C548" s="65">
        <f>(Table30[[#This Row],[Real M2 Money Stock]]-B536)/B536</f>
        <v>3.131766404117118E-2</v>
      </c>
    </row>
    <row r="549" spans="1:3" x14ac:dyDescent="0.2">
      <c r="A549" s="23">
        <v>38078</v>
      </c>
      <c r="B549" s="25">
        <f>VLOOKUP(Table30[[#This Row],[Month]],'DB Money Supply'!$A:$D,3)</f>
        <v>3303.2</v>
      </c>
      <c r="C549" s="65">
        <f>(Table30[[#This Row],[Real M2 Money Stock]]-B537)/B537</f>
        <v>2.6061566178982896E-2</v>
      </c>
    </row>
    <row r="550" spans="1:3" x14ac:dyDescent="0.2">
      <c r="A550" s="23">
        <v>38108</v>
      </c>
      <c r="B550" s="25">
        <f>VLOOKUP(Table30[[#This Row],[Month]],'DB Money Supply'!$A:$D,3)</f>
        <v>3330</v>
      </c>
      <c r="C550" s="65">
        <f>(Table30[[#This Row],[Real M2 Money Stock]]-B538)/B538</f>
        <v>2.2256331542594012E-2</v>
      </c>
    </row>
    <row r="551" spans="1:3" x14ac:dyDescent="0.2">
      <c r="A551" s="23">
        <v>38139</v>
      </c>
      <c r="B551" s="25">
        <f>VLOOKUP(Table30[[#This Row],[Month]],'DB Money Supply'!$A:$D,3)</f>
        <v>3318.9</v>
      </c>
      <c r="C551" s="65">
        <f>(Table30[[#This Row],[Real M2 Money Stock]]-B539)/B539</f>
        <v>1.3714111178985978E-2</v>
      </c>
    </row>
    <row r="552" spans="1:3" x14ac:dyDescent="0.2">
      <c r="A552" s="23">
        <v>38169</v>
      </c>
      <c r="B552" s="25">
        <f>VLOOKUP(Table30[[#This Row],[Month]],'DB Money Supply'!$A:$D,3)</f>
        <v>3322.6</v>
      </c>
      <c r="C552" s="65">
        <f>(Table30[[#This Row],[Real M2 Money Stock]]-B540)/B540</f>
        <v>1.0308024447350045E-2</v>
      </c>
    </row>
    <row r="553" spans="1:3" x14ac:dyDescent="0.2">
      <c r="A553" s="23">
        <v>38200</v>
      </c>
      <c r="B553" s="25">
        <f>VLOOKUP(Table30[[#This Row],[Month]],'DB Money Supply'!$A:$D,3)</f>
        <v>3334.7</v>
      </c>
      <c r="C553" s="65">
        <f>(Table30[[#This Row],[Real M2 Money Stock]]-B541)/B541</f>
        <v>8.6811857229279546E-3</v>
      </c>
    </row>
    <row r="554" spans="1:3" x14ac:dyDescent="0.2">
      <c r="A554" s="23">
        <v>38231</v>
      </c>
      <c r="B554" s="25">
        <f>VLOOKUP(Table30[[#This Row],[Month]],'DB Money Supply'!$A:$D,3)</f>
        <v>3342.4</v>
      </c>
      <c r="C554" s="65">
        <f>(Table30[[#This Row],[Real M2 Money Stock]]-B542)/B542</f>
        <v>1.89622583988782E-2</v>
      </c>
    </row>
    <row r="555" spans="1:3" x14ac:dyDescent="0.2">
      <c r="A555" s="23">
        <v>38261</v>
      </c>
      <c r="B555" s="25">
        <f>VLOOKUP(Table30[[#This Row],[Month]],'DB Money Supply'!$A:$D,3)</f>
        <v>3339.7</v>
      </c>
      <c r="C555" s="65">
        <f>(Table30[[#This Row],[Real M2 Money Stock]]-B543)/B543</f>
        <v>1.8573868488471281E-2</v>
      </c>
    </row>
    <row r="556" spans="1:3" x14ac:dyDescent="0.2">
      <c r="A556" s="23">
        <v>38292</v>
      </c>
      <c r="B556" s="25">
        <f>VLOOKUP(Table30[[#This Row],[Month]],'DB Money Supply'!$A:$D,3)</f>
        <v>3337.9</v>
      </c>
      <c r="C556" s="65">
        <f>(Table30[[#This Row],[Real M2 Money Stock]]-B544)/B544</f>
        <v>1.7714494786267427E-2</v>
      </c>
    </row>
    <row r="557" spans="1:3" x14ac:dyDescent="0.2">
      <c r="A557" s="23">
        <v>38322</v>
      </c>
      <c r="B557" s="25">
        <f>VLOOKUP(Table30[[#This Row],[Month]],'DB Money Supply'!$A:$D,3)</f>
        <v>3347.5</v>
      </c>
      <c r="C557" s="65">
        <f>(Table30[[#This Row],[Real M2 Money Stock]]-B545)/B545</f>
        <v>2.3700305810397553E-2</v>
      </c>
    </row>
    <row r="558" spans="1:3" x14ac:dyDescent="0.2">
      <c r="A558" s="23">
        <v>38353</v>
      </c>
      <c r="B558" s="25">
        <f>VLOOKUP(Table30[[#This Row],[Month]],'DB Money Supply'!$A:$D,3)</f>
        <v>3352.5</v>
      </c>
      <c r="C558" s="65">
        <f>(Table30[[#This Row],[Real M2 Money Stock]]-B546)/B546</f>
        <v>2.8216531206870111E-2</v>
      </c>
    </row>
    <row r="559" spans="1:3" x14ac:dyDescent="0.2">
      <c r="A559" s="23">
        <v>38384</v>
      </c>
      <c r="B559" s="25">
        <f>VLOOKUP(Table30[[#This Row],[Month]],'DB Money Supply'!$A:$D,3)</f>
        <v>3342.9</v>
      </c>
      <c r="C559" s="65">
        <f>(Table30[[#This Row],[Real M2 Money Stock]]-B547)/B547</f>
        <v>2.0951042971016676E-2</v>
      </c>
    </row>
    <row r="560" spans="1:3" x14ac:dyDescent="0.2">
      <c r="A560" s="23">
        <v>38412</v>
      </c>
      <c r="B560" s="25">
        <f>VLOOKUP(Table30[[#This Row],[Month]],'DB Money Supply'!$A:$D,3)</f>
        <v>3335.5</v>
      </c>
      <c r="C560" s="65">
        <f>(Table30[[#This Row],[Real M2 Money Stock]]-B548)/B548</f>
        <v>1.4909478168264111E-2</v>
      </c>
    </row>
    <row r="561" spans="1:3" x14ac:dyDescent="0.2">
      <c r="A561" s="23">
        <v>38443</v>
      </c>
      <c r="B561" s="25">
        <f>VLOOKUP(Table30[[#This Row],[Month]],'DB Money Supply'!$A:$D,3)</f>
        <v>3332.3</v>
      </c>
      <c r="C561" s="65">
        <f>(Table30[[#This Row],[Real M2 Money Stock]]-B549)/B549</f>
        <v>8.8096391378058754E-3</v>
      </c>
    </row>
    <row r="562" spans="1:3" x14ac:dyDescent="0.2">
      <c r="A562" s="23">
        <v>38473</v>
      </c>
      <c r="B562" s="25">
        <f>VLOOKUP(Table30[[#This Row],[Month]],'DB Money Supply'!$A:$D,3)</f>
        <v>3343</v>
      </c>
      <c r="C562" s="65">
        <f>(Table30[[#This Row],[Real M2 Money Stock]]-B550)/B550</f>
        <v>3.9039039039039038E-3</v>
      </c>
    </row>
    <row r="563" spans="1:3" x14ac:dyDescent="0.2">
      <c r="A563" s="23">
        <v>38504</v>
      </c>
      <c r="B563" s="25">
        <f>VLOOKUP(Table30[[#This Row],[Month]],'DB Money Supply'!$A:$D,3)</f>
        <v>3358</v>
      </c>
      <c r="C563" s="65">
        <f>(Table30[[#This Row],[Real M2 Money Stock]]-B551)/B551</f>
        <v>1.1781011781011753E-2</v>
      </c>
    </row>
    <row r="564" spans="1:3" x14ac:dyDescent="0.2">
      <c r="A564" s="23">
        <v>38534</v>
      </c>
      <c r="B564" s="25">
        <f>VLOOKUP(Table30[[#This Row],[Month]],'DB Money Supply'!$A:$D,3)</f>
        <v>3353.5</v>
      </c>
      <c r="C564" s="65">
        <f>(Table30[[#This Row],[Real M2 Money Stock]]-B552)/B552</f>
        <v>9.2999458255583253E-3</v>
      </c>
    </row>
    <row r="565" spans="1:3" x14ac:dyDescent="0.2">
      <c r="A565" s="23">
        <v>38565</v>
      </c>
      <c r="B565" s="25">
        <f>VLOOKUP(Table30[[#This Row],[Month]],'DB Money Supply'!$A:$D,3)</f>
        <v>3349.7</v>
      </c>
      <c r="C565" s="65">
        <f>(Table30[[#This Row],[Real M2 Money Stock]]-B553)/B553</f>
        <v>4.4981557561399824E-3</v>
      </c>
    </row>
    <row r="566" spans="1:3" x14ac:dyDescent="0.2">
      <c r="A566" s="23">
        <v>38596</v>
      </c>
      <c r="B566" s="25">
        <f>VLOOKUP(Table30[[#This Row],[Month]],'DB Money Supply'!$A:$D,3)</f>
        <v>3321.4</v>
      </c>
      <c r="C566" s="65">
        <f>(Table30[[#This Row],[Real M2 Money Stock]]-B554)/B554</f>
        <v>-6.2829104834849206E-3</v>
      </c>
    </row>
    <row r="567" spans="1:3" x14ac:dyDescent="0.2">
      <c r="A567" s="23">
        <v>38626</v>
      </c>
      <c r="B567" s="25">
        <f>VLOOKUP(Table30[[#This Row],[Month]],'DB Money Supply'!$A:$D,3)</f>
        <v>3333.5</v>
      </c>
      <c r="C567" s="65">
        <f>(Table30[[#This Row],[Real M2 Money Stock]]-B555)/B555</f>
        <v>-1.8564541725304125E-3</v>
      </c>
    </row>
    <row r="568" spans="1:3" x14ac:dyDescent="0.2">
      <c r="A568" s="23">
        <v>38657</v>
      </c>
      <c r="B568" s="25">
        <f>VLOOKUP(Table30[[#This Row],[Month]],'DB Money Supply'!$A:$D,3)</f>
        <v>3358.6</v>
      </c>
      <c r="C568" s="65">
        <f>(Table30[[#This Row],[Real M2 Money Stock]]-B556)/B556</f>
        <v>6.2015039396026896E-3</v>
      </c>
    </row>
    <row r="569" spans="1:3" x14ac:dyDescent="0.2">
      <c r="A569" s="23">
        <v>38687</v>
      </c>
      <c r="B569" s="25">
        <f>VLOOKUP(Table30[[#This Row],[Month]],'DB Money Supply'!$A:$D,3)</f>
        <v>3372.1</v>
      </c>
      <c r="C569" s="65">
        <f>(Table30[[#This Row],[Real M2 Money Stock]]-B557)/B557</f>
        <v>7.3487677371172249E-3</v>
      </c>
    </row>
    <row r="570" spans="1:3" x14ac:dyDescent="0.2">
      <c r="A570" s="23">
        <v>38718</v>
      </c>
      <c r="B570" s="25">
        <f>VLOOKUP(Table30[[#This Row],[Month]],'DB Money Supply'!$A:$D,3)</f>
        <v>3373.1</v>
      </c>
      <c r="C570" s="65">
        <f>(Table30[[#This Row],[Real M2 Money Stock]]-B558)/B558</f>
        <v>6.1446681580909499E-3</v>
      </c>
    </row>
    <row r="571" spans="1:3" x14ac:dyDescent="0.2">
      <c r="A571" s="23">
        <v>38749</v>
      </c>
      <c r="B571" s="25">
        <f>VLOOKUP(Table30[[#This Row],[Month]],'DB Money Supply'!$A:$D,3)</f>
        <v>3383.6</v>
      </c>
      <c r="C571" s="65">
        <f>(Table30[[#This Row],[Real M2 Money Stock]]-B559)/B559</f>
        <v>1.2175057584731764E-2</v>
      </c>
    </row>
    <row r="572" spans="1:3" x14ac:dyDescent="0.2">
      <c r="A572" s="23">
        <v>38777</v>
      </c>
      <c r="B572" s="25">
        <f>VLOOKUP(Table30[[#This Row],[Month]],'DB Money Supply'!$A:$D,3)</f>
        <v>3385.6</v>
      </c>
      <c r="C572" s="65">
        <f>(Table30[[#This Row],[Real M2 Money Stock]]-B560)/B560</f>
        <v>1.502023684605004E-2</v>
      </c>
    </row>
    <row r="573" spans="1:3" x14ac:dyDescent="0.2">
      <c r="A573" s="23">
        <v>38808</v>
      </c>
      <c r="B573" s="25">
        <f>VLOOKUP(Table30[[#This Row],[Month]],'DB Money Supply'!$A:$D,3)</f>
        <v>3387.4</v>
      </c>
      <c r="C573" s="65">
        <f>(Table30[[#This Row],[Real M2 Money Stock]]-B561)/B561</f>
        <v>1.653512588902557E-2</v>
      </c>
    </row>
    <row r="574" spans="1:3" x14ac:dyDescent="0.2">
      <c r="A574" s="23">
        <v>38838</v>
      </c>
      <c r="B574" s="25">
        <f>VLOOKUP(Table30[[#This Row],[Month]],'DB Money Supply'!$A:$D,3)</f>
        <v>3380.6</v>
      </c>
      <c r="C574" s="65">
        <f>(Table30[[#This Row],[Real M2 Money Stock]]-B562)/B562</f>
        <v>1.1247382590487558E-2</v>
      </c>
    </row>
    <row r="575" spans="1:3" x14ac:dyDescent="0.2">
      <c r="A575" s="23">
        <v>38869</v>
      </c>
      <c r="B575" s="25">
        <f>VLOOKUP(Table30[[#This Row],[Month]],'DB Money Supply'!$A:$D,3)</f>
        <v>3391.1</v>
      </c>
      <c r="C575" s="65">
        <f>(Table30[[#This Row],[Real M2 Money Stock]]-B563)/B563</f>
        <v>9.8570577724835934E-3</v>
      </c>
    </row>
    <row r="576" spans="1:3" x14ac:dyDescent="0.2">
      <c r="A576" s="23">
        <v>38899</v>
      </c>
      <c r="B576" s="25">
        <f>VLOOKUP(Table30[[#This Row],[Month]],'DB Money Supply'!$A:$D,3)</f>
        <v>3393.1</v>
      </c>
      <c r="C576" s="65">
        <f>(Table30[[#This Row],[Real M2 Money Stock]]-B564)/B564</f>
        <v>1.180855822275232E-2</v>
      </c>
    </row>
    <row r="577" spans="1:3" x14ac:dyDescent="0.2">
      <c r="A577" s="23">
        <v>38930</v>
      </c>
      <c r="B577" s="25">
        <f>VLOOKUP(Table30[[#This Row],[Month]],'DB Money Supply'!$A:$D,3)</f>
        <v>3393.2</v>
      </c>
      <c r="C577" s="65">
        <f>(Table30[[#This Row],[Real M2 Money Stock]]-B565)/B565</f>
        <v>1.2986237573514046E-2</v>
      </c>
    </row>
    <row r="578" spans="1:3" x14ac:dyDescent="0.2">
      <c r="A578" s="23">
        <v>38961</v>
      </c>
      <c r="B578" s="25">
        <f>VLOOKUP(Table30[[#This Row],[Month]],'DB Money Supply'!$A:$D,3)</f>
        <v>3423.4</v>
      </c>
      <c r="C578" s="65">
        <f>(Table30[[#This Row],[Real M2 Money Stock]]-B566)/B566</f>
        <v>3.0709941590895403E-2</v>
      </c>
    </row>
    <row r="579" spans="1:3" x14ac:dyDescent="0.2">
      <c r="A579" s="23">
        <v>38991</v>
      </c>
      <c r="B579" s="25">
        <f>VLOOKUP(Table30[[#This Row],[Month]],'DB Money Supply'!$A:$D,3)</f>
        <v>3462.9</v>
      </c>
      <c r="C579" s="65">
        <f>(Table30[[#This Row],[Real M2 Money Stock]]-B567)/B567</f>
        <v>3.8818059097045172E-2</v>
      </c>
    </row>
    <row r="580" spans="1:3" x14ac:dyDescent="0.2">
      <c r="A580" s="23">
        <v>39022</v>
      </c>
      <c r="B580" s="25">
        <f>VLOOKUP(Table30[[#This Row],[Month]],'DB Money Supply'!$A:$D,3)</f>
        <v>3478.5</v>
      </c>
      <c r="C580" s="65">
        <f>(Table30[[#This Row],[Real M2 Money Stock]]-B568)/B568</f>
        <v>3.5699398558923387E-2</v>
      </c>
    </row>
    <row r="581" spans="1:3" x14ac:dyDescent="0.2">
      <c r="A581" s="23">
        <v>39052</v>
      </c>
      <c r="B581" s="25">
        <f>VLOOKUP(Table30[[#This Row],[Month]],'DB Money Supply'!$A:$D,3)</f>
        <v>3480.8</v>
      </c>
      <c r="C581" s="65">
        <f>(Table30[[#This Row],[Real M2 Money Stock]]-B569)/B569</f>
        <v>3.2235105720471002E-2</v>
      </c>
    </row>
    <row r="582" spans="1:3" x14ac:dyDescent="0.2">
      <c r="A582" s="23">
        <v>39083</v>
      </c>
      <c r="B582" s="25">
        <f>VLOOKUP(Table30[[#This Row],[Month]],'DB Money Supply'!$A:$D,3)</f>
        <v>3493.7</v>
      </c>
      <c r="C582" s="65">
        <f>(Table30[[#This Row],[Real M2 Money Stock]]-B570)/B570</f>
        <v>3.5753461207791028E-2</v>
      </c>
    </row>
    <row r="583" spans="1:3" x14ac:dyDescent="0.2">
      <c r="A583" s="23">
        <v>39114</v>
      </c>
      <c r="B583" s="25">
        <f>VLOOKUP(Table30[[#This Row],[Month]],'DB Money Supply'!$A:$D,3)</f>
        <v>3487.9</v>
      </c>
      <c r="C583" s="65">
        <f>(Table30[[#This Row],[Real M2 Money Stock]]-B571)/B571</f>
        <v>3.0825156637900517E-2</v>
      </c>
    </row>
    <row r="584" spans="1:3" x14ac:dyDescent="0.2">
      <c r="A584" s="23">
        <v>39142</v>
      </c>
      <c r="B584" s="25">
        <f>VLOOKUP(Table30[[#This Row],[Month]],'DB Money Supply'!$A:$D,3)</f>
        <v>3486.3</v>
      </c>
      <c r="C584" s="65">
        <f>(Table30[[#This Row],[Real M2 Money Stock]]-B572)/B572</f>
        <v>2.9743620037807266E-2</v>
      </c>
    </row>
    <row r="585" spans="1:3" x14ac:dyDescent="0.2">
      <c r="A585" s="23">
        <v>39173</v>
      </c>
      <c r="B585" s="25">
        <f>VLOOKUP(Table30[[#This Row],[Month]],'DB Money Supply'!$A:$D,3)</f>
        <v>3511</v>
      </c>
      <c r="C585" s="65">
        <f>(Table30[[#This Row],[Real M2 Money Stock]]-B573)/B573</f>
        <v>3.6488162012162692E-2</v>
      </c>
    </row>
    <row r="586" spans="1:3" x14ac:dyDescent="0.2">
      <c r="A586" s="23">
        <v>39203</v>
      </c>
      <c r="B586" s="25">
        <f>VLOOKUP(Table30[[#This Row],[Month]],'DB Money Supply'!$A:$D,3)</f>
        <v>3503.3</v>
      </c>
      <c r="C586" s="65">
        <f>(Table30[[#This Row],[Real M2 Money Stock]]-B574)/B574</f>
        <v>3.6295332189552235E-2</v>
      </c>
    </row>
    <row r="587" spans="1:3" x14ac:dyDescent="0.2">
      <c r="A587" s="23">
        <v>39234</v>
      </c>
      <c r="B587" s="25">
        <f>VLOOKUP(Table30[[#This Row],[Month]],'DB Money Supply'!$A:$D,3)</f>
        <v>3511.2</v>
      </c>
      <c r="C587" s="65">
        <f>(Table30[[#This Row],[Real M2 Money Stock]]-B575)/B575</f>
        <v>3.5416236619386011E-2</v>
      </c>
    </row>
    <row r="588" spans="1:3" x14ac:dyDescent="0.2">
      <c r="A588" s="23">
        <v>39264</v>
      </c>
      <c r="B588" s="25">
        <f>VLOOKUP(Table30[[#This Row],[Month]],'DB Money Supply'!$A:$D,3)</f>
        <v>3519.5</v>
      </c>
      <c r="C588" s="65">
        <f>(Table30[[#This Row],[Real M2 Money Stock]]-B576)/B576</f>
        <v>3.7252070378120332E-2</v>
      </c>
    </row>
    <row r="589" spans="1:3" x14ac:dyDescent="0.2">
      <c r="A589" s="23">
        <v>39295</v>
      </c>
      <c r="B589" s="25">
        <f>VLOOKUP(Table30[[#This Row],[Month]],'DB Money Supply'!$A:$D,3)</f>
        <v>3555.1</v>
      </c>
      <c r="C589" s="65">
        <f>(Table30[[#This Row],[Real M2 Money Stock]]-B577)/B577</f>
        <v>4.7713073205234026E-2</v>
      </c>
    </row>
    <row r="590" spans="1:3" x14ac:dyDescent="0.2">
      <c r="A590" s="23">
        <v>39326</v>
      </c>
      <c r="B590" s="25">
        <f>VLOOKUP(Table30[[#This Row],[Month]],'DB Money Supply'!$A:$D,3)</f>
        <v>3548.9</v>
      </c>
      <c r="C590" s="65">
        <f>(Table30[[#This Row],[Real M2 Money Stock]]-B578)/B578</f>
        <v>3.6659461354209263E-2</v>
      </c>
    </row>
    <row r="591" spans="1:3" x14ac:dyDescent="0.2">
      <c r="A591" s="23">
        <v>39356</v>
      </c>
      <c r="B591" s="25">
        <f>VLOOKUP(Table30[[#This Row],[Month]],'DB Money Supply'!$A:$D,3)</f>
        <v>3544.5</v>
      </c>
      <c r="C591" s="65">
        <f>(Table30[[#This Row],[Real M2 Money Stock]]-B579)/B579</f>
        <v>2.3564064801178175E-2</v>
      </c>
    </row>
    <row r="592" spans="1:3" x14ac:dyDescent="0.2">
      <c r="A592" s="23">
        <v>39387</v>
      </c>
      <c r="B592" s="25">
        <f>VLOOKUP(Table30[[#This Row],[Month]],'DB Money Supply'!$A:$D,3)</f>
        <v>3528.7</v>
      </c>
      <c r="C592" s="65">
        <f>(Table30[[#This Row],[Real M2 Money Stock]]-B580)/B580</f>
        <v>1.4431507833836371E-2</v>
      </c>
    </row>
    <row r="593" spans="1:3" x14ac:dyDescent="0.2">
      <c r="A593" s="23">
        <v>39417</v>
      </c>
      <c r="B593" s="25">
        <f>VLOOKUP(Table30[[#This Row],[Month]],'DB Money Supply'!$A:$D,3)</f>
        <v>3532.5</v>
      </c>
      <c r="C593" s="65">
        <f>(Table30[[#This Row],[Real M2 Money Stock]]-B581)/B581</f>
        <v>1.4852907377614289E-2</v>
      </c>
    </row>
    <row r="594" spans="1:3" x14ac:dyDescent="0.2">
      <c r="A594" s="23">
        <v>39448</v>
      </c>
      <c r="B594" s="25">
        <f>VLOOKUP(Table30[[#This Row],[Month]],'DB Money Supply'!$A:$D,3)</f>
        <v>3536.3</v>
      </c>
      <c r="C594" s="65">
        <f>(Table30[[#This Row],[Real M2 Money Stock]]-B582)/B582</f>
        <v>1.2193376649397592E-2</v>
      </c>
    </row>
    <row r="595" spans="1:3" x14ac:dyDescent="0.2">
      <c r="A595" s="23">
        <v>39479</v>
      </c>
      <c r="B595" s="25">
        <f>VLOOKUP(Table30[[#This Row],[Month]],'DB Money Supply'!$A:$D,3)</f>
        <v>3567.5</v>
      </c>
      <c r="C595" s="65">
        <f>(Table30[[#This Row],[Real M2 Money Stock]]-B583)/B583</f>
        <v>2.2821755210871843E-2</v>
      </c>
    </row>
    <row r="596" spans="1:3" x14ac:dyDescent="0.2">
      <c r="A596" s="23">
        <v>39508</v>
      </c>
      <c r="B596" s="25">
        <f>VLOOKUP(Table30[[#This Row],[Month]],'DB Money Supply'!$A:$D,3)</f>
        <v>3585.6</v>
      </c>
      <c r="C596" s="65">
        <f>(Table30[[#This Row],[Real M2 Money Stock]]-B584)/B584</f>
        <v>2.8482918853799076E-2</v>
      </c>
    </row>
    <row r="597" spans="1:3" x14ac:dyDescent="0.2">
      <c r="A597" s="23">
        <v>39539</v>
      </c>
      <c r="B597" s="25">
        <f>VLOOKUP(Table30[[#This Row],[Month]],'DB Money Supply'!$A:$D,3)</f>
        <v>3597.3</v>
      </c>
      <c r="C597" s="65">
        <f>(Table30[[#This Row],[Real M2 Money Stock]]-B585)/B585</f>
        <v>2.4579891768726912E-2</v>
      </c>
    </row>
    <row r="598" spans="1:3" x14ac:dyDescent="0.2">
      <c r="A598" s="23">
        <v>39569</v>
      </c>
      <c r="B598" s="25">
        <f>VLOOKUP(Table30[[#This Row],[Month]],'DB Money Supply'!$A:$D,3)</f>
        <v>3581.8</v>
      </c>
      <c r="C598" s="65">
        <f>(Table30[[#This Row],[Real M2 Money Stock]]-B586)/B586</f>
        <v>2.2407444409556703E-2</v>
      </c>
    </row>
    <row r="599" spans="1:3" x14ac:dyDescent="0.2">
      <c r="A599" s="23">
        <v>39600</v>
      </c>
      <c r="B599" s="25">
        <f>VLOOKUP(Table30[[#This Row],[Month]],'DB Money Supply'!$A:$D,3)</f>
        <v>3552.7</v>
      </c>
      <c r="C599" s="65">
        <f>(Table30[[#This Row],[Real M2 Money Stock]]-B587)/B587</f>
        <v>1.1819321029847346E-2</v>
      </c>
    </row>
    <row r="600" spans="1:3" x14ac:dyDescent="0.2">
      <c r="A600" s="23">
        <v>39630</v>
      </c>
      <c r="B600" s="25">
        <f>VLOOKUP(Table30[[#This Row],[Month]],'DB Money Supply'!$A:$D,3)</f>
        <v>3548.6</v>
      </c>
      <c r="C600" s="65">
        <f>(Table30[[#This Row],[Real M2 Money Stock]]-B588)/B588</f>
        <v>8.2682199176019062E-3</v>
      </c>
    </row>
    <row r="601" spans="1:3" x14ac:dyDescent="0.2">
      <c r="A601" s="23">
        <v>39661</v>
      </c>
      <c r="B601" s="25">
        <f>VLOOKUP(Table30[[#This Row],[Month]],'DB Money Supply'!$A:$D,3)</f>
        <v>3560.7</v>
      </c>
      <c r="C601" s="65">
        <f>(Table30[[#This Row],[Real M2 Money Stock]]-B589)/B589</f>
        <v>1.5752018227335122E-3</v>
      </c>
    </row>
    <row r="602" spans="1:3" x14ac:dyDescent="0.2">
      <c r="A602" s="23">
        <v>39692</v>
      </c>
      <c r="B602" s="25">
        <f>VLOOKUP(Table30[[#This Row],[Month]],'DB Money Supply'!$A:$D,3)</f>
        <v>3589.5</v>
      </c>
      <c r="C602" s="65">
        <f>(Table30[[#This Row],[Real M2 Money Stock]]-B590)/B590</f>
        <v>1.144016455803204E-2</v>
      </c>
    </row>
    <row r="603" spans="1:3" x14ac:dyDescent="0.2">
      <c r="A603" s="23">
        <v>39722</v>
      </c>
      <c r="B603" s="25">
        <f>VLOOKUP(Table30[[#This Row],[Month]],'DB Money Supply'!$A:$D,3)</f>
        <v>3669.7</v>
      </c>
      <c r="C603" s="65">
        <f>(Table30[[#This Row],[Real M2 Money Stock]]-B591)/B591</f>
        <v>3.5322330370997267E-2</v>
      </c>
    </row>
    <row r="604" spans="1:3" x14ac:dyDescent="0.2">
      <c r="A604" s="23">
        <v>39753</v>
      </c>
      <c r="B604" s="25">
        <f>VLOOKUP(Table30[[#This Row],[Month]],'DB Money Supply'!$A:$D,3)</f>
        <v>3759.5</v>
      </c>
      <c r="C604" s="65">
        <f>(Table30[[#This Row],[Real M2 Money Stock]]-B592)/B592</f>
        <v>6.5406523648935927E-2</v>
      </c>
    </row>
    <row r="605" spans="1:3" x14ac:dyDescent="0.2">
      <c r="A605" s="23">
        <v>39783</v>
      </c>
      <c r="B605" s="25">
        <f>VLOOKUP(Table30[[#This Row],[Month]],'DB Money Supply'!$A:$D,3)</f>
        <v>3874.1</v>
      </c>
      <c r="C605" s="65">
        <f>(Table30[[#This Row],[Real M2 Money Stock]]-B593)/B593</f>
        <v>9.6702052370842159E-2</v>
      </c>
    </row>
    <row r="606" spans="1:3" x14ac:dyDescent="0.2">
      <c r="A606" s="23">
        <v>39814</v>
      </c>
      <c r="B606" s="25">
        <f>VLOOKUP(Table30[[#This Row],[Month]],'DB Money Supply'!$A:$D,3)</f>
        <v>3902.7</v>
      </c>
      <c r="C606" s="65">
        <f>(Table30[[#This Row],[Real M2 Money Stock]]-B594)/B594</f>
        <v>0.10361111896615095</v>
      </c>
    </row>
    <row r="607" spans="1:3" x14ac:dyDescent="0.2">
      <c r="A607" s="23">
        <v>39845</v>
      </c>
      <c r="B607" s="25">
        <f>VLOOKUP(Table30[[#This Row],[Month]],'DB Money Supply'!$A:$D,3)</f>
        <v>3902.4</v>
      </c>
      <c r="C607" s="65">
        <f>(Table30[[#This Row],[Real M2 Money Stock]]-B595)/B595</f>
        <v>9.3875262789068006E-2</v>
      </c>
    </row>
    <row r="608" spans="1:3" x14ac:dyDescent="0.2">
      <c r="A608" s="23">
        <v>39873</v>
      </c>
      <c r="B608" s="25">
        <f>VLOOKUP(Table30[[#This Row],[Month]],'DB Money Supply'!$A:$D,3)</f>
        <v>3937.3</v>
      </c>
      <c r="C608" s="65">
        <f>(Table30[[#This Row],[Real M2 Money Stock]]-B596)/B596</f>
        <v>9.8086791610888069E-2</v>
      </c>
    </row>
    <row r="609" spans="1:3" x14ac:dyDescent="0.2">
      <c r="A609" s="23">
        <v>39904</v>
      </c>
      <c r="B609" s="25">
        <f>VLOOKUP(Table30[[#This Row],[Month]],'DB Money Supply'!$A:$D,3)</f>
        <v>3934.9</v>
      </c>
      <c r="C609" s="65">
        <f>(Table30[[#This Row],[Real M2 Money Stock]]-B597)/B597</f>
        <v>9.3848163900703274E-2</v>
      </c>
    </row>
    <row r="610" spans="1:3" x14ac:dyDescent="0.2">
      <c r="A610" s="23">
        <v>39934</v>
      </c>
      <c r="B610" s="25">
        <f>VLOOKUP(Table30[[#This Row],[Month]],'DB Money Supply'!$A:$D,3)</f>
        <v>3956.2</v>
      </c>
      <c r="C610" s="65">
        <f>(Table30[[#This Row],[Real M2 Money Stock]]-B598)/B598</f>
        <v>0.10452844938299169</v>
      </c>
    </row>
    <row r="611" spans="1:3" x14ac:dyDescent="0.2">
      <c r="A611" s="23">
        <v>39965</v>
      </c>
      <c r="B611" s="25">
        <f>VLOOKUP(Table30[[#This Row],[Month]],'DB Money Supply'!$A:$D,3)</f>
        <v>3928.1</v>
      </c>
      <c r="C611" s="65">
        <f>(Table30[[#This Row],[Real M2 Money Stock]]-B599)/B599</f>
        <v>0.10566611309708113</v>
      </c>
    </row>
    <row r="612" spans="1:3" x14ac:dyDescent="0.2">
      <c r="A612" s="23">
        <v>39995</v>
      </c>
      <c r="B612" s="25">
        <f>VLOOKUP(Table30[[#This Row],[Month]],'DB Money Supply'!$A:$D,3)</f>
        <v>3931.5</v>
      </c>
      <c r="C612" s="65">
        <f>(Table30[[#This Row],[Real M2 Money Stock]]-B600)/B600</f>
        <v>0.1079017077157189</v>
      </c>
    </row>
    <row r="613" spans="1:3" x14ac:dyDescent="0.2">
      <c r="A613" s="23">
        <v>40026</v>
      </c>
      <c r="B613" s="25">
        <f>VLOOKUP(Table30[[#This Row],[Month]],'DB Money Supply'!$A:$D,3)</f>
        <v>3918.3</v>
      </c>
      <c r="C613" s="65">
        <f>(Table30[[#This Row],[Real M2 Money Stock]]-B601)/B601</f>
        <v>0.10042969079113669</v>
      </c>
    </row>
    <row r="614" spans="1:3" x14ac:dyDescent="0.2">
      <c r="A614" s="23">
        <v>40057</v>
      </c>
      <c r="B614" s="25">
        <f>VLOOKUP(Table30[[#This Row],[Month]],'DB Money Supply'!$A:$D,3)</f>
        <v>3910.4</v>
      </c>
      <c r="C614" s="65">
        <f>(Table30[[#This Row],[Real M2 Money Stock]]-B602)/B602</f>
        <v>8.9399637832567241E-2</v>
      </c>
    </row>
    <row r="615" spans="1:3" x14ac:dyDescent="0.2">
      <c r="A615" s="23">
        <v>40087</v>
      </c>
      <c r="B615" s="25">
        <f>VLOOKUP(Table30[[#This Row],[Month]],'DB Money Supply'!$A:$D,3)</f>
        <v>3911.2</v>
      </c>
      <c r="C615" s="65">
        <f>(Table30[[#This Row],[Real M2 Money Stock]]-B603)/B603</f>
        <v>6.580919421206094E-2</v>
      </c>
    </row>
    <row r="616" spans="1:3" x14ac:dyDescent="0.2">
      <c r="A616" s="23">
        <v>40118</v>
      </c>
      <c r="B616" s="25">
        <f>VLOOKUP(Table30[[#This Row],[Month]],'DB Money Supply'!$A:$D,3)</f>
        <v>3912</v>
      </c>
      <c r="C616" s="65">
        <f>(Table30[[#This Row],[Real M2 Money Stock]]-B604)/B604</f>
        <v>4.0563904774571086E-2</v>
      </c>
    </row>
    <row r="617" spans="1:3" x14ac:dyDescent="0.2">
      <c r="A617" s="23">
        <v>40148</v>
      </c>
      <c r="B617" s="25">
        <f>VLOOKUP(Table30[[#This Row],[Month]],'DB Money Supply'!$A:$D,3)</f>
        <v>3907.6</v>
      </c>
      <c r="C617" s="65">
        <f>(Table30[[#This Row],[Real M2 Money Stock]]-B605)/B605</f>
        <v>8.6471696652125653E-3</v>
      </c>
    </row>
    <row r="618" spans="1:3" x14ac:dyDescent="0.2">
      <c r="A618" s="23">
        <v>40179</v>
      </c>
      <c r="B618" s="25">
        <f>VLOOKUP(Table30[[#This Row],[Month]],'DB Money Supply'!$A:$D,3)</f>
        <v>3887.8</v>
      </c>
      <c r="C618" s="65">
        <f>(Table30[[#This Row],[Real M2 Money Stock]]-B606)/B606</f>
        <v>-3.8178696799650593E-3</v>
      </c>
    </row>
    <row r="619" spans="1:3" x14ac:dyDescent="0.2">
      <c r="A619" s="23">
        <v>40210</v>
      </c>
      <c r="B619" s="25">
        <f>VLOOKUP(Table30[[#This Row],[Month]],'DB Money Supply'!$A:$D,3)</f>
        <v>3914.3</v>
      </c>
      <c r="C619" s="65">
        <f>(Table30[[#This Row],[Real M2 Money Stock]]-B607)/B607</f>
        <v>3.0494054940549639E-3</v>
      </c>
    </row>
    <row r="620" spans="1:3" x14ac:dyDescent="0.2">
      <c r="A620" s="23">
        <v>40238</v>
      </c>
      <c r="B620" s="25">
        <f>VLOOKUP(Table30[[#This Row],[Month]],'DB Money Supply'!$A:$D,3)</f>
        <v>3911.7</v>
      </c>
      <c r="C620" s="65">
        <f>(Table30[[#This Row],[Real M2 Money Stock]]-B608)/B608</f>
        <v>-6.5019175577173093E-3</v>
      </c>
    </row>
    <row r="621" spans="1:3" x14ac:dyDescent="0.2">
      <c r="A621" s="23">
        <v>40269</v>
      </c>
      <c r="B621" s="25">
        <f>VLOOKUP(Table30[[#This Row],[Month]],'DB Money Supply'!$A:$D,3)</f>
        <v>3924.9</v>
      </c>
      <c r="C621" s="65">
        <f>(Table30[[#This Row],[Real M2 Money Stock]]-B609)/B609</f>
        <v>-2.5413606444890592E-3</v>
      </c>
    </row>
    <row r="622" spans="1:3" x14ac:dyDescent="0.2">
      <c r="A622" s="23">
        <v>40299</v>
      </c>
      <c r="B622" s="25">
        <f>VLOOKUP(Table30[[#This Row],[Month]],'DB Money Supply'!$A:$D,3)</f>
        <v>3952.2</v>
      </c>
      <c r="C622" s="65">
        <f>(Table30[[#This Row],[Real M2 Money Stock]]-B610)/B610</f>
        <v>-1.0110712299681514E-3</v>
      </c>
    </row>
    <row r="623" spans="1:3" x14ac:dyDescent="0.2">
      <c r="A623" s="23">
        <v>40330</v>
      </c>
      <c r="B623" s="25">
        <f>VLOOKUP(Table30[[#This Row],[Month]],'DB Money Supply'!$A:$D,3)</f>
        <v>3962.6</v>
      </c>
      <c r="C623" s="65">
        <f>(Table30[[#This Row],[Real M2 Money Stock]]-B611)/B611</f>
        <v>8.7828721264733584E-3</v>
      </c>
    </row>
    <row r="624" spans="1:3" x14ac:dyDescent="0.2">
      <c r="A624" s="23">
        <v>40360</v>
      </c>
      <c r="B624" s="25">
        <f>VLOOKUP(Table30[[#This Row],[Month]],'DB Money Supply'!$A:$D,3)</f>
        <v>3959.6</v>
      </c>
      <c r="C624" s="65">
        <f>(Table30[[#This Row],[Real M2 Money Stock]]-B612)/B612</f>
        <v>7.1473992114968613E-3</v>
      </c>
    </row>
    <row r="625" spans="1:3" x14ac:dyDescent="0.2">
      <c r="A625" s="23">
        <v>40391</v>
      </c>
      <c r="B625" s="25">
        <f>VLOOKUP(Table30[[#This Row],[Month]],'DB Money Supply'!$A:$D,3)</f>
        <v>3977</v>
      </c>
      <c r="C625" s="65">
        <f>(Table30[[#This Row],[Real M2 Money Stock]]-B613)/B613</f>
        <v>1.4980986652374708E-2</v>
      </c>
    </row>
    <row r="626" spans="1:3" x14ac:dyDescent="0.2">
      <c r="A626" s="23">
        <v>40422</v>
      </c>
      <c r="B626" s="25">
        <f>VLOOKUP(Table30[[#This Row],[Month]],'DB Money Supply'!$A:$D,3)</f>
        <v>3984.8</v>
      </c>
      <c r="C626" s="65">
        <f>(Table30[[#This Row],[Real M2 Money Stock]]-B614)/B614</f>
        <v>1.9026186579378091E-2</v>
      </c>
    </row>
    <row r="627" spans="1:3" x14ac:dyDescent="0.2">
      <c r="A627" s="23">
        <v>40452</v>
      </c>
      <c r="B627" s="25">
        <f>VLOOKUP(Table30[[#This Row],[Month]],'DB Money Supply'!$A:$D,3)</f>
        <v>3993.4</v>
      </c>
      <c r="C627" s="65">
        <f>(Table30[[#This Row],[Real M2 Money Stock]]-B615)/B615</f>
        <v>2.1016567805277223E-2</v>
      </c>
    </row>
    <row r="628" spans="1:3" x14ac:dyDescent="0.2">
      <c r="A628" s="23">
        <v>40483</v>
      </c>
      <c r="B628" s="25">
        <f>VLOOKUP(Table30[[#This Row],[Month]],'DB Money Supply'!$A:$D,3)</f>
        <v>3992.8</v>
      </c>
      <c r="C628" s="65">
        <f>(Table30[[#This Row],[Real M2 Money Stock]]-B616)/B616</f>
        <v>2.0654396728016406E-2</v>
      </c>
    </row>
    <row r="629" spans="1:3" x14ac:dyDescent="0.2">
      <c r="A629" s="23">
        <v>40513</v>
      </c>
      <c r="B629" s="25">
        <f>VLOOKUP(Table30[[#This Row],[Month]],'DB Money Supply'!$A:$D,3)</f>
        <v>3991.2</v>
      </c>
      <c r="C629" s="65">
        <f>(Table30[[#This Row],[Real M2 Money Stock]]-B617)/B617</f>
        <v>2.1394206162350268E-2</v>
      </c>
    </row>
    <row r="630" spans="1:3" x14ac:dyDescent="0.2">
      <c r="A630" s="23">
        <v>40544</v>
      </c>
      <c r="B630" s="25">
        <f>VLOOKUP(Table30[[#This Row],[Month]],'DB Money Supply'!$A:$D,3)</f>
        <v>3987.8</v>
      </c>
      <c r="C630" s="65">
        <f>(Table30[[#This Row],[Real M2 Money Stock]]-B618)/B618</f>
        <v>2.572148773085035E-2</v>
      </c>
    </row>
    <row r="631" spans="1:3" x14ac:dyDescent="0.2">
      <c r="A631" s="23">
        <v>40575</v>
      </c>
      <c r="B631" s="25">
        <f>VLOOKUP(Table30[[#This Row],[Month]],'DB Money Supply'!$A:$D,3)</f>
        <v>4003.7</v>
      </c>
      <c r="C631" s="65">
        <f>(Table30[[#This Row],[Real M2 Money Stock]]-B619)/B619</f>
        <v>2.2839332703165224E-2</v>
      </c>
    </row>
    <row r="632" spans="1:3" x14ac:dyDescent="0.2">
      <c r="A632" s="23">
        <v>40603</v>
      </c>
      <c r="B632" s="25">
        <f>VLOOKUP(Table30[[#This Row],[Month]],'DB Money Supply'!$A:$D,3)</f>
        <v>4008.4</v>
      </c>
      <c r="C632" s="65">
        <f>(Table30[[#This Row],[Real M2 Money Stock]]-B620)/B620</f>
        <v>2.4720709665874242E-2</v>
      </c>
    </row>
    <row r="633" spans="1:3" x14ac:dyDescent="0.2">
      <c r="A633" s="23">
        <v>40634</v>
      </c>
      <c r="B633" s="25">
        <f>VLOOKUP(Table30[[#This Row],[Month]],'DB Money Supply'!$A:$D,3)</f>
        <v>4017.1</v>
      </c>
      <c r="C633" s="65">
        <f>(Table30[[#This Row],[Real M2 Money Stock]]-B621)/B621</f>
        <v>2.3491044357817986E-2</v>
      </c>
    </row>
    <row r="634" spans="1:3" x14ac:dyDescent="0.2">
      <c r="A634" s="23">
        <v>40664</v>
      </c>
      <c r="B634" s="25">
        <f>VLOOKUP(Table30[[#This Row],[Month]],'DB Money Supply'!$A:$D,3)</f>
        <v>4035.8</v>
      </c>
      <c r="C634" s="65">
        <f>(Table30[[#This Row],[Real M2 Money Stock]]-B622)/B622</f>
        <v>2.11527756692476E-2</v>
      </c>
    </row>
    <row r="635" spans="1:3" x14ac:dyDescent="0.2">
      <c r="A635" s="23">
        <v>40695</v>
      </c>
      <c r="B635" s="25">
        <f>VLOOKUP(Table30[[#This Row],[Month]],'DB Money Supply'!$A:$D,3)</f>
        <v>4069.5</v>
      </c>
      <c r="C635" s="65">
        <f>(Table30[[#This Row],[Real M2 Money Stock]]-B623)/B623</f>
        <v>2.6977237167516301E-2</v>
      </c>
    </row>
    <row r="636" spans="1:3" x14ac:dyDescent="0.2">
      <c r="A636" s="23">
        <v>40725</v>
      </c>
      <c r="B636" s="25">
        <f>VLOOKUP(Table30[[#This Row],[Month]],'DB Money Supply'!$A:$D,3)</f>
        <v>4132.2</v>
      </c>
      <c r="C636" s="65">
        <f>(Table30[[#This Row],[Real M2 Money Stock]]-B624)/B624</f>
        <v>4.3590261642590139E-2</v>
      </c>
    </row>
    <row r="637" spans="1:3" x14ac:dyDescent="0.2">
      <c r="A637" s="23">
        <v>40756</v>
      </c>
      <c r="B637" s="25">
        <f>VLOOKUP(Table30[[#This Row],[Month]],'DB Money Supply'!$A:$D,3)</f>
        <v>4203.8</v>
      </c>
      <c r="C637" s="65">
        <f>(Table30[[#This Row],[Real M2 Money Stock]]-B625)/B625</f>
        <v>5.7027910485290469E-2</v>
      </c>
    </row>
    <row r="638" spans="1:3" x14ac:dyDescent="0.2">
      <c r="A638" s="23">
        <v>40787</v>
      </c>
      <c r="B638" s="25">
        <f>VLOOKUP(Table30[[#This Row],[Month]],'DB Money Supply'!$A:$D,3)</f>
        <v>4203.8999999999996</v>
      </c>
      <c r="C638" s="65">
        <f>(Table30[[#This Row],[Real M2 Money Stock]]-B626)/B626</f>
        <v>5.4983938968078558E-2</v>
      </c>
    </row>
    <row r="639" spans="1:3" x14ac:dyDescent="0.2">
      <c r="A639" s="23">
        <v>40817</v>
      </c>
      <c r="B639" s="25">
        <f>VLOOKUP(Table30[[#This Row],[Month]],'DB Money Supply'!$A:$D,3)</f>
        <v>4215.8999999999996</v>
      </c>
      <c r="C639" s="65">
        <f>(Table30[[#This Row],[Real M2 Money Stock]]-B627)/B627</f>
        <v>5.571693293934981E-2</v>
      </c>
    </row>
    <row r="640" spans="1:3" x14ac:dyDescent="0.2">
      <c r="A640" s="23">
        <v>40848</v>
      </c>
      <c r="B640" s="25">
        <f>VLOOKUP(Table30[[#This Row],[Month]],'DB Money Supply'!$A:$D,3)</f>
        <v>4230.3999999999996</v>
      </c>
      <c r="C640" s="65">
        <f>(Table30[[#This Row],[Real M2 Money Stock]]-B628)/B628</f>
        <v>5.9507112803045339E-2</v>
      </c>
    </row>
    <row r="641" spans="1:3" x14ac:dyDescent="0.2">
      <c r="A641" s="23">
        <v>40878</v>
      </c>
      <c r="B641" s="25">
        <f>VLOOKUP(Table30[[#This Row],[Month]],'DB Money Supply'!$A:$D,3)</f>
        <v>4250.3</v>
      </c>
      <c r="C641" s="65">
        <f>(Table30[[#This Row],[Real M2 Money Stock]]-B629)/B629</f>
        <v>6.4917819202245028E-2</v>
      </c>
    </row>
    <row r="642" spans="1:3" x14ac:dyDescent="0.2">
      <c r="A642" s="23">
        <v>40909</v>
      </c>
      <c r="B642" s="25">
        <f>VLOOKUP(Table30[[#This Row],[Month]],'DB Money Supply'!$A:$D,3)</f>
        <v>4271.2</v>
      </c>
      <c r="C642" s="65">
        <f>(Table30[[#This Row],[Real M2 Money Stock]]-B630)/B630</f>
        <v>7.1066753598475252E-2</v>
      </c>
    </row>
    <row r="643" spans="1:3" x14ac:dyDescent="0.2">
      <c r="A643" s="23">
        <v>40940</v>
      </c>
      <c r="B643" s="25">
        <f>VLOOKUP(Table30[[#This Row],[Month]],'DB Money Supply'!$A:$D,3)</f>
        <v>4287.3999999999996</v>
      </c>
      <c r="C643" s="65">
        <f>(Table30[[#This Row],[Real M2 Money Stock]]-B631)/B631</f>
        <v>7.085945500412115E-2</v>
      </c>
    </row>
    <row r="644" spans="1:3" x14ac:dyDescent="0.2">
      <c r="A644" s="23">
        <v>40969</v>
      </c>
      <c r="B644" s="25">
        <f>VLOOKUP(Table30[[#This Row],[Month]],'DB Money Supply'!$A:$D,3)</f>
        <v>4299.3</v>
      </c>
      <c r="C644" s="65">
        <f>(Table30[[#This Row],[Real M2 Money Stock]]-B632)/B632</f>
        <v>7.2572597545155201E-2</v>
      </c>
    </row>
    <row r="645" spans="1:3" x14ac:dyDescent="0.2">
      <c r="A645" s="23">
        <v>41000</v>
      </c>
      <c r="B645" s="25">
        <f>VLOOKUP(Table30[[#This Row],[Month]],'DB Money Supply'!$A:$D,3)</f>
        <v>4315.2</v>
      </c>
      <c r="C645" s="65">
        <f>(Table30[[#This Row],[Real M2 Money Stock]]-B633)/B633</f>
        <v>7.4207761818227053E-2</v>
      </c>
    </row>
    <row r="646" spans="1:3" x14ac:dyDescent="0.2">
      <c r="A646" s="23">
        <v>41030</v>
      </c>
      <c r="B646" s="25">
        <f>VLOOKUP(Table30[[#This Row],[Month]],'DB Money Supply'!$A:$D,3)</f>
        <v>4343.7</v>
      </c>
      <c r="C646" s="65">
        <f>(Table30[[#This Row],[Real M2 Money Stock]]-B634)/B634</f>
        <v>7.6292184944744448E-2</v>
      </c>
    </row>
    <row r="647" spans="1:3" x14ac:dyDescent="0.2">
      <c r="A647" s="23">
        <v>41061</v>
      </c>
      <c r="B647" s="25">
        <f>VLOOKUP(Table30[[#This Row],[Month]],'DB Money Supply'!$A:$D,3)</f>
        <v>4375.1000000000004</v>
      </c>
      <c r="C647" s="65">
        <f>(Table30[[#This Row],[Real M2 Money Stock]]-B635)/B635</f>
        <v>7.5095220543064348E-2</v>
      </c>
    </row>
    <row r="648" spans="1:3" x14ac:dyDescent="0.2">
      <c r="A648" s="23">
        <v>41091</v>
      </c>
      <c r="B648" s="25">
        <f>VLOOKUP(Table30[[#This Row],[Month]],'DB Money Supply'!$A:$D,3)</f>
        <v>4398.8</v>
      </c>
      <c r="C648" s="65">
        <f>(Table30[[#This Row],[Real M2 Money Stock]]-B636)/B636</f>
        <v>6.451769033444664E-2</v>
      </c>
    </row>
    <row r="649" spans="1:3" x14ac:dyDescent="0.2">
      <c r="A649" s="23">
        <v>41122</v>
      </c>
      <c r="B649" s="25">
        <f>VLOOKUP(Table30[[#This Row],[Month]],'DB Money Supply'!$A:$D,3)</f>
        <v>4399.5</v>
      </c>
      <c r="C649" s="65">
        <f>(Table30[[#This Row],[Real M2 Money Stock]]-B637)/B637</f>
        <v>4.65531186069746E-2</v>
      </c>
    </row>
    <row r="650" spans="1:3" x14ac:dyDescent="0.2">
      <c r="A650" s="23">
        <v>41153</v>
      </c>
      <c r="B650" s="25">
        <f>VLOOKUP(Table30[[#This Row],[Month]],'DB Money Supply'!$A:$D,3)</f>
        <v>4412.3</v>
      </c>
      <c r="C650" s="65">
        <f>(Table30[[#This Row],[Real M2 Money Stock]]-B638)/B638</f>
        <v>4.95730155331955E-2</v>
      </c>
    </row>
    <row r="651" spans="1:3" x14ac:dyDescent="0.2">
      <c r="A651" s="23">
        <v>41183</v>
      </c>
      <c r="B651" s="25">
        <f>VLOOKUP(Table30[[#This Row],[Month]],'DB Money Supply'!$A:$D,3)</f>
        <v>4427.8</v>
      </c>
      <c r="C651" s="65">
        <f>(Table30[[#This Row],[Real M2 Money Stock]]-B639)/B639</f>
        <v>5.0262102991057794E-2</v>
      </c>
    </row>
    <row r="652" spans="1:3" x14ac:dyDescent="0.2">
      <c r="A652" s="23">
        <v>41214</v>
      </c>
      <c r="B652" s="25">
        <f>VLOOKUP(Table30[[#This Row],[Month]],'DB Money Supply'!$A:$D,3)</f>
        <v>4462.6000000000004</v>
      </c>
      <c r="C652" s="65">
        <f>(Table30[[#This Row],[Real M2 Money Stock]]-B640)/B640</f>
        <v>5.4888426626323927E-2</v>
      </c>
    </row>
    <row r="653" spans="1:3" x14ac:dyDescent="0.2">
      <c r="A653" s="23">
        <v>41244</v>
      </c>
      <c r="B653" s="25">
        <f>VLOOKUP(Table30[[#This Row],[Month]],'DB Money Supply'!$A:$D,3)</f>
        <v>4520.1000000000004</v>
      </c>
      <c r="C653" s="65">
        <f>(Table30[[#This Row],[Real M2 Money Stock]]-B641)/B641</f>
        <v>6.3477872150201203E-2</v>
      </c>
    </row>
    <row r="654" spans="1:3" x14ac:dyDescent="0.2">
      <c r="A654" s="23">
        <v>41275</v>
      </c>
      <c r="B654" s="25">
        <f>VLOOKUP(Table30[[#This Row],[Month]],'DB Money Supply'!$A:$D,3)</f>
        <v>4522.2</v>
      </c>
      <c r="C654" s="65">
        <f>(Table30[[#This Row],[Real M2 Money Stock]]-B642)/B642</f>
        <v>5.8765686458138233E-2</v>
      </c>
    </row>
    <row r="655" spans="1:3" x14ac:dyDescent="0.2">
      <c r="A655" s="23">
        <v>41306</v>
      </c>
      <c r="B655" s="25">
        <f>VLOOKUP(Table30[[#This Row],[Month]],'DB Money Supply'!$A:$D,3)</f>
        <v>4503</v>
      </c>
      <c r="C655" s="65">
        <f>(Table30[[#This Row],[Real M2 Money Stock]]-B643)/B643</f>
        <v>5.0286887157718056E-2</v>
      </c>
    </row>
    <row r="656" spans="1:3" x14ac:dyDescent="0.2">
      <c r="A656" s="23">
        <v>41334</v>
      </c>
      <c r="B656" s="25">
        <f>VLOOKUP(Table30[[#This Row],[Month]],'DB Money Supply'!$A:$D,3)</f>
        <v>4544.3999999999996</v>
      </c>
      <c r="C656" s="65">
        <f>(Table30[[#This Row],[Real M2 Money Stock]]-B644)/B644</f>
        <v>5.7009280580559499E-2</v>
      </c>
    </row>
    <row r="657" spans="1:3" x14ac:dyDescent="0.2">
      <c r="A657" s="23">
        <v>41365</v>
      </c>
      <c r="B657" s="25">
        <f>VLOOKUP(Table30[[#This Row],[Month]],'DB Money Supply'!$A:$D,3)</f>
        <v>4568.8</v>
      </c>
      <c r="C657" s="65">
        <f>(Table30[[#This Row],[Real M2 Money Stock]]-B645)/B645</f>
        <v>5.8769002595476544E-2</v>
      </c>
    </row>
    <row r="658" spans="1:3" x14ac:dyDescent="0.2">
      <c r="A658" s="23">
        <v>41395</v>
      </c>
      <c r="B658" s="25">
        <f>VLOOKUP(Table30[[#This Row],[Month]],'DB Money Supply'!$A:$D,3)</f>
        <v>4584.1000000000004</v>
      </c>
      <c r="C658" s="65">
        <f>(Table30[[#This Row],[Real M2 Money Stock]]-B646)/B646</f>
        <v>5.5344521951331944E-2</v>
      </c>
    </row>
    <row r="659" spans="1:3" x14ac:dyDescent="0.2">
      <c r="A659" s="23">
        <v>41426</v>
      </c>
      <c r="B659" s="25">
        <f>VLOOKUP(Table30[[#This Row],[Month]],'DB Money Supply'!$A:$D,3)</f>
        <v>4595.7</v>
      </c>
      <c r="C659" s="65">
        <f>(Table30[[#This Row],[Real M2 Money Stock]]-B647)/B647</f>
        <v>5.0421704646750803E-2</v>
      </c>
    </row>
    <row r="660" spans="1:3" x14ac:dyDescent="0.2">
      <c r="A660" s="23">
        <v>41456</v>
      </c>
      <c r="B660" s="25">
        <f>VLOOKUP(Table30[[#This Row],[Month]],'DB Money Supply'!$A:$D,3)</f>
        <v>4606.7</v>
      </c>
      <c r="C660" s="65">
        <f>(Table30[[#This Row],[Real M2 Money Stock]]-B648)/B648</f>
        <v>4.7262889879057843E-2</v>
      </c>
    </row>
    <row r="661" spans="1:3" x14ac:dyDescent="0.2">
      <c r="A661" s="23">
        <v>41487</v>
      </c>
      <c r="B661" s="25">
        <f>VLOOKUP(Table30[[#This Row],[Month]],'DB Money Supply'!$A:$D,3)</f>
        <v>4619.1000000000004</v>
      </c>
      <c r="C661" s="65">
        <f>(Table30[[#This Row],[Real M2 Money Stock]]-B649)/B649</f>
        <v>4.9914763041254771E-2</v>
      </c>
    </row>
    <row r="662" spans="1:3" x14ac:dyDescent="0.2">
      <c r="A662" s="23">
        <v>41518</v>
      </c>
      <c r="B662" s="25">
        <f>VLOOKUP(Table30[[#This Row],[Month]],'DB Money Supply'!$A:$D,3)</f>
        <v>4639.5</v>
      </c>
      <c r="C662" s="65">
        <f>(Table30[[#This Row],[Real M2 Money Stock]]-B650)/B650</f>
        <v>5.1492418919837683E-2</v>
      </c>
    </row>
    <row r="663" spans="1:3" x14ac:dyDescent="0.2">
      <c r="A663" s="23">
        <v>41548</v>
      </c>
      <c r="B663" s="25">
        <f>VLOOKUP(Table30[[#This Row],[Month]],'DB Money Supply'!$A:$D,3)</f>
        <v>4685.6000000000004</v>
      </c>
      <c r="C663" s="65">
        <f>(Table30[[#This Row],[Real M2 Money Stock]]-B651)/B651</f>
        <v>5.8223045304666016E-2</v>
      </c>
    </row>
    <row r="664" spans="1:3" x14ac:dyDescent="0.2">
      <c r="A664" s="23">
        <v>41579</v>
      </c>
      <c r="B664" s="25">
        <f>VLOOKUP(Table30[[#This Row],[Month]],'DB Money Supply'!$A:$D,3)</f>
        <v>4679.2</v>
      </c>
      <c r="C664" s="65">
        <f>(Table30[[#This Row],[Real M2 Money Stock]]-B652)/B652</f>
        <v>4.85367274682919E-2</v>
      </c>
    </row>
    <row r="665" spans="1:3" x14ac:dyDescent="0.2">
      <c r="A665" s="23">
        <v>41609</v>
      </c>
      <c r="B665" s="25">
        <f>VLOOKUP(Table30[[#This Row],[Month]],'DB Money Supply'!$A:$D,3)</f>
        <v>4695.1000000000004</v>
      </c>
      <c r="C665" s="65">
        <f>(Table30[[#This Row],[Real M2 Money Stock]]-B653)/B653</f>
        <v>3.8715957611557265E-2</v>
      </c>
    </row>
    <row r="666" spans="1:3" x14ac:dyDescent="0.2">
      <c r="A666" s="23">
        <v>41640</v>
      </c>
      <c r="B666" s="25">
        <f>VLOOKUP(Table30[[#This Row],[Month]],'DB Money Supply'!$A:$D,3)</f>
        <v>4707.7</v>
      </c>
      <c r="C666" s="65">
        <f>(Table30[[#This Row],[Real M2 Money Stock]]-B654)/B654</f>
        <v>4.1019857591437794E-2</v>
      </c>
    </row>
    <row r="667" spans="1:3" x14ac:dyDescent="0.2">
      <c r="A667" s="23">
        <v>41671</v>
      </c>
      <c r="B667" s="25">
        <f>VLOOKUP(Table30[[#This Row],[Month]],'DB Money Supply'!$A:$D,3)</f>
        <v>4741.8999999999996</v>
      </c>
      <c r="C667" s="65">
        <f>(Table30[[#This Row],[Real M2 Money Stock]]-B655)/B655</f>
        <v>5.3053519875638382E-2</v>
      </c>
    </row>
    <row r="668" spans="1:3" x14ac:dyDescent="0.2">
      <c r="A668" s="23">
        <v>41699</v>
      </c>
      <c r="B668" s="25">
        <f>VLOOKUP(Table30[[#This Row],[Month]],'DB Money Supply'!$A:$D,3)</f>
        <v>4748.3999999999996</v>
      </c>
      <c r="C668" s="65">
        <f>(Table30[[#This Row],[Real M2 Money Stock]]-B656)/B656</f>
        <v>4.4890414576181675E-2</v>
      </c>
    </row>
    <row r="669" spans="1:3" x14ac:dyDescent="0.2">
      <c r="A669" s="23">
        <v>41730</v>
      </c>
      <c r="B669" s="25">
        <f>VLOOKUP(Table30[[#This Row],[Month]],'DB Money Supply'!$A:$D,3)</f>
        <v>4761.7</v>
      </c>
      <c r="C669" s="65">
        <f>(Table30[[#This Row],[Real M2 Money Stock]]-B657)/B657</f>
        <v>4.222115216249335E-2</v>
      </c>
    </row>
    <row r="670" spans="1:3" x14ac:dyDescent="0.2">
      <c r="A670" s="23">
        <v>41760</v>
      </c>
      <c r="B670" s="25">
        <f>VLOOKUP(Table30[[#This Row],[Month]],'DB Money Supply'!$A:$D,3)</f>
        <v>4780.7</v>
      </c>
      <c r="C670" s="65">
        <f>(Table30[[#This Row],[Real M2 Money Stock]]-B658)/B658</f>
        <v>4.2887371566937775E-2</v>
      </c>
    </row>
    <row r="671" spans="1:3" x14ac:dyDescent="0.2">
      <c r="A671" s="23">
        <v>41791</v>
      </c>
      <c r="B671" s="25">
        <f>VLOOKUP(Table30[[#This Row],[Month]],'DB Money Supply'!$A:$D,3)</f>
        <v>4795.8</v>
      </c>
      <c r="C671" s="65">
        <f>(Table30[[#This Row],[Real M2 Money Stock]]-B659)/B659</f>
        <v>4.3540701090149569E-2</v>
      </c>
    </row>
    <row r="672" spans="1:3" x14ac:dyDescent="0.2">
      <c r="A672" s="23">
        <v>41821</v>
      </c>
      <c r="B672" s="25">
        <f>VLOOKUP(Table30[[#This Row],[Month]],'DB Money Supply'!$A:$D,3)</f>
        <v>4814.3999999999996</v>
      </c>
      <c r="C672" s="65">
        <f>(Table30[[#This Row],[Real M2 Money Stock]]-B660)/B660</f>
        <v>4.5086504439186367E-2</v>
      </c>
    </row>
    <row r="673" spans="1:3" x14ac:dyDescent="0.2">
      <c r="A673" s="23">
        <v>41852</v>
      </c>
      <c r="B673" s="25">
        <f>VLOOKUP(Table30[[#This Row],[Month]],'DB Money Supply'!$A:$D,3)</f>
        <v>4827.3</v>
      </c>
      <c r="C673" s="65">
        <f>(Table30[[#This Row],[Real M2 Money Stock]]-B661)/B661</f>
        <v>4.507371565889455E-2</v>
      </c>
    </row>
    <row r="674" spans="1:3" x14ac:dyDescent="0.2">
      <c r="A674" s="23">
        <v>41883</v>
      </c>
      <c r="B674" s="25">
        <f>VLOOKUP(Table30[[#This Row],[Month]],'DB Money Supply'!$A:$D,3)</f>
        <v>4841.2</v>
      </c>
      <c r="C674" s="65">
        <f>(Table30[[#This Row],[Real M2 Money Stock]]-B662)/B662</f>
        <v>4.347451233969174E-2</v>
      </c>
    </row>
    <row r="675" spans="1:3" x14ac:dyDescent="0.2">
      <c r="A675" s="23">
        <v>41913</v>
      </c>
      <c r="B675" s="25">
        <f>VLOOKUP(Table30[[#This Row],[Month]],'DB Money Supply'!$A:$D,3)</f>
        <v>4868.2</v>
      </c>
      <c r="C675" s="65">
        <f>(Table30[[#This Row],[Real M2 Money Stock]]-B663)/B663</f>
        <v>3.8970462694211935E-2</v>
      </c>
    </row>
    <row r="676" spans="1:3" x14ac:dyDescent="0.2">
      <c r="A676" s="23">
        <v>41944</v>
      </c>
      <c r="B676" s="25">
        <f>VLOOKUP(Table30[[#This Row],[Month]],'DB Money Supply'!$A:$D,3)</f>
        <v>4892.6000000000004</v>
      </c>
      <c r="C676" s="65">
        <f>(Table30[[#This Row],[Real M2 Money Stock]]-B664)/B664</f>
        <v>4.5606086510514739E-2</v>
      </c>
    </row>
    <row r="677" spans="1:3" x14ac:dyDescent="0.2">
      <c r="A677" s="23">
        <v>41974</v>
      </c>
      <c r="B677" s="25">
        <f>VLOOKUP(Table30[[#This Row],[Month]],'DB Money Supply'!$A:$D,3)</f>
        <v>4941.3</v>
      </c>
      <c r="C677" s="65">
        <f>(Table30[[#This Row],[Real M2 Money Stock]]-B665)/B665</f>
        <v>5.2437647760431041E-2</v>
      </c>
    </row>
    <row r="678" spans="1:3" x14ac:dyDescent="0.2">
      <c r="A678" s="23">
        <v>42005</v>
      </c>
      <c r="B678" s="25">
        <f>VLOOKUP(Table30[[#This Row],[Month]],'DB Money Supply'!$A:$D,3)</f>
        <v>5002.8</v>
      </c>
      <c r="C678" s="65">
        <f>(Table30[[#This Row],[Real M2 Money Stock]]-B666)/B666</f>
        <v>6.2684538097160056E-2</v>
      </c>
    </row>
    <row r="679" spans="1:3" x14ac:dyDescent="0.2">
      <c r="A679" s="23">
        <v>42036</v>
      </c>
      <c r="B679" s="25">
        <f>VLOOKUP(Table30[[#This Row],[Month]],'DB Money Supply'!$A:$D,3)</f>
        <v>5044.3999999999996</v>
      </c>
      <c r="C679" s="65">
        <f>(Table30[[#This Row],[Real M2 Money Stock]]-B667)/B667</f>
        <v>6.3792994369345629E-2</v>
      </c>
    </row>
    <row r="680" spans="1:3" x14ac:dyDescent="0.2">
      <c r="A680" s="23">
        <v>42064</v>
      </c>
      <c r="B680" s="25">
        <f>VLOOKUP(Table30[[#This Row],[Month]],'DB Money Supply'!$A:$D,3)</f>
        <v>5037.8</v>
      </c>
      <c r="C680" s="65">
        <f>(Table30[[#This Row],[Real M2 Money Stock]]-B668)/B668</f>
        <v>6.0946845253138017E-2</v>
      </c>
    </row>
    <row r="681" spans="1:3" x14ac:dyDescent="0.2">
      <c r="A681" s="23">
        <v>42095</v>
      </c>
      <c r="B681" s="25">
        <f>VLOOKUP(Table30[[#This Row],[Month]],'DB Money Supply'!$A:$D,3)</f>
        <v>5049.3</v>
      </c>
      <c r="C681" s="65">
        <f>(Table30[[#This Row],[Real M2 Money Stock]]-B669)/B669</f>
        <v>6.0398597139677088E-2</v>
      </c>
    </row>
    <row r="682" spans="1:3" x14ac:dyDescent="0.2">
      <c r="A682" s="23">
        <v>42125</v>
      </c>
      <c r="B682" s="25">
        <f>VLOOKUP(Table30[[#This Row],[Month]],'DB Money Supply'!$A:$D,3)</f>
        <v>5045.5</v>
      </c>
      <c r="C682" s="65">
        <f>(Table30[[#This Row],[Real M2 Money Stock]]-B670)/B670</f>
        <v>5.538937812454247E-2</v>
      </c>
    </row>
    <row r="683" spans="1:3" x14ac:dyDescent="0.2">
      <c r="A683" s="23">
        <v>42156</v>
      </c>
      <c r="B683" s="25">
        <f>VLOOKUP(Table30[[#This Row],[Month]],'DB Money Supply'!$A:$D,3)</f>
        <v>5050.5</v>
      </c>
      <c r="C683" s="65">
        <f>(Table30[[#This Row],[Real M2 Money Stock]]-B671)/B671</f>
        <v>5.310897034905538E-2</v>
      </c>
    </row>
    <row r="684" spans="1:3" x14ac:dyDescent="0.2">
      <c r="A684" s="23">
        <v>42186</v>
      </c>
      <c r="B684" s="25">
        <f>VLOOKUP(Table30[[#This Row],[Month]],'DB Money Supply'!$A:$D,3)</f>
        <v>5063.1000000000004</v>
      </c>
      <c r="C684" s="65">
        <f>(Table30[[#This Row],[Real M2 Money Stock]]-B672)/B672</f>
        <v>5.1657527417746915E-2</v>
      </c>
    </row>
    <row r="685" spans="1:3" x14ac:dyDescent="0.2">
      <c r="A685" s="23">
        <v>42217</v>
      </c>
      <c r="B685" s="25">
        <f>VLOOKUP(Table30[[#This Row],[Month]],'DB Money Supply'!$A:$D,3)</f>
        <v>5083.6000000000004</v>
      </c>
      <c r="C685" s="65">
        <f>(Table30[[#This Row],[Real M2 Money Stock]]-B673)/B673</f>
        <v>5.3093861993246776E-2</v>
      </c>
    </row>
    <row r="686" spans="1:3" x14ac:dyDescent="0.2">
      <c r="A686" s="23">
        <v>42248</v>
      </c>
      <c r="B686" s="25">
        <f>VLOOKUP(Table30[[#This Row],[Month]],'DB Money Supply'!$A:$D,3)</f>
        <v>5117.8</v>
      </c>
      <c r="C686" s="65">
        <f>(Table30[[#This Row],[Real M2 Money Stock]]-B674)/B674</f>
        <v>5.713459472857977E-2</v>
      </c>
    </row>
    <row r="687" spans="1:3" x14ac:dyDescent="0.2">
      <c r="A687" s="23">
        <v>42278</v>
      </c>
      <c r="B687" s="25">
        <f>VLOOKUP(Table30[[#This Row],[Month]],'DB Money Supply'!$A:$D,3)</f>
        <v>5128.7</v>
      </c>
      <c r="C687" s="65">
        <f>(Table30[[#This Row],[Real M2 Money Stock]]-B675)/B675</f>
        <v>5.3510537775769279E-2</v>
      </c>
    </row>
    <row r="688" spans="1:3" x14ac:dyDescent="0.2">
      <c r="A688" s="23">
        <v>42309</v>
      </c>
      <c r="B688" s="25">
        <f>VLOOKUP(Table30[[#This Row],[Month]],'DB Money Supply'!$A:$D,3)</f>
        <v>5158</v>
      </c>
      <c r="C688" s="65">
        <f>(Table30[[#This Row],[Real M2 Money Stock]]-B676)/B676</f>
        <v>5.4245186608347221E-2</v>
      </c>
    </row>
    <row r="689" spans="1:3" x14ac:dyDescent="0.2">
      <c r="A689" s="23">
        <v>42339</v>
      </c>
      <c r="B689" s="25">
        <f>VLOOKUP(Table30[[#This Row],[Month]],'DB Money Supply'!$A:$D,3)</f>
        <v>5190.1000000000004</v>
      </c>
      <c r="C689" s="65">
        <f>(Table30[[#This Row],[Real M2 Money Stock]]-B677)/B677</f>
        <v>5.0351122174326628E-2</v>
      </c>
    </row>
    <row r="690" spans="1:3" x14ac:dyDescent="0.2">
      <c r="A690" s="23">
        <v>42370</v>
      </c>
      <c r="B690" s="25">
        <f>VLOOKUP(Table30[[#This Row],[Month]],'DB Money Supply'!$A:$D,3)</f>
        <v>5247.8</v>
      </c>
      <c r="C690" s="65">
        <f>(Table30[[#This Row],[Real M2 Money Stock]]-B678)/B678</f>
        <v>4.8972575357799628E-2</v>
      </c>
    </row>
    <row r="691" spans="1:3" x14ac:dyDescent="0.2">
      <c r="A691" s="23">
        <v>42401</v>
      </c>
      <c r="B691" s="25">
        <f>VLOOKUP(Table30[[#This Row],[Month]],'DB Money Supply'!$A:$D,3)</f>
        <v>5288.8</v>
      </c>
      <c r="C691" s="65">
        <f>(Table30[[#This Row],[Real M2 Money Stock]]-B679)/B679</f>
        <v>4.8449766077234273E-2</v>
      </c>
    </row>
    <row r="692" spans="1:3" x14ac:dyDescent="0.2">
      <c r="A692" s="23">
        <v>42430</v>
      </c>
      <c r="B692" s="25">
        <f>VLOOKUP(Table30[[#This Row],[Month]],'DB Money Supply'!$A:$D,3)</f>
        <v>5299.3</v>
      </c>
      <c r="C692" s="65">
        <f>(Table30[[#This Row],[Real M2 Money Stock]]-B680)/B680</f>
        <v>5.190757870499027E-2</v>
      </c>
    </row>
    <row r="693" spans="1:3" x14ac:dyDescent="0.2">
      <c r="A693" s="23">
        <v>42461</v>
      </c>
      <c r="B693" s="25">
        <f>VLOOKUP(Table30[[#This Row],[Month]],'DB Money Supply'!$A:$D,3)</f>
        <v>5312.7</v>
      </c>
      <c r="C693" s="65">
        <f>(Table30[[#This Row],[Real M2 Money Stock]]-B681)/B681</f>
        <v>5.2165646723308111E-2</v>
      </c>
    </row>
    <row r="694" spans="1:3" x14ac:dyDescent="0.2">
      <c r="A694" s="23">
        <v>42491</v>
      </c>
      <c r="B694" s="25">
        <f>VLOOKUP(Table30[[#This Row],[Month]],'DB Money Supply'!$A:$D,3)</f>
        <v>5328</v>
      </c>
      <c r="C694" s="65">
        <f>(Table30[[#This Row],[Real M2 Money Stock]]-B682)/B682</f>
        <v>5.5990486572193042E-2</v>
      </c>
    </row>
    <row r="695" spans="1:3" x14ac:dyDescent="0.2">
      <c r="A695" s="23">
        <v>42522</v>
      </c>
      <c r="B695" s="25">
        <f>VLOOKUP(Table30[[#This Row],[Month]],'DB Money Supply'!$A:$D,3)</f>
        <v>5341.1</v>
      </c>
      <c r="C695" s="65">
        <f>(Table30[[#This Row],[Real M2 Money Stock]]-B683)/B683</f>
        <v>5.753885753885761E-2</v>
      </c>
    </row>
    <row r="696" spans="1:3" x14ac:dyDescent="0.2">
      <c r="A696" s="23">
        <v>42552</v>
      </c>
      <c r="B696" s="25">
        <f>VLOOKUP(Table30[[#This Row],[Month]],'DB Money Supply'!$A:$D,3)</f>
        <v>5368.2</v>
      </c>
      <c r="C696" s="65">
        <f>(Table30[[#This Row],[Real M2 Money Stock]]-B684)/B684</f>
        <v>6.0259524797060975E-2</v>
      </c>
    </row>
    <row r="697" spans="1:3" x14ac:dyDescent="0.2">
      <c r="A697" s="23">
        <v>42583</v>
      </c>
      <c r="B697" s="25">
        <f>VLOOKUP(Table30[[#This Row],[Month]],'DB Money Supply'!$A:$D,3)</f>
        <v>5391.2</v>
      </c>
      <c r="C697" s="65">
        <f>(Table30[[#This Row],[Real M2 Money Stock]]-B685)/B685</f>
        <v>6.0508301203871163E-2</v>
      </c>
    </row>
    <row r="698" spans="1:3" x14ac:dyDescent="0.2">
      <c r="A698" s="23">
        <v>42614</v>
      </c>
      <c r="B698" s="25">
        <f>VLOOKUP(Table30[[#This Row],[Month]],'DB Money Supply'!$A:$D,3)</f>
        <v>5401.6</v>
      </c>
      <c r="C698" s="65">
        <f>(Table30[[#This Row],[Real M2 Money Stock]]-B686)/B686</f>
        <v>5.545351518230493E-2</v>
      </c>
    </row>
    <row r="699" spans="1:3" x14ac:dyDescent="0.2">
      <c r="A699" s="23">
        <v>42644</v>
      </c>
      <c r="B699" s="25">
        <f>VLOOKUP(Table30[[#This Row],[Month]],'DB Money Supply'!$A:$D,3)</f>
        <v>5418.9</v>
      </c>
      <c r="C699" s="65">
        <f>(Table30[[#This Row],[Real M2 Money Stock]]-B687)/B687</f>
        <v>5.6583539688420031E-2</v>
      </c>
    </row>
    <row r="700" spans="1:3" x14ac:dyDescent="0.2">
      <c r="A700" s="23">
        <v>42675</v>
      </c>
      <c r="B700" s="25">
        <f>VLOOKUP(Table30[[#This Row],[Month]],'DB Money Supply'!$A:$D,3)</f>
        <v>5443.3</v>
      </c>
      <c r="C700" s="65">
        <f>(Table30[[#This Row],[Real M2 Money Stock]]-B688)/B688</f>
        <v>5.5312136487010506E-2</v>
      </c>
    </row>
    <row r="701" spans="1:3" x14ac:dyDescent="0.2">
      <c r="A701" s="23">
        <v>42705</v>
      </c>
      <c r="B701" s="25">
        <f>VLOOKUP(Table30[[#This Row],[Month]],'DB Money Supply'!$A:$D,3)</f>
        <v>5446.1</v>
      </c>
      <c r="C701" s="65">
        <f>(Table30[[#This Row],[Real M2 Money Stock]]-B689)/B689</f>
        <v>4.932467582512861E-2</v>
      </c>
    </row>
    <row r="702" spans="1:3" x14ac:dyDescent="0.2">
      <c r="A702" s="23">
        <v>42736</v>
      </c>
      <c r="B702" s="25">
        <f>VLOOKUP(Table30[[#This Row],[Month]],'DB Money Supply'!$A:$D,3)</f>
        <v>5454.7</v>
      </c>
      <c r="C702" s="65">
        <f>(Table30[[#This Row],[Real M2 Money Stock]]-B690)/B690</f>
        <v>3.942604519989322E-2</v>
      </c>
    </row>
    <row r="703" spans="1:3" x14ac:dyDescent="0.2">
      <c r="A703" s="23">
        <v>42767</v>
      </c>
      <c r="B703" s="25">
        <f>VLOOKUP(Table30[[#This Row],[Month]],'DB Money Supply'!$A:$D,3)</f>
        <v>5478</v>
      </c>
      <c r="C703" s="65">
        <f>(Table30[[#This Row],[Real M2 Money Stock]]-B691)/B691</f>
        <v>3.5773710482529079E-2</v>
      </c>
    </row>
    <row r="704" spans="1:3" x14ac:dyDescent="0.2">
      <c r="A704" s="23">
        <v>42795</v>
      </c>
      <c r="B704" s="25">
        <f>VLOOKUP(Table30[[#This Row],[Month]],'DB Money Supply'!$A:$D,3)</f>
        <v>5508.8</v>
      </c>
      <c r="C704" s="65">
        <f>(Table30[[#This Row],[Real M2 Money Stock]]-B692)/B692</f>
        <v>3.9533523295529595E-2</v>
      </c>
    </row>
    <row r="705" spans="1:3" x14ac:dyDescent="0.2">
      <c r="A705" s="23">
        <v>42826</v>
      </c>
      <c r="B705" s="25">
        <f>VLOOKUP(Table30[[#This Row],[Month]],'DB Money Supply'!$A:$D,3)</f>
        <v>5521.1</v>
      </c>
      <c r="C705" s="65">
        <f>(Table30[[#This Row],[Real M2 Money Stock]]-B693)/B693</f>
        <v>3.9226758522032217E-2</v>
      </c>
    </row>
    <row r="706" spans="1:3" x14ac:dyDescent="0.2">
      <c r="A706" s="23">
        <v>42856</v>
      </c>
      <c r="B706" s="25">
        <f>VLOOKUP(Table30[[#This Row],[Month]],'DB Money Supply'!$A:$D,3)</f>
        <v>5546.5</v>
      </c>
      <c r="C706" s="65">
        <f>(Table30[[#This Row],[Real M2 Money Stock]]-B694)/B694</f>
        <v>4.1009759759759762E-2</v>
      </c>
    </row>
    <row r="707" spans="1:3" x14ac:dyDescent="0.2">
      <c r="A707" s="23">
        <v>42887</v>
      </c>
      <c r="B707" s="25">
        <f>VLOOKUP(Table30[[#This Row],[Month]],'DB Money Supply'!$A:$D,3)</f>
        <v>5554.3</v>
      </c>
      <c r="C707" s="65">
        <f>(Table30[[#This Row],[Real M2 Money Stock]]-B695)/B695</f>
        <v>3.9916871056523903E-2</v>
      </c>
    </row>
    <row r="708" spans="1:3" x14ac:dyDescent="0.2">
      <c r="A708" s="23">
        <v>42917</v>
      </c>
      <c r="B708" s="25">
        <f>VLOOKUP(Table30[[#This Row],[Month]],'DB Money Supply'!$A:$D,3)</f>
        <v>5576.3</v>
      </c>
      <c r="C708" s="65">
        <f>(Table30[[#This Row],[Real M2 Money Stock]]-B696)/B696</f>
        <v>3.8765321709325354E-2</v>
      </c>
    </row>
    <row r="709" spans="1:3" x14ac:dyDescent="0.2">
      <c r="A709" s="23">
        <v>42948</v>
      </c>
      <c r="B709" s="25">
        <f>VLOOKUP(Table30[[#This Row],[Month]],'DB Money Supply'!$A:$D,3)</f>
        <v>5575.5</v>
      </c>
      <c r="C709" s="65">
        <f>(Table30[[#This Row],[Real M2 Money Stock]]-B697)/B697</f>
        <v>3.4185339071078832E-2</v>
      </c>
    </row>
    <row r="710" spans="1:3" x14ac:dyDescent="0.2">
      <c r="A710" s="23">
        <v>42979</v>
      </c>
      <c r="B710" s="25">
        <f>VLOOKUP(Table30[[#This Row],[Month]],'DB Money Supply'!$A:$D,3)</f>
        <v>5562.5</v>
      </c>
      <c r="C710" s="65">
        <f>(Table30[[#This Row],[Real M2 Money Stock]]-B698)/B698</f>
        <v>2.9787470379146849E-2</v>
      </c>
    </row>
    <row r="711" spans="1:3" x14ac:dyDescent="0.2">
      <c r="A711" s="23">
        <v>43009</v>
      </c>
      <c r="B711" s="25">
        <f>VLOOKUP(Table30[[#This Row],[Month]],'DB Money Supply'!$A:$D,3)</f>
        <v>5581.7</v>
      </c>
      <c r="C711" s="65">
        <f>(Table30[[#This Row],[Real M2 Money Stock]]-B699)/B699</f>
        <v>3.0042997656350955E-2</v>
      </c>
    </row>
    <row r="712" spans="1:3" x14ac:dyDescent="0.2">
      <c r="A712" s="23">
        <v>43040</v>
      </c>
      <c r="B712" s="25">
        <f>VLOOKUP(Table30[[#This Row],[Month]],'DB Money Supply'!$A:$D,3)</f>
        <v>5579.5</v>
      </c>
      <c r="C712" s="65">
        <f>(Table30[[#This Row],[Real M2 Money Stock]]-B700)/B700</f>
        <v>2.5021586170154101E-2</v>
      </c>
    </row>
    <row r="713" spans="1:3" x14ac:dyDescent="0.2">
      <c r="A713" s="23">
        <v>43070</v>
      </c>
      <c r="B713" s="25">
        <f>VLOOKUP(Table30[[#This Row],[Month]],'DB Money Supply'!$A:$D,3)</f>
        <v>5592.6</v>
      </c>
      <c r="C713" s="65">
        <f>(Table30[[#This Row],[Real M2 Money Stock]]-B701)/B701</f>
        <v>2.6899983474412879E-2</v>
      </c>
    </row>
    <row r="714" spans="1:3" x14ac:dyDescent="0.2">
      <c r="A714" s="23">
        <v>43101</v>
      </c>
      <c r="B714" s="25">
        <f>VLOOKUP(Table30[[#This Row],[Month]],'DB Money Supply'!$A:$D,3)</f>
        <v>5577.3</v>
      </c>
      <c r="C714" s="65">
        <f>(Table30[[#This Row],[Real M2 Money Stock]]-B702)/B702</f>
        <v>2.2476029845821102E-2</v>
      </c>
    </row>
    <row r="715" spans="1:3" x14ac:dyDescent="0.2">
      <c r="A715" s="23">
        <v>43132</v>
      </c>
      <c r="B715" s="25">
        <f>VLOOKUP(Table30[[#This Row],[Month]],'DB Money Supply'!$A:$D,3)</f>
        <v>5581.5</v>
      </c>
      <c r="C715" s="65">
        <f>(Table30[[#This Row],[Real M2 Money Stock]]-B703)/B703</f>
        <v>1.8893756845564075E-2</v>
      </c>
    </row>
    <row r="716" spans="1:3" x14ac:dyDescent="0.2">
      <c r="A716" s="23">
        <v>43160</v>
      </c>
      <c r="B716" s="25">
        <f>VLOOKUP(Table30[[#This Row],[Month]],'DB Money Supply'!$A:$D,3)</f>
        <v>5599.3</v>
      </c>
      <c r="C716" s="65">
        <f>(Table30[[#This Row],[Real M2 Money Stock]]-B704)/B704</f>
        <v>1.6428260238164391E-2</v>
      </c>
    </row>
    <row r="717" spans="1:3" x14ac:dyDescent="0.2">
      <c r="A717" s="23">
        <v>43191</v>
      </c>
      <c r="B717" s="25">
        <f>VLOOKUP(Table30[[#This Row],[Month]],'DB Money Supply'!$A:$D,3)</f>
        <v>5594.4</v>
      </c>
      <c r="C717" s="65">
        <f>(Table30[[#This Row],[Real M2 Money Stock]]-B705)/B705</f>
        <v>1.3276339859810412E-2</v>
      </c>
    </row>
    <row r="718" spans="1:3" x14ac:dyDescent="0.2">
      <c r="A718" s="23">
        <v>43221</v>
      </c>
      <c r="B718" s="25">
        <f>VLOOKUP(Table30[[#This Row],[Month]],'DB Money Supply'!$A:$D,3)</f>
        <v>5608.8</v>
      </c>
      <c r="C718" s="65">
        <f>(Table30[[#This Row],[Real M2 Money Stock]]-B706)/B706</f>
        <v>1.1232308663120919E-2</v>
      </c>
    </row>
    <row r="719" spans="1:3" x14ac:dyDescent="0.2">
      <c r="A719" s="23">
        <v>43252</v>
      </c>
      <c r="B719" s="25">
        <f>VLOOKUP(Table30[[#This Row],[Month]],'DB Money Supply'!$A:$D,3)</f>
        <v>5624.4</v>
      </c>
      <c r="C719" s="65">
        <f>(Table30[[#This Row],[Real M2 Money Stock]]-B707)/B707</f>
        <v>1.2620852312622555E-2</v>
      </c>
    </row>
    <row r="720" spans="1:3" x14ac:dyDescent="0.2">
      <c r="A720" s="23">
        <v>43282</v>
      </c>
      <c r="B720" s="25">
        <f>VLOOKUP(Table30[[#This Row],[Month]],'DB Money Supply'!$A:$D,3)</f>
        <v>5631.8</v>
      </c>
      <c r="C720" s="65">
        <f>(Table30[[#This Row],[Real M2 Money Stock]]-B708)/B708</f>
        <v>9.9528361099653889E-3</v>
      </c>
    </row>
    <row r="721" spans="1:3" x14ac:dyDescent="0.2">
      <c r="A721" s="23">
        <v>43313</v>
      </c>
      <c r="B721" s="25">
        <f>VLOOKUP(Table30[[#This Row],[Month]],'DB Money Supply'!$A:$D,3)</f>
        <v>5639.9</v>
      </c>
      <c r="C721" s="65">
        <f>(Table30[[#This Row],[Real M2 Money Stock]]-B709)/B709</f>
        <v>1.1550533584431824E-2</v>
      </c>
    </row>
    <row r="722" spans="1:3" x14ac:dyDescent="0.2">
      <c r="A722" s="23">
        <v>43344</v>
      </c>
      <c r="B722" s="25">
        <f>VLOOKUP(Table30[[#This Row],[Month]],'DB Money Supply'!$A:$D,3)</f>
        <v>5642.1</v>
      </c>
      <c r="C722" s="65">
        <f>(Table30[[#This Row],[Real M2 Money Stock]]-B710)/B710</f>
        <v>1.4310112359550627E-2</v>
      </c>
    </row>
    <row r="723" spans="1:3" x14ac:dyDescent="0.2">
      <c r="A723" s="23">
        <v>43374</v>
      </c>
      <c r="B723" s="25">
        <f>VLOOKUP(Table30[[#This Row],[Month]],'DB Money Supply'!$A:$D,3)</f>
        <v>5629</v>
      </c>
      <c r="C723" s="65">
        <f>(Table30[[#This Row],[Real M2 Money Stock]]-B711)/B711</f>
        <v>8.474120787573711E-3</v>
      </c>
    </row>
    <row r="724" spans="1:3" x14ac:dyDescent="0.2">
      <c r="A724" s="23">
        <v>43405</v>
      </c>
      <c r="B724" s="25">
        <f>VLOOKUP(Table30[[#This Row],[Month]],'DB Money Supply'!$A:$D,3)</f>
        <v>5638.3</v>
      </c>
      <c r="C724" s="65">
        <f>(Table30[[#This Row],[Real M2 Money Stock]]-B712)/B712</f>
        <v>1.0538578725692299E-2</v>
      </c>
    </row>
    <row r="725" spans="1:3" x14ac:dyDescent="0.2">
      <c r="A725" s="23">
        <v>43435</v>
      </c>
      <c r="B725" s="25">
        <f>VLOOKUP(Table30[[#This Row],[Month]],'DB Money Supply'!$A:$D,3)</f>
        <v>5692.8</v>
      </c>
      <c r="C725" s="65">
        <f>(Table30[[#This Row],[Real M2 Money Stock]]-B713)/B713</f>
        <v>1.7916532560883991E-2</v>
      </c>
    </row>
    <row r="726" spans="1:3" x14ac:dyDescent="0.2">
      <c r="A726" s="23">
        <v>43466</v>
      </c>
      <c r="B726" s="25">
        <f>VLOOKUP(Table30[[#This Row],[Month]],'DB Money Supply'!$A:$D,3)</f>
        <v>5721.5</v>
      </c>
      <c r="C726" s="65">
        <f>(Table30[[#This Row],[Real M2 Money Stock]]-B714)/B714</f>
        <v>2.5854804295985478E-2</v>
      </c>
    </row>
    <row r="727" spans="1:3" x14ac:dyDescent="0.2">
      <c r="A727" s="23">
        <v>43497</v>
      </c>
      <c r="B727" s="25">
        <f>VLOOKUP(Table30[[#This Row],[Month]],'DB Money Supply'!$A:$D,3)</f>
        <v>5726.5</v>
      </c>
      <c r="C727" s="65">
        <f>(Table30[[#This Row],[Real M2 Money Stock]]-B715)/B715</f>
        <v>2.5978679566424797E-2</v>
      </c>
    </row>
    <row r="728" spans="1:3" x14ac:dyDescent="0.2">
      <c r="A728" s="23">
        <v>43525</v>
      </c>
      <c r="B728" s="25">
        <f>VLOOKUP(Table30[[#This Row],[Month]],'DB Money Supply'!$A:$D,3)</f>
        <v>5718.5</v>
      </c>
      <c r="C728" s="65">
        <f>(Table30[[#This Row],[Real M2 Money Stock]]-B716)/B716</f>
        <v>2.1288375332630831E-2</v>
      </c>
    </row>
    <row r="729" spans="1:3" x14ac:dyDescent="0.2">
      <c r="A729" s="23">
        <v>43556</v>
      </c>
      <c r="B729" s="25">
        <f>VLOOKUP(Table30[[#This Row],[Month]],'DB Money Supply'!$A:$D,3)</f>
        <v>5706</v>
      </c>
      <c r="C729" s="65">
        <f>(Table30[[#This Row],[Real M2 Money Stock]]-B717)/B717</f>
        <v>1.9948519948520014E-2</v>
      </c>
    </row>
    <row r="730" spans="1:3" x14ac:dyDescent="0.2">
      <c r="A730" s="29">
        <v>43586</v>
      </c>
      <c r="B730" s="25">
        <f>VLOOKUP(Table30[[#This Row],[Month]],'DB Money Supply'!$A:$D,3)</f>
        <v>5744</v>
      </c>
      <c r="C730" s="28">
        <f>(Table30[[#This Row],[Real M2 Money Stock]]-B718)/B718</f>
        <v>2.410497789188415E-2</v>
      </c>
    </row>
    <row r="731" spans="1:3" x14ac:dyDescent="0.2">
      <c r="A731" s="23">
        <v>43617</v>
      </c>
      <c r="B731" s="25">
        <f>VLOOKUP(Table30[[#This Row],[Month]],'DB Money Supply'!$A:$D,3)</f>
        <v>5789.2</v>
      </c>
      <c r="C731" s="65">
        <f>(Table30[[#This Row],[Real M2 Money Stock]]-B719)/B719</f>
        <v>2.9300903207453273E-2</v>
      </c>
    </row>
    <row r="732" spans="1:3" x14ac:dyDescent="0.2">
      <c r="A732" s="23">
        <v>43647</v>
      </c>
      <c r="B732" s="25">
        <f>VLOOKUP(Table30[[#This Row],[Month]],'DB Money Supply'!$A:$D,3)</f>
        <v>5805.6</v>
      </c>
      <c r="C732" s="28">
        <f>(Table30[[#This Row],[Real M2 Money Stock]]-B720)/B720</f>
        <v>3.0860470897404058E-2</v>
      </c>
    </row>
    <row r="733" spans="1:3" x14ac:dyDescent="0.2">
      <c r="A733" s="23">
        <v>43678</v>
      </c>
      <c r="B733" s="25">
        <f>VLOOKUP(Table30[[#This Row],[Month]],'DB Money Supply'!$A:$D,3)</f>
        <v>5831.4</v>
      </c>
      <c r="C733" s="65">
        <f>(Table30[[#This Row],[Real M2 Money Stock]]-B721)/B721</f>
        <v>3.3954502739410274E-2</v>
      </c>
    </row>
    <row r="734" spans="1:3" x14ac:dyDescent="0.2">
      <c r="A734" s="23">
        <v>43709</v>
      </c>
      <c r="B734" s="25">
        <f>VLOOKUP(Table30[[#This Row],[Month]],'DB Money Supply'!$A:$D,3)</f>
        <v>5857.6</v>
      </c>
      <c r="C734" s="65">
        <f>(Table30[[#This Row],[Real M2 Money Stock]]-B722)/B722</f>
        <v>3.8194998316229772E-2</v>
      </c>
    </row>
    <row r="735" spans="1:3" x14ac:dyDescent="0.2">
      <c r="A735" s="23">
        <v>43739</v>
      </c>
      <c r="B735" s="25">
        <f>VLOOKUP(Table30[[#This Row],[Month]],'DB Money Supply'!$A:$D,3)</f>
        <v>5887.3</v>
      </c>
      <c r="C735" s="65">
        <f>(Table30[[#This Row],[Real M2 Money Stock]]-B723)/B723</f>
        <v>4.5887368982057239E-2</v>
      </c>
    </row>
    <row r="736" spans="1:3" x14ac:dyDescent="0.2">
      <c r="A736" s="23">
        <v>43770</v>
      </c>
      <c r="B736" s="25">
        <f>VLOOKUP(Table30[[#This Row],[Month]],'DB Money Supply'!$A:$D,3)</f>
        <v>5911.6</v>
      </c>
      <c r="C736" s="65">
        <f>(Table30[[#This Row],[Real M2 Money Stock]]-B724)/B724</f>
        <v>4.8472057180355813E-2</v>
      </c>
    </row>
    <row r="737" spans="1:3" x14ac:dyDescent="0.2">
      <c r="A737" s="23">
        <v>43800</v>
      </c>
      <c r="B737" s="25">
        <f>VLOOKUP(Table30[[#This Row],[Month]],'DB Money Supply'!$A:$D,3)</f>
        <v>5935.6</v>
      </c>
      <c r="C737" s="65">
        <f>(Table30[[#This Row],[Real M2 Money Stock]]-B725)/B725</f>
        <v>4.2650365373805538E-2</v>
      </c>
    </row>
    <row r="738" spans="1:3" x14ac:dyDescent="0.2">
      <c r="A738" s="23">
        <v>43831</v>
      </c>
      <c r="B738" s="25">
        <f>VLOOKUP(Table30[[#This Row],[Month]],'DB Money Supply'!$A:$D,3)</f>
        <v>5955.8</v>
      </c>
      <c r="C738" s="65">
        <f>(Table30[[#This Row],[Real M2 Money Stock]]-B726)/B726</f>
        <v>4.0950799615485478E-2</v>
      </c>
    </row>
    <row r="739" spans="1:3" x14ac:dyDescent="0.2">
      <c r="A739" s="23">
        <v>43862</v>
      </c>
      <c r="B739" s="25">
        <f>VLOOKUP(Table30[[#This Row],[Month]],'DB Money Supply'!$A:$D,3)</f>
        <v>5977.2</v>
      </c>
      <c r="C739" s="65">
        <f>(Table30[[#This Row],[Real M2 Money Stock]]-B727)/B727</f>
        <v>4.3778922553042839E-2</v>
      </c>
    </row>
    <row r="740" spans="1:3" x14ac:dyDescent="0.2">
      <c r="A740" s="23">
        <v>43891</v>
      </c>
      <c r="B740" s="25">
        <f>VLOOKUP(Table30[[#This Row],[Month]],'DB Money Supply'!$A:$D,3)</f>
        <v>6206.2</v>
      </c>
      <c r="C740" s="65">
        <f>(Table30[[#This Row],[Real M2 Money Stock]]-B728)/B728</f>
        <v>8.5284602605578352E-2</v>
      </c>
    </row>
    <row r="741" spans="1:3" x14ac:dyDescent="0.2">
      <c r="A741" s="23">
        <v>43922</v>
      </c>
      <c r="B741" s="25">
        <f>VLOOKUP(Table30[[#This Row],[Month]],'DB Money Supply'!$A:$D,3)</f>
        <v>6650.9</v>
      </c>
      <c r="C741" s="65">
        <f>(Table30[[#This Row],[Real M2 Money Stock]]-B729)/B729</f>
        <v>0.16559761654398872</v>
      </c>
    </row>
    <row r="742" spans="1:3" x14ac:dyDescent="0.2">
      <c r="A742" s="23">
        <v>43952</v>
      </c>
      <c r="B742" s="25">
        <f>VLOOKUP(Table30[[#This Row],[Month]],'DB Money Supply'!$A:$D,3)</f>
        <v>6989.6</v>
      </c>
      <c r="C742" s="65">
        <f>(Table30[[#This Row],[Real M2 Money Stock]]-B730)/B730</f>
        <v>0.21685236768802235</v>
      </c>
    </row>
    <row r="743" spans="1:3" x14ac:dyDescent="0.2">
      <c r="A743" s="23">
        <v>43983</v>
      </c>
      <c r="B743" s="25">
        <f>VLOOKUP(Table30[[#This Row],[Month]],'DB Money Supply'!$A:$D,3)</f>
        <v>7064.5</v>
      </c>
      <c r="C743" s="65">
        <f>(Table30[[#This Row],[Real M2 Money Stock]]-B731)/B731</f>
        <v>0.22028950459476271</v>
      </c>
    </row>
    <row r="744" spans="1:3" x14ac:dyDescent="0.2">
      <c r="A744" s="23">
        <v>44013</v>
      </c>
      <c r="B744" s="25">
        <f>VLOOKUP(Table30[[#This Row],[Month]],'DB Money Supply'!$A:$D,3)</f>
        <v>7082.9</v>
      </c>
      <c r="C744" s="65">
        <f>(Table30[[#This Row],[Real M2 Money Stock]]-B732)/B732</f>
        <v>0.22001171282899257</v>
      </c>
    </row>
    <row r="745" spans="1:3" x14ac:dyDescent="0.2">
      <c r="A745" s="29">
        <v>44044</v>
      </c>
      <c r="B745" s="25">
        <f>VLOOKUP(Table30[[#This Row],[Month]],'DB Money Supply'!$A:$D,3)</f>
        <v>7082</v>
      </c>
      <c r="C745" s="28">
        <f>(Table30[[#This Row],[Real M2 Money Stock]]-B733)/B733</f>
        <v>0.21445964948382901</v>
      </c>
    </row>
    <row r="746" spans="1:3" x14ac:dyDescent="0.2">
      <c r="A746" s="23">
        <v>44075</v>
      </c>
      <c r="B746" s="25">
        <f>VLOOKUP(Table30[[#This Row],[Month]],'DB Money Supply'!$A:$D,3)</f>
        <v>7150.4</v>
      </c>
      <c r="C746" s="65">
        <f>(Table30[[#This Row],[Real M2 Money Stock]]-B734)/B734</f>
        <v>0.22070472548484008</v>
      </c>
    </row>
    <row r="747" spans="1:3" x14ac:dyDescent="0.2">
      <c r="A747" s="23">
        <v>44105</v>
      </c>
      <c r="B747" s="25">
        <f>VLOOKUP(Table30[[#This Row],[Month]],'DB Money Supply'!$A:$D,3)</f>
        <v>7197.9</v>
      </c>
      <c r="C747" s="28">
        <f>(Table30[[#This Row],[Real M2 Money Stock]]-B735)/B735</f>
        <v>0.22261478096920481</v>
      </c>
    </row>
    <row r="748" spans="1:3" x14ac:dyDescent="0.2">
      <c r="A748" s="23">
        <v>44136</v>
      </c>
      <c r="B748" s="25">
        <f>VLOOKUP(Table30[[#This Row],[Month]],'DB Money Supply'!$A:$D,3)</f>
        <v>7265.9</v>
      </c>
      <c r="C748" s="65">
        <f>(Table30[[#This Row],[Real M2 Money Stock]]-B736)/B736</f>
        <v>0.22909195480073064</v>
      </c>
    </row>
    <row r="749" spans="1:3" x14ac:dyDescent="0.2">
      <c r="A749" s="23">
        <v>44166</v>
      </c>
      <c r="B749" s="25">
        <f>VLOOKUP(Table30[[#This Row],[Month]],'DB Money Supply'!$A:$D,3)</f>
        <v>7313.6</v>
      </c>
      <c r="C749" s="65">
        <f>(Table30[[#This Row],[Real M2 Money Stock]]-B737)/B737</f>
        <v>0.23215850124671472</v>
      </c>
    </row>
    <row r="750" spans="1:3" x14ac:dyDescent="0.2">
      <c r="A750" s="23">
        <v>44197</v>
      </c>
      <c r="B750" s="25">
        <f>VLOOKUP(Table30[[#This Row],[Month]],'DB Money Supply'!$A:$D,3)</f>
        <v>7395.5</v>
      </c>
      <c r="C750" s="65">
        <f>(Table30[[#This Row],[Real M2 Money Stock]]-B738)/B738</f>
        <v>0.24173074985728193</v>
      </c>
    </row>
    <row r="751" spans="1:3" x14ac:dyDescent="0.2">
      <c r="A751" s="23">
        <v>44228</v>
      </c>
      <c r="B751" s="25">
        <f>VLOOKUP(Table30[[#This Row],[Month]],'DB Money Supply'!$A:$D,3)</f>
        <v>7472.7</v>
      </c>
      <c r="C751" s="65">
        <f>(Table30[[#This Row],[Real M2 Money Stock]]-B739)/B739</f>
        <v>0.25020076289901627</v>
      </c>
    </row>
    <row r="752" spans="1:3" x14ac:dyDescent="0.2">
      <c r="A752" s="23">
        <v>44256</v>
      </c>
      <c r="B752" s="25">
        <f>VLOOKUP(Table30[[#This Row],[Month]],'DB Money Supply'!$A:$D,3)</f>
        <v>7520.3</v>
      </c>
      <c r="C752" s="65">
        <f>(Table30[[#This Row],[Real M2 Money Stock]]-B740)/B740</f>
        <v>0.21173987303019567</v>
      </c>
    </row>
    <row r="753" spans="1:3" x14ac:dyDescent="0.2">
      <c r="A753" s="23">
        <v>44287</v>
      </c>
      <c r="B753" s="25">
        <f>VLOOKUP(Table30[[#This Row],[Month]],'DB Money Supply'!$A:$D,3)</f>
        <v>7547.4</v>
      </c>
      <c r="C753" s="65">
        <f>(Table30[[#This Row],[Real M2 Money Stock]]-B741)/B741</f>
        <v>0.13479378730698102</v>
      </c>
    </row>
    <row r="754" spans="1:3" x14ac:dyDescent="0.2">
      <c r="A754" s="23">
        <v>44317</v>
      </c>
      <c r="B754" s="25">
        <f>VLOOKUP(Table30[[#This Row],[Month]],'DB Money Supply'!$A:$D,3)</f>
        <v>7597.4</v>
      </c>
      <c r="C754" s="65">
        <f>(Table30[[#This Row],[Real M2 Money Stock]]-B742)/B742</f>
        <v>8.6957765823509101E-2</v>
      </c>
    </row>
    <row r="755" spans="1:3" x14ac:dyDescent="0.2">
      <c r="A755" s="29">
        <v>44348</v>
      </c>
      <c r="B755" s="25">
        <f>VLOOKUP(Table30[[#This Row],[Month]],'DB Money Supply'!$A:$D,3)</f>
        <v>7539.1</v>
      </c>
      <c r="C755" s="28">
        <f>(Table30[[#This Row],[Real M2 Money Stock]]-B743)/B743</f>
        <v>6.7180975299030415E-2</v>
      </c>
    </row>
    <row r="756" spans="1:3" x14ac:dyDescent="0.2">
      <c r="A756" s="23">
        <v>44378</v>
      </c>
      <c r="B756" s="25">
        <f>VLOOKUP(Table30[[#This Row],[Month]],'DB Money Supply'!$A:$D,3)</f>
        <v>7558.4</v>
      </c>
      <c r="C756" s="65">
        <f>(Table30[[#This Row],[Real M2 Money Stock]]-B744)/B744</f>
        <v>6.7133518756441579E-2</v>
      </c>
    </row>
    <row r="757" spans="1:3" x14ac:dyDescent="0.2">
      <c r="A757" s="23">
        <v>44409</v>
      </c>
      <c r="B757" s="25">
        <f>VLOOKUP(Table30[[#This Row],[Month]],'DB Money Supply'!$A:$D,3)</f>
        <v>7630.6</v>
      </c>
      <c r="C757" s="28">
        <f>(Table30[[#This Row],[Real M2 Money Stock]]-B745)/B745</f>
        <v>7.7463993222253655E-2</v>
      </c>
    </row>
    <row r="758" spans="1:3" x14ac:dyDescent="0.2">
      <c r="A758" s="23">
        <v>44440</v>
      </c>
      <c r="B758" s="25">
        <f>VLOOKUP(Table30[[#This Row],[Month]],'DB Money Supply'!$A:$D,3)</f>
        <v>7658.5</v>
      </c>
      <c r="C758" s="65">
        <f>(Table30[[#This Row],[Real M2 Money Stock]]-B746)/B746</f>
        <v>7.1058961736406412E-2</v>
      </c>
    </row>
    <row r="759" spans="1:3" x14ac:dyDescent="0.2">
      <c r="A759" s="23">
        <v>44470</v>
      </c>
      <c r="B759" s="25">
        <f>VLOOKUP(Table30[[#This Row],[Month]],'DB Money Supply'!$A:$D,3)</f>
        <v>7656.5</v>
      </c>
      <c r="C759" s="65">
        <f>(Table30[[#This Row],[Real M2 Money Stock]]-B747)/B747</f>
        <v>6.3713027410772644E-2</v>
      </c>
    </row>
    <row r="760" spans="1:3" x14ac:dyDescent="0.2">
      <c r="A760" s="23">
        <v>44501</v>
      </c>
      <c r="B760" s="25">
        <f>VLOOKUP(Table30[[#This Row],[Month]],'DB Money Supply'!$A:$D,3)</f>
        <v>7686.7</v>
      </c>
      <c r="C760" s="65">
        <f>(Table30[[#This Row],[Real M2 Money Stock]]-B748)/B748</f>
        <v>5.7914367112126539E-2</v>
      </c>
    </row>
  </sheetData>
  <conditionalFormatting sqref="C18:C76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2"/>
  <dimension ref="A1:H2410"/>
  <sheetViews>
    <sheetView zoomScale="150" zoomScaleNormal="150" workbookViewId="0">
      <pane ySplit="5" topLeftCell="A2381" activePane="bottomLeft" state="frozen"/>
      <selection pane="bottomLeft" activeCell="R2393" sqref="R2393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8" customWidth="1"/>
    <col min="5" max="8" width="9.1640625" style="78" customWidth="1"/>
    <col min="9" max="16384" width="9.1640625" style="78"/>
  </cols>
  <sheetData>
    <row r="1" spans="1:8" x14ac:dyDescent="0.2">
      <c r="A1" s="79" t="s">
        <v>16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50" t="s">
        <v>78</v>
      </c>
      <c r="B5" s="56" t="s">
        <v>982</v>
      </c>
      <c r="C5" s="51" t="s">
        <v>983</v>
      </c>
      <c r="D5" s="51" t="s">
        <v>984</v>
      </c>
      <c r="E5" s="51" t="s">
        <v>985</v>
      </c>
      <c r="F5" s="52" t="s">
        <v>986</v>
      </c>
    </row>
    <row r="6" spans="1:8" x14ac:dyDescent="0.2">
      <c r="A6" s="23">
        <v>27400</v>
      </c>
      <c r="B6" s="25">
        <f>VLOOKUP(Table2634[[#This Row],[Date]],'DB Money Supply'!$A:$D,4)</f>
        <v>273.39999999999998</v>
      </c>
      <c r="C6" s="30"/>
      <c r="D6" s="30"/>
      <c r="E6" s="25"/>
      <c r="F6" s="30"/>
    </row>
    <row r="7" spans="1:8" x14ac:dyDescent="0.2">
      <c r="A7" s="23">
        <v>27407</v>
      </c>
      <c r="B7" s="25">
        <f>VLOOKUP(Table2634[[#This Row],[Date]],'DB Money Supply'!$A:$D,4)</f>
        <v>273.7</v>
      </c>
      <c r="C7" s="31">
        <f>(Table2634[[#This Row],[M1 Money Stock, Billions of Dollars, Weekly, Seasonally Adjusted]]-B6)/B6</f>
        <v>1.0972933430870935E-3</v>
      </c>
      <c r="D7" s="35">
        <f>((1+Table2634[[#This Row],[Weekly change]])^52)-1</f>
        <v>5.8685422844793722E-2</v>
      </c>
      <c r="E7" s="25"/>
      <c r="F7" s="30"/>
    </row>
    <row r="8" spans="1:8" x14ac:dyDescent="0.2">
      <c r="A8" s="23">
        <v>27414</v>
      </c>
      <c r="B8" s="25">
        <f>VLOOKUP(Table2634[[#This Row],[Date]],'DB Money Supply'!$A:$D,4)</f>
        <v>273.8</v>
      </c>
      <c r="C8" s="31">
        <f>(Table2634[[#This Row],[M1 Money Stock, Billions of Dollars, Weekly, Seasonally Adjusted]]-B7)/B7</f>
        <v>3.6536353671911854E-4</v>
      </c>
      <c r="D8" s="35">
        <f>((1+Table2634[[#This Row],[Weekly change]])^52)-1</f>
        <v>1.9176995045836698E-2</v>
      </c>
      <c r="E8" s="25"/>
      <c r="F8" s="30"/>
    </row>
    <row r="9" spans="1:8" x14ac:dyDescent="0.2">
      <c r="A9" s="23">
        <v>27421</v>
      </c>
      <c r="B9" s="25">
        <f>VLOOKUP(Table2634[[#This Row],[Date]],'DB Money Supply'!$A:$D,4)</f>
        <v>273.7</v>
      </c>
      <c r="C9" s="31">
        <f>(Table2634[[#This Row],[M1 Money Stock, Billions of Dollars, Weekly, Seasonally Adjusted]]-B8)/B8</f>
        <v>-3.6523009495990769E-4</v>
      </c>
      <c r="D9" s="35">
        <f>((1+Table2634[[#This Row],[Weekly change]])^52)-1</f>
        <v>-1.8816157683166246E-2</v>
      </c>
      <c r="E9" s="25">
        <f t="shared" ref="E9:E72" si="0">AVERAGE(B6:B9)</f>
        <v>273.64999999999998</v>
      </c>
      <c r="F9" s="30"/>
    </row>
    <row r="10" spans="1:8" x14ac:dyDescent="0.2">
      <c r="A10" s="23">
        <v>27428</v>
      </c>
      <c r="B10" s="25">
        <f>VLOOKUP(Table2634[[#This Row],[Date]],'DB Money Supply'!$A:$D,4)</f>
        <v>275.2</v>
      </c>
      <c r="C10" s="31">
        <f>(Table2634[[#This Row],[M1 Money Stock, Billions of Dollars, Weekly, Seasonally Adjusted]]-B9)/B9</f>
        <v>5.4804530507855317E-3</v>
      </c>
      <c r="D10" s="35">
        <f>((1+Table2634[[#This Row],[Weekly change]])^52)-1</f>
        <v>0.32870592606536597</v>
      </c>
      <c r="E10" s="25">
        <f t="shared" si="0"/>
        <v>274.10000000000002</v>
      </c>
      <c r="F10" s="30"/>
    </row>
    <row r="11" spans="1:8" x14ac:dyDescent="0.2">
      <c r="A11" s="23">
        <v>27435</v>
      </c>
      <c r="B11" s="25">
        <f>VLOOKUP(Table2634[[#This Row],[Date]],'DB Money Supply'!$A:$D,4)</f>
        <v>274.5</v>
      </c>
      <c r="C11" s="31">
        <f>(Table2634[[#This Row],[M1 Money Stock, Billions of Dollars, Weekly, Seasonally Adjusted]]-B10)/B10</f>
        <v>-2.5436046511627497E-3</v>
      </c>
      <c r="D11" s="35">
        <f>((1+Table2634[[#This Row],[Weekly change]])^52)-1</f>
        <v>-0.12404095874699994</v>
      </c>
      <c r="E11" s="25">
        <f t="shared" si="0"/>
        <v>274.3</v>
      </c>
      <c r="F11" s="30"/>
    </row>
    <row r="12" spans="1:8" x14ac:dyDescent="0.2">
      <c r="A12" s="23">
        <v>27442</v>
      </c>
      <c r="B12" s="25">
        <f>VLOOKUP(Table2634[[#This Row],[Date]],'DB Money Supply'!$A:$D,4)</f>
        <v>274.60000000000002</v>
      </c>
      <c r="C12" s="31">
        <f>(Table2634[[#This Row],[M1 Money Stock, Billions of Dollars, Weekly, Seasonally Adjusted]]-B11)/B11</f>
        <v>3.6429872495454549E-4</v>
      </c>
      <c r="D12" s="35">
        <f>((1+Table2634[[#This Row],[Weekly change]])^52)-1</f>
        <v>1.9120585141623625E-2</v>
      </c>
      <c r="E12" s="25">
        <f t="shared" si="0"/>
        <v>274.5</v>
      </c>
      <c r="F12" s="30"/>
    </row>
    <row r="13" spans="1:8" x14ac:dyDescent="0.2">
      <c r="A13" s="23">
        <v>27449</v>
      </c>
      <c r="B13" s="25">
        <f>VLOOKUP(Table2634[[#This Row],[Date]],'DB Money Supply'!$A:$D,4)</f>
        <v>274.2</v>
      </c>
      <c r="C13" s="31">
        <f>(Table2634[[#This Row],[M1 Money Stock, Billions of Dollars, Weekly, Seasonally Adjusted]]-B12)/B12</f>
        <v>-1.4566642388930593E-3</v>
      </c>
      <c r="D13" s="35">
        <f>((1+Table2634[[#This Row],[Weekly change]])^52)-1</f>
        <v>-7.3000045680581493E-2</v>
      </c>
      <c r="E13" s="25">
        <f t="shared" si="0"/>
        <v>274.625</v>
      </c>
      <c r="F13" s="30"/>
    </row>
    <row r="14" spans="1:8" x14ac:dyDescent="0.2">
      <c r="A14" s="23">
        <v>27456</v>
      </c>
      <c r="B14" s="25">
        <f>VLOOKUP(Table2634[[#This Row],[Date]],'DB Money Supply'!$A:$D,4)</f>
        <v>275.39999999999998</v>
      </c>
      <c r="C14" s="31">
        <f>(Table2634[[#This Row],[M1 Money Stock, Billions of Dollars, Weekly, Seasonally Adjusted]]-B13)/B13</f>
        <v>4.376367614879609E-3</v>
      </c>
      <c r="D14" s="35">
        <f>((1+Table2634[[#This Row],[Weekly change]])^52)-1</f>
        <v>0.25492347753580957</v>
      </c>
      <c r="E14" s="25">
        <f t="shared" si="0"/>
        <v>274.67499999999995</v>
      </c>
      <c r="F14" s="30"/>
    </row>
    <row r="15" spans="1:8" x14ac:dyDescent="0.2">
      <c r="A15" s="23">
        <v>27463</v>
      </c>
      <c r="B15" s="25">
        <f>VLOOKUP(Table2634[[#This Row],[Date]],'DB Money Supply'!$A:$D,4)</f>
        <v>276.89999999999998</v>
      </c>
      <c r="C15" s="31">
        <f>(Table2634[[#This Row],[M1 Money Stock, Billions of Dollars, Weekly, Seasonally Adjusted]]-B14)/B14</f>
        <v>5.4466230936819175E-3</v>
      </c>
      <c r="D15" s="35">
        <f>((1+Table2634[[#This Row],[Weekly change]])^52)-1</f>
        <v>0.32638325627394305</v>
      </c>
      <c r="E15" s="25">
        <f t="shared" si="0"/>
        <v>275.27499999999998</v>
      </c>
      <c r="F15" s="30"/>
    </row>
    <row r="16" spans="1:8" x14ac:dyDescent="0.2">
      <c r="A16" s="23">
        <v>27470</v>
      </c>
      <c r="B16" s="25">
        <f>VLOOKUP(Table2634[[#This Row],[Date]],'DB Money Supply'!$A:$D,4)</f>
        <v>276.3</v>
      </c>
      <c r="C16" s="31">
        <f>(Table2634[[#This Row],[M1 Money Stock, Billions of Dollars, Weekly, Seasonally Adjusted]]-B15)/B15</f>
        <v>-2.1668472372696496E-3</v>
      </c>
      <c r="D16" s="35">
        <f>((1+Table2634[[#This Row],[Weekly change]])^52)-1</f>
        <v>-0.10666918115258617</v>
      </c>
      <c r="E16" s="25">
        <f t="shared" si="0"/>
        <v>275.7</v>
      </c>
      <c r="F16" s="30"/>
    </row>
    <row r="17" spans="1:6" x14ac:dyDescent="0.2">
      <c r="A17" s="23">
        <v>27477</v>
      </c>
      <c r="B17" s="25">
        <f>VLOOKUP(Table2634[[#This Row],[Date]],'DB Money Supply'!$A:$D,4)</f>
        <v>277.60000000000002</v>
      </c>
      <c r="C17" s="31">
        <f>(Table2634[[#This Row],[M1 Money Stock, Billions of Dollars, Weekly, Seasonally Adjusted]]-B16)/B16</f>
        <v>4.7050307636627266E-3</v>
      </c>
      <c r="D17" s="35">
        <f>((1+Table2634[[#This Row],[Weekly change]])^52)-1</f>
        <v>0.27645643491036509</v>
      </c>
      <c r="E17" s="25">
        <f t="shared" si="0"/>
        <v>276.54999999999995</v>
      </c>
      <c r="F17" s="30"/>
    </row>
    <row r="18" spans="1:6" x14ac:dyDescent="0.2">
      <c r="A18" s="23">
        <v>27484</v>
      </c>
      <c r="B18" s="25">
        <f>VLOOKUP(Table2634[[#This Row],[Date]],'DB Money Supply'!$A:$D,4)</f>
        <v>273.39999999999998</v>
      </c>
      <c r="C18" s="31">
        <f>(Table2634[[#This Row],[M1 Money Stock, Billions of Dollars, Weekly, Seasonally Adjusted]]-B17)/B17</f>
        <v>-1.5129682997118319E-2</v>
      </c>
      <c r="D18" s="35">
        <f>((1+Table2634[[#This Row],[Weekly change]])^52)-1</f>
        <v>-0.54740420012793889</v>
      </c>
      <c r="E18" s="25">
        <f t="shared" si="0"/>
        <v>276.05</v>
      </c>
      <c r="F18" s="30"/>
    </row>
    <row r="19" spans="1:6" x14ac:dyDescent="0.2">
      <c r="A19" s="23">
        <v>27491</v>
      </c>
      <c r="B19" s="25">
        <f>VLOOKUP(Table2634[[#This Row],[Date]],'DB Money Supply'!$A:$D,4)</f>
        <v>275.2</v>
      </c>
      <c r="C19" s="31">
        <f>(Table2634[[#This Row],[M1 Money Stock, Billions of Dollars, Weekly, Seasonally Adjusted]]-B18)/B18</f>
        <v>6.5837600585223538E-3</v>
      </c>
      <c r="D19" s="35">
        <f>((1+Table2634[[#This Row],[Weekly change]])^52)-1</f>
        <v>0.40668159517289326</v>
      </c>
      <c r="E19" s="25">
        <f t="shared" si="0"/>
        <v>275.625</v>
      </c>
      <c r="F19" s="30"/>
    </row>
    <row r="20" spans="1:6" x14ac:dyDescent="0.2">
      <c r="A20" s="23">
        <v>27498</v>
      </c>
      <c r="B20" s="25">
        <f>VLOOKUP(Table2634[[#This Row],[Date]],'DB Money Supply'!$A:$D,4)</f>
        <v>276.10000000000002</v>
      </c>
      <c r="C20" s="31">
        <f>(Table2634[[#This Row],[M1 Money Stock, Billions of Dollars, Weekly, Seasonally Adjusted]]-B19)/B19</f>
        <v>3.2703488372094265E-3</v>
      </c>
      <c r="D20" s="35">
        <f>((1+Table2634[[#This Row],[Weekly change]])^52)-1</f>
        <v>0.18504490644098226</v>
      </c>
      <c r="E20" s="25">
        <f t="shared" si="0"/>
        <v>275.57500000000005</v>
      </c>
      <c r="F20" s="30"/>
    </row>
    <row r="21" spans="1:6" x14ac:dyDescent="0.2">
      <c r="A21" s="23">
        <v>27505</v>
      </c>
      <c r="B21" s="25">
        <f>VLOOKUP(Table2634[[#This Row],[Date]],'DB Money Supply'!$A:$D,4)</f>
        <v>276.7</v>
      </c>
      <c r="C21" s="31">
        <f>(Table2634[[#This Row],[M1 Money Stock, Billions of Dollars, Weekly, Seasonally Adjusted]]-B20)/B20</f>
        <v>2.1731256791016509E-3</v>
      </c>
      <c r="D21" s="35">
        <f>((1+Table2634[[#This Row],[Weekly change]])^52)-1</f>
        <v>0.11949750519191626</v>
      </c>
      <c r="E21" s="25">
        <f t="shared" si="0"/>
        <v>275.34999999999997</v>
      </c>
      <c r="F21" s="30"/>
    </row>
    <row r="22" spans="1:6" x14ac:dyDescent="0.2">
      <c r="A22" s="23">
        <v>27512</v>
      </c>
      <c r="B22" s="25">
        <f>VLOOKUP(Table2634[[#This Row],[Date]],'DB Money Supply'!$A:$D,4)</f>
        <v>276.8</v>
      </c>
      <c r="C22" s="31">
        <f>(Table2634[[#This Row],[M1 Money Stock, Billions of Dollars, Weekly, Seasonally Adjusted]]-B21)/B21</f>
        <v>3.614022406939745E-4</v>
      </c>
      <c r="D22" s="35">
        <f>((1+Table2634[[#This Row],[Weekly change]])^52)-1</f>
        <v>1.896715529839299E-2</v>
      </c>
      <c r="E22" s="25">
        <f t="shared" si="0"/>
        <v>276.2</v>
      </c>
      <c r="F22" s="30"/>
    </row>
    <row r="23" spans="1:6" x14ac:dyDescent="0.2">
      <c r="A23" s="23">
        <v>27519</v>
      </c>
      <c r="B23" s="25">
        <f>VLOOKUP(Table2634[[#This Row],[Date]],'DB Money Supply'!$A:$D,4)</f>
        <v>277.39999999999998</v>
      </c>
      <c r="C23" s="31">
        <f>(Table2634[[#This Row],[M1 Money Stock, Billions of Dollars, Weekly, Seasonally Adjusted]]-B22)/B22</f>
        <v>2.1676300578033448E-3</v>
      </c>
      <c r="D23" s="35">
        <f>((1+Table2634[[#This Row],[Weekly change]])^52)-1</f>
        <v>0.11917832216338953</v>
      </c>
      <c r="E23" s="25">
        <f t="shared" si="0"/>
        <v>276.75</v>
      </c>
      <c r="F23" s="30"/>
    </row>
    <row r="24" spans="1:6" x14ac:dyDescent="0.2">
      <c r="A24" s="23">
        <v>27526</v>
      </c>
      <c r="B24" s="25">
        <f>VLOOKUP(Table2634[[#This Row],[Date]],'DB Money Supply'!$A:$D,4)</f>
        <v>278.10000000000002</v>
      </c>
      <c r="C24" s="31">
        <f>(Table2634[[#This Row],[M1 Money Stock, Billions of Dollars, Weekly, Seasonally Adjusted]]-B23)/B23</f>
        <v>2.5234318673397461E-3</v>
      </c>
      <c r="D24" s="35">
        <f>((1+Table2634[[#This Row],[Weekly change]])^52)-1</f>
        <v>0.14002840034312247</v>
      </c>
      <c r="E24" s="25">
        <f t="shared" si="0"/>
        <v>277.25</v>
      </c>
      <c r="F24" s="30"/>
    </row>
    <row r="25" spans="1:6" x14ac:dyDescent="0.2">
      <c r="A25" s="23">
        <v>27533</v>
      </c>
      <c r="B25" s="25">
        <f>VLOOKUP(Table2634[[#This Row],[Date]],'DB Money Supply'!$A:$D,4)</f>
        <v>279.3</v>
      </c>
      <c r="C25" s="31">
        <f>(Table2634[[#This Row],[M1 Money Stock, Billions of Dollars, Weekly, Seasonally Adjusted]]-B24)/B24</f>
        <v>4.314994606256701E-3</v>
      </c>
      <c r="D25" s="35">
        <f>((1+Table2634[[#This Row],[Weekly change]])^52)-1</f>
        <v>0.25094217698666799</v>
      </c>
      <c r="E25" s="25">
        <f t="shared" si="0"/>
        <v>277.90000000000003</v>
      </c>
      <c r="F25" s="30"/>
    </row>
    <row r="26" spans="1:6" x14ac:dyDescent="0.2">
      <c r="A26" s="23">
        <v>27540</v>
      </c>
      <c r="B26" s="25">
        <f>VLOOKUP(Table2634[[#This Row],[Date]],'DB Money Supply'!$A:$D,4)</f>
        <v>280.39999999999998</v>
      </c>
      <c r="C26" s="31">
        <f>(Table2634[[#This Row],[M1 Money Stock, Billions of Dollars, Weekly, Seasonally Adjusted]]-B25)/B25</f>
        <v>3.9384174722519368E-3</v>
      </c>
      <c r="D26" s="35">
        <f>((1+Table2634[[#This Row],[Weekly change]])^52)-1</f>
        <v>0.22678321948534186</v>
      </c>
      <c r="E26" s="25">
        <f t="shared" si="0"/>
        <v>278.79999999999995</v>
      </c>
      <c r="F26" s="30"/>
    </row>
    <row r="27" spans="1:6" x14ac:dyDescent="0.2">
      <c r="A27" s="23">
        <v>27547</v>
      </c>
      <c r="B27" s="25">
        <f>VLOOKUP(Table2634[[#This Row],[Date]],'DB Money Supply'!$A:$D,4)</f>
        <v>280.7</v>
      </c>
      <c r="C27" s="31">
        <f>(Table2634[[#This Row],[M1 Money Stock, Billions of Dollars, Weekly, Seasonally Adjusted]]-B26)/B26</f>
        <v>1.0699001426533929E-3</v>
      </c>
      <c r="D27" s="35">
        <f>((1+Table2634[[#This Row],[Weekly change]])^52)-1</f>
        <v>5.7180085750166088E-2</v>
      </c>
      <c r="E27" s="25">
        <f t="shared" si="0"/>
        <v>279.625</v>
      </c>
      <c r="F27" s="30"/>
    </row>
    <row r="28" spans="1:6" x14ac:dyDescent="0.2">
      <c r="A28" s="23">
        <v>27554</v>
      </c>
      <c r="B28" s="25">
        <f>VLOOKUP(Table2634[[#This Row],[Date]],'DB Money Supply'!$A:$D,4)</f>
        <v>281.5</v>
      </c>
      <c r="C28" s="31">
        <f>(Table2634[[#This Row],[M1 Money Stock, Billions of Dollars, Weekly, Seasonally Adjusted]]-B27)/B27</f>
        <v>2.8500178126113695E-3</v>
      </c>
      <c r="D28" s="35">
        <f>((1+Table2634[[#This Row],[Weekly change]])^52)-1</f>
        <v>0.15950146248497976</v>
      </c>
      <c r="E28" s="25">
        <f t="shared" si="0"/>
        <v>280.47500000000002</v>
      </c>
      <c r="F28" s="30"/>
    </row>
    <row r="29" spans="1:6" x14ac:dyDescent="0.2">
      <c r="A29" s="23">
        <v>27561</v>
      </c>
      <c r="B29" s="25">
        <f>VLOOKUP(Table2634[[#This Row],[Date]],'DB Money Supply'!$A:$D,4)</f>
        <v>282.2</v>
      </c>
      <c r="C29" s="31">
        <f>(Table2634[[#This Row],[M1 Money Stock, Billions of Dollars, Weekly, Seasonally Adjusted]]-B28)/B28</f>
        <v>2.4866785079928548E-3</v>
      </c>
      <c r="D29" s="35">
        <f>((1+Table2634[[#This Row],[Weekly change]])^52)-1</f>
        <v>0.13785712160158892</v>
      </c>
      <c r="E29" s="25">
        <f t="shared" si="0"/>
        <v>281.2</v>
      </c>
      <c r="F29" s="30"/>
    </row>
    <row r="30" spans="1:6" x14ac:dyDescent="0.2">
      <c r="A30" s="23">
        <v>27568</v>
      </c>
      <c r="B30" s="25">
        <f>VLOOKUP(Table2634[[#This Row],[Date]],'DB Money Supply'!$A:$D,4)</f>
        <v>283.2</v>
      </c>
      <c r="C30" s="31">
        <f>(Table2634[[#This Row],[M1 Money Stock, Billions of Dollars, Weekly, Seasonally Adjusted]]-B29)/B29</f>
        <v>3.5435861091424525E-3</v>
      </c>
      <c r="D30" s="35">
        <f>((1+Table2634[[#This Row],[Weekly change]])^52)-1</f>
        <v>0.20194462361058663</v>
      </c>
      <c r="E30" s="25">
        <f t="shared" si="0"/>
        <v>281.90000000000003</v>
      </c>
      <c r="F30" s="30"/>
    </row>
    <row r="31" spans="1:6" x14ac:dyDescent="0.2">
      <c r="A31" s="23">
        <v>27575</v>
      </c>
      <c r="B31" s="25">
        <f>VLOOKUP(Table2634[[#This Row],[Date]],'DB Money Supply'!$A:$D,4)</f>
        <v>283.3</v>
      </c>
      <c r="C31" s="31">
        <f>(Table2634[[#This Row],[M1 Money Stock, Billions of Dollars, Weekly, Seasonally Adjusted]]-B30)/B30</f>
        <v>3.5310734463284865E-4</v>
      </c>
      <c r="D31" s="35">
        <f>((1+Table2634[[#This Row],[Weekly change]])^52)-1</f>
        <v>1.8527891183883982E-2</v>
      </c>
      <c r="E31" s="25">
        <f t="shared" si="0"/>
        <v>282.55</v>
      </c>
      <c r="F31" s="30"/>
    </row>
    <row r="32" spans="1:6" x14ac:dyDescent="0.2">
      <c r="A32" s="23">
        <v>27582</v>
      </c>
      <c r="B32" s="25">
        <f>VLOOKUP(Table2634[[#This Row],[Date]],'DB Money Supply'!$A:$D,4)</f>
        <v>283.3</v>
      </c>
      <c r="C32" s="31">
        <f>(Table2634[[#This Row],[M1 Money Stock, Billions of Dollars, Weekly, Seasonally Adjusted]]-B31)/B31</f>
        <v>0</v>
      </c>
      <c r="D32" s="35">
        <f>((1+Table2634[[#This Row],[Weekly change]])^52)-1</f>
        <v>0</v>
      </c>
      <c r="E32" s="25">
        <f t="shared" si="0"/>
        <v>283</v>
      </c>
      <c r="F32" s="30"/>
    </row>
    <row r="33" spans="1:6" x14ac:dyDescent="0.2">
      <c r="A33" s="23">
        <v>27589</v>
      </c>
      <c r="B33" s="25">
        <f>VLOOKUP(Table2634[[#This Row],[Date]],'DB Money Supply'!$A:$D,4)</f>
        <v>283.7</v>
      </c>
      <c r="C33" s="31">
        <f>(Table2634[[#This Row],[M1 Money Stock, Billions of Dollars, Weekly, Seasonally Adjusted]]-B32)/B32</f>
        <v>1.4119308153899657E-3</v>
      </c>
      <c r="D33" s="35">
        <f>((1+Table2634[[#This Row],[Weekly change]])^52)-1</f>
        <v>7.6127144587354145E-2</v>
      </c>
      <c r="E33" s="25">
        <f t="shared" si="0"/>
        <v>283.375</v>
      </c>
      <c r="F33" s="30"/>
    </row>
    <row r="34" spans="1:6" x14ac:dyDescent="0.2">
      <c r="A34" s="23">
        <v>27596</v>
      </c>
      <c r="B34" s="25">
        <f>VLOOKUP(Table2634[[#This Row],[Date]],'DB Money Supply'!$A:$D,4)</f>
        <v>283.89999999999998</v>
      </c>
      <c r="C34" s="31">
        <f>(Table2634[[#This Row],[M1 Money Stock, Billions of Dollars, Weekly, Seasonally Adjusted]]-B33)/B33</f>
        <v>7.0497003877331211E-4</v>
      </c>
      <c r="D34" s="35">
        <f>((1+Table2634[[#This Row],[Weekly change]])^52)-1</f>
        <v>3.7325251382764879E-2</v>
      </c>
      <c r="E34" s="25">
        <f t="shared" si="0"/>
        <v>283.54999999999995</v>
      </c>
      <c r="F34" s="30"/>
    </row>
    <row r="35" spans="1:6" x14ac:dyDescent="0.2">
      <c r="A35" s="23">
        <v>27603</v>
      </c>
      <c r="B35" s="25">
        <f>VLOOKUP(Table2634[[#This Row],[Date]],'DB Money Supply'!$A:$D,4)</f>
        <v>283.7</v>
      </c>
      <c r="C35" s="31">
        <f>(Table2634[[#This Row],[M1 Money Stock, Billions of Dollars, Weekly, Seasonally Adjusted]]-B34)/B34</f>
        <v>-7.0447340612887863E-4</v>
      </c>
      <c r="D35" s="35">
        <f>((1+Table2634[[#This Row],[Weekly change]])^52)-1</f>
        <v>-3.5982206480568713E-2</v>
      </c>
      <c r="E35" s="25">
        <f t="shared" si="0"/>
        <v>283.64999999999998</v>
      </c>
      <c r="F35" s="30"/>
    </row>
    <row r="36" spans="1:6" x14ac:dyDescent="0.2">
      <c r="A36" s="23">
        <v>27610</v>
      </c>
      <c r="B36" s="25">
        <f>VLOOKUP(Table2634[[#This Row],[Date]],'DB Money Supply'!$A:$D,4)</f>
        <v>283.7</v>
      </c>
      <c r="C36" s="31">
        <f>(Table2634[[#This Row],[M1 Money Stock, Billions of Dollars, Weekly, Seasonally Adjusted]]-B35)/B35</f>
        <v>0</v>
      </c>
      <c r="D36" s="35">
        <f>((1+Table2634[[#This Row],[Weekly change]])^52)-1</f>
        <v>0</v>
      </c>
      <c r="E36" s="25">
        <f t="shared" si="0"/>
        <v>283.75</v>
      </c>
      <c r="F36" s="30"/>
    </row>
    <row r="37" spans="1:6" x14ac:dyDescent="0.2">
      <c r="A37" s="23">
        <v>27617</v>
      </c>
      <c r="B37" s="25">
        <f>VLOOKUP(Table2634[[#This Row],[Date]],'DB Money Supply'!$A:$D,4)</f>
        <v>283.10000000000002</v>
      </c>
      <c r="C37" s="31">
        <f>(Table2634[[#This Row],[M1 Money Stock, Billions of Dollars, Weekly, Seasonally Adjusted]]-B36)/B36</f>
        <v>-2.1149101163199361E-3</v>
      </c>
      <c r="D37" s="35">
        <f>((1+Table2634[[#This Row],[Weekly change]])^52)-1</f>
        <v>-0.10424808438678212</v>
      </c>
      <c r="E37" s="25">
        <f t="shared" si="0"/>
        <v>283.60000000000002</v>
      </c>
      <c r="F37" s="30"/>
    </row>
    <row r="38" spans="1:6" x14ac:dyDescent="0.2">
      <c r="A38" s="23">
        <v>27624</v>
      </c>
      <c r="B38" s="25">
        <f>VLOOKUP(Table2634[[#This Row],[Date]],'DB Money Supply'!$A:$D,4)</f>
        <v>283.5</v>
      </c>
      <c r="C38" s="31">
        <f>(Table2634[[#This Row],[M1 Money Stock, Billions of Dollars, Weekly, Seasonally Adjusted]]-B37)/B37</f>
        <v>1.4129282938890046E-3</v>
      </c>
      <c r="D38" s="35">
        <f>((1+Table2634[[#This Row],[Weekly change]])^52)-1</f>
        <v>7.6182884815620078E-2</v>
      </c>
      <c r="E38" s="25">
        <f t="shared" si="0"/>
        <v>283.5</v>
      </c>
      <c r="F38" s="30"/>
    </row>
    <row r="39" spans="1:6" x14ac:dyDescent="0.2">
      <c r="A39" s="23">
        <v>27631</v>
      </c>
      <c r="B39" s="25">
        <f>VLOOKUP(Table2634[[#This Row],[Date]],'DB Money Supply'!$A:$D,4)</f>
        <v>284.7</v>
      </c>
      <c r="C39" s="31">
        <f>(Table2634[[#This Row],[M1 Money Stock, Billions of Dollars, Weekly, Seasonally Adjusted]]-B38)/B38</f>
        <v>4.2328042328041923E-3</v>
      </c>
      <c r="D39" s="35">
        <f>((1+Table2634[[#This Row],[Weekly change]])^52)-1</f>
        <v>0.24562984057877957</v>
      </c>
      <c r="E39" s="25">
        <f t="shared" si="0"/>
        <v>283.75</v>
      </c>
      <c r="F39" s="30"/>
    </row>
    <row r="40" spans="1:6" x14ac:dyDescent="0.2">
      <c r="A40" s="23">
        <v>27638</v>
      </c>
      <c r="B40" s="25">
        <f>VLOOKUP(Table2634[[#This Row],[Date]],'DB Money Supply'!$A:$D,4)</f>
        <v>285.2</v>
      </c>
      <c r="C40" s="31">
        <f>(Table2634[[#This Row],[M1 Money Stock, Billions of Dollars, Weekly, Seasonally Adjusted]]-B39)/B39</f>
        <v>1.7562346329469617E-3</v>
      </c>
      <c r="D40" s="35">
        <f>((1+Table2634[[#This Row],[Weekly change]])^52)-1</f>
        <v>9.5536394501833932E-2</v>
      </c>
      <c r="E40" s="25">
        <f t="shared" si="0"/>
        <v>284.125</v>
      </c>
      <c r="F40" s="30"/>
    </row>
    <row r="41" spans="1:6" x14ac:dyDescent="0.2">
      <c r="A41" s="23">
        <v>27645</v>
      </c>
      <c r="B41" s="25">
        <f>VLOOKUP(Table2634[[#This Row],[Date]],'DB Money Supply'!$A:$D,4)</f>
        <v>285.60000000000002</v>
      </c>
      <c r="C41" s="31">
        <f>(Table2634[[#This Row],[M1 Money Stock, Billions of Dollars, Weekly, Seasonally Adjusted]]-B40)/B40</f>
        <v>1.4025245441796428E-3</v>
      </c>
      <c r="D41" s="35">
        <f>((1+Table2634[[#This Row],[Weekly change]])^52)-1</f>
        <v>7.5601650727200154E-2</v>
      </c>
      <c r="E41" s="25">
        <f t="shared" si="0"/>
        <v>284.75</v>
      </c>
      <c r="F41" s="30"/>
    </row>
    <row r="42" spans="1:6" x14ac:dyDescent="0.2">
      <c r="A42" s="23">
        <v>27652</v>
      </c>
      <c r="B42" s="25">
        <f>VLOOKUP(Table2634[[#This Row],[Date]],'DB Money Supply'!$A:$D,4)</f>
        <v>285.3</v>
      </c>
      <c r="C42" s="31">
        <f>(Table2634[[#This Row],[M1 Money Stock, Billions of Dollars, Weekly, Seasonally Adjusted]]-B41)/B41</f>
        <v>-1.0504201680672665E-3</v>
      </c>
      <c r="D42" s="35">
        <f>((1+Table2634[[#This Row],[Weekly change]])^52)-1</f>
        <v>-5.3184051444215896E-2</v>
      </c>
      <c r="E42" s="25">
        <f t="shared" si="0"/>
        <v>285.2</v>
      </c>
      <c r="F42" s="30"/>
    </row>
    <row r="43" spans="1:6" x14ac:dyDescent="0.2">
      <c r="A43" s="23">
        <v>27659</v>
      </c>
      <c r="B43" s="25">
        <f>VLOOKUP(Table2634[[#This Row],[Date]],'DB Money Supply'!$A:$D,4)</f>
        <v>285.8</v>
      </c>
      <c r="C43" s="31">
        <f>(Table2634[[#This Row],[M1 Money Stock, Billions of Dollars, Weekly, Seasonally Adjusted]]-B42)/B42</f>
        <v>1.7525411847178409E-3</v>
      </c>
      <c r="D43" s="35">
        <f>((1+Table2634[[#This Row],[Weekly change]])^52)-1</f>
        <v>9.5326375164226596E-2</v>
      </c>
      <c r="E43" s="25">
        <f t="shared" si="0"/>
        <v>285.47499999999997</v>
      </c>
      <c r="F43" s="30"/>
    </row>
    <row r="44" spans="1:6" x14ac:dyDescent="0.2">
      <c r="A44" s="23">
        <v>27666</v>
      </c>
      <c r="B44" s="25">
        <f>VLOOKUP(Table2634[[#This Row],[Date]],'DB Money Supply'!$A:$D,4)</f>
        <v>286.10000000000002</v>
      </c>
      <c r="C44" s="31">
        <f>(Table2634[[#This Row],[M1 Money Stock, Billions of Dollars, Weekly, Seasonally Adjusted]]-B43)/B43</f>
        <v>1.0496850944716983E-3</v>
      </c>
      <c r="D44" s="35">
        <f>((1+Table2634[[#This Row],[Weekly change]])^52)-1</f>
        <v>5.6070555672033784E-2</v>
      </c>
      <c r="E44" s="25">
        <f t="shared" si="0"/>
        <v>285.70000000000005</v>
      </c>
      <c r="F44" s="30"/>
    </row>
    <row r="45" spans="1:6" x14ac:dyDescent="0.2">
      <c r="A45" s="23">
        <v>27673</v>
      </c>
      <c r="B45" s="25">
        <f>VLOOKUP(Table2634[[#This Row],[Date]],'DB Money Supply'!$A:$D,4)</f>
        <v>284.5</v>
      </c>
      <c r="C45" s="31">
        <f>(Table2634[[#This Row],[M1 Money Stock, Billions of Dollars, Weekly, Seasonally Adjusted]]-B44)/B44</f>
        <v>-5.5924501922405548E-3</v>
      </c>
      <c r="D45" s="35">
        <f>((1+Table2634[[#This Row],[Weekly change]])^52)-1</f>
        <v>-0.2529503404890755</v>
      </c>
      <c r="E45" s="25">
        <f t="shared" si="0"/>
        <v>285.42500000000001</v>
      </c>
      <c r="F45" s="30"/>
    </row>
    <row r="46" spans="1:6" x14ac:dyDescent="0.2">
      <c r="A46" s="23">
        <v>27680</v>
      </c>
      <c r="B46" s="25">
        <f>VLOOKUP(Table2634[[#This Row],[Date]],'DB Money Supply'!$A:$D,4)</f>
        <v>285.5</v>
      </c>
      <c r="C46" s="31">
        <f>(Table2634[[#This Row],[M1 Money Stock, Billions of Dollars, Weekly, Seasonally Adjusted]]-B45)/B45</f>
        <v>3.5149384885764497E-3</v>
      </c>
      <c r="D46" s="35">
        <f>((1+Table2634[[#This Row],[Weekly change]])^52)-1</f>
        <v>0.20016173579762753</v>
      </c>
      <c r="E46" s="25">
        <f t="shared" si="0"/>
        <v>285.47500000000002</v>
      </c>
      <c r="F46" s="30"/>
    </row>
    <row r="47" spans="1:6" x14ac:dyDescent="0.2">
      <c r="A47" s="23">
        <v>27687</v>
      </c>
      <c r="B47" s="25">
        <f>VLOOKUP(Table2634[[#This Row],[Date]],'DB Money Supply'!$A:$D,4)</f>
        <v>286.2</v>
      </c>
      <c r="C47" s="31">
        <f>(Table2634[[#This Row],[M1 Money Stock, Billions of Dollars, Weekly, Seasonally Adjusted]]-B46)/B46</f>
        <v>2.4518388791593296E-3</v>
      </c>
      <c r="D47" s="35">
        <f>((1+Table2634[[#This Row],[Weekly change]])^52)-1</f>
        <v>0.13580264517411877</v>
      </c>
      <c r="E47" s="25">
        <f t="shared" si="0"/>
        <v>285.57499999999999</v>
      </c>
      <c r="F47" s="30"/>
    </row>
    <row r="48" spans="1:6" x14ac:dyDescent="0.2">
      <c r="A48" s="23">
        <v>27694</v>
      </c>
      <c r="B48" s="25">
        <f>VLOOKUP(Table2634[[#This Row],[Date]],'DB Money Supply'!$A:$D,4)</f>
        <v>284.89999999999998</v>
      </c>
      <c r="C48" s="31">
        <f>(Table2634[[#This Row],[M1 Money Stock, Billions of Dollars, Weekly, Seasonally Adjusted]]-B47)/B47</f>
        <v>-4.5422781271838271E-3</v>
      </c>
      <c r="D48" s="35">
        <f>((1+Table2634[[#This Row],[Weekly change]])^52)-1</f>
        <v>-0.21080081076660084</v>
      </c>
      <c r="E48" s="25">
        <f t="shared" si="0"/>
        <v>285.27499999999998</v>
      </c>
      <c r="F48" s="30"/>
    </row>
    <row r="49" spans="1:6" x14ac:dyDescent="0.2">
      <c r="A49" s="23">
        <v>27701</v>
      </c>
      <c r="B49" s="25">
        <f>VLOOKUP(Table2634[[#This Row],[Date]],'DB Money Supply'!$A:$D,4)</f>
        <v>285.89999999999998</v>
      </c>
      <c r="C49" s="31">
        <f>(Table2634[[#This Row],[M1 Money Stock, Billions of Dollars, Weekly, Seasonally Adjusted]]-B48)/B48</f>
        <v>3.5100035100035102E-3</v>
      </c>
      <c r="D49" s="35">
        <f>((1+Table2634[[#This Row],[Weekly change]])^52)-1</f>
        <v>0.19985486886701098</v>
      </c>
      <c r="E49" s="25">
        <f t="shared" si="0"/>
        <v>285.625</v>
      </c>
      <c r="F49" s="30"/>
    </row>
    <row r="50" spans="1:6" x14ac:dyDescent="0.2">
      <c r="A50" s="23">
        <v>27708</v>
      </c>
      <c r="B50" s="25">
        <f>VLOOKUP(Table2634[[#This Row],[Date]],'DB Money Supply'!$A:$D,4)</f>
        <v>286.8</v>
      </c>
      <c r="C50" s="31">
        <f>(Table2634[[#This Row],[M1 Money Stock, Billions of Dollars, Weekly, Seasonally Adjusted]]-B49)/B49</f>
        <v>3.1479538300106125E-3</v>
      </c>
      <c r="D50" s="35">
        <f>((1+Table2634[[#This Row],[Weekly change]])^52)-1</f>
        <v>0.1775505649914948</v>
      </c>
      <c r="E50" s="25">
        <f t="shared" si="0"/>
        <v>285.95</v>
      </c>
      <c r="F50" s="30"/>
    </row>
    <row r="51" spans="1:6" x14ac:dyDescent="0.2">
      <c r="A51" s="23">
        <v>27715</v>
      </c>
      <c r="B51" s="25">
        <f>VLOOKUP(Table2634[[#This Row],[Date]],'DB Money Supply'!$A:$D,4)</f>
        <v>286.3</v>
      </c>
      <c r="C51" s="31">
        <f>(Table2634[[#This Row],[M1 Money Stock, Billions of Dollars, Weekly, Seasonally Adjusted]]-B50)/B50</f>
        <v>-1.7433751743375174E-3</v>
      </c>
      <c r="D51" s="35">
        <f>((1+Table2634[[#This Row],[Weekly change]])^52)-1</f>
        <v>-8.6739964245945655E-2</v>
      </c>
      <c r="E51" s="25">
        <f t="shared" si="0"/>
        <v>285.97499999999997</v>
      </c>
      <c r="F51" s="30"/>
    </row>
    <row r="52" spans="1:6" x14ac:dyDescent="0.2">
      <c r="A52" s="23">
        <v>27722</v>
      </c>
      <c r="B52" s="25">
        <f>VLOOKUP(Table2634[[#This Row],[Date]],'DB Money Supply'!$A:$D,4)</f>
        <v>287.5</v>
      </c>
      <c r="C52" s="31">
        <f>(Table2634[[#This Row],[M1 Money Stock, Billions of Dollars, Weekly, Seasonally Adjusted]]-B51)/B51</f>
        <v>4.1914076143904598E-3</v>
      </c>
      <c r="D52" s="35">
        <f>((1+Table2634[[#This Row],[Weekly change]])^52)-1</f>
        <v>0.24296257433671475</v>
      </c>
      <c r="E52" s="25">
        <f t="shared" si="0"/>
        <v>286.625</v>
      </c>
      <c r="F52" s="30"/>
    </row>
    <row r="53" spans="1:6" x14ac:dyDescent="0.2">
      <c r="A53" s="23">
        <v>27729</v>
      </c>
      <c r="B53" s="25">
        <f>VLOOKUP(Table2634[[#This Row],[Date]],'DB Money Supply'!$A:$D,4)</f>
        <v>286.89999999999998</v>
      </c>
      <c r="C53" s="31">
        <f>(Table2634[[#This Row],[M1 Money Stock, Billions of Dollars, Weekly, Seasonally Adjusted]]-B52)/B52</f>
        <v>-2.0869565217392096E-3</v>
      </c>
      <c r="D53" s="35">
        <f>((1+Table2634[[#This Row],[Weekly change]])^52)-1</f>
        <v>-0.10294233905957761</v>
      </c>
      <c r="E53" s="25">
        <f t="shared" si="0"/>
        <v>286.875</v>
      </c>
      <c r="F53" s="30"/>
    </row>
    <row r="54" spans="1:6" x14ac:dyDescent="0.2">
      <c r="A54" s="23">
        <v>27736</v>
      </c>
      <c r="B54" s="25">
        <f>VLOOKUP(Table2634[[#This Row],[Date]],'DB Money Supply'!$A:$D,4)</f>
        <v>286.8</v>
      </c>
      <c r="C54" s="31">
        <f>(Table2634[[#This Row],[M1 Money Stock, Billions of Dollars, Weekly, Seasonally Adjusted]]-B53)/B53</f>
        <v>-3.4855350296258595E-4</v>
      </c>
      <c r="D54" s="35">
        <f>((1+Table2634[[#This Row],[Weekly change]])^52)-1</f>
        <v>-1.7964618873553939E-2</v>
      </c>
      <c r="E54" s="25">
        <f t="shared" si="0"/>
        <v>286.875</v>
      </c>
      <c r="F54" s="30"/>
    </row>
    <row r="55" spans="1:6" x14ac:dyDescent="0.2">
      <c r="A55" s="23">
        <v>27743</v>
      </c>
      <c r="B55" s="25">
        <f>VLOOKUP(Table2634[[#This Row],[Date]],'DB Money Supply'!$A:$D,4)</f>
        <v>287.10000000000002</v>
      </c>
      <c r="C55" s="31">
        <f>(Table2634[[#This Row],[M1 Money Stock, Billions of Dollars, Weekly, Seasonally Adjusted]]-B54)/B54</f>
        <v>1.0460251046025501E-3</v>
      </c>
      <c r="D55" s="35">
        <f>((1+Table2634[[#This Row],[Weekly change]])^52)-1</f>
        <v>5.5869794353993418E-2</v>
      </c>
      <c r="E55" s="25">
        <f t="shared" si="0"/>
        <v>287.07500000000005</v>
      </c>
      <c r="F55" s="30"/>
    </row>
    <row r="56" spans="1:6" x14ac:dyDescent="0.2">
      <c r="A56" s="23">
        <v>27750</v>
      </c>
      <c r="B56" s="25">
        <f>VLOOKUP(Table2634[[#This Row],[Date]],'DB Money Supply'!$A:$D,4)</f>
        <v>287.39999999999998</v>
      </c>
      <c r="C56" s="31">
        <f>(Table2634[[#This Row],[M1 Money Stock, Billions of Dollars, Weekly, Seasonally Adjusted]]-B55)/B55</f>
        <v>1.0449320794146796E-3</v>
      </c>
      <c r="D56" s="35">
        <f>((1+Table2634[[#This Row],[Weekly change]])^52)-1</f>
        <v>5.5809845933867619E-2</v>
      </c>
      <c r="E56" s="25">
        <f t="shared" si="0"/>
        <v>287.05</v>
      </c>
      <c r="F56" s="30"/>
    </row>
    <row r="57" spans="1:6" x14ac:dyDescent="0.2">
      <c r="A57" s="23">
        <v>27757</v>
      </c>
      <c r="B57" s="25">
        <f>VLOOKUP(Table2634[[#This Row],[Date]],'DB Money Supply'!$A:$D,4)</f>
        <v>287.2</v>
      </c>
      <c r="C57" s="31">
        <f>(Table2634[[#This Row],[M1 Money Stock, Billions of Dollars, Weekly, Seasonally Adjusted]]-B56)/B56</f>
        <v>-6.9589422407790062E-4</v>
      </c>
      <c r="D57" s="35">
        <f>((1+Table2634[[#This Row],[Weekly change]])^52)-1</f>
        <v>-3.5551743890481324E-2</v>
      </c>
      <c r="E57" s="25">
        <f t="shared" si="0"/>
        <v>287.125</v>
      </c>
      <c r="F57" s="30"/>
    </row>
    <row r="58" spans="1:6" x14ac:dyDescent="0.2">
      <c r="A58" s="23">
        <v>27764</v>
      </c>
      <c r="B58" s="25">
        <f>VLOOKUP(Table2634[[#This Row],[Date]],'DB Money Supply'!$A:$D,4)</f>
        <v>287.3</v>
      </c>
      <c r="C58" s="31">
        <f>(Table2634[[#This Row],[M1 Money Stock, Billions of Dollars, Weekly, Seasonally Adjusted]]-B57)/B57</f>
        <v>3.4818941504186193E-4</v>
      </c>
      <c r="D58" s="35">
        <f>((1+Table2634[[#This Row],[Weekly change]])^52)-1</f>
        <v>1.8267545244945893E-2</v>
      </c>
      <c r="E58" s="25">
        <f t="shared" si="0"/>
        <v>287.25</v>
      </c>
      <c r="F58" s="33">
        <f>(Table2634[[#This Row],[4 weeks average]]-B6)/B6</f>
        <v>5.0658376005852317E-2</v>
      </c>
    </row>
    <row r="59" spans="1:6" x14ac:dyDescent="0.2">
      <c r="A59" s="23">
        <v>27771</v>
      </c>
      <c r="B59" s="25">
        <f>VLOOKUP(Table2634[[#This Row],[Date]],'DB Money Supply'!$A:$D,4)</f>
        <v>287.89999999999998</v>
      </c>
      <c r="C59" s="31">
        <f>(Table2634[[#This Row],[M1 Money Stock, Billions of Dollars, Weekly, Seasonally Adjusted]]-B58)/B58</f>
        <v>2.088409328228214E-3</v>
      </c>
      <c r="D59" s="35">
        <f>((1+Table2634[[#This Row],[Weekly change]])^52)-1</f>
        <v>0.11458712505868007</v>
      </c>
      <c r="E59" s="25">
        <f t="shared" si="0"/>
        <v>287.44999999999993</v>
      </c>
      <c r="F59" s="33">
        <f>(Table2634[[#This Row],[4 weeks average]]-B7)/B7</f>
        <v>5.0237486298867165E-2</v>
      </c>
    </row>
    <row r="60" spans="1:6" x14ac:dyDescent="0.2">
      <c r="A60" s="23">
        <v>27778</v>
      </c>
      <c r="B60" s="25">
        <f>VLOOKUP(Table2634[[#This Row],[Date]],'DB Money Supply'!$A:$D,4)</f>
        <v>288.39999999999998</v>
      </c>
      <c r="C60" s="31">
        <f>(Table2634[[#This Row],[M1 Money Stock, Billions of Dollars, Weekly, Seasonally Adjusted]]-B59)/B59</f>
        <v>1.7367141368530741E-3</v>
      </c>
      <c r="D60" s="35">
        <f>((1+Table2634[[#This Row],[Weekly change]])^52)-1</f>
        <v>9.4426853986012249E-2</v>
      </c>
      <c r="E60" s="25">
        <f t="shared" si="0"/>
        <v>287.7</v>
      </c>
      <c r="F60" s="33">
        <f>(Table2634[[#This Row],[4 weeks average]]-B8)/B8</f>
        <v>5.0766983199415548E-2</v>
      </c>
    </row>
    <row r="61" spans="1:6" x14ac:dyDescent="0.2">
      <c r="A61" s="23">
        <v>27785</v>
      </c>
      <c r="B61" s="25">
        <f>VLOOKUP(Table2634[[#This Row],[Date]],'DB Money Supply'!$A:$D,4)</f>
        <v>289.10000000000002</v>
      </c>
      <c r="C61" s="31">
        <f>(Table2634[[#This Row],[M1 Money Stock, Billions of Dollars, Weekly, Seasonally Adjusted]]-B60)/B60</f>
        <v>2.4271844660195756E-3</v>
      </c>
      <c r="D61" s="35">
        <f>((1+Table2634[[#This Row],[Weekly change]])^52)-1</f>
        <v>0.13435098477231855</v>
      </c>
      <c r="E61" s="25">
        <f t="shared" si="0"/>
        <v>288.17500000000001</v>
      </c>
      <c r="F61" s="33">
        <f>(Table2634[[#This Row],[4 weeks average]]-B9)/B9</f>
        <v>5.2886371940080466E-2</v>
      </c>
    </row>
    <row r="62" spans="1:6" x14ac:dyDescent="0.2">
      <c r="A62" s="23">
        <v>27792</v>
      </c>
      <c r="B62" s="25">
        <f>VLOOKUP(Table2634[[#This Row],[Date]],'DB Money Supply'!$A:$D,4)</f>
        <v>290.2</v>
      </c>
      <c r="C62" s="31">
        <f>(Table2634[[#This Row],[M1 Money Stock, Billions of Dollars, Weekly, Seasonally Adjusted]]-B61)/B61</f>
        <v>3.804911795226447E-3</v>
      </c>
      <c r="D62" s="35">
        <f>((1+Table2634[[#This Row],[Weekly change]])^52)-1</f>
        <v>0.21832864240727856</v>
      </c>
      <c r="E62" s="25">
        <f t="shared" si="0"/>
        <v>288.89999999999998</v>
      </c>
      <c r="F62" s="33">
        <f>(Table2634[[#This Row],[4 weeks average]]-B10)/B10</f>
        <v>4.978197674418601E-2</v>
      </c>
    </row>
    <row r="63" spans="1:6" x14ac:dyDescent="0.2">
      <c r="A63" s="23">
        <v>27799</v>
      </c>
      <c r="B63" s="25">
        <f>VLOOKUP(Table2634[[#This Row],[Date]],'DB Money Supply'!$A:$D,4)</f>
        <v>290.3</v>
      </c>
      <c r="C63" s="31">
        <f>(Table2634[[#This Row],[M1 Money Stock, Billions of Dollars, Weekly, Seasonally Adjusted]]-B62)/B62</f>
        <v>3.4458993797388955E-4</v>
      </c>
      <c r="D63" s="35">
        <f>((1+Table2634[[#This Row],[Weekly change]])^52)-1</f>
        <v>1.8077037069282209E-2</v>
      </c>
      <c r="E63" s="25">
        <f t="shared" si="0"/>
        <v>289.5</v>
      </c>
      <c r="F63" s="33">
        <f>(Table2634[[#This Row],[4 weeks average]]-B11)/B11</f>
        <v>5.4644808743169397E-2</v>
      </c>
    </row>
    <row r="64" spans="1:6" x14ac:dyDescent="0.2">
      <c r="A64" s="23">
        <v>27806</v>
      </c>
      <c r="B64" s="25">
        <f>VLOOKUP(Table2634[[#This Row],[Date]],'DB Money Supply'!$A:$D,4)</f>
        <v>291.2</v>
      </c>
      <c r="C64" s="31">
        <f>(Table2634[[#This Row],[M1 Money Stock, Billions of Dollars, Weekly, Seasonally Adjusted]]-B63)/B63</f>
        <v>3.1002411298655776E-3</v>
      </c>
      <c r="D64" s="35">
        <f>((1+Table2634[[#This Row],[Weekly change]])^52)-1</f>
        <v>0.17464168855640594</v>
      </c>
      <c r="E64" s="25">
        <f t="shared" si="0"/>
        <v>290.2</v>
      </c>
      <c r="F64" s="33">
        <f>(Table2634[[#This Row],[4 weeks average]]-B12)/B12</f>
        <v>5.6809905316824345E-2</v>
      </c>
    </row>
    <row r="65" spans="1:6" x14ac:dyDescent="0.2">
      <c r="A65" s="23">
        <v>27813</v>
      </c>
      <c r="B65" s="25">
        <f>VLOOKUP(Table2634[[#This Row],[Date]],'DB Money Supply'!$A:$D,4)</f>
        <v>290.7</v>
      </c>
      <c r="C65" s="31">
        <f>(Table2634[[#This Row],[M1 Money Stock, Billions of Dollars, Weekly, Seasonally Adjusted]]-B64)/B64</f>
        <v>-1.717032967032967E-3</v>
      </c>
      <c r="D65" s="35">
        <f>((1+Table2634[[#This Row],[Weekly change]])^52)-1</f>
        <v>-8.5485957058089257E-2</v>
      </c>
      <c r="E65" s="25">
        <f t="shared" si="0"/>
        <v>290.60000000000002</v>
      </c>
      <c r="F65" s="33">
        <f>(Table2634[[#This Row],[4 weeks average]]-B13)/B13</f>
        <v>5.9810357403355344E-2</v>
      </c>
    </row>
    <row r="66" spans="1:6" x14ac:dyDescent="0.2">
      <c r="A66" s="23">
        <v>27820</v>
      </c>
      <c r="B66" s="25">
        <f>VLOOKUP(Table2634[[#This Row],[Date]],'DB Money Supply'!$A:$D,4)</f>
        <v>291.2</v>
      </c>
      <c r="C66" s="31">
        <f>(Table2634[[#This Row],[M1 Money Stock, Billions of Dollars, Weekly, Seasonally Adjusted]]-B65)/B65</f>
        <v>1.7199862401100791E-3</v>
      </c>
      <c r="D66" s="35">
        <f>((1+Table2634[[#This Row],[Weekly change]])^52)-1</f>
        <v>9.3476921123145429E-2</v>
      </c>
      <c r="E66" s="25">
        <f t="shared" si="0"/>
        <v>290.85000000000002</v>
      </c>
      <c r="F66" s="33">
        <f>(Table2634[[#This Row],[4 weeks average]]-B14)/B14</f>
        <v>5.6100217864923918E-2</v>
      </c>
    </row>
    <row r="67" spans="1:6" x14ac:dyDescent="0.2">
      <c r="A67" s="23">
        <v>27827</v>
      </c>
      <c r="B67" s="25">
        <f>VLOOKUP(Table2634[[#This Row],[Date]],'DB Money Supply'!$A:$D,4)</f>
        <v>291.10000000000002</v>
      </c>
      <c r="C67" s="31">
        <f>(Table2634[[#This Row],[M1 Money Stock, Billions of Dollars, Weekly, Seasonally Adjusted]]-B66)/B66</f>
        <v>-3.4340659340647629E-4</v>
      </c>
      <c r="D67" s="35">
        <f>((1+Table2634[[#This Row],[Weekly change]])^52)-1</f>
        <v>-1.7701661449279205E-2</v>
      </c>
      <c r="E67" s="25">
        <f t="shared" si="0"/>
        <v>291.04999999999995</v>
      </c>
      <c r="F67" s="33">
        <f>(Table2634[[#This Row],[4 weeks average]]-B15)/B15</f>
        <v>5.1101480678945391E-2</v>
      </c>
    </row>
    <row r="68" spans="1:6" x14ac:dyDescent="0.2">
      <c r="A68" s="23">
        <v>27834</v>
      </c>
      <c r="B68" s="25">
        <f>VLOOKUP(Table2634[[#This Row],[Date]],'DB Money Supply'!$A:$D,4)</f>
        <v>292.8</v>
      </c>
      <c r="C68" s="31">
        <f>(Table2634[[#This Row],[M1 Money Stock, Billions of Dollars, Weekly, Seasonally Adjusted]]-B67)/B67</f>
        <v>5.8399175541050787E-3</v>
      </c>
      <c r="D68" s="35">
        <f>((1+Table2634[[#This Row],[Weekly change]])^52)-1</f>
        <v>0.3536334608374343</v>
      </c>
      <c r="E68" s="25">
        <f t="shared" si="0"/>
        <v>291.45</v>
      </c>
      <c r="F68" s="33">
        <f>(Table2634[[#This Row],[4 weeks average]]-B16)/B16</f>
        <v>5.4831704668838133E-2</v>
      </c>
    </row>
    <row r="69" spans="1:6" x14ac:dyDescent="0.2">
      <c r="A69" s="23">
        <v>27841</v>
      </c>
      <c r="B69" s="25">
        <f>VLOOKUP(Table2634[[#This Row],[Date]],'DB Money Supply'!$A:$D,4)</f>
        <v>292.8</v>
      </c>
      <c r="C69" s="31">
        <f>(Table2634[[#This Row],[M1 Money Stock, Billions of Dollars, Weekly, Seasonally Adjusted]]-B68)/B68</f>
        <v>0</v>
      </c>
      <c r="D69" s="35">
        <f>((1+Table2634[[#This Row],[Weekly change]])^52)-1</f>
        <v>0</v>
      </c>
      <c r="E69" s="25">
        <f t="shared" si="0"/>
        <v>291.97499999999997</v>
      </c>
      <c r="F69" s="33">
        <f>(Table2634[[#This Row],[4 weeks average]]-B17)/B17</f>
        <v>5.1783141210374431E-2</v>
      </c>
    </row>
    <row r="70" spans="1:6" x14ac:dyDescent="0.2">
      <c r="A70" s="23">
        <v>27848</v>
      </c>
      <c r="B70" s="25">
        <f>VLOOKUP(Table2634[[#This Row],[Date]],'DB Money Supply'!$A:$D,4)</f>
        <v>294.2</v>
      </c>
      <c r="C70" s="31">
        <f>(Table2634[[#This Row],[M1 Money Stock, Billions of Dollars, Weekly, Seasonally Adjusted]]-B69)/B69</f>
        <v>4.7814207650272444E-3</v>
      </c>
      <c r="D70" s="35">
        <f>((1+Table2634[[#This Row],[Weekly change]])^52)-1</f>
        <v>0.28151292956391316</v>
      </c>
      <c r="E70" s="25">
        <f t="shared" si="0"/>
        <v>292.72500000000002</v>
      </c>
      <c r="F70" s="33">
        <f>(Table2634[[#This Row],[4 weeks average]]-B18)/B18</f>
        <v>7.0683979517191103E-2</v>
      </c>
    </row>
    <row r="71" spans="1:6" x14ac:dyDescent="0.2">
      <c r="A71" s="23">
        <v>27855</v>
      </c>
      <c r="B71" s="25">
        <f>VLOOKUP(Table2634[[#This Row],[Date]],'DB Money Supply'!$A:$D,4)</f>
        <v>293</v>
      </c>
      <c r="C71" s="31">
        <f>(Table2634[[#This Row],[M1 Money Stock, Billions of Dollars, Weekly, Seasonally Adjusted]]-B70)/B70</f>
        <v>-4.0788579197824221E-3</v>
      </c>
      <c r="D71" s="35">
        <f>((1+Table2634[[#This Row],[Weekly change]])^52)-1</f>
        <v>-0.1914674619492327</v>
      </c>
      <c r="E71" s="25">
        <f t="shared" si="0"/>
        <v>293.2</v>
      </c>
      <c r="F71" s="33">
        <f>(Table2634[[#This Row],[4 weeks average]]-B19)/B19</f>
        <v>6.5406976744186052E-2</v>
      </c>
    </row>
    <row r="72" spans="1:6" x14ac:dyDescent="0.2">
      <c r="A72" s="23">
        <v>27862</v>
      </c>
      <c r="B72" s="25">
        <f>VLOOKUP(Table2634[[#This Row],[Date]],'DB Money Supply'!$A:$D,4)</f>
        <v>294.5</v>
      </c>
      <c r="C72" s="31">
        <f>(Table2634[[#This Row],[M1 Money Stock, Billions of Dollars, Weekly, Seasonally Adjusted]]-B71)/B71</f>
        <v>5.1194539249146756E-3</v>
      </c>
      <c r="D72" s="35">
        <f>((1+Table2634[[#This Row],[Weekly change]])^52)-1</f>
        <v>0.30412522701147426</v>
      </c>
      <c r="E72" s="25">
        <f t="shared" si="0"/>
        <v>293.625</v>
      </c>
      <c r="F72" s="33">
        <f>(Table2634[[#This Row],[4 weeks average]]-B20)/B20</f>
        <v>6.3473379210430919E-2</v>
      </c>
    </row>
    <row r="73" spans="1:6" x14ac:dyDescent="0.2">
      <c r="A73" s="23">
        <v>27869</v>
      </c>
      <c r="B73" s="25">
        <f>VLOOKUP(Table2634[[#This Row],[Date]],'DB Money Supply'!$A:$D,4)</f>
        <v>294.89999999999998</v>
      </c>
      <c r="C73" s="31">
        <f>(Table2634[[#This Row],[M1 Money Stock, Billions of Dollars, Weekly, Seasonally Adjusted]]-B72)/B72</f>
        <v>1.3582342954158821E-3</v>
      </c>
      <c r="D73" s="35">
        <f>((1+Table2634[[#This Row],[Weekly change]])^52)-1</f>
        <v>7.3130697524457666E-2</v>
      </c>
      <c r="E73" s="25">
        <f t="shared" ref="E73:E136" si="1">AVERAGE(B70:B73)</f>
        <v>294.14999999999998</v>
      </c>
      <c r="F73" s="33">
        <f>(Table2634[[#This Row],[4 weeks average]]-B21)/B21</f>
        <v>6.3064691001084167E-2</v>
      </c>
    </row>
    <row r="74" spans="1:6" x14ac:dyDescent="0.2">
      <c r="A74" s="23">
        <v>27876</v>
      </c>
      <c r="B74" s="25">
        <f>VLOOKUP(Table2634[[#This Row],[Date]],'DB Money Supply'!$A:$D,4)</f>
        <v>295.39999999999998</v>
      </c>
      <c r="C74" s="31">
        <f>(Table2634[[#This Row],[M1 Money Stock, Billions of Dollars, Weekly, Seasonally Adjusted]]-B73)/B73</f>
        <v>1.69548999660902E-3</v>
      </c>
      <c r="D74" s="35">
        <f>((1+Table2634[[#This Row],[Weekly change]])^52)-1</f>
        <v>9.2087303464449599E-2</v>
      </c>
      <c r="E74" s="25">
        <f t="shared" si="1"/>
        <v>294.45</v>
      </c>
      <c r="F74" s="33">
        <f>(Table2634[[#This Row],[4 weeks average]]-B22)/B22</f>
        <v>6.3764450867051944E-2</v>
      </c>
    </row>
    <row r="75" spans="1:6" x14ac:dyDescent="0.2">
      <c r="A75" s="23">
        <v>27883</v>
      </c>
      <c r="B75" s="25">
        <f>VLOOKUP(Table2634[[#This Row],[Date]],'DB Money Supply'!$A:$D,4)</f>
        <v>294.89999999999998</v>
      </c>
      <c r="C75" s="31">
        <f>(Table2634[[#This Row],[M1 Money Stock, Billions of Dollars, Weekly, Seasonally Adjusted]]-B74)/B74</f>
        <v>-1.6926201760324984E-3</v>
      </c>
      <c r="D75" s="35">
        <f>((1+Table2634[[#This Row],[Weekly change]])^52)-1</f>
        <v>-8.4322291058887E-2</v>
      </c>
      <c r="E75" s="25">
        <f t="shared" si="1"/>
        <v>294.92499999999995</v>
      </c>
      <c r="F75" s="33">
        <f>(Table2634[[#This Row],[4 weeks average]]-B23)/B23</f>
        <v>6.3175919250180165E-2</v>
      </c>
    </row>
    <row r="76" spans="1:6" x14ac:dyDescent="0.2">
      <c r="A76" s="23">
        <v>27890</v>
      </c>
      <c r="B76" s="25">
        <f>VLOOKUP(Table2634[[#This Row],[Date]],'DB Money Supply'!$A:$D,4)</f>
        <v>296.3</v>
      </c>
      <c r="C76" s="31">
        <f>(Table2634[[#This Row],[M1 Money Stock, Billions of Dollars, Weekly, Seasonally Adjusted]]-B75)/B75</f>
        <v>4.7473719905053724E-3</v>
      </c>
      <c r="D76" s="35">
        <f>((1+Table2634[[#This Row],[Weekly change]])^52)-1</f>
        <v>0.27925671189436341</v>
      </c>
      <c r="E76" s="25">
        <f t="shared" si="1"/>
        <v>295.375</v>
      </c>
      <c r="F76" s="33">
        <f>(Table2634[[#This Row],[4 weeks average]]-B24)/B24</f>
        <v>6.2117943185904266E-2</v>
      </c>
    </row>
    <row r="77" spans="1:6" x14ac:dyDescent="0.2">
      <c r="A77" s="23">
        <v>27897</v>
      </c>
      <c r="B77" s="25">
        <f>VLOOKUP(Table2634[[#This Row],[Date]],'DB Money Supply'!$A:$D,4)</f>
        <v>295.3</v>
      </c>
      <c r="C77" s="31">
        <f>(Table2634[[#This Row],[M1 Money Stock, Billions of Dollars, Weekly, Seasonally Adjusted]]-B76)/B76</f>
        <v>-3.3749578130273369E-3</v>
      </c>
      <c r="D77" s="35">
        <f>((1+Table2634[[#This Row],[Weekly change]])^52)-1</f>
        <v>-0.16120976624843664</v>
      </c>
      <c r="E77" s="25">
        <f t="shared" si="1"/>
        <v>295.47499999999997</v>
      </c>
      <c r="F77" s="33">
        <f>(Table2634[[#This Row],[4 weeks average]]-B25)/B25</f>
        <v>5.7912638739706243E-2</v>
      </c>
    </row>
    <row r="78" spans="1:6" x14ac:dyDescent="0.2">
      <c r="A78" s="23">
        <v>27904</v>
      </c>
      <c r="B78" s="25">
        <f>VLOOKUP(Table2634[[#This Row],[Date]],'DB Money Supply'!$A:$D,4)</f>
        <v>295.5</v>
      </c>
      <c r="C78" s="31">
        <f>(Table2634[[#This Row],[M1 Money Stock, Billions of Dollars, Weekly, Seasonally Adjusted]]-B77)/B77</f>
        <v>6.7727734507276875E-4</v>
      </c>
      <c r="D78" s="35">
        <f>((1+Table2634[[#This Row],[Weekly change]])^52)-1</f>
        <v>3.5833587393988564E-2</v>
      </c>
      <c r="E78" s="25">
        <f t="shared" si="1"/>
        <v>295.5</v>
      </c>
      <c r="F78" s="33">
        <f>(Table2634[[#This Row],[4 weeks average]]-B26)/B26</f>
        <v>5.3851640513552151E-2</v>
      </c>
    </row>
    <row r="79" spans="1:6" x14ac:dyDescent="0.2">
      <c r="A79" s="23">
        <v>27911</v>
      </c>
      <c r="B79" s="25">
        <f>VLOOKUP(Table2634[[#This Row],[Date]],'DB Money Supply'!$A:$D,4)</f>
        <v>296.39999999999998</v>
      </c>
      <c r="C79" s="31">
        <f>(Table2634[[#This Row],[M1 Money Stock, Billions of Dollars, Weekly, Seasonally Adjusted]]-B78)/B78</f>
        <v>3.0456852791877404E-3</v>
      </c>
      <c r="D79" s="35">
        <f>((1+Table2634[[#This Row],[Weekly change]])^52)-1</f>
        <v>0.17132424481019326</v>
      </c>
      <c r="E79" s="25">
        <f t="shared" si="1"/>
        <v>295.875</v>
      </c>
      <c r="F79" s="33">
        <f>(Table2634[[#This Row],[4 weeks average]]-B27)/B27</f>
        <v>5.4061275382971188E-2</v>
      </c>
    </row>
    <row r="80" spans="1:6" x14ac:dyDescent="0.2">
      <c r="A80" s="23">
        <v>27918</v>
      </c>
      <c r="B80" s="25">
        <f>VLOOKUP(Table2634[[#This Row],[Date]],'DB Money Supply'!$A:$D,4)</f>
        <v>295.5</v>
      </c>
      <c r="C80" s="31">
        <f>(Table2634[[#This Row],[M1 Money Stock, Billions of Dollars, Weekly, Seasonally Adjusted]]-B79)/B79</f>
        <v>-3.0364372469634865E-3</v>
      </c>
      <c r="D80" s="35">
        <f>((1+Table2634[[#This Row],[Weekly change]])^52)-1</f>
        <v>-0.14626543040432571</v>
      </c>
      <c r="E80" s="25">
        <f t="shared" si="1"/>
        <v>295.67499999999995</v>
      </c>
      <c r="F80" s="33">
        <f>(Table2634[[#This Row],[4 weeks average]]-B28)/B28</f>
        <v>5.0355239786855965E-2</v>
      </c>
    </row>
    <row r="81" spans="1:6" x14ac:dyDescent="0.2">
      <c r="A81" s="23">
        <v>27925</v>
      </c>
      <c r="B81" s="25">
        <f>VLOOKUP(Table2634[[#This Row],[Date]],'DB Money Supply'!$A:$D,4)</f>
        <v>296.7</v>
      </c>
      <c r="C81" s="31">
        <f>(Table2634[[#This Row],[M1 Money Stock, Billions of Dollars, Weekly, Seasonally Adjusted]]-B80)/B80</f>
        <v>4.0609137055837175E-3</v>
      </c>
      <c r="D81" s="35">
        <f>((1+Table2634[[#This Row],[Weekly change]])^52)-1</f>
        <v>0.23459120036399583</v>
      </c>
      <c r="E81" s="25">
        <f t="shared" si="1"/>
        <v>296.02499999999998</v>
      </c>
      <c r="F81" s="33">
        <f>(Table2634[[#This Row],[4 weeks average]]-B29)/B29</f>
        <v>4.899007795889436E-2</v>
      </c>
    </row>
    <row r="82" spans="1:6" x14ac:dyDescent="0.2">
      <c r="A82" s="23">
        <v>27932</v>
      </c>
      <c r="B82" s="25">
        <f>VLOOKUP(Table2634[[#This Row],[Date]],'DB Money Supply'!$A:$D,4)</f>
        <v>296.10000000000002</v>
      </c>
      <c r="C82" s="31">
        <f>(Table2634[[#This Row],[M1 Money Stock, Billions of Dollars, Weekly, Seasonally Adjusted]]-B81)/B81</f>
        <v>-2.0222446916075697E-3</v>
      </c>
      <c r="D82" s="35">
        <f>((1+Table2634[[#This Row],[Weekly change]])^52)-1</f>
        <v>-9.991240610161134E-2</v>
      </c>
      <c r="E82" s="25">
        <f t="shared" si="1"/>
        <v>296.17499999999995</v>
      </c>
      <c r="F82" s="33">
        <f>(Table2634[[#This Row],[4 weeks average]]-B30)/B30</f>
        <v>4.581567796610158E-2</v>
      </c>
    </row>
    <row r="83" spans="1:6" x14ac:dyDescent="0.2">
      <c r="A83" s="23">
        <v>27939</v>
      </c>
      <c r="B83" s="25">
        <f>VLOOKUP(Table2634[[#This Row],[Date]],'DB Money Supply'!$A:$D,4)</f>
        <v>296.10000000000002</v>
      </c>
      <c r="C83" s="31">
        <f>(Table2634[[#This Row],[M1 Money Stock, Billions of Dollars, Weekly, Seasonally Adjusted]]-B82)/B82</f>
        <v>0</v>
      </c>
      <c r="D83" s="35">
        <f>((1+Table2634[[#This Row],[Weekly change]])^52)-1</f>
        <v>0</v>
      </c>
      <c r="E83" s="25">
        <f t="shared" si="1"/>
        <v>296.10000000000002</v>
      </c>
      <c r="F83" s="33">
        <f>(Table2634[[#This Row],[4 weeks average]]-B31)/B31</f>
        <v>4.518178609248151E-2</v>
      </c>
    </row>
    <row r="84" spans="1:6" x14ac:dyDescent="0.2">
      <c r="A84" s="23">
        <v>27946</v>
      </c>
      <c r="B84" s="25">
        <f>VLOOKUP(Table2634[[#This Row],[Date]],'DB Money Supply'!$A:$D,4)</f>
        <v>296.10000000000002</v>
      </c>
      <c r="C84" s="31">
        <f>(Table2634[[#This Row],[M1 Money Stock, Billions of Dollars, Weekly, Seasonally Adjusted]]-B83)/B83</f>
        <v>0</v>
      </c>
      <c r="D84" s="35">
        <f>((1+Table2634[[#This Row],[Weekly change]])^52)-1</f>
        <v>0</v>
      </c>
      <c r="E84" s="25">
        <f t="shared" si="1"/>
        <v>296.25</v>
      </c>
      <c r="F84" s="33">
        <f>(Table2634[[#This Row],[4 weeks average]]-B32)/B32</f>
        <v>4.5711260148252691E-2</v>
      </c>
    </row>
    <row r="85" spans="1:6" x14ac:dyDescent="0.2">
      <c r="A85" s="23">
        <v>27953</v>
      </c>
      <c r="B85" s="25">
        <f>VLOOKUP(Table2634[[#This Row],[Date]],'DB Money Supply'!$A:$D,4)</f>
        <v>296.60000000000002</v>
      </c>
      <c r="C85" s="31">
        <f>(Table2634[[#This Row],[M1 Money Stock, Billions of Dollars, Weekly, Seasonally Adjusted]]-B84)/B84</f>
        <v>1.6886187098953055E-3</v>
      </c>
      <c r="D85" s="35">
        <f>((1+Table2634[[#This Row],[Weekly change]])^52)-1</f>
        <v>9.1697821736206331E-2</v>
      </c>
      <c r="E85" s="25">
        <f t="shared" si="1"/>
        <v>296.22500000000002</v>
      </c>
      <c r="F85" s="33">
        <f>(Table2634[[#This Row],[4 weeks average]]-B33)/B33</f>
        <v>4.4148748678181297E-2</v>
      </c>
    </row>
    <row r="86" spans="1:6" x14ac:dyDescent="0.2">
      <c r="A86" s="23">
        <v>27960</v>
      </c>
      <c r="B86" s="25">
        <f>VLOOKUP(Table2634[[#This Row],[Date]],'DB Money Supply'!$A:$D,4)</f>
        <v>297.2</v>
      </c>
      <c r="C86" s="31">
        <f>(Table2634[[#This Row],[M1 Money Stock, Billions of Dollars, Weekly, Seasonally Adjusted]]-B85)/B85</f>
        <v>2.0229265003370391E-3</v>
      </c>
      <c r="D86" s="35">
        <f>((1+Table2634[[#This Row],[Weekly change]])^52)-1</f>
        <v>0.11080605034152757</v>
      </c>
      <c r="E86" s="25">
        <f t="shared" si="1"/>
        <v>296.5</v>
      </c>
      <c r="F86" s="33">
        <f>(Table2634[[#This Row],[4 weeks average]]-B34)/B34</f>
        <v>4.4381824586121957E-2</v>
      </c>
    </row>
    <row r="87" spans="1:6" x14ac:dyDescent="0.2">
      <c r="A87" s="23">
        <v>27967</v>
      </c>
      <c r="B87" s="25">
        <f>VLOOKUP(Table2634[[#This Row],[Date]],'DB Money Supply'!$A:$D,4)</f>
        <v>297.5</v>
      </c>
      <c r="C87" s="31">
        <f>(Table2634[[#This Row],[M1 Money Stock, Billions of Dollars, Weekly, Seasonally Adjusted]]-B86)/B86</f>
        <v>1.0094212651413574E-3</v>
      </c>
      <c r="D87" s="35">
        <f>((1+Table2634[[#This Row],[Weekly change]])^52)-1</f>
        <v>5.386402302950688E-2</v>
      </c>
      <c r="E87" s="25">
        <f t="shared" si="1"/>
        <v>296.85000000000002</v>
      </c>
      <c r="F87" s="33">
        <f>(Table2634[[#This Row],[4 weeks average]]-B35)/B35</f>
        <v>4.6351780049348028E-2</v>
      </c>
    </row>
    <row r="88" spans="1:6" x14ac:dyDescent="0.2">
      <c r="A88" s="23">
        <v>27974</v>
      </c>
      <c r="B88" s="25">
        <f>VLOOKUP(Table2634[[#This Row],[Date]],'DB Money Supply'!$A:$D,4)</f>
        <v>297.7</v>
      </c>
      <c r="C88" s="31">
        <f>(Table2634[[#This Row],[M1 Money Stock, Billions of Dollars, Weekly, Seasonally Adjusted]]-B87)/B87</f>
        <v>6.7226890756298696E-4</v>
      </c>
      <c r="D88" s="35">
        <f>((1+Table2634[[#This Row],[Weekly change]])^52)-1</f>
        <v>3.5564033179396271E-2</v>
      </c>
      <c r="E88" s="25">
        <f t="shared" si="1"/>
        <v>297.25</v>
      </c>
      <c r="F88" s="33">
        <f>(Table2634[[#This Row],[4 weeks average]]-B36)/B36</f>
        <v>4.7761720126894648E-2</v>
      </c>
    </row>
    <row r="89" spans="1:6" x14ac:dyDescent="0.2">
      <c r="A89" s="23">
        <v>27981</v>
      </c>
      <c r="B89" s="25">
        <f>VLOOKUP(Table2634[[#This Row],[Date]],'DB Money Supply'!$A:$D,4)</f>
        <v>298.5</v>
      </c>
      <c r="C89" s="31">
        <f>(Table2634[[#This Row],[M1 Money Stock, Billions of Dollars, Weekly, Seasonally Adjusted]]-B88)/B88</f>
        <v>2.6872690628149528E-3</v>
      </c>
      <c r="D89" s="35">
        <f>((1+Table2634[[#This Row],[Weekly change]])^52)-1</f>
        <v>0.14975694765011327</v>
      </c>
      <c r="E89" s="25">
        <f t="shared" si="1"/>
        <v>297.72500000000002</v>
      </c>
      <c r="F89" s="33">
        <f>(Table2634[[#This Row],[4 weeks average]]-B37)/B37</f>
        <v>5.1660190745319669E-2</v>
      </c>
    </row>
    <row r="90" spans="1:6" x14ac:dyDescent="0.2">
      <c r="A90" s="23">
        <v>27988</v>
      </c>
      <c r="B90" s="25">
        <f>VLOOKUP(Table2634[[#This Row],[Date]],'DB Money Supply'!$A:$D,4)</f>
        <v>299.60000000000002</v>
      </c>
      <c r="C90" s="31">
        <f>(Table2634[[#This Row],[M1 Money Stock, Billions of Dollars, Weekly, Seasonally Adjusted]]-B89)/B89</f>
        <v>3.6850921273032587E-3</v>
      </c>
      <c r="D90" s="35">
        <f>((1+Table2634[[#This Row],[Weekly change]])^52)-1</f>
        <v>0.21078944184069903</v>
      </c>
      <c r="E90" s="25">
        <f t="shared" si="1"/>
        <v>298.32500000000005</v>
      </c>
      <c r="F90" s="33">
        <f>(Table2634[[#This Row],[4 weeks average]]-B38)/B38</f>
        <v>5.2292768959435784E-2</v>
      </c>
    </row>
    <row r="91" spans="1:6" x14ac:dyDescent="0.2">
      <c r="A91" s="23">
        <v>27995</v>
      </c>
      <c r="B91" s="25">
        <f>VLOOKUP(Table2634[[#This Row],[Date]],'DB Money Supply'!$A:$D,4)</f>
        <v>299</v>
      </c>
      <c r="C91" s="31">
        <f>(Table2634[[#This Row],[M1 Money Stock, Billions of Dollars, Weekly, Seasonally Adjusted]]-B90)/B90</f>
        <v>-2.002670226969368E-3</v>
      </c>
      <c r="D91" s="35">
        <f>((1+Table2634[[#This Row],[Weekly change]])^52)-1</f>
        <v>-9.8993916202081089E-2</v>
      </c>
      <c r="E91" s="25">
        <f t="shared" si="1"/>
        <v>298.70000000000005</v>
      </c>
      <c r="F91" s="33">
        <f>(Table2634[[#This Row],[4 weeks average]]-B39)/B39</f>
        <v>4.9174569722515132E-2</v>
      </c>
    </row>
    <row r="92" spans="1:6" x14ac:dyDescent="0.2">
      <c r="A92" s="23">
        <v>28002</v>
      </c>
      <c r="B92" s="25">
        <f>VLOOKUP(Table2634[[#This Row],[Date]],'DB Money Supply'!$A:$D,4)</f>
        <v>299</v>
      </c>
      <c r="C92" s="31">
        <f>(Table2634[[#This Row],[M1 Money Stock, Billions of Dollars, Weekly, Seasonally Adjusted]]-B91)/B91</f>
        <v>0</v>
      </c>
      <c r="D92" s="35">
        <f>((1+Table2634[[#This Row],[Weekly change]])^52)-1</f>
        <v>0</v>
      </c>
      <c r="E92" s="25">
        <f t="shared" si="1"/>
        <v>299.02499999999998</v>
      </c>
      <c r="F92" s="33">
        <f>(Table2634[[#This Row],[4 weeks average]]-B40)/B40</f>
        <v>4.8474754558204727E-2</v>
      </c>
    </row>
    <row r="93" spans="1:6" x14ac:dyDescent="0.2">
      <c r="A93" s="23">
        <v>28009</v>
      </c>
      <c r="B93" s="25">
        <f>VLOOKUP(Table2634[[#This Row],[Date]],'DB Money Supply'!$A:$D,4)</f>
        <v>298.2</v>
      </c>
      <c r="C93" s="31">
        <f>(Table2634[[#This Row],[M1 Money Stock, Billions of Dollars, Weekly, Seasonally Adjusted]]-B92)/B92</f>
        <v>-2.6755852842809745E-3</v>
      </c>
      <c r="D93" s="35">
        <f>((1+Table2634[[#This Row],[Weekly change]])^52)-1</f>
        <v>-0.13004769886881629</v>
      </c>
      <c r="E93" s="25">
        <f t="shared" si="1"/>
        <v>298.95</v>
      </c>
      <c r="F93" s="33">
        <f>(Table2634[[#This Row],[4 weeks average]]-B41)/B41</f>
        <v>4.6743697478991472E-2</v>
      </c>
    </row>
    <row r="94" spans="1:6" x14ac:dyDescent="0.2">
      <c r="A94" s="23">
        <v>28016</v>
      </c>
      <c r="B94" s="25">
        <f>VLOOKUP(Table2634[[#This Row],[Date]],'DB Money Supply'!$A:$D,4)</f>
        <v>299.7</v>
      </c>
      <c r="C94" s="31">
        <f>(Table2634[[#This Row],[M1 Money Stock, Billions of Dollars, Weekly, Seasonally Adjusted]]-B93)/B93</f>
        <v>5.0301810865191147E-3</v>
      </c>
      <c r="D94" s="35">
        <f>((1+Table2634[[#This Row],[Weekly change]])^52)-1</f>
        <v>0.29811568979611724</v>
      </c>
      <c r="E94" s="25">
        <f t="shared" si="1"/>
        <v>298.97500000000002</v>
      </c>
      <c r="F94" s="33">
        <f>(Table2634[[#This Row],[4 weeks average]]-B42)/B42</f>
        <v>4.7932001402032985E-2</v>
      </c>
    </row>
    <row r="95" spans="1:6" x14ac:dyDescent="0.2">
      <c r="A95" s="23">
        <v>28023</v>
      </c>
      <c r="B95" s="25">
        <f>VLOOKUP(Table2634[[#This Row],[Date]],'DB Money Supply'!$A:$D,4)</f>
        <v>300.10000000000002</v>
      </c>
      <c r="C95" s="31">
        <f>(Table2634[[#This Row],[M1 Money Stock, Billions of Dollars, Weekly, Seasonally Adjusted]]-B94)/B94</f>
        <v>1.3346680013347819E-3</v>
      </c>
      <c r="D95" s="35">
        <f>((1+Table2634[[#This Row],[Weekly change]])^52)-1</f>
        <v>7.1818203985204221E-2</v>
      </c>
      <c r="E95" s="25">
        <f t="shared" si="1"/>
        <v>299.25</v>
      </c>
      <c r="F95" s="33">
        <f>(Table2634[[#This Row],[4 weeks average]]-B43)/B43</f>
        <v>4.7060881735479315E-2</v>
      </c>
    </row>
    <row r="96" spans="1:6" x14ac:dyDescent="0.2">
      <c r="A96" s="23">
        <v>28030</v>
      </c>
      <c r="B96" s="25">
        <f>VLOOKUP(Table2634[[#This Row],[Date]],'DB Money Supply'!$A:$D,4)</f>
        <v>299.3</v>
      </c>
      <c r="C96" s="31">
        <f>(Table2634[[#This Row],[M1 Money Stock, Billions of Dollars, Weekly, Seasonally Adjusted]]-B95)/B95</f>
        <v>-2.6657780739753794E-3</v>
      </c>
      <c r="D96" s="35">
        <f>((1+Table2634[[#This Row],[Weekly change]])^52)-1</f>
        <v>-0.12960274321645893</v>
      </c>
      <c r="E96" s="25">
        <f t="shared" si="1"/>
        <v>299.32499999999999</v>
      </c>
      <c r="F96" s="33">
        <f>(Table2634[[#This Row],[4 weeks average]]-B44)/B44</f>
        <v>4.6225096120237556E-2</v>
      </c>
    </row>
    <row r="97" spans="1:6" x14ac:dyDescent="0.2">
      <c r="A97" s="23">
        <v>28037</v>
      </c>
      <c r="B97" s="25">
        <f>VLOOKUP(Table2634[[#This Row],[Date]],'DB Money Supply'!$A:$D,4)</f>
        <v>300.7</v>
      </c>
      <c r="C97" s="31">
        <f>(Table2634[[#This Row],[M1 Money Stock, Billions of Dollars, Weekly, Seasonally Adjusted]]-B96)/B96</f>
        <v>4.6775810223854903E-3</v>
      </c>
      <c r="D97" s="35">
        <f>((1+Table2634[[#This Row],[Weekly change]])^52)-1</f>
        <v>0.27464423342176825</v>
      </c>
      <c r="E97" s="25">
        <f t="shared" si="1"/>
        <v>299.95</v>
      </c>
      <c r="F97" s="33">
        <f>(Table2634[[#This Row],[4 weeks average]]-B45)/B45</f>
        <v>5.4305799648506112E-2</v>
      </c>
    </row>
    <row r="98" spans="1:6" x14ac:dyDescent="0.2">
      <c r="A98" s="23">
        <v>28044</v>
      </c>
      <c r="B98" s="25">
        <f>VLOOKUP(Table2634[[#This Row],[Date]],'DB Money Supply'!$A:$D,4)</f>
        <v>302.10000000000002</v>
      </c>
      <c r="C98" s="31">
        <f>(Table2634[[#This Row],[M1 Money Stock, Billions of Dollars, Weekly, Seasonally Adjusted]]-B97)/B97</f>
        <v>4.6558031260393552E-3</v>
      </c>
      <c r="D98" s="35">
        <f>((1+Table2634[[#This Row],[Weekly change]])^52)-1</f>
        <v>0.27320827618038468</v>
      </c>
      <c r="E98" s="25">
        <f t="shared" si="1"/>
        <v>300.55000000000007</v>
      </c>
      <c r="F98" s="33">
        <f>(Table2634[[#This Row],[4 weeks average]]-B46)/B46</f>
        <v>5.2714535901926686E-2</v>
      </c>
    </row>
    <row r="99" spans="1:6" x14ac:dyDescent="0.2">
      <c r="A99" s="23">
        <v>28051</v>
      </c>
      <c r="B99" s="25">
        <f>VLOOKUP(Table2634[[#This Row],[Date]],'DB Money Supply'!$A:$D,4)</f>
        <v>300.10000000000002</v>
      </c>
      <c r="C99" s="31">
        <f>(Table2634[[#This Row],[M1 Money Stock, Billions of Dollars, Weekly, Seasonally Adjusted]]-B98)/B98</f>
        <v>-6.6203243958953984E-3</v>
      </c>
      <c r="D99" s="35">
        <f>((1+Table2634[[#This Row],[Weekly change]])^52)-1</f>
        <v>-0.29206391812952892</v>
      </c>
      <c r="E99" s="25">
        <f t="shared" si="1"/>
        <v>300.55</v>
      </c>
      <c r="F99" s="33">
        <f>(Table2634[[#This Row],[4 weeks average]]-B47)/B47</f>
        <v>5.0139762403913428E-2</v>
      </c>
    </row>
    <row r="100" spans="1:6" x14ac:dyDescent="0.2">
      <c r="A100" s="23">
        <v>28058</v>
      </c>
      <c r="B100" s="25">
        <f>VLOOKUP(Table2634[[#This Row],[Date]],'DB Money Supply'!$A:$D,4)</f>
        <v>302.7</v>
      </c>
      <c r="C100" s="31">
        <f>(Table2634[[#This Row],[M1 Money Stock, Billions of Dollars, Weekly, Seasonally Adjusted]]-B99)/B99</f>
        <v>8.6637787404197451E-3</v>
      </c>
      <c r="D100" s="35">
        <f>((1+Table2634[[#This Row],[Weekly change]])^52)-1</f>
        <v>0.56608066464161433</v>
      </c>
      <c r="E100" s="25">
        <f t="shared" si="1"/>
        <v>301.39999999999998</v>
      </c>
      <c r="F100" s="33">
        <f>(Table2634[[#This Row],[4 weeks average]]-B48)/B48</f>
        <v>5.7915057915057917E-2</v>
      </c>
    </row>
    <row r="101" spans="1:6" x14ac:dyDescent="0.2">
      <c r="A101" s="23">
        <v>28065</v>
      </c>
      <c r="B101" s="25">
        <f>VLOOKUP(Table2634[[#This Row],[Date]],'DB Money Supply'!$A:$D,4)</f>
        <v>303.7</v>
      </c>
      <c r="C101" s="31">
        <f>(Table2634[[#This Row],[M1 Money Stock, Billions of Dollars, Weekly, Seasonally Adjusted]]-B100)/B100</f>
        <v>3.3036009250082591E-3</v>
      </c>
      <c r="D101" s="35">
        <f>((1+Table2634[[#This Row],[Weekly change]])^52)-1</f>
        <v>0.18708902551566786</v>
      </c>
      <c r="E101" s="25">
        <f t="shared" si="1"/>
        <v>302.15000000000003</v>
      </c>
      <c r="F101" s="33">
        <f>(Table2634[[#This Row],[4 weeks average]]-B49)/B49</f>
        <v>5.6838055264078549E-2</v>
      </c>
    </row>
    <row r="102" spans="1:6" x14ac:dyDescent="0.2">
      <c r="A102" s="23">
        <v>28072</v>
      </c>
      <c r="B102" s="25">
        <f>VLOOKUP(Table2634[[#This Row],[Date]],'DB Money Supply'!$A:$D,4)</f>
        <v>302.2</v>
      </c>
      <c r="C102" s="31">
        <f>(Table2634[[#This Row],[M1 Money Stock, Billions of Dollars, Weekly, Seasonally Adjusted]]-B101)/B101</f>
        <v>-4.9390846229832074E-3</v>
      </c>
      <c r="D102" s="35">
        <f>((1+Table2634[[#This Row],[Weekly change]])^52)-1</f>
        <v>-0.2269942215596038</v>
      </c>
      <c r="E102" s="25">
        <f t="shared" si="1"/>
        <v>302.17500000000001</v>
      </c>
      <c r="F102" s="33">
        <f>(Table2634[[#This Row],[4 weeks average]]-B50)/B50</f>
        <v>5.3608786610878659E-2</v>
      </c>
    </row>
    <row r="103" spans="1:6" x14ac:dyDescent="0.2">
      <c r="A103" s="23">
        <v>28079</v>
      </c>
      <c r="B103" s="25">
        <f>VLOOKUP(Table2634[[#This Row],[Date]],'DB Money Supply'!$A:$D,4)</f>
        <v>304.3</v>
      </c>
      <c r="C103" s="31">
        <f>(Table2634[[#This Row],[M1 Money Stock, Billions of Dollars, Weekly, Seasonally Adjusted]]-B102)/B102</f>
        <v>6.9490403706155618E-3</v>
      </c>
      <c r="D103" s="35">
        <f>((1+Table2634[[#This Row],[Weekly change]])^52)-1</f>
        <v>0.43347328124479811</v>
      </c>
      <c r="E103" s="25">
        <f t="shared" si="1"/>
        <v>303.22499999999997</v>
      </c>
      <c r="F103" s="33">
        <f>(Table2634[[#This Row],[4 weeks average]]-B51)/B51</f>
        <v>5.9116311561299179E-2</v>
      </c>
    </row>
    <row r="104" spans="1:6" x14ac:dyDescent="0.2">
      <c r="A104" s="23">
        <v>28086</v>
      </c>
      <c r="B104" s="25">
        <f>VLOOKUP(Table2634[[#This Row],[Date]],'DB Money Supply'!$A:$D,4)</f>
        <v>303.8</v>
      </c>
      <c r="C104" s="31">
        <f>(Table2634[[#This Row],[M1 Money Stock, Billions of Dollars, Weekly, Seasonally Adjusted]]-B103)/B103</f>
        <v>-1.6431153466973381E-3</v>
      </c>
      <c r="D104" s="35">
        <f>((1+Table2634[[#This Row],[Weekly change]])^52)-1</f>
        <v>-8.1958121889271207E-2</v>
      </c>
      <c r="E104" s="25">
        <f t="shared" si="1"/>
        <v>303.5</v>
      </c>
      <c r="F104" s="33">
        <f>(Table2634[[#This Row],[4 weeks average]]-B52)/B52</f>
        <v>5.565217391304348E-2</v>
      </c>
    </row>
    <row r="105" spans="1:6" x14ac:dyDescent="0.2">
      <c r="A105" s="23">
        <v>28093</v>
      </c>
      <c r="B105" s="25">
        <f>VLOOKUP(Table2634[[#This Row],[Date]],'DB Money Supply'!$A:$D,4)</f>
        <v>303.60000000000002</v>
      </c>
      <c r="C105" s="31">
        <f>(Table2634[[#This Row],[M1 Money Stock, Billions of Dollars, Weekly, Seasonally Adjusted]]-B104)/B104</f>
        <v>-6.58327847267902E-4</v>
      </c>
      <c r="D105" s="35">
        <f>((1+Table2634[[#This Row],[Weekly change]])^52)-1</f>
        <v>-3.3664620513276566E-2</v>
      </c>
      <c r="E105" s="25">
        <f t="shared" si="1"/>
        <v>303.47500000000002</v>
      </c>
      <c r="F105" s="33">
        <f>(Table2634[[#This Row],[4 weeks average]]-B53)/B53</f>
        <v>5.7772743116068483E-2</v>
      </c>
    </row>
    <row r="106" spans="1:6" x14ac:dyDescent="0.2">
      <c r="A106" s="23">
        <v>28100</v>
      </c>
      <c r="B106" s="25">
        <f>VLOOKUP(Table2634[[#This Row],[Date]],'DB Money Supply'!$A:$D,4)</f>
        <v>305.3</v>
      </c>
      <c r="C106" s="31">
        <f>(Table2634[[#This Row],[M1 Money Stock, Billions of Dollars, Weekly, Seasonally Adjusted]]-B105)/B105</f>
        <v>5.5994729907773008E-3</v>
      </c>
      <c r="D106" s="35">
        <f>((1+Table2634[[#This Row],[Weekly change]])^52)-1</f>
        <v>0.33690924924047905</v>
      </c>
      <c r="E106" s="25">
        <f t="shared" si="1"/>
        <v>304.25</v>
      </c>
      <c r="F106" s="33">
        <f>(Table2634[[#This Row],[4 weeks average]]-B54)/B54</f>
        <v>6.0843793584379316E-2</v>
      </c>
    </row>
    <row r="107" spans="1:6" x14ac:dyDescent="0.2">
      <c r="A107" s="23">
        <v>28107</v>
      </c>
      <c r="B107" s="25">
        <f>VLOOKUP(Table2634[[#This Row],[Date]],'DB Money Supply'!$A:$D,4)</f>
        <v>305.8</v>
      </c>
      <c r="C107" s="31">
        <f>(Table2634[[#This Row],[M1 Money Stock, Billions of Dollars, Weekly, Seasonally Adjusted]]-B106)/B106</f>
        <v>1.6377333770062233E-3</v>
      </c>
      <c r="D107" s="35">
        <f>((1+Table2634[[#This Row],[Weekly change]])^52)-1</f>
        <v>8.8817750698247933E-2</v>
      </c>
      <c r="E107" s="25">
        <f t="shared" si="1"/>
        <v>304.625</v>
      </c>
      <c r="F107" s="33">
        <f>(Table2634[[#This Row],[4 weeks average]]-B55)/B55</f>
        <v>6.104144897248337E-2</v>
      </c>
    </row>
    <row r="108" spans="1:6" x14ac:dyDescent="0.2">
      <c r="A108" s="23">
        <v>28114</v>
      </c>
      <c r="B108" s="25">
        <f>VLOOKUP(Table2634[[#This Row],[Date]],'DB Money Supply'!$A:$D,4)</f>
        <v>306.39999999999998</v>
      </c>
      <c r="C108" s="31">
        <f>(Table2634[[#This Row],[M1 Money Stock, Billions of Dollars, Weekly, Seasonally Adjusted]]-B107)/B107</f>
        <v>1.9620667102680377E-3</v>
      </c>
      <c r="D108" s="35">
        <f>((1+Table2634[[#This Row],[Weekly change]])^52)-1</f>
        <v>0.10730319743826255</v>
      </c>
      <c r="E108" s="25">
        <f t="shared" si="1"/>
        <v>305.27499999999998</v>
      </c>
      <c r="F108" s="33">
        <f>(Table2634[[#This Row],[4 weeks average]]-B56)/B56</f>
        <v>6.2195546276965906E-2</v>
      </c>
    </row>
    <row r="109" spans="1:6" x14ac:dyDescent="0.2">
      <c r="A109" s="23">
        <v>28121</v>
      </c>
      <c r="B109" s="25">
        <f>VLOOKUP(Table2634[[#This Row],[Date]],'DB Money Supply'!$A:$D,4)</f>
        <v>306.60000000000002</v>
      </c>
      <c r="C109" s="31">
        <f>(Table2634[[#This Row],[M1 Money Stock, Billions of Dollars, Weekly, Seasonally Adjusted]]-B108)/B108</f>
        <v>6.5274151436046175E-4</v>
      </c>
      <c r="D109" s="35">
        <f>((1+Table2634[[#This Row],[Weekly change]])^52)-1</f>
        <v>3.4513725322877997E-2</v>
      </c>
      <c r="E109" s="25">
        <f t="shared" si="1"/>
        <v>306.02499999999998</v>
      </c>
      <c r="F109" s="33">
        <f>(Table2634[[#This Row],[4 weeks average]]-B57)/B57</f>
        <v>6.5546657381615567E-2</v>
      </c>
    </row>
    <row r="110" spans="1:6" x14ac:dyDescent="0.2">
      <c r="A110" s="23">
        <v>28128</v>
      </c>
      <c r="B110" s="25">
        <f>VLOOKUP(Table2634[[#This Row],[Date]],'DB Money Supply'!$A:$D,4)</f>
        <v>306.89999999999998</v>
      </c>
      <c r="C110" s="31">
        <f>(Table2634[[#This Row],[M1 Money Stock, Billions of Dollars, Weekly, Seasonally Adjusted]]-B109)/B109</f>
        <v>9.7847358121315887E-4</v>
      </c>
      <c r="D110" s="35">
        <f>((1+Table2634[[#This Row],[Weekly change]])^52)-1</f>
        <v>5.217110641674827E-2</v>
      </c>
      <c r="E110" s="25">
        <f t="shared" si="1"/>
        <v>306.42500000000001</v>
      </c>
      <c r="F110" s="33">
        <f>(Table2634[[#This Row],[4 weeks average]]-B58)/B58</f>
        <v>6.65680473372781E-2</v>
      </c>
    </row>
    <row r="111" spans="1:6" x14ac:dyDescent="0.2">
      <c r="A111" s="23">
        <v>28135</v>
      </c>
      <c r="B111" s="25">
        <f>VLOOKUP(Table2634[[#This Row],[Date]],'DB Money Supply'!$A:$D,4)</f>
        <v>307.7</v>
      </c>
      <c r="C111" s="31">
        <f>(Table2634[[#This Row],[M1 Money Stock, Billions of Dollars, Weekly, Seasonally Adjusted]]-B110)/B110</f>
        <v>2.6067122841316763E-3</v>
      </c>
      <c r="D111" s="35">
        <f>((1+Table2634[[#This Row],[Weekly change]])^52)-1</f>
        <v>0.14496340582796985</v>
      </c>
      <c r="E111" s="25">
        <f t="shared" si="1"/>
        <v>306.89999999999998</v>
      </c>
      <c r="F111" s="33">
        <f>(Table2634[[#This Row],[4 weeks average]]-B59)/B59</f>
        <v>6.5995137200416817E-2</v>
      </c>
    </row>
    <row r="112" spans="1:6" x14ac:dyDescent="0.2">
      <c r="A112" s="23">
        <v>28142</v>
      </c>
      <c r="B112" s="25">
        <f>VLOOKUP(Table2634[[#This Row],[Date]],'DB Money Supply'!$A:$D,4)</f>
        <v>308</v>
      </c>
      <c r="C112" s="31">
        <f>(Table2634[[#This Row],[M1 Money Stock, Billions of Dollars, Weekly, Seasonally Adjusted]]-B111)/B111</f>
        <v>9.7497562560939675E-4</v>
      </c>
      <c r="D112" s="35">
        <f>((1+Table2634[[#This Row],[Weekly change]])^52)-1</f>
        <v>5.1979927247298718E-2</v>
      </c>
      <c r="E112" s="25">
        <f t="shared" si="1"/>
        <v>307.3</v>
      </c>
      <c r="F112" s="33">
        <f>(Table2634[[#This Row],[4 weeks average]]-B60)/B60</f>
        <v>6.5533980582524395E-2</v>
      </c>
    </row>
    <row r="113" spans="1:6" x14ac:dyDescent="0.2">
      <c r="A113" s="23">
        <v>28149</v>
      </c>
      <c r="B113" s="25">
        <f>VLOOKUP(Table2634[[#This Row],[Date]],'DB Money Supply'!$A:$D,4)</f>
        <v>308.89999999999998</v>
      </c>
      <c r="C113" s="31">
        <f>(Table2634[[#This Row],[M1 Money Stock, Billions of Dollars, Weekly, Seasonally Adjusted]]-B112)/B112</f>
        <v>2.9220779220778485E-3</v>
      </c>
      <c r="D113" s="35">
        <f>((1+Table2634[[#This Row],[Weekly change]])^52)-1</f>
        <v>0.16384186055510352</v>
      </c>
      <c r="E113" s="25">
        <f t="shared" si="1"/>
        <v>307.875</v>
      </c>
      <c r="F113" s="33">
        <f>(Table2634[[#This Row],[4 weeks average]]-B61)/B61</f>
        <v>6.4942926323071512E-2</v>
      </c>
    </row>
    <row r="114" spans="1:6" x14ac:dyDescent="0.2">
      <c r="A114" s="23">
        <v>28156</v>
      </c>
      <c r="B114" s="25">
        <f>VLOOKUP(Table2634[[#This Row],[Date]],'DB Money Supply'!$A:$D,4)</f>
        <v>309.5</v>
      </c>
      <c r="C114" s="31">
        <f>(Table2634[[#This Row],[M1 Money Stock, Billions of Dollars, Weekly, Seasonally Adjusted]]-B113)/B113</f>
        <v>1.9423761735190119E-3</v>
      </c>
      <c r="D114" s="35">
        <f>((1+Table2634[[#This Row],[Weekly change]])^52)-1</f>
        <v>0.10617220798954752</v>
      </c>
      <c r="E114" s="25">
        <f t="shared" si="1"/>
        <v>308.52499999999998</v>
      </c>
      <c r="F114" s="33">
        <f>(Table2634[[#This Row],[4 weeks average]]-B62)/B62</f>
        <v>6.3146106133700863E-2</v>
      </c>
    </row>
    <row r="115" spans="1:6" x14ac:dyDescent="0.2">
      <c r="A115" s="23">
        <v>28163</v>
      </c>
      <c r="B115" s="25">
        <f>VLOOKUP(Table2634[[#This Row],[Date]],'DB Money Supply'!$A:$D,4)</f>
        <v>310.3</v>
      </c>
      <c r="C115" s="31">
        <f>(Table2634[[#This Row],[M1 Money Stock, Billions of Dollars, Weekly, Seasonally Adjusted]]-B114)/B114</f>
        <v>2.5848142164782272E-3</v>
      </c>
      <c r="D115" s="35">
        <f>((1+Table2634[[#This Row],[Weekly change]])^52)-1</f>
        <v>0.14366375024644462</v>
      </c>
      <c r="E115" s="25">
        <f t="shared" si="1"/>
        <v>309.17500000000001</v>
      </c>
      <c r="F115" s="33">
        <f>(Table2634[[#This Row],[4 weeks average]]-B63)/B63</f>
        <v>6.5018945918015839E-2</v>
      </c>
    </row>
    <row r="116" spans="1:6" x14ac:dyDescent="0.2">
      <c r="A116" s="23">
        <v>28170</v>
      </c>
      <c r="B116" s="25">
        <f>VLOOKUP(Table2634[[#This Row],[Date]],'DB Money Supply'!$A:$D,4)</f>
        <v>311.3</v>
      </c>
      <c r="C116" s="31">
        <f>(Table2634[[#This Row],[M1 Money Stock, Billions of Dollars, Weekly, Seasonally Adjusted]]-B115)/B115</f>
        <v>3.2226877215597808E-3</v>
      </c>
      <c r="D116" s="35">
        <f>((1+Table2634[[#This Row],[Weekly change]])^52)-1</f>
        <v>0.18212103432519222</v>
      </c>
      <c r="E116" s="25">
        <f t="shared" si="1"/>
        <v>310</v>
      </c>
      <c r="F116" s="33">
        <f>(Table2634[[#This Row],[4 weeks average]]-B64)/B64</f>
        <v>6.4560439560439609E-2</v>
      </c>
    </row>
    <row r="117" spans="1:6" x14ac:dyDescent="0.2">
      <c r="A117" s="23">
        <v>28177</v>
      </c>
      <c r="B117" s="25">
        <f>VLOOKUP(Table2634[[#This Row],[Date]],'DB Money Supply'!$A:$D,4)</f>
        <v>311.7</v>
      </c>
      <c r="C117" s="31">
        <f>(Table2634[[#This Row],[M1 Money Stock, Billions of Dollars, Weekly, Seasonally Adjusted]]-B116)/B116</f>
        <v>1.2849341471248867E-3</v>
      </c>
      <c r="D117" s="35">
        <f>((1+Table2634[[#This Row],[Weekly change]])^52)-1</f>
        <v>6.9053507883846565E-2</v>
      </c>
      <c r="E117" s="25">
        <f t="shared" si="1"/>
        <v>310.7</v>
      </c>
      <c r="F117" s="33">
        <f>(Table2634[[#This Row],[4 weeks average]]-B65)/B65</f>
        <v>6.8799449604403165E-2</v>
      </c>
    </row>
    <row r="118" spans="1:6" x14ac:dyDescent="0.2">
      <c r="A118" s="23">
        <v>28184</v>
      </c>
      <c r="B118" s="25">
        <f>VLOOKUP(Table2634[[#This Row],[Date]],'DB Money Supply'!$A:$D,4)</f>
        <v>312.3</v>
      </c>
      <c r="C118" s="31">
        <f>(Table2634[[#This Row],[M1 Money Stock, Billions of Dollars, Weekly, Seasonally Adjusted]]-B117)/B117</f>
        <v>1.9249278152070027E-3</v>
      </c>
      <c r="D118" s="35">
        <f>((1+Table2634[[#This Row],[Weekly change]])^52)-1</f>
        <v>0.10517095213542493</v>
      </c>
      <c r="E118" s="25">
        <f t="shared" si="1"/>
        <v>311.39999999999998</v>
      </c>
      <c r="F118" s="33">
        <f>(Table2634[[#This Row],[4 weeks average]]-B66)/B66</f>
        <v>6.936813186813183E-2</v>
      </c>
    </row>
    <row r="119" spans="1:6" x14ac:dyDescent="0.2">
      <c r="A119" s="23">
        <v>28191</v>
      </c>
      <c r="B119" s="25">
        <f>VLOOKUP(Table2634[[#This Row],[Date]],'DB Money Supply'!$A:$D,4)</f>
        <v>312.7</v>
      </c>
      <c r="C119" s="31">
        <f>(Table2634[[#This Row],[M1 Money Stock, Billions of Dollars, Weekly, Seasonally Adjusted]]-B118)/B118</f>
        <v>1.2808197246236865E-3</v>
      </c>
      <c r="D119" s="35">
        <f>((1+Table2634[[#This Row],[Weekly change]])^52)-1</f>
        <v>6.88251013699408E-2</v>
      </c>
      <c r="E119" s="25">
        <f t="shared" si="1"/>
        <v>312</v>
      </c>
      <c r="F119" s="33">
        <f>(Table2634[[#This Row],[4 weeks average]]-B67)/B67</f>
        <v>7.1796633459292256E-2</v>
      </c>
    </row>
    <row r="120" spans="1:6" x14ac:dyDescent="0.2">
      <c r="A120" s="23">
        <v>28198</v>
      </c>
      <c r="B120" s="25">
        <f>VLOOKUP(Table2634[[#This Row],[Date]],'DB Money Supply'!$A:$D,4)</f>
        <v>313.8</v>
      </c>
      <c r="C120" s="31">
        <f>(Table2634[[#This Row],[M1 Money Stock, Billions of Dollars, Weekly, Seasonally Adjusted]]-B119)/B119</f>
        <v>3.517748640869916E-3</v>
      </c>
      <c r="D120" s="35">
        <f>((1+Table2634[[#This Row],[Weekly change]])^52)-1</f>
        <v>0.20033651113419304</v>
      </c>
      <c r="E120" s="25">
        <f t="shared" si="1"/>
        <v>312.625</v>
      </c>
      <c r="F120" s="33">
        <f>(Table2634[[#This Row],[4 weeks average]]-B68)/B68</f>
        <v>6.7708333333333287E-2</v>
      </c>
    </row>
    <row r="121" spans="1:6" x14ac:dyDescent="0.2">
      <c r="A121" s="23">
        <v>28205</v>
      </c>
      <c r="B121" s="25">
        <f>VLOOKUP(Table2634[[#This Row],[Date]],'DB Money Supply'!$A:$D,4)</f>
        <v>314.5</v>
      </c>
      <c r="C121" s="31">
        <f>(Table2634[[#This Row],[M1 Money Stock, Billions of Dollars, Weekly, Seasonally Adjusted]]-B120)/B120</f>
        <v>2.2307202039515252E-3</v>
      </c>
      <c r="D121" s="35">
        <f>((1+Table2634[[#This Row],[Weekly change]])^52)-1</f>
        <v>0.12284794262501109</v>
      </c>
      <c r="E121" s="25">
        <f t="shared" si="1"/>
        <v>313.32499999999999</v>
      </c>
      <c r="F121" s="33">
        <f>(Table2634[[#This Row],[4 weeks average]]-B69)/B69</f>
        <v>7.0099043715846909E-2</v>
      </c>
    </row>
    <row r="122" spans="1:6" x14ac:dyDescent="0.2">
      <c r="A122" s="23">
        <v>28212</v>
      </c>
      <c r="B122" s="25">
        <f>VLOOKUP(Table2634[[#This Row],[Date]],'DB Money Supply'!$A:$D,4)</f>
        <v>313.89999999999998</v>
      </c>
      <c r="C122" s="31">
        <f>(Table2634[[#This Row],[M1 Money Stock, Billions of Dollars, Weekly, Seasonally Adjusted]]-B121)/B121</f>
        <v>-1.9077901430843329E-3</v>
      </c>
      <c r="D122" s="35">
        <f>((1+Table2634[[#This Row],[Weekly change]])^52)-1</f>
        <v>-9.4528828447929314E-2</v>
      </c>
      <c r="E122" s="25">
        <f t="shared" si="1"/>
        <v>313.72500000000002</v>
      </c>
      <c r="F122" s="33">
        <f>(Table2634[[#This Row],[4 weeks average]]-B70)/B70</f>
        <v>6.6366417403127237E-2</v>
      </c>
    </row>
    <row r="123" spans="1:6" x14ac:dyDescent="0.2">
      <c r="A123" s="23">
        <v>28219</v>
      </c>
      <c r="B123" s="25">
        <f>VLOOKUP(Table2634[[#This Row],[Date]],'DB Money Supply'!$A:$D,4)</f>
        <v>315.60000000000002</v>
      </c>
      <c r="C123" s="31">
        <f>(Table2634[[#This Row],[M1 Money Stock, Billions of Dollars, Weekly, Seasonally Adjusted]]-B122)/B122</f>
        <v>5.4157374960179857E-3</v>
      </c>
      <c r="D123" s="35">
        <f>((1+Table2634[[#This Row],[Weekly change]])^52)-1</f>
        <v>0.32426621553482882</v>
      </c>
      <c r="E123" s="25">
        <f t="shared" si="1"/>
        <v>314.45</v>
      </c>
      <c r="F123" s="33">
        <f>(Table2634[[#This Row],[4 weeks average]]-B71)/B71</f>
        <v>7.3208191126279826E-2</v>
      </c>
    </row>
    <row r="124" spans="1:6" x14ac:dyDescent="0.2">
      <c r="A124" s="23">
        <v>28226</v>
      </c>
      <c r="B124" s="25">
        <f>VLOOKUP(Table2634[[#This Row],[Date]],'DB Money Supply'!$A:$D,4)</f>
        <v>315.8</v>
      </c>
      <c r="C124" s="31">
        <f>(Table2634[[#This Row],[M1 Money Stock, Billions of Dollars, Weekly, Seasonally Adjusted]]-B123)/B123</f>
        <v>6.3371356147017943E-4</v>
      </c>
      <c r="D124" s="35">
        <f>((1+Table2634[[#This Row],[Weekly change]])^52)-1</f>
        <v>3.3491285617540889E-2</v>
      </c>
      <c r="E124" s="25">
        <f t="shared" si="1"/>
        <v>314.95</v>
      </c>
      <c r="F124" s="33">
        <f>(Table2634[[#This Row],[4 weeks average]]-B72)/B72</f>
        <v>6.9439728353140884E-2</v>
      </c>
    </row>
    <row r="125" spans="1:6" x14ac:dyDescent="0.2">
      <c r="A125" s="23">
        <v>28233</v>
      </c>
      <c r="B125" s="25">
        <f>VLOOKUP(Table2634[[#This Row],[Date]],'DB Money Supply'!$A:$D,4)</f>
        <v>315.7</v>
      </c>
      <c r="C125" s="31">
        <f>(Table2634[[#This Row],[M1 Money Stock, Billions of Dollars, Weekly, Seasonally Adjusted]]-B124)/B124</f>
        <v>-3.1665611146302323E-4</v>
      </c>
      <c r="D125" s="35">
        <f>((1+Table2634[[#This Row],[Weekly change]])^52)-1</f>
        <v>-1.6333857320304901E-2</v>
      </c>
      <c r="E125" s="25">
        <f t="shared" si="1"/>
        <v>315.25</v>
      </c>
      <c r="F125" s="33">
        <f>(Table2634[[#This Row],[4 weeks average]]-B73)/B73</f>
        <v>6.9006442861987191E-2</v>
      </c>
    </row>
    <row r="126" spans="1:6" x14ac:dyDescent="0.2">
      <c r="A126" s="23">
        <v>28240</v>
      </c>
      <c r="B126" s="25">
        <f>VLOOKUP(Table2634[[#This Row],[Date]],'DB Money Supply'!$A:$D,4)</f>
        <v>316.10000000000002</v>
      </c>
      <c r="C126" s="31">
        <f>(Table2634[[#This Row],[M1 Money Stock, Billions of Dollars, Weekly, Seasonally Adjusted]]-B125)/B125</f>
        <v>1.2670256572696677E-3</v>
      </c>
      <c r="D126" s="35">
        <f>((1+Table2634[[#This Row],[Weekly change]])^52)-1</f>
        <v>6.805969182340954E-2</v>
      </c>
      <c r="E126" s="25">
        <f t="shared" si="1"/>
        <v>315.80000000000007</v>
      </c>
      <c r="F126" s="33">
        <f>(Table2634[[#This Row],[4 weeks average]]-B74)/B74</f>
        <v>6.9058903182126249E-2</v>
      </c>
    </row>
    <row r="127" spans="1:6" x14ac:dyDescent="0.2">
      <c r="A127" s="23">
        <v>28247</v>
      </c>
      <c r="B127" s="25">
        <f>VLOOKUP(Table2634[[#This Row],[Date]],'DB Money Supply'!$A:$D,4)</f>
        <v>316.60000000000002</v>
      </c>
      <c r="C127" s="31">
        <f>(Table2634[[#This Row],[M1 Money Stock, Billions of Dollars, Weekly, Seasonally Adjusted]]-B126)/B126</f>
        <v>1.5817779183802593E-3</v>
      </c>
      <c r="D127" s="35">
        <f>((1+Table2634[[#This Row],[Weekly change]])^52)-1</f>
        <v>8.5659316827738419E-2</v>
      </c>
      <c r="E127" s="25">
        <f t="shared" si="1"/>
        <v>316.05</v>
      </c>
      <c r="F127" s="33">
        <f>(Table2634[[#This Row],[4 weeks average]]-B75)/B75</f>
        <v>7.1719226856561666E-2</v>
      </c>
    </row>
    <row r="128" spans="1:6" x14ac:dyDescent="0.2">
      <c r="A128" s="23">
        <v>28254</v>
      </c>
      <c r="B128" s="25">
        <f>VLOOKUP(Table2634[[#This Row],[Date]],'DB Money Supply'!$A:$D,4)</f>
        <v>316.7</v>
      </c>
      <c r="C128" s="31">
        <f>(Table2634[[#This Row],[M1 Money Stock, Billions of Dollars, Weekly, Seasonally Adjusted]]-B127)/B127</f>
        <v>3.1585596967771917E-4</v>
      </c>
      <c r="D128" s="35">
        <f>((1+Table2634[[#This Row],[Weekly change]])^52)-1</f>
        <v>1.6557497908708863E-2</v>
      </c>
      <c r="E128" s="25">
        <f t="shared" si="1"/>
        <v>316.27499999999998</v>
      </c>
      <c r="F128" s="33">
        <f>(Table2634[[#This Row],[4 weeks average]]-B76)/B76</f>
        <v>6.7414782315220939E-2</v>
      </c>
    </row>
    <row r="129" spans="1:6" x14ac:dyDescent="0.2">
      <c r="A129" s="23">
        <v>28261</v>
      </c>
      <c r="B129" s="25">
        <f>VLOOKUP(Table2634[[#This Row],[Date]],'DB Money Supply'!$A:$D,4)</f>
        <v>317.60000000000002</v>
      </c>
      <c r="C129" s="31">
        <f>(Table2634[[#This Row],[M1 Money Stock, Billions of Dollars, Weekly, Seasonally Adjusted]]-B128)/B128</f>
        <v>2.84180612567109E-3</v>
      </c>
      <c r="D129" s="35">
        <f>((1+Table2634[[#This Row],[Weekly change]])^52)-1</f>
        <v>0.15900785656136796</v>
      </c>
      <c r="E129" s="25">
        <f t="shared" si="1"/>
        <v>316.75</v>
      </c>
      <c r="F129" s="33">
        <f>(Table2634[[#This Row],[4 weeks average]]-B77)/B77</f>
        <v>7.2637995259058549E-2</v>
      </c>
    </row>
    <row r="130" spans="1:6" x14ac:dyDescent="0.2">
      <c r="A130" s="23">
        <v>28268</v>
      </c>
      <c r="B130" s="25">
        <f>VLOOKUP(Table2634[[#This Row],[Date]],'DB Money Supply'!$A:$D,4)</f>
        <v>317.39999999999998</v>
      </c>
      <c r="C130" s="31">
        <f>(Table2634[[#This Row],[M1 Money Stock, Billions of Dollars, Weekly, Seasonally Adjusted]]-B129)/B129</f>
        <v>-6.2972292191450078E-4</v>
      </c>
      <c r="D130" s="35">
        <f>((1+Table2634[[#This Row],[Weekly change]])^52)-1</f>
        <v>-3.2225241803353954E-2</v>
      </c>
      <c r="E130" s="25">
        <f t="shared" si="1"/>
        <v>317.07499999999999</v>
      </c>
      <c r="F130" s="33">
        <f>(Table2634[[#This Row],[4 weeks average]]-B78)/B78</f>
        <v>7.3011844331641249E-2</v>
      </c>
    </row>
    <row r="131" spans="1:6" x14ac:dyDescent="0.2">
      <c r="A131" s="23">
        <v>28275</v>
      </c>
      <c r="B131" s="25">
        <f>VLOOKUP(Table2634[[#This Row],[Date]],'DB Money Supply'!$A:$D,4)</f>
        <v>316.8</v>
      </c>
      <c r="C131" s="31">
        <f>(Table2634[[#This Row],[M1 Money Stock, Billions of Dollars, Weekly, Seasonally Adjusted]]-B130)/B130</f>
        <v>-1.8903591682418587E-3</v>
      </c>
      <c r="D131" s="35">
        <f>((1+Table2634[[#This Row],[Weekly change]])^52)-1</f>
        <v>-9.3706164617644916E-2</v>
      </c>
      <c r="E131" s="25">
        <f t="shared" si="1"/>
        <v>317.125</v>
      </c>
      <c r="F131" s="33">
        <f>(Table2634[[#This Row],[4 weeks average]]-B79)/B79</f>
        <v>6.9922402159244348E-2</v>
      </c>
    </row>
    <row r="132" spans="1:6" x14ac:dyDescent="0.2">
      <c r="A132" s="23">
        <v>28282</v>
      </c>
      <c r="B132" s="25">
        <f>VLOOKUP(Table2634[[#This Row],[Date]],'DB Money Supply'!$A:$D,4)</f>
        <v>317.60000000000002</v>
      </c>
      <c r="C132" s="31">
        <f>(Table2634[[#This Row],[M1 Money Stock, Billions of Dollars, Weekly, Seasonally Adjusted]]-B131)/B131</f>
        <v>2.525252525252561E-3</v>
      </c>
      <c r="D132" s="35">
        <f>((1+Table2634[[#This Row],[Weekly change]])^52)-1</f>
        <v>0.1401360649471286</v>
      </c>
      <c r="E132" s="25">
        <f t="shared" si="1"/>
        <v>317.35000000000002</v>
      </c>
      <c r="F132" s="33">
        <f>(Table2634[[#This Row],[4 weeks average]]-B80)/B80</f>
        <v>7.3942470389170969E-2</v>
      </c>
    </row>
    <row r="133" spans="1:6" x14ac:dyDescent="0.2">
      <c r="A133" s="23">
        <v>28289</v>
      </c>
      <c r="B133" s="25">
        <f>VLOOKUP(Table2634[[#This Row],[Date]],'DB Money Supply'!$A:$D,4)</f>
        <v>317.8</v>
      </c>
      <c r="C133" s="31">
        <f>(Table2634[[#This Row],[M1 Money Stock, Billions of Dollars, Weekly, Seasonally Adjusted]]-B132)/B132</f>
        <v>6.2972292191432189E-4</v>
      </c>
      <c r="D133" s="35">
        <f>((1+Table2634[[#This Row],[Weekly change]])^52)-1</f>
        <v>3.3276980091969444E-2</v>
      </c>
      <c r="E133" s="25">
        <f t="shared" si="1"/>
        <v>317.40000000000003</v>
      </c>
      <c r="F133" s="33">
        <f>(Table2634[[#This Row],[4 weeks average]]-B81)/B81</f>
        <v>6.9767441860465268E-2</v>
      </c>
    </row>
    <row r="134" spans="1:6" x14ac:dyDescent="0.2">
      <c r="A134" s="23">
        <v>28296</v>
      </c>
      <c r="B134" s="25">
        <f>VLOOKUP(Table2634[[#This Row],[Date]],'DB Money Supply'!$A:$D,4)</f>
        <v>319.39999999999998</v>
      </c>
      <c r="C134" s="31">
        <f>(Table2634[[#This Row],[M1 Money Stock, Billions of Dollars, Weekly, Seasonally Adjusted]]-B133)/B133</f>
        <v>5.0346129641282754E-3</v>
      </c>
      <c r="D134" s="35">
        <f>((1+Table2634[[#This Row],[Weekly change]])^52)-1</f>
        <v>0.2984133866420402</v>
      </c>
      <c r="E134" s="25">
        <f t="shared" si="1"/>
        <v>317.89999999999998</v>
      </c>
      <c r="F134" s="33">
        <f>(Table2634[[#This Row],[4 weeks average]]-B82)/B82</f>
        <v>7.3623775751435167E-2</v>
      </c>
    </row>
    <row r="135" spans="1:6" x14ac:dyDescent="0.2">
      <c r="A135" s="23">
        <v>28303</v>
      </c>
      <c r="B135" s="25">
        <f>VLOOKUP(Table2634[[#This Row],[Date]],'DB Money Supply'!$A:$D,4)</f>
        <v>319.39999999999998</v>
      </c>
      <c r="C135" s="31">
        <f>(Table2634[[#This Row],[M1 Money Stock, Billions of Dollars, Weekly, Seasonally Adjusted]]-B134)/B134</f>
        <v>0</v>
      </c>
      <c r="D135" s="35">
        <f>((1+Table2634[[#This Row],[Weekly change]])^52)-1</f>
        <v>0</v>
      </c>
      <c r="E135" s="25">
        <f t="shared" si="1"/>
        <v>318.55</v>
      </c>
      <c r="F135" s="33">
        <f>(Table2634[[#This Row],[4 weeks average]]-B83)/B83</f>
        <v>7.5818980074299186E-2</v>
      </c>
    </row>
    <row r="136" spans="1:6" x14ac:dyDescent="0.2">
      <c r="A136" s="23">
        <v>28310</v>
      </c>
      <c r="B136" s="25">
        <f>VLOOKUP(Table2634[[#This Row],[Date]],'DB Money Supply'!$A:$D,4)</f>
        <v>319.5</v>
      </c>
      <c r="C136" s="31">
        <f>(Table2634[[#This Row],[M1 Money Stock, Billions of Dollars, Weekly, Seasonally Adjusted]]-B135)/B135</f>
        <v>3.1308703819668988E-4</v>
      </c>
      <c r="D136" s="35">
        <f>((1+Table2634[[#This Row],[Weekly change]])^52)-1</f>
        <v>1.6411185994182009E-2</v>
      </c>
      <c r="E136" s="25">
        <f t="shared" si="1"/>
        <v>319.02499999999998</v>
      </c>
      <c r="F136" s="33">
        <f>(Table2634[[#This Row],[4 weeks average]]-B84)/B84</f>
        <v>7.7423167848699598E-2</v>
      </c>
    </row>
    <row r="137" spans="1:6" x14ac:dyDescent="0.2">
      <c r="A137" s="23">
        <v>28317</v>
      </c>
      <c r="B137" s="25">
        <f>VLOOKUP(Table2634[[#This Row],[Date]],'DB Money Supply'!$A:$D,4)</f>
        <v>319.3</v>
      </c>
      <c r="C137" s="31">
        <f>(Table2634[[#This Row],[M1 Money Stock, Billions of Dollars, Weekly, Seasonally Adjusted]]-B136)/B136</f>
        <v>-6.2597809076678755E-4</v>
      </c>
      <c r="D137" s="35">
        <f>((1+Table2634[[#This Row],[Weekly change]])^52)-1</f>
        <v>-3.2036649074421719E-2</v>
      </c>
      <c r="E137" s="25">
        <f t="shared" ref="E137:E200" si="2">AVERAGE(B134:B137)</f>
        <v>319.39999999999998</v>
      </c>
      <c r="F137" s="33">
        <f>(Table2634[[#This Row],[4 weeks average]]-B85)/B85</f>
        <v>7.6871207012811707E-2</v>
      </c>
    </row>
    <row r="138" spans="1:6" x14ac:dyDescent="0.2">
      <c r="A138" s="23">
        <v>28324</v>
      </c>
      <c r="B138" s="25">
        <f>VLOOKUP(Table2634[[#This Row],[Date]],'DB Money Supply'!$A:$D,4)</f>
        <v>320.2</v>
      </c>
      <c r="C138" s="31">
        <f>(Table2634[[#This Row],[M1 Money Stock, Billions of Dollars, Weekly, Seasonally Adjusted]]-B137)/B137</f>
        <v>2.8186658315063492E-3</v>
      </c>
      <c r="D138" s="35">
        <f>((1+Table2634[[#This Row],[Weekly change]])^52)-1</f>
        <v>0.15761799785936859</v>
      </c>
      <c r="E138" s="25">
        <f t="shared" si="2"/>
        <v>319.60000000000002</v>
      </c>
      <c r="F138" s="33">
        <f>(Table2634[[#This Row],[4 weeks average]]-B86)/B86</f>
        <v>7.5370121130551929E-2</v>
      </c>
    </row>
    <row r="139" spans="1:6" x14ac:dyDescent="0.2">
      <c r="A139" s="23">
        <v>28331</v>
      </c>
      <c r="B139" s="25">
        <f>VLOOKUP(Table2634[[#This Row],[Date]],'DB Money Supply'!$A:$D,4)</f>
        <v>320.10000000000002</v>
      </c>
      <c r="C139" s="31">
        <f>(Table2634[[#This Row],[M1 Money Stock, Billions of Dollars, Weekly, Seasonally Adjusted]]-B138)/B138</f>
        <v>-3.1230480949395972E-4</v>
      </c>
      <c r="D139" s="35">
        <f>((1+Table2634[[#This Row],[Weekly change]])^52)-1</f>
        <v>-1.6111190227592775E-2</v>
      </c>
      <c r="E139" s="25">
        <f t="shared" si="2"/>
        <v>319.77499999999998</v>
      </c>
      <c r="F139" s="33">
        <f>(Table2634[[#This Row],[4 weeks average]]-B87)/B87</f>
        <v>7.4873949579831858E-2</v>
      </c>
    </row>
    <row r="140" spans="1:6" x14ac:dyDescent="0.2">
      <c r="A140" s="23">
        <v>28338</v>
      </c>
      <c r="B140" s="25">
        <f>VLOOKUP(Table2634[[#This Row],[Date]],'DB Money Supply'!$A:$D,4)</f>
        <v>321</v>
      </c>
      <c r="C140" s="31">
        <f>(Table2634[[#This Row],[M1 Money Stock, Billions of Dollars, Weekly, Seasonally Adjusted]]-B139)/B139</f>
        <v>2.8116213683223282E-3</v>
      </c>
      <c r="D140" s="35">
        <f>((1+Table2634[[#This Row],[Weekly change]])^52)-1</f>
        <v>0.15719521602760067</v>
      </c>
      <c r="E140" s="25">
        <f t="shared" si="2"/>
        <v>320.14999999999998</v>
      </c>
      <c r="F140" s="33">
        <f>(Table2634[[#This Row],[4 weeks average]]-B88)/B88</f>
        <v>7.5411488075243505E-2</v>
      </c>
    </row>
    <row r="141" spans="1:6" x14ac:dyDescent="0.2">
      <c r="A141" s="23">
        <v>28345</v>
      </c>
      <c r="B141" s="25">
        <f>VLOOKUP(Table2634[[#This Row],[Date]],'DB Money Supply'!$A:$D,4)</f>
        <v>321.39999999999998</v>
      </c>
      <c r="C141" s="31">
        <f>(Table2634[[#This Row],[M1 Money Stock, Billions of Dollars, Weekly, Seasonally Adjusted]]-B140)/B140</f>
        <v>1.2461059190030444E-3</v>
      </c>
      <c r="D141" s="35">
        <f>((1+Table2634[[#This Row],[Weekly change]])^52)-1</f>
        <v>6.6899916569834295E-2</v>
      </c>
      <c r="E141" s="25">
        <f t="shared" si="2"/>
        <v>320.67499999999995</v>
      </c>
      <c r="F141" s="33">
        <f>(Table2634[[#This Row],[4 weeks average]]-B89)/B89</f>
        <v>7.4288107202679921E-2</v>
      </c>
    </row>
    <row r="142" spans="1:6" x14ac:dyDescent="0.2">
      <c r="A142" s="23">
        <v>28352</v>
      </c>
      <c r="B142" s="25">
        <f>VLOOKUP(Table2634[[#This Row],[Date]],'DB Money Supply'!$A:$D,4)</f>
        <v>321.2</v>
      </c>
      <c r="C142" s="31">
        <f>(Table2634[[#This Row],[M1 Money Stock, Billions of Dollars, Weekly, Seasonally Adjusted]]-B141)/B141</f>
        <v>-6.2227753578092296E-4</v>
      </c>
      <c r="D142" s="35">
        <f>((1+Table2634[[#This Row],[Weekly change]])^52)-1</f>
        <v>-3.1850250720960926E-2</v>
      </c>
      <c r="E142" s="25">
        <f t="shared" si="2"/>
        <v>320.92500000000001</v>
      </c>
      <c r="F142" s="33">
        <f>(Table2634[[#This Row],[4 weeks average]]-B90)/B90</f>
        <v>7.1178237650200218E-2</v>
      </c>
    </row>
    <row r="143" spans="1:6" x14ac:dyDescent="0.2">
      <c r="A143" s="23">
        <v>28359</v>
      </c>
      <c r="B143" s="25">
        <f>VLOOKUP(Table2634[[#This Row],[Date]],'DB Money Supply'!$A:$D,4)</f>
        <v>322.39999999999998</v>
      </c>
      <c r="C143" s="31">
        <f>(Table2634[[#This Row],[M1 Money Stock, Billions of Dollars, Weekly, Seasonally Adjusted]]-B142)/B142</f>
        <v>3.735990037359865E-3</v>
      </c>
      <c r="D143" s="35">
        <f>((1+Table2634[[#This Row],[Weekly change]])^52)-1</f>
        <v>0.21398639414181231</v>
      </c>
      <c r="E143" s="25">
        <f t="shared" si="2"/>
        <v>321.5</v>
      </c>
      <c r="F143" s="33">
        <f>(Table2634[[#This Row],[4 weeks average]]-B91)/B91</f>
        <v>7.5250836120401343E-2</v>
      </c>
    </row>
    <row r="144" spans="1:6" x14ac:dyDescent="0.2">
      <c r="A144" s="23">
        <v>28366</v>
      </c>
      <c r="B144" s="25">
        <f>VLOOKUP(Table2634[[#This Row],[Date]],'DB Money Supply'!$A:$D,4)</f>
        <v>323.39999999999998</v>
      </c>
      <c r="C144" s="31">
        <f>(Table2634[[#This Row],[M1 Money Stock, Billions of Dollars, Weekly, Seasonally Adjusted]]-B143)/B143</f>
        <v>3.1017369727047149E-3</v>
      </c>
      <c r="D144" s="35">
        <f>((1+Table2634[[#This Row],[Weekly change]])^52)-1</f>
        <v>0.17473277775900642</v>
      </c>
      <c r="E144" s="25">
        <f t="shared" si="2"/>
        <v>322.09999999999997</v>
      </c>
      <c r="F144" s="33">
        <f>(Table2634[[#This Row],[4 weeks average]]-B92)/B92</f>
        <v>7.725752508361193E-2</v>
      </c>
    </row>
    <row r="145" spans="1:6" x14ac:dyDescent="0.2">
      <c r="A145" s="23">
        <v>28373</v>
      </c>
      <c r="B145" s="25">
        <f>VLOOKUP(Table2634[[#This Row],[Date]],'DB Money Supply'!$A:$D,4)</f>
        <v>324.60000000000002</v>
      </c>
      <c r="C145" s="31">
        <f>(Table2634[[#This Row],[M1 Money Stock, Billions of Dollars, Weekly, Seasonally Adjusted]]-B144)/B144</f>
        <v>3.7105751391467087E-3</v>
      </c>
      <c r="D145" s="35">
        <f>((1+Table2634[[#This Row],[Weekly change]])^52)-1</f>
        <v>0.21238902364409018</v>
      </c>
      <c r="E145" s="25">
        <f t="shared" si="2"/>
        <v>322.89999999999998</v>
      </c>
      <c r="F145" s="33">
        <f>(Table2634[[#This Row],[4 weeks average]]-B93)/B93</f>
        <v>8.2830315224681386E-2</v>
      </c>
    </row>
    <row r="146" spans="1:6" x14ac:dyDescent="0.2">
      <c r="A146" s="23">
        <v>28380</v>
      </c>
      <c r="B146" s="25">
        <f>VLOOKUP(Table2634[[#This Row],[Date]],'DB Money Supply'!$A:$D,4)</f>
        <v>323.3</v>
      </c>
      <c r="C146" s="31">
        <f>(Table2634[[#This Row],[M1 Money Stock, Billions of Dollars, Weekly, Seasonally Adjusted]]-B145)/B145</f>
        <v>-4.0049291435613407E-3</v>
      </c>
      <c r="D146" s="35">
        <f>((1+Table2634[[#This Row],[Weekly change]])^52)-1</f>
        <v>-0.18834057825375383</v>
      </c>
      <c r="E146" s="25">
        <f t="shared" si="2"/>
        <v>323.42500000000001</v>
      </c>
      <c r="F146" s="33">
        <f>(Table2634[[#This Row],[4 weeks average]]-B94)/B94</f>
        <v>7.9162495829162571E-2</v>
      </c>
    </row>
    <row r="147" spans="1:6" x14ac:dyDescent="0.2">
      <c r="A147" s="23">
        <v>28387</v>
      </c>
      <c r="B147" s="25">
        <f>VLOOKUP(Table2634[[#This Row],[Date]],'DB Money Supply'!$A:$D,4)</f>
        <v>324.2</v>
      </c>
      <c r="C147" s="31">
        <f>(Table2634[[#This Row],[M1 Money Stock, Billions of Dollars, Weekly, Seasonally Adjusted]]-B146)/B146</f>
        <v>2.7837921435198802E-3</v>
      </c>
      <c r="D147" s="35">
        <f>((1+Table2634[[#This Row],[Weekly change]])^52)-1</f>
        <v>0.15552649235685179</v>
      </c>
      <c r="E147" s="25">
        <f t="shared" si="2"/>
        <v>323.875</v>
      </c>
      <c r="F147" s="33">
        <f>(Table2634[[#This Row],[4 weeks average]]-B95)/B95</f>
        <v>7.9223592135954604E-2</v>
      </c>
    </row>
    <row r="148" spans="1:6" x14ac:dyDescent="0.2">
      <c r="A148" s="23">
        <v>28394</v>
      </c>
      <c r="B148" s="25">
        <f>VLOOKUP(Table2634[[#This Row],[Date]],'DB Money Supply'!$A:$D,4)</f>
        <v>324.5</v>
      </c>
      <c r="C148" s="31">
        <f>(Table2634[[#This Row],[M1 Money Stock, Billions of Dollars, Weekly, Seasonally Adjusted]]-B147)/B147</f>
        <v>9.2535471930910358E-4</v>
      </c>
      <c r="D148" s="35">
        <f>((1+Table2634[[#This Row],[Weekly change]])^52)-1</f>
        <v>4.9271586003726942E-2</v>
      </c>
      <c r="E148" s="25">
        <f t="shared" si="2"/>
        <v>324.15000000000003</v>
      </c>
      <c r="F148" s="33">
        <f>(Table2634[[#This Row],[4 weeks average]]-B96)/B96</f>
        <v>8.3027063147343871E-2</v>
      </c>
    </row>
    <row r="149" spans="1:6" x14ac:dyDescent="0.2">
      <c r="A149" s="23">
        <v>28401</v>
      </c>
      <c r="B149" s="25">
        <f>VLOOKUP(Table2634[[#This Row],[Date]],'DB Money Supply'!$A:$D,4)</f>
        <v>325.60000000000002</v>
      </c>
      <c r="C149" s="31">
        <f>(Table2634[[#This Row],[M1 Money Stock, Billions of Dollars, Weekly, Seasonally Adjusted]]-B148)/B148</f>
        <v>3.3898305084746464E-3</v>
      </c>
      <c r="D149" s="35">
        <f>((1+Table2634[[#This Row],[Weekly change]])^52)-1</f>
        <v>0.19240597675153581</v>
      </c>
      <c r="E149" s="25">
        <f t="shared" si="2"/>
        <v>324.39999999999998</v>
      </c>
      <c r="F149" s="33">
        <f>(Table2634[[#This Row],[4 weeks average]]-B97)/B97</f>
        <v>7.8816095776521419E-2</v>
      </c>
    </row>
    <row r="150" spans="1:6" x14ac:dyDescent="0.2">
      <c r="A150" s="23">
        <v>28408</v>
      </c>
      <c r="B150" s="25">
        <f>VLOOKUP(Table2634[[#This Row],[Date]],'DB Money Supply'!$A:$D,4)</f>
        <v>326.10000000000002</v>
      </c>
      <c r="C150" s="31">
        <f>(Table2634[[#This Row],[M1 Money Stock, Billions of Dollars, Weekly, Seasonally Adjusted]]-B149)/B149</f>
        <v>1.5356265356265355E-3</v>
      </c>
      <c r="D150" s="35">
        <f>((1+Table2634[[#This Row],[Weekly change]])^52)-1</f>
        <v>8.3061042480301106E-2</v>
      </c>
      <c r="E150" s="25">
        <f t="shared" si="2"/>
        <v>325.10000000000002</v>
      </c>
      <c r="F150" s="33">
        <f>(Table2634[[#This Row],[4 weeks average]]-B98)/B98</f>
        <v>7.6133730552797083E-2</v>
      </c>
    </row>
    <row r="151" spans="1:6" x14ac:dyDescent="0.2">
      <c r="A151" s="23">
        <v>28415</v>
      </c>
      <c r="B151" s="25">
        <f>VLOOKUP(Table2634[[#This Row],[Date]],'DB Money Supply'!$A:$D,4)</f>
        <v>325.60000000000002</v>
      </c>
      <c r="C151" s="31">
        <f>(Table2634[[#This Row],[M1 Money Stock, Billions of Dollars, Weekly, Seasonally Adjusted]]-B150)/B150</f>
        <v>-1.5332720024532351E-3</v>
      </c>
      <c r="D151" s="35">
        <f>((1+Table2634[[#This Row],[Weekly change]])^52)-1</f>
        <v>-7.6691007452437288E-2</v>
      </c>
      <c r="E151" s="25">
        <f t="shared" si="2"/>
        <v>325.45000000000005</v>
      </c>
      <c r="F151" s="33">
        <f>(Table2634[[#This Row],[4 weeks average]]-B99)/B99</f>
        <v>8.4471842719093707E-2</v>
      </c>
    </row>
    <row r="152" spans="1:6" x14ac:dyDescent="0.2">
      <c r="A152" s="23">
        <v>28422</v>
      </c>
      <c r="B152" s="25">
        <f>VLOOKUP(Table2634[[#This Row],[Date]],'DB Money Supply'!$A:$D,4)</f>
        <v>327.5</v>
      </c>
      <c r="C152" s="31">
        <f>(Table2634[[#This Row],[M1 Money Stock, Billions of Dollars, Weekly, Seasonally Adjusted]]-B151)/B151</f>
        <v>5.8353808353807648E-3</v>
      </c>
      <c r="D152" s="35">
        <f>((1+Table2634[[#This Row],[Weekly change]])^52)-1</f>
        <v>0.35331601658918244</v>
      </c>
      <c r="E152" s="25">
        <f t="shared" si="2"/>
        <v>326.20000000000005</v>
      </c>
      <c r="F152" s="33">
        <f>(Table2634[[#This Row],[4 weeks average]]-B100)/B100</f>
        <v>7.7634621737694282E-2</v>
      </c>
    </row>
    <row r="153" spans="1:6" x14ac:dyDescent="0.2">
      <c r="A153" s="23">
        <v>28429</v>
      </c>
      <c r="B153" s="25">
        <f>VLOOKUP(Table2634[[#This Row],[Date]],'DB Money Supply'!$A:$D,4)</f>
        <v>327</v>
      </c>
      <c r="C153" s="31">
        <f>(Table2634[[#This Row],[M1 Money Stock, Billions of Dollars, Weekly, Seasonally Adjusted]]-B152)/B152</f>
        <v>-1.5267175572519084E-3</v>
      </c>
      <c r="D153" s="35">
        <f>((1+Table2634[[#This Row],[Weekly change]])^52)-1</f>
        <v>-7.6375778971549124E-2</v>
      </c>
      <c r="E153" s="25">
        <f t="shared" si="2"/>
        <v>326.55</v>
      </c>
      <c r="F153" s="33">
        <f>(Table2634[[#This Row],[4 weeks average]]-B101)/B101</f>
        <v>7.523872242344426E-2</v>
      </c>
    </row>
    <row r="154" spans="1:6" x14ac:dyDescent="0.2">
      <c r="A154" s="23">
        <v>28436</v>
      </c>
      <c r="B154" s="25">
        <f>VLOOKUP(Table2634[[#This Row],[Date]],'DB Money Supply'!$A:$D,4)</f>
        <v>328.2</v>
      </c>
      <c r="C154" s="31">
        <f>(Table2634[[#This Row],[M1 Money Stock, Billions of Dollars, Weekly, Seasonally Adjusted]]-B153)/B153</f>
        <v>3.6697247706421669E-3</v>
      </c>
      <c r="D154" s="35">
        <f>((1+Table2634[[#This Row],[Weekly change]])^52)-1</f>
        <v>0.2098258255903096</v>
      </c>
      <c r="E154" s="25">
        <f t="shared" si="2"/>
        <v>327.07499999999999</v>
      </c>
      <c r="F154" s="33">
        <f>(Table2634[[#This Row],[4 weeks average]]-B102)/B102</f>
        <v>8.2313037723362015E-2</v>
      </c>
    </row>
    <row r="155" spans="1:6" x14ac:dyDescent="0.2">
      <c r="A155" s="23">
        <v>28443</v>
      </c>
      <c r="B155" s="25">
        <f>VLOOKUP(Table2634[[#This Row],[Date]],'DB Money Supply'!$A:$D,4)</f>
        <v>328.6</v>
      </c>
      <c r="C155" s="31">
        <f>(Table2634[[#This Row],[M1 Money Stock, Billions of Dollars, Weekly, Seasonally Adjusted]]-B154)/B154</f>
        <v>1.218769043266405E-3</v>
      </c>
      <c r="D155" s="35">
        <f>((1+Table2634[[#This Row],[Weekly change]])^52)-1</f>
        <v>6.5386241249505872E-2</v>
      </c>
      <c r="E155" s="25">
        <f t="shared" si="2"/>
        <v>327.82500000000005</v>
      </c>
      <c r="F155" s="33">
        <f>(Table2634[[#This Row],[4 weeks average]]-B103)/B103</f>
        <v>7.7308577062109876E-2</v>
      </c>
    </row>
    <row r="156" spans="1:6" x14ac:dyDescent="0.2">
      <c r="A156" s="23">
        <v>28450</v>
      </c>
      <c r="B156" s="25">
        <f>VLOOKUP(Table2634[[#This Row],[Date]],'DB Money Supply'!$A:$D,4)</f>
        <v>329</v>
      </c>
      <c r="C156" s="31">
        <f>(Table2634[[#This Row],[M1 Money Stock, Billions of Dollars, Weekly, Seasonally Adjusted]]-B155)/B155</f>
        <v>1.217285453438762E-3</v>
      </c>
      <c r="D156" s="35">
        <f>((1+Table2634[[#This Row],[Weekly change]])^52)-1</f>
        <v>6.5304153399305953E-2</v>
      </c>
      <c r="E156" s="25">
        <f t="shared" si="2"/>
        <v>328.20000000000005</v>
      </c>
      <c r="F156" s="33">
        <f>(Table2634[[#This Row],[4 weeks average]]-B104)/B104</f>
        <v>8.0315997366688721E-2</v>
      </c>
    </row>
    <row r="157" spans="1:6" x14ac:dyDescent="0.2">
      <c r="A157" s="23">
        <v>28457</v>
      </c>
      <c r="B157" s="25">
        <f>VLOOKUP(Table2634[[#This Row],[Date]],'DB Money Supply'!$A:$D,4)</f>
        <v>328.7</v>
      </c>
      <c r="C157" s="31">
        <f>(Table2634[[#This Row],[M1 Money Stock, Billions of Dollars, Weekly, Seasonally Adjusted]]-B156)/B156</f>
        <v>-9.1185410334349958E-4</v>
      </c>
      <c r="D157" s="35">
        <f>((1+Table2634[[#This Row],[Weekly change]])^52)-1</f>
        <v>-4.6330444052903097E-2</v>
      </c>
      <c r="E157" s="25">
        <f t="shared" si="2"/>
        <v>328.625</v>
      </c>
      <c r="F157" s="33">
        <f>(Table2634[[#This Row],[4 weeks average]]-B105)/B105</f>
        <v>8.242753623188398E-2</v>
      </c>
    </row>
    <row r="158" spans="1:6" x14ac:dyDescent="0.2">
      <c r="A158" s="23">
        <v>28464</v>
      </c>
      <c r="B158" s="25">
        <f>VLOOKUP(Table2634[[#This Row],[Date]],'DB Money Supply'!$A:$D,4)</f>
        <v>330</v>
      </c>
      <c r="C158" s="31">
        <f>(Table2634[[#This Row],[M1 Money Stock, Billions of Dollars, Weekly, Seasonally Adjusted]]-B157)/B157</f>
        <v>3.954974140553731E-3</v>
      </c>
      <c r="D158" s="35">
        <f>((1+Table2634[[#This Row],[Weekly change]])^52)-1</f>
        <v>0.22783571364489119</v>
      </c>
      <c r="E158" s="25">
        <f t="shared" si="2"/>
        <v>329.07499999999999</v>
      </c>
      <c r="F158" s="33">
        <f>(Table2634[[#This Row],[4 weeks average]]-B106)/B106</f>
        <v>7.7874222076645849E-2</v>
      </c>
    </row>
    <row r="159" spans="1:6" x14ac:dyDescent="0.2">
      <c r="A159" s="23">
        <v>28471</v>
      </c>
      <c r="B159" s="25">
        <f>VLOOKUP(Table2634[[#This Row],[Date]],'DB Money Supply'!$A:$D,4)</f>
        <v>330.2</v>
      </c>
      <c r="C159" s="31">
        <f>(Table2634[[#This Row],[M1 Money Stock, Billions of Dollars, Weekly, Seasonally Adjusted]]-B158)/B158</f>
        <v>6.0606060606057158E-4</v>
      </c>
      <c r="D159" s="35">
        <f>((1+Table2634[[#This Row],[Weekly change]])^52)-1</f>
        <v>3.2007160316086969E-2</v>
      </c>
      <c r="E159" s="25">
        <f t="shared" si="2"/>
        <v>329.47500000000002</v>
      </c>
      <c r="F159" s="33">
        <f>(Table2634[[#This Row],[4 weeks average]]-B107)/B107</f>
        <v>7.7419882275997415E-2</v>
      </c>
    </row>
    <row r="160" spans="1:6" x14ac:dyDescent="0.2">
      <c r="A160" s="23">
        <v>28478</v>
      </c>
      <c r="B160" s="25">
        <f>VLOOKUP(Table2634[[#This Row],[Date]],'DB Money Supply'!$A:$D,4)</f>
        <v>331</v>
      </c>
      <c r="C160" s="31">
        <f>(Table2634[[#This Row],[M1 Money Stock, Billions of Dollars, Weekly, Seasonally Adjusted]]-B159)/B159</f>
        <v>2.422774076317418E-3</v>
      </c>
      <c r="D160" s="35">
        <f>((1+Table2634[[#This Row],[Weekly change]])^52)-1</f>
        <v>0.13409149144064569</v>
      </c>
      <c r="E160" s="25">
        <f t="shared" si="2"/>
        <v>329.97500000000002</v>
      </c>
      <c r="F160" s="33">
        <f>(Table2634[[#This Row],[4 weeks average]]-B108)/B108</f>
        <v>7.6941906005222091E-2</v>
      </c>
    </row>
    <row r="161" spans="1:6" x14ac:dyDescent="0.2">
      <c r="A161" s="23">
        <v>28485</v>
      </c>
      <c r="B161" s="25">
        <f>VLOOKUP(Table2634[[#This Row],[Date]],'DB Money Supply'!$A:$D,4)</f>
        <v>330.7</v>
      </c>
      <c r="C161" s="31">
        <f>(Table2634[[#This Row],[M1 Money Stock, Billions of Dollars, Weekly, Seasonally Adjusted]]-B160)/B160</f>
        <v>-9.063444108761673E-4</v>
      </c>
      <c r="D161" s="35">
        <f>((1+Table2634[[#This Row],[Weekly change]])^52)-1</f>
        <v>-4.6056926067401971E-2</v>
      </c>
      <c r="E161" s="25">
        <f t="shared" si="2"/>
        <v>330.47500000000002</v>
      </c>
      <c r="F161" s="33">
        <f>(Table2634[[#This Row],[4 weeks average]]-B109)/B109</f>
        <v>7.7870189171559023E-2</v>
      </c>
    </row>
    <row r="162" spans="1:6" x14ac:dyDescent="0.2">
      <c r="A162" s="23">
        <v>28492</v>
      </c>
      <c r="B162" s="25">
        <f>VLOOKUP(Table2634[[#This Row],[Date]],'DB Money Supply'!$A:$D,4)</f>
        <v>332.5</v>
      </c>
      <c r="C162" s="31">
        <f>(Table2634[[#This Row],[M1 Money Stock, Billions of Dollars, Weekly, Seasonally Adjusted]]-B161)/B161</f>
        <v>5.4429996976111629E-3</v>
      </c>
      <c r="D162" s="35">
        <f>((1+Table2634[[#This Row],[Weekly change]])^52)-1</f>
        <v>0.32613472030259927</v>
      </c>
      <c r="E162" s="25">
        <f t="shared" si="2"/>
        <v>331.1</v>
      </c>
      <c r="F162" s="33">
        <f>(Table2634[[#This Row],[4 weeks average]]-B110)/B110</f>
        <v>7.8853046594982226E-2</v>
      </c>
    </row>
    <row r="163" spans="1:6" x14ac:dyDescent="0.2">
      <c r="A163" s="23">
        <v>28499</v>
      </c>
      <c r="B163" s="25">
        <f>VLOOKUP(Table2634[[#This Row],[Date]],'DB Money Supply'!$A:$D,4)</f>
        <v>334</v>
      </c>
      <c r="C163" s="31">
        <f>(Table2634[[#This Row],[M1 Money Stock, Billions of Dollars, Weekly, Seasonally Adjusted]]-B162)/B162</f>
        <v>4.5112781954887221E-3</v>
      </c>
      <c r="D163" s="35">
        <f>((1+Table2634[[#This Row],[Weekly change]])^52)-1</f>
        <v>0.26371893544625968</v>
      </c>
      <c r="E163" s="25">
        <f t="shared" si="2"/>
        <v>332.05</v>
      </c>
      <c r="F163" s="33">
        <f>(Table2634[[#This Row],[4 weeks average]]-B111)/B111</f>
        <v>7.9135521611959775E-2</v>
      </c>
    </row>
    <row r="164" spans="1:6" x14ac:dyDescent="0.2">
      <c r="A164" s="23">
        <v>28506</v>
      </c>
      <c r="B164" s="25">
        <f>VLOOKUP(Table2634[[#This Row],[Date]],'DB Money Supply'!$A:$D,4)</f>
        <v>334.5</v>
      </c>
      <c r="C164" s="31">
        <f>(Table2634[[#This Row],[M1 Money Stock, Billions of Dollars, Weekly, Seasonally Adjusted]]-B163)/B163</f>
        <v>1.4970059880239522E-3</v>
      </c>
      <c r="D164" s="35">
        <f>((1+Table2634[[#This Row],[Weekly change]])^52)-1</f>
        <v>8.089143424979417E-2</v>
      </c>
      <c r="E164" s="25">
        <f t="shared" si="2"/>
        <v>332.92500000000001</v>
      </c>
      <c r="F164" s="33">
        <f>(Table2634[[#This Row],[4 weeks average]]-B112)/B112</f>
        <v>8.0925324675324706E-2</v>
      </c>
    </row>
    <row r="165" spans="1:6" x14ac:dyDescent="0.2">
      <c r="A165" s="23">
        <v>28513</v>
      </c>
      <c r="B165" s="25">
        <f>VLOOKUP(Table2634[[#This Row],[Date]],'DB Money Supply'!$A:$D,4)</f>
        <v>335.9</v>
      </c>
      <c r="C165" s="31">
        <f>(Table2634[[#This Row],[M1 Money Stock, Billions of Dollars, Weekly, Seasonally Adjusted]]-B164)/B164</f>
        <v>4.1853512705529962E-3</v>
      </c>
      <c r="D165" s="35">
        <f>((1+Table2634[[#This Row],[Weekly change]])^52)-1</f>
        <v>0.24257282208871089</v>
      </c>
      <c r="E165" s="25">
        <f t="shared" si="2"/>
        <v>334.22500000000002</v>
      </c>
      <c r="F165" s="33">
        <f>(Table2634[[#This Row],[4 weeks average]]-B113)/B113</f>
        <v>8.1984460990612004E-2</v>
      </c>
    </row>
    <row r="166" spans="1:6" x14ac:dyDescent="0.2">
      <c r="A166" s="23">
        <v>28520</v>
      </c>
      <c r="B166" s="25">
        <f>VLOOKUP(Table2634[[#This Row],[Date]],'DB Money Supply'!$A:$D,4)</f>
        <v>334.4</v>
      </c>
      <c r="C166" s="31">
        <f>(Table2634[[#This Row],[M1 Money Stock, Billions of Dollars, Weekly, Seasonally Adjusted]]-B165)/B165</f>
        <v>-4.465614766299494E-3</v>
      </c>
      <c r="D166" s="35">
        <f>((1+Table2634[[#This Row],[Weekly change]])^52)-1</f>
        <v>-0.20763410181879693</v>
      </c>
      <c r="E166" s="25">
        <f t="shared" si="2"/>
        <v>334.7</v>
      </c>
      <c r="F166" s="33">
        <f>(Table2634[[#This Row],[4 weeks average]]-B114)/B114</f>
        <v>8.142164781906297E-2</v>
      </c>
    </row>
    <row r="167" spans="1:6" x14ac:dyDescent="0.2">
      <c r="A167" s="23">
        <v>28527</v>
      </c>
      <c r="B167" s="25">
        <f>VLOOKUP(Table2634[[#This Row],[Date]],'DB Money Supply'!$A:$D,4)</f>
        <v>333.8</v>
      </c>
      <c r="C167" s="31">
        <f>(Table2634[[#This Row],[M1 Money Stock, Billions of Dollars, Weekly, Seasonally Adjusted]]-B166)/B166</f>
        <v>-1.7942583732056398E-3</v>
      </c>
      <c r="D167" s="35">
        <f>((1+Table2634[[#This Row],[Weekly change]])^52)-1</f>
        <v>-8.9157459467449574E-2</v>
      </c>
      <c r="E167" s="25">
        <f t="shared" si="2"/>
        <v>334.65</v>
      </c>
      <c r="F167" s="33">
        <f>(Table2634[[#This Row],[4 weeks average]]-B115)/B115</f>
        <v>7.8472446019980546E-2</v>
      </c>
    </row>
    <row r="168" spans="1:6" x14ac:dyDescent="0.2">
      <c r="A168" s="23">
        <v>28534</v>
      </c>
      <c r="B168" s="25">
        <f>VLOOKUP(Table2634[[#This Row],[Date]],'DB Money Supply'!$A:$D,4)</f>
        <v>335.1</v>
      </c>
      <c r="C168" s="31">
        <f>(Table2634[[#This Row],[M1 Money Stock, Billions of Dollars, Weekly, Seasonally Adjusted]]-B167)/B167</f>
        <v>3.8945476333133952E-3</v>
      </c>
      <c r="D168" s="35">
        <f>((1+Table2634[[#This Row],[Weekly change]])^52)-1</f>
        <v>0.2239987254707938</v>
      </c>
      <c r="E168" s="25">
        <f t="shared" si="2"/>
        <v>334.79999999999995</v>
      </c>
      <c r="F168" s="33">
        <f>(Table2634[[#This Row],[4 weeks average]]-B116)/B116</f>
        <v>7.5489881143591203E-2</v>
      </c>
    </row>
    <row r="169" spans="1:6" x14ac:dyDescent="0.2">
      <c r="A169" s="23">
        <v>28541</v>
      </c>
      <c r="B169" s="25">
        <f>VLOOKUP(Table2634[[#This Row],[Date]],'DB Money Supply'!$A:$D,4)</f>
        <v>335.5</v>
      </c>
      <c r="C169" s="31">
        <f>(Table2634[[#This Row],[M1 Money Stock, Billions of Dollars, Weekly, Seasonally Adjusted]]-B168)/B168</f>
        <v>1.1936735302893978E-3</v>
      </c>
      <c r="D169" s="35">
        <f>((1+Table2634[[#This Row],[Weekly change]])^52)-1</f>
        <v>6.3998527255920257E-2</v>
      </c>
      <c r="E169" s="25">
        <f t="shared" si="2"/>
        <v>334.70000000000005</v>
      </c>
      <c r="F169" s="33">
        <f>(Table2634[[#This Row],[4 weeks average]]-B117)/B117</f>
        <v>7.3788899582932485E-2</v>
      </c>
    </row>
    <row r="170" spans="1:6" x14ac:dyDescent="0.2">
      <c r="A170" s="23">
        <v>28548</v>
      </c>
      <c r="B170" s="25">
        <f>VLOOKUP(Table2634[[#This Row],[Date]],'DB Money Supply'!$A:$D,4)</f>
        <v>336.1</v>
      </c>
      <c r="C170" s="31">
        <f>(Table2634[[#This Row],[M1 Money Stock, Billions of Dollars, Weekly, Seasonally Adjusted]]-B169)/B169</f>
        <v>1.78837555886743E-3</v>
      </c>
      <c r="D170" s="35">
        <f>((1+Table2634[[#This Row],[Weekly change]])^52)-1</f>
        <v>9.7365681504821833E-2</v>
      </c>
      <c r="E170" s="25">
        <f t="shared" si="2"/>
        <v>335.125</v>
      </c>
      <c r="F170" s="33">
        <f>(Table2634[[#This Row],[4 weeks average]]-B118)/B118</f>
        <v>7.3086775536343226E-2</v>
      </c>
    </row>
    <row r="171" spans="1:6" x14ac:dyDescent="0.2">
      <c r="A171" s="23">
        <v>28555</v>
      </c>
      <c r="B171" s="25">
        <f>VLOOKUP(Table2634[[#This Row],[Date]],'DB Money Supply'!$A:$D,4)</f>
        <v>336.8</v>
      </c>
      <c r="C171" s="31">
        <f>(Table2634[[#This Row],[M1 Money Stock, Billions of Dollars, Weekly, Seasonally Adjusted]]-B170)/B170</f>
        <v>2.0827134781314744E-3</v>
      </c>
      <c r="D171" s="35">
        <f>((1+Table2634[[#This Row],[Weekly change]])^52)-1</f>
        <v>0.11425773769673198</v>
      </c>
      <c r="E171" s="25">
        <f t="shared" si="2"/>
        <v>335.875</v>
      </c>
      <c r="F171" s="33">
        <f>(Table2634[[#This Row],[4 weeks average]]-B119)/B119</f>
        <v>7.4112567956507877E-2</v>
      </c>
    </row>
    <row r="172" spans="1:6" x14ac:dyDescent="0.2">
      <c r="A172" s="23">
        <v>28562</v>
      </c>
      <c r="B172" s="25">
        <f>VLOOKUP(Table2634[[#This Row],[Date]],'DB Money Supply'!$A:$D,4)</f>
        <v>336.2</v>
      </c>
      <c r="C172" s="31">
        <f>(Table2634[[#This Row],[M1 Money Stock, Billions of Dollars, Weekly, Seasonally Adjusted]]-B171)/B171</f>
        <v>-1.7814726840855782E-3</v>
      </c>
      <c r="D172" s="35">
        <f>((1+Table2634[[#This Row],[Weekly change]])^52)-1</f>
        <v>-8.8550593779338937E-2</v>
      </c>
      <c r="E172" s="25">
        <f t="shared" si="2"/>
        <v>336.15000000000003</v>
      </c>
      <c r="F172" s="33">
        <f>(Table2634[[#This Row],[4 weeks average]]-B120)/B120</f>
        <v>7.1223709369024932E-2</v>
      </c>
    </row>
    <row r="173" spans="1:6" x14ac:dyDescent="0.2">
      <c r="A173" s="23">
        <v>28569</v>
      </c>
      <c r="B173" s="25">
        <f>VLOOKUP(Table2634[[#This Row],[Date]],'DB Money Supply'!$A:$D,4)</f>
        <v>336.7</v>
      </c>
      <c r="C173" s="31">
        <f>(Table2634[[#This Row],[M1 Money Stock, Billions of Dollars, Weekly, Seasonally Adjusted]]-B172)/B172</f>
        <v>1.4872099940511601E-3</v>
      </c>
      <c r="D173" s="35">
        <f>((1+Table2634[[#This Row],[Weekly change]])^52)-1</f>
        <v>8.0341797258943082E-2</v>
      </c>
      <c r="E173" s="25">
        <f t="shared" si="2"/>
        <v>336.45000000000005</v>
      </c>
      <c r="F173" s="33">
        <f>(Table2634[[#This Row],[4 weeks average]]-B121)/B121</f>
        <v>6.9793322734499355E-2</v>
      </c>
    </row>
    <row r="174" spans="1:6" x14ac:dyDescent="0.2">
      <c r="A174" s="23">
        <v>28576</v>
      </c>
      <c r="B174" s="25">
        <f>VLOOKUP(Table2634[[#This Row],[Date]],'DB Money Supply'!$A:$D,4)</f>
        <v>336.7</v>
      </c>
      <c r="C174" s="31">
        <f>(Table2634[[#This Row],[M1 Money Stock, Billions of Dollars, Weekly, Seasonally Adjusted]]-B173)/B173</f>
        <v>0</v>
      </c>
      <c r="D174" s="35">
        <f>((1+Table2634[[#This Row],[Weekly change]])^52)-1</f>
        <v>0</v>
      </c>
      <c r="E174" s="25">
        <f t="shared" si="2"/>
        <v>336.6</v>
      </c>
      <c r="F174" s="33">
        <f>(Table2634[[#This Row],[4 weeks average]]-B122)/B122</f>
        <v>7.2316024211532479E-2</v>
      </c>
    </row>
    <row r="175" spans="1:6" x14ac:dyDescent="0.2">
      <c r="A175" s="23">
        <v>28583</v>
      </c>
      <c r="B175" s="25">
        <f>VLOOKUP(Table2634[[#This Row],[Date]],'DB Money Supply'!$A:$D,4)</f>
        <v>338.6</v>
      </c>
      <c r="C175" s="31">
        <f>(Table2634[[#This Row],[M1 Money Stock, Billions of Dollars, Weekly, Seasonally Adjusted]]-B174)/B174</f>
        <v>5.6430056430057446E-3</v>
      </c>
      <c r="D175" s="35">
        <f>((1+Table2634[[#This Row],[Weekly change]])^52)-1</f>
        <v>0.33992208086554054</v>
      </c>
      <c r="E175" s="25">
        <f t="shared" si="2"/>
        <v>337.04999999999995</v>
      </c>
      <c r="F175" s="33">
        <f>(Table2634[[#This Row],[4 weeks average]]-B123)/B123</f>
        <v>6.7965779467680384E-2</v>
      </c>
    </row>
    <row r="176" spans="1:6" x14ac:dyDescent="0.2">
      <c r="A176" s="23">
        <v>28590</v>
      </c>
      <c r="B176" s="25">
        <f>VLOOKUP(Table2634[[#This Row],[Date]],'DB Money Supply'!$A:$D,4)</f>
        <v>338.3</v>
      </c>
      <c r="C176" s="31">
        <f>(Table2634[[#This Row],[M1 Money Stock, Billions of Dollars, Weekly, Seasonally Adjusted]]-B175)/B175</f>
        <v>-8.8600118133494194E-4</v>
      </c>
      <c r="D176" s="35">
        <f>((1+Table2634[[#This Row],[Weekly change]])^52)-1</f>
        <v>-4.5046359294297456E-2</v>
      </c>
      <c r="E176" s="25">
        <f t="shared" si="2"/>
        <v>337.57499999999999</v>
      </c>
      <c r="F176" s="33">
        <f>(Table2634[[#This Row],[4 weeks average]]-B124)/B124</f>
        <v>6.8951868271057551E-2</v>
      </c>
    </row>
    <row r="177" spans="1:6" x14ac:dyDescent="0.2">
      <c r="A177" s="23">
        <v>28597</v>
      </c>
      <c r="B177" s="25">
        <f>VLOOKUP(Table2634[[#This Row],[Date]],'DB Money Supply'!$A:$D,4)</f>
        <v>337.6</v>
      </c>
      <c r="C177" s="31">
        <f>(Table2634[[#This Row],[M1 Money Stock, Billions of Dollars, Weekly, Seasonally Adjusted]]-B176)/B176</f>
        <v>-2.0691693762931972E-3</v>
      </c>
      <c r="D177" s="35">
        <f>((1+Table2634[[#This Row],[Weekly change]])^52)-1</f>
        <v>-0.1021105088859211</v>
      </c>
      <c r="E177" s="25">
        <f t="shared" si="2"/>
        <v>337.79999999999995</v>
      </c>
      <c r="F177" s="33">
        <f>(Table2634[[#This Row],[4 weeks average]]-B125)/B125</f>
        <v>7.0003167564143071E-2</v>
      </c>
    </row>
    <row r="178" spans="1:6" x14ac:dyDescent="0.2">
      <c r="A178" s="23">
        <v>28604</v>
      </c>
      <c r="B178" s="25">
        <f>VLOOKUP(Table2634[[#This Row],[Date]],'DB Money Supply'!$A:$D,4)</f>
        <v>340.6</v>
      </c>
      <c r="C178" s="31">
        <f>(Table2634[[#This Row],[M1 Money Stock, Billions of Dollars, Weekly, Seasonally Adjusted]]-B177)/B177</f>
        <v>8.8862559241706159E-3</v>
      </c>
      <c r="D178" s="35">
        <f>((1+Table2634[[#This Row],[Weekly change]])^52)-1</f>
        <v>0.58414413940738208</v>
      </c>
      <c r="E178" s="25">
        <f t="shared" si="2"/>
        <v>338.77500000000003</v>
      </c>
      <c r="F178" s="33">
        <f>(Table2634[[#This Row],[4 weeks average]]-B126)/B126</f>
        <v>7.1733628598544791E-2</v>
      </c>
    </row>
    <row r="179" spans="1:6" x14ac:dyDescent="0.2">
      <c r="A179" s="23">
        <v>28611</v>
      </c>
      <c r="B179" s="25">
        <f>VLOOKUP(Table2634[[#This Row],[Date]],'DB Money Supply'!$A:$D,4)</f>
        <v>344.9</v>
      </c>
      <c r="C179" s="31">
        <f>(Table2634[[#This Row],[M1 Money Stock, Billions of Dollars, Weekly, Seasonally Adjusted]]-B178)/B178</f>
        <v>1.2624779800352185E-2</v>
      </c>
      <c r="D179" s="35">
        <f>((1+Table2634[[#This Row],[Weekly change]])^52)-1</f>
        <v>0.92010349673962377</v>
      </c>
      <c r="E179" s="25">
        <f t="shared" si="2"/>
        <v>340.35</v>
      </c>
      <c r="F179" s="33">
        <f>(Table2634[[#This Row],[4 weeks average]]-B127)/B127</f>
        <v>7.5015792798483888E-2</v>
      </c>
    </row>
    <row r="180" spans="1:6" x14ac:dyDescent="0.2">
      <c r="A180" s="23">
        <v>28618</v>
      </c>
      <c r="B180" s="25">
        <f>VLOOKUP(Table2634[[#This Row],[Date]],'DB Money Supply'!$A:$D,4)</f>
        <v>342.6</v>
      </c>
      <c r="C180" s="31">
        <f>(Table2634[[#This Row],[M1 Money Stock, Billions of Dollars, Weekly, Seasonally Adjusted]]-B179)/B179</f>
        <v>-6.6685995940851108E-3</v>
      </c>
      <c r="D180" s="35">
        <f>((1+Table2634[[#This Row],[Weekly change]])^52)-1</f>
        <v>-0.29385068586710594</v>
      </c>
      <c r="E180" s="25">
        <f t="shared" si="2"/>
        <v>341.42500000000001</v>
      </c>
      <c r="F180" s="33">
        <f>(Table2634[[#This Row],[4 weeks average]]-B128)/B128</f>
        <v>7.8070729396905666E-2</v>
      </c>
    </row>
    <row r="181" spans="1:6" x14ac:dyDescent="0.2">
      <c r="A181" s="23">
        <v>28625</v>
      </c>
      <c r="B181" s="25">
        <f>VLOOKUP(Table2634[[#This Row],[Date]],'DB Money Supply'!$A:$D,4)</f>
        <v>344.1</v>
      </c>
      <c r="C181" s="31">
        <f>(Table2634[[#This Row],[M1 Money Stock, Billions of Dollars, Weekly, Seasonally Adjusted]]-B180)/B180</f>
        <v>4.3782837127845885E-3</v>
      </c>
      <c r="D181" s="35">
        <f>((1+Table2634[[#This Row],[Weekly change]])^52)-1</f>
        <v>0.25504797569384485</v>
      </c>
      <c r="E181" s="25">
        <f t="shared" si="2"/>
        <v>343.04999999999995</v>
      </c>
      <c r="F181" s="33">
        <f>(Table2634[[#This Row],[4 weeks average]]-B129)/B129</f>
        <v>8.013224181360179E-2</v>
      </c>
    </row>
    <row r="182" spans="1:6" x14ac:dyDescent="0.2">
      <c r="A182" s="23">
        <v>28632</v>
      </c>
      <c r="B182" s="25">
        <f>VLOOKUP(Table2634[[#This Row],[Date]],'DB Money Supply'!$A:$D,4)</f>
        <v>345.1</v>
      </c>
      <c r="C182" s="31">
        <f>(Table2634[[#This Row],[M1 Money Stock, Billions of Dollars, Weekly, Seasonally Adjusted]]-B181)/B181</f>
        <v>2.9061319383900026E-3</v>
      </c>
      <c r="D182" s="35">
        <f>((1+Table2634[[#This Row],[Weekly change]])^52)-1</f>
        <v>0.16288001493322324</v>
      </c>
      <c r="E182" s="25">
        <f t="shared" si="2"/>
        <v>344.17499999999995</v>
      </c>
      <c r="F182" s="33">
        <f>(Table2634[[#This Row],[4 weeks average]]-B130)/B130</f>
        <v>8.4357277882797663E-2</v>
      </c>
    </row>
    <row r="183" spans="1:6" x14ac:dyDescent="0.2">
      <c r="A183" s="23">
        <v>28639</v>
      </c>
      <c r="B183" s="25">
        <f>VLOOKUP(Table2634[[#This Row],[Date]],'DB Money Supply'!$A:$D,4)</f>
        <v>346.7</v>
      </c>
      <c r="C183" s="31">
        <f>(Table2634[[#This Row],[M1 Money Stock, Billions of Dollars, Weekly, Seasonally Adjusted]]-B182)/B182</f>
        <v>4.6363372935380055E-3</v>
      </c>
      <c r="D183" s="35">
        <f>((1+Table2634[[#This Row],[Weekly change]])^52)-1</f>
        <v>0.27192611116637599</v>
      </c>
      <c r="E183" s="25">
        <f t="shared" si="2"/>
        <v>344.62500000000006</v>
      </c>
      <c r="F183" s="33">
        <f>(Table2634[[#This Row],[4 weeks average]]-B131)/B131</f>
        <v>8.7831439393939531E-2</v>
      </c>
    </row>
    <row r="184" spans="1:6" x14ac:dyDescent="0.2">
      <c r="A184" s="23">
        <v>28646</v>
      </c>
      <c r="B184" s="25">
        <f>VLOOKUP(Table2634[[#This Row],[Date]],'DB Money Supply'!$A:$D,4)</f>
        <v>346.6</v>
      </c>
      <c r="C184" s="31">
        <f>(Table2634[[#This Row],[M1 Money Stock, Billions of Dollars, Weekly, Seasonally Adjusted]]-B183)/B183</f>
        <v>-2.8843380444178222E-4</v>
      </c>
      <c r="D184" s="35">
        <f>((1+Table2634[[#This Row],[Weekly change]])^52)-1</f>
        <v>-1.4888770950574393E-2</v>
      </c>
      <c r="E184" s="25">
        <f t="shared" si="2"/>
        <v>345.625</v>
      </c>
      <c r="F184" s="33">
        <f>(Table2634[[#This Row],[4 weeks average]]-B132)/B132</f>
        <v>8.8239924433249295E-2</v>
      </c>
    </row>
    <row r="185" spans="1:6" x14ac:dyDescent="0.2">
      <c r="A185" s="23">
        <v>28653</v>
      </c>
      <c r="B185" s="25">
        <f>VLOOKUP(Table2634[[#This Row],[Date]],'DB Money Supply'!$A:$D,4)</f>
        <v>346.8</v>
      </c>
      <c r="C185" s="31">
        <f>(Table2634[[#This Row],[M1 Money Stock, Billions of Dollars, Weekly, Seasonally Adjusted]]-B184)/B184</f>
        <v>5.7703404500862262E-4</v>
      </c>
      <c r="D185" s="35">
        <f>((1+Table2634[[#This Row],[Weekly change]])^52)-1</f>
        <v>3.0451562635780416E-2</v>
      </c>
      <c r="E185" s="25">
        <f t="shared" si="2"/>
        <v>346.3</v>
      </c>
      <c r="F185" s="33">
        <f>(Table2634[[#This Row],[4 weeks average]]-B133)/B133</f>
        <v>8.9679043423536817E-2</v>
      </c>
    </row>
    <row r="186" spans="1:6" x14ac:dyDescent="0.2">
      <c r="A186" s="23">
        <v>28660</v>
      </c>
      <c r="B186" s="25">
        <f>VLOOKUP(Table2634[[#This Row],[Date]],'DB Money Supply'!$A:$D,4)</f>
        <v>345.8</v>
      </c>
      <c r="C186" s="31">
        <f>(Table2634[[#This Row],[M1 Money Stock, Billions of Dollars, Weekly, Seasonally Adjusted]]-B185)/B185</f>
        <v>-2.8835063437139563E-3</v>
      </c>
      <c r="D186" s="35">
        <f>((1+Table2634[[#This Row],[Weekly change]])^52)-1</f>
        <v>-0.13942880173165906</v>
      </c>
      <c r="E186" s="25">
        <f t="shared" si="2"/>
        <v>346.47499999999997</v>
      </c>
      <c r="F186" s="33">
        <f>(Table2634[[#This Row],[4 weeks average]]-B134)/B134</f>
        <v>8.4768315591734478E-2</v>
      </c>
    </row>
    <row r="187" spans="1:6" x14ac:dyDescent="0.2">
      <c r="A187" s="23">
        <v>28667</v>
      </c>
      <c r="B187" s="25">
        <f>VLOOKUP(Table2634[[#This Row],[Date]],'DB Money Supply'!$A:$D,4)</f>
        <v>346.5</v>
      </c>
      <c r="C187" s="31">
        <f>(Table2634[[#This Row],[M1 Money Stock, Billions of Dollars, Weekly, Seasonally Adjusted]]-B186)/B186</f>
        <v>2.0242914979756756E-3</v>
      </c>
      <c r="D187" s="35">
        <f>((1+Table2634[[#This Row],[Weekly change]])^52)-1</f>
        <v>0.11088473877657434</v>
      </c>
      <c r="E187" s="25">
        <f t="shared" si="2"/>
        <v>346.42500000000001</v>
      </c>
      <c r="F187" s="33">
        <f>(Table2634[[#This Row],[4 weeks average]]-B135)/B135</f>
        <v>8.4611772072636302E-2</v>
      </c>
    </row>
    <row r="188" spans="1:6" x14ac:dyDescent="0.2">
      <c r="A188" s="23">
        <v>28674</v>
      </c>
      <c r="B188" s="25">
        <f>VLOOKUP(Table2634[[#This Row],[Date]],'DB Money Supply'!$A:$D,4)</f>
        <v>348.1</v>
      </c>
      <c r="C188" s="31">
        <f>(Table2634[[#This Row],[M1 Money Stock, Billions of Dollars, Weekly, Seasonally Adjusted]]-B187)/B187</f>
        <v>4.6176046176046835E-3</v>
      </c>
      <c r="D188" s="35">
        <f>((1+Table2634[[#This Row],[Weekly change]])^52)-1</f>
        <v>0.27069343306261118</v>
      </c>
      <c r="E188" s="25">
        <f t="shared" si="2"/>
        <v>346.79999999999995</v>
      </c>
      <c r="F188" s="33">
        <f>(Table2634[[#This Row],[4 weeks average]]-B136)/B136</f>
        <v>8.5446009389671215E-2</v>
      </c>
    </row>
    <row r="189" spans="1:6" x14ac:dyDescent="0.2">
      <c r="A189" s="23">
        <v>28681</v>
      </c>
      <c r="B189" s="25">
        <f>VLOOKUP(Table2634[[#This Row],[Date]],'DB Money Supply'!$A:$D,4)</f>
        <v>347.7</v>
      </c>
      <c r="C189" s="31">
        <f>(Table2634[[#This Row],[M1 Money Stock, Billions of Dollars, Weekly, Seasonally Adjusted]]-B188)/B188</f>
        <v>-1.1490950876185983E-3</v>
      </c>
      <c r="D189" s="35">
        <f>((1+Table2634[[#This Row],[Weekly change]])^52)-1</f>
        <v>-5.8035133477009504E-2</v>
      </c>
      <c r="E189" s="25">
        <f t="shared" si="2"/>
        <v>347.02500000000003</v>
      </c>
      <c r="F189" s="33">
        <f>(Table2634[[#This Row],[4 weeks average]]-B137)/B137</f>
        <v>8.6830566865017292E-2</v>
      </c>
    </row>
    <row r="190" spans="1:6" x14ac:dyDescent="0.2">
      <c r="A190" s="23">
        <v>28688</v>
      </c>
      <c r="B190" s="25">
        <f>VLOOKUP(Table2634[[#This Row],[Date]],'DB Money Supply'!$A:$D,4)</f>
        <v>346.2</v>
      </c>
      <c r="C190" s="31">
        <f>(Table2634[[#This Row],[M1 Money Stock, Billions of Dollars, Weekly, Seasonally Adjusted]]-B189)/B189</f>
        <v>-4.3140638481449526E-3</v>
      </c>
      <c r="D190" s="35">
        <f>((1+Table2634[[#This Row],[Weekly change]])^52)-1</f>
        <v>-0.20133732483081945</v>
      </c>
      <c r="E190" s="25">
        <f t="shared" si="2"/>
        <v>347.125</v>
      </c>
      <c r="F190" s="33">
        <f>(Table2634[[#This Row],[4 weeks average]]-B138)/B138</f>
        <v>8.4088069956277364E-2</v>
      </c>
    </row>
    <row r="191" spans="1:6" x14ac:dyDescent="0.2">
      <c r="A191" s="23">
        <v>28695</v>
      </c>
      <c r="B191" s="25">
        <f>VLOOKUP(Table2634[[#This Row],[Date]],'DB Money Supply'!$A:$D,4)</f>
        <v>348.2</v>
      </c>
      <c r="C191" s="31">
        <f>(Table2634[[#This Row],[M1 Money Stock, Billions of Dollars, Weekly, Seasonally Adjusted]]-B190)/B190</f>
        <v>5.7770075101097633E-3</v>
      </c>
      <c r="D191" s="35">
        <f>((1+Table2634[[#This Row],[Weekly change]])^52)-1</f>
        <v>0.3492380136755926</v>
      </c>
      <c r="E191" s="25">
        <f t="shared" si="2"/>
        <v>347.55</v>
      </c>
      <c r="F191" s="33">
        <f>(Table2634[[#This Row],[4 weeks average]]-B139)/B139</f>
        <v>8.5754451733833142E-2</v>
      </c>
    </row>
    <row r="192" spans="1:6" x14ac:dyDescent="0.2">
      <c r="A192" s="23">
        <v>28702</v>
      </c>
      <c r="B192" s="25">
        <f>VLOOKUP(Table2634[[#This Row],[Date]],'DB Money Supply'!$A:$D,4)</f>
        <v>348.6</v>
      </c>
      <c r="C192" s="31">
        <f>(Table2634[[#This Row],[M1 Money Stock, Billions of Dollars, Weekly, Seasonally Adjusted]]-B191)/B191</f>
        <v>1.1487650775417408E-3</v>
      </c>
      <c r="D192" s="35">
        <f>((1+Table2634[[#This Row],[Weekly change]])^52)-1</f>
        <v>6.1519634677124735E-2</v>
      </c>
      <c r="E192" s="25">
        <f t="shared" si="2"/>
        <v>347.67499999999995</v>
      </c>
      <c r="F192" s="33">
        <f>(Table2634[[#This Row],[4 weeks average]]-B140)/B140</f>
        <v>8.3099688473520103E-2</v>
      </c>
    </row>
    <row r="193" spans="1:6" x14ac:dyDescent="0.2">
      <c r="A193" s="23">
        <v>28709</v>
      </c>
      <c r="B193" s="25">
        <f>VLOOKUP(Table2634[[#This Row],[Date]],'DB Money Supply'!$A:$D,4)</f>
        <v>348.4</v>
      </c>
      <c r="C193" s="31">
        <f>(Table2634[[#This Row],[M1 Money Stock, Billions of Dollars, Weekly, Seasonally Adjusted]]-B192)/B192</f>
        <v>-5.7372346528986073E-4</v>
      </c>
      <c r="D193" s="35">
        <f>((1+Table2634[[#This Row],[Weekly change]])^52)-1</f>
        <v>-2.9401300198167557E-2</v>
      </c>
      <c r="E193" s="25">
        <f t="shared" si="2"/>
        <v>347.85</v>
      </c>
      <c r="F193" s="33">
        <f>(Table2634[[#This Row],[4 weeks average]]-B141)/B141</f>
        <v>8.2296204107031881E-2</v>
      </c>
    </row>
    <row r="194" spans="1:6" x14ac:dyDescent="0.2">
      <c r="A194" s="23">
        <v>28716</v>
      </c>
      <c r="B194" s="25">
        <f>VLOOKUP(Table2634[[#This Row],[Date]],'DB Money Supply'!$A:$D,4)</f>
        <v>349.7</v>
      </c>
      <c r="C194" s="31">
        <f>(Table2634[[#This Row],[M1 Money Stock, Billions of Dollars, Weekly, Seasonally Adjusted]]-B193)/B193</f>
        <v>3.7313432835821224E-3</v>
      </c>
      <c r="D194" s="35">
        <f>((1+Table2634[[#This Row],[Weekly change]])^52)-1</f>
        <v>0.21369418347916214</v>
      </c>
      <c r="E194" s="25">
        <f t="shared" si="2"/>
        <v>348.72499999999997</v>
      </c>
      <c r="F194" s="33">
        <f>(Table2634[[#This Row],[4 weeks average]]-B142)/B142</f>
        <v>8.5694271481942641E-2</v>
      </c>
    </row>
    <row r="195" spans="1:6" x14ac:dyDescent="0.2">
      <c r="A195" s="23">
        <v>28723</v>
      </c>
      <c r="B195" s="25">
        <f>VLOOKUP(Table2634[[#This Row],[Date]],'DB Money Supply'!$A:$D,4)</f>
        <v>349.7</v>
      </c>
      <c r="C195" s="31">
        <f>(Table2634[[#This Row],[M1 Money Stock, Billions of Dollars, Weekly, Seasonally Adjusted]]-B194)/B194</f>
        <v>0</v>
      </c>
      <c r="D195" s="35">
        <f>((1+Table2634[[#This Row],[Weekly change]])^52)-1</f>
        <v>0</v>
      </c>
      <c r="E195" s="25">
        <f t="shared" si="2"/>
        <v>349.1</v>
      </c>
      <c r="F195" s="33">
        <f>(Table2634[[#This Row],[4 weeks average]]-B143)/B143</f>
        <v>8.2816377171216024E-2</v>
      </c>
    </row>
    <row r="196" spans="1:6" x14ac:dyDescent="0.2">
      <c r="A196" s="23">
        <v>28730</v>
      </c>
      <c r="B196" s="25">
        <f>VLOOKUP(Table2634[[#This Row],[Date]],'DB Money Supply'!$A:$D,4)</f>
        <v>349.3</v>
      </c>
      <c r="C196" s="31">
        <f>(Table2634[[#This Row],[M1 Money Stock, Billions of Dollars, Weekly, Seasonally Adjusted]]-B195)/B195</f>
        <v>-1.1438375750642759E-3</v>
      </c>
      <c r="D196" s="35">
        <f>((1+Table2634[[#This Row],[Weekly change]])^52)-1</f>
        <v>-5.7777278218840489E-2</v>
      </c>
      <c r="E196" s="25">
        <f t="shared" si="2"/>
        <v>349.27499999999998</v>
      </c>
      <c r="F196" s="33">
        <f>(Table2634[[#This Row],[4 weeks average]]-B144)/B144</f>
        <v>8.0009276437847873E-2</v>
      </c>
    </row>
    <row r="197" spans="1:6" x14ac:dyDescent="0.2">
      <c r="A197" s="23">
        <v>28737</v>
      </c>
      <c r="B197" s="25">
        <f>VLOOKUP(Table2634[[#This Row],[Date]],'DB Money Supply'!$A:$D,4)</f>
        <v>352.7</v>
      </c>
      <c r="C197" s="31">
        <f>(Table2634[[#This Row],[M1 Money Stock, Billions of Dollars, Weekly, Seasonally Adjusted]]-B196)/B196</f>
        <v>9.7337532207271028E-3</v>
      </c>
      <c r="D197" s="35">
        <f>((1+Table2634[[#This Row],[Weekly change]])^52)-1</f>
        <v>0.65484548563997413</v>
      </c>
      <c r="E197" s="25">
        <f t="shared" si="2"/>
        <v>350.35</v>
      </c>
      <c r="F197" s="33">
        <f>(Table2634[[#This Row],[4 weeks average]]-B145)/B145</f>
        <v>7.9328404189772023E-2</v>
      </c>
    </row>
    <row r="198" spans="1:6" x14ac:dyDescent="0.2">
      <c r="A198" s="23">
        <v>28744</v>
      </c>
      <c r="B198" s="25">
        <f>VLOOKUP(Table2634[[#This Row],[Date]],'DB Money Supply'!$A:$D,4)</f>
        <v>351.6</v>
      </c>
      <c r="C198" s="31">
        <f>(Table2634[[#This Row],[M1 Money Stock, Billions of Dollars, Weekly, Seasonally Adjusted]]-B197)/B197</f>
        <v>-3.1187978451941195E-3</v>
      </c>
      <c r="D198" s="35">
        <f>((1+Table2634[[#This Row],[Weekly change]])^52)-1</f>
        <v>-0.14992518388396925</v>
      </c>
      <c r="E198" s="25">
        <f t="shared" si="2"/>
        <v>350.82500000000005</v>
      </c>
      <c r="F198" s="33">
        <f>(Table2634[[#This Row],[4 weeks average]]-B146)/B146</f>
        <v>8.5137643055985257E-2</v>
      </c>
    </row>
    <row r="199" spans="1:6" x14ac:dyDescent="0.2">
      <c r="A199" s="23">
        <v>28751</v>
      </c>
      <c r="B199" s="25">
        <f>VLOOKUP(Table2634[[#This Row],[Date]],'DB Money Supply'!$A:$D,4)</f>
        <v>351.5</v>
      </c>
      <c r="C199" s="31">
        <f>(Table2634[[#This Row],[M1 Money Stock, Billions of Dollars, Weekly, Seasonally Adjusted]]-B198)/B198</f>
        <v>-2.8441410693976887E-4</v>
      </c>
      <c r="D199" s="35">
        <f>((1+Table2634[[#This Row],[Weekly change]])^52)-1</f>
        <v>-1.4682778265726837E-2</v>
      </c>
      <c r="E199" s="25">
        <f t="shared" si="2"/>
        <v>351.27499999999998</v>
      </c>
      <c r="F199" s="33">
        <f>(Table2634[[#This Row],[4 weeks average]]-B147)/B147</f>
        <v>8.3513263417643396E-2</v>
      </c>
    </row>
    <row r="200" spans="1:6" x14ac:dyDescent="0.2">
      <c r="A200" s="23">
        <v>28758</v>
      </c>
      <c r="B200" s="25">
        <f>VLOOKUP(Table2634[[#This Row],[Date]],'DB Money Supply'!$A:$D,4)</f>
        <v>352.8</v>
      </c>
      <c r="C200" s="31">
        <f>(Table2634[[#This Row],[M1 Money Stock, Billions of Dollars, Weekly, Seasonally Adjusted]]-B199)/B199</f>
        <v>3.6984352773826779E-3</v>
      </c>
      <c r="D200" s="35">
        <f>((1+Table2634[[#This Row],[Weekly change]])^52)-1</f>
        <v>0.21162673992993342</v>
      </c>
      <c r="E200" s="25">
        <f t="shared" si="2"/>
        <v>352.15</v>
      </c>
      <c r="F200" s="33">
        <f>(Table2634[[#This Row],[4 weeks average]]-B148)/B148</f>
        <v>8.5208012326656327E-2</v>
      </c>
    </row>
    <row r="201" spans="1:6" x14ac:dyDescent="0.2">
      <c r="A201" s="23">
        <v>28765</v>
      </c>
      <c r="B201" s="25">
        <f>VLOOKUP(Table2634[[#This Row],[Date]],'DB Money Supply'!$A:$D,4)</f>
        <v>352.9</v>
      </c>
      <c r="C201" s="31">
        <f>(Table2634[[#This Row],[M1 Money Stock, Billions of Dollars, Weekly, Seasonally Adjusted]]-B200)/B200</f>
        <v>2.8344671201804389E-4</v>
      </c>
      <c r="D201" s="35">
        <f>((1+Table2634[[#This Row],[Weekly change]])^52)-1</f>
        <v>1.4846267596692053E-2</v>
      </c>
      <c r="E201" s="25">
        <f t="shared" ref="E201:E264" si="3">AVERAGE(B198:B201)</f>
        <v>352.20000000000005</v>
      </c>
      <c r="F201" s="33">
        <f>(Table2634[[#This Row],[4 weeks average]]-B149)/B149</f>
        <v>8.169533169533176E-2</v>
      </c>
    </row>
    <row r="202" spans="1:6" x14ac:dyDescent="0.2">
      <c r="A202" s="23">
        <v>28772</v>
      </c>
      <c r="B202" s="25">
        <f>VLOOKUP(Table2634[[#This Row],[Date]],'DB Money Supply'!$A:$D,4)</f>
        <v>353</v>
      </c>
      <c r="C202" s="31">
        <f>(Table2634[[#This Row],[M1 Money Stock, Billions of Dollars, Weekly, Seasonally Adjusted]]-B201)/B201</f>
        <v>2.8336639274588482E-4</v>
      </c>
      <c r="D202" s="35">
        <f>((1+Table2634[[#This Row],[Weekly change]])^52)-1</f>
        <v>1.4842030197341316E-2</v>
      </c>
      <c r="E202" s="25">
        <f t="shared" si="3"/>
        <v>352.54999999999995</v>
      </c>
      <c r="F202" s="33">
        <f>(Table2634[[#This Row],[4 weeks average]]-B150)/B150</f>
        <v>8.1110088929775934E-2</v>
      </c>
    </row>
    <row r="203" spans="1:6" x14ac:dyDescent="0.2">
      <c r="A203" s="23">
        <v>28779</v>
      </c>
      <c r="B203" s="25">
        <f>VLOOKUP(Table2634[[#This Row],[Date]],'DB Money Supply'!$A:$D,4)</f>
        <v>354.3</v>
      </c>
      <c r="C203" s="31">
        <f>(Table2634[[#This Row],[M1 Money Stock, Billions of Dollars, Weekly, Seasonally Adjusted]]-B202)/B202</f>
        <v>3.6827195467422419E-3</v>
      </c>
      <c r="D203" s="35">
        <f>((1+Table2634[[#This Row],[Weekly change]])^52)-1</f>
        <v>0.21064061910462617</v>
      </c>
      <c r="E203" s="25">
        <f t="shared" si="3"/>
        <v>353.25</v>
      </c>
      <c r="F203" s="33">
        <f>(Table2634[[#This Row],[4 weeks average]]-B151)/B151</f>
        <v>8.4920147420147349E-2</v>
      </c>
    </row>
    <row r="204" spans="1:6" x14ac:dyDescent="0.2">
      <c r="A204" s="23">
        <v>28786</v>
      </c>
      <c r="B204" s="25">
        <f>VLOOKUP(Table2634[[#This Row],[Date]],'DB Money Supply'!$A:$D,4)</f>
        <v>353.1</v>
      </c>
      <c r="C204" s="31">
        <f>(Table2634[[#This Row],[M1 Money Stock, Billions of Dollars, Weekly, Seasonally Adjusted]]-B203)/B203</f>
        <v>-3.38696020321758E-3</v>
      </c>
      <c r="D204" s="35">
        <f>((1+Table2634[[#This Row],[Weekly change]])^52)-1</f>
        <v>-0.16173488713218065</v>
      </c>
      <c r="E204" s="25">
        <f t="shared" si="3"/>
        <v>353.32500000000005</v>
      </c>
      <c r="F204" s="33">
        <f>(Table2634[[#This Row],[4 weeks average]]-B152)/B152</f>
        <v>7.8854961832061213E-2</v>
      </c>
    </row>
    <row r="205" spans="1:6" x14ac:dyDescent="0.2">
      <c r="A205" s="23">
        <v>28793</v>
      </c>
      <c r="B205" s="25">
        <f>VLOOKUP(Table2634[[#This Row],[Date]],'DB Money Supply'!$A:$D,4)</f>
        <v>353.3</v>
      </c>
      <c r="C205" s="31">
        <f>(Table2634[[#This Row],[M1 Money Stock, Billions of Dollars, Weekly, Seasonally Adjusted]]-B204)/B204</f>
        <v>5.6641178136502017E-4</v>
      </c>
      <c r="D205" s="35">
        <f>((1+Table2634[[#This Row],[Weekly change]])^52)-1</f>
        <v>2.9882866983420353E-2</v>
      </c>
      <c r="E205" s="25">
        <f t="shared" si="3"/>
        <v>353.42500000000001</v>
      </c>
      <c r="F205" s="33">
        <f>(Table2634[[#This Row],[4 weeks average]]-B153)/B153</f>
        <v>8.081039755351685E-2</v>
      </c>
    </row>
    <row r="206" spans="1:6" x14ac:dyDescent="0.2">
      <c r="A206" s="23">
        <v>28800</v>
      </c>
      <c r="B206" s="25">
        <f>VLOOKUP(Table2634[[#This Row],[Date]],'DB Money Supply'!$A:$D,4)</f>
        <v>355.1</v>
      </c>
      <c r="C206" s="31">
        <f>(Table2634[[#This Row],[M1 Money Stock, Billions of Dollars, Weekly, Seasonally Adjusted]]-B205)/B205</f>
        <v>5.0948202660628678E-3</v>
      </c>
      <c r="D206" s="35">
        <f>((1+Table2634[[#This Row],[Weekly change]])^52)-1</f>
        <v>0.30246425431532953</v>
      </c>
      <c r="E206" s="25">
        <f t="shared" si="3"/>
        <v>353.95000000000005</v>
      </c>
      <c r="F206" s="33">
        <f>(Table2634[[#This Row],[4 weeks average]]-B154)/B154</f>
        <v>7.8458257160268302E-2</v>
      </c>
    </row>
    <row r="207" spans="1:6" x14ac:dyDescent="0.2">
      <c r="A207" s="23">
        <v>28807</v>
      </c>
      <c r="B207" s="25">
        <f>VLOOKUP(Table2634[[#This Row],[Date]],'DB Money Supply'!$A:$D,4)</f>
        <v>355.2</v>
      </c>
      <c r="C207" s="31">
        <f>(Table2634[[#This Row],[M1 Money Stock, Billions of Dollars, Weekly, Seasonally Adjusted]]-B206)/B206</f>
        <v>2.8161081385515597E-4</v>
      </c>
      <c r="D207" s="35">
        <f>((1+Table2634[[#This Row],[Weekly change]])^52)-1</f>
        <v>1.4749415554613954E-2</v>
      </c>
      <c r="E207" s="25">
        <f t="shared" si="3"/>
        <v>354.17500000000001</v>
      </c>
      <c r="F207" s="33">
        <f>(Table2634[[#This Row],[4 weeks average]]-B155)/B155</f>
        <v>7.7830188679245238E-2</v>
      </c>
    </row>
    <row r="208" spans="1:6" x14ac:dyDescent="0.2">
      <c r="A208" s="23">
        <v>28814</v>
      </c>
      <c r="B208" s="25">
        <f>VLOOKUP(Table2634[[#This Row],[Date]],'DB Money Supply'!$A:$D,4)</f>
        <v>355.8</v>
      </c>
      <c r="C208" s="31">
        <f>(Table2634[[#This Row],[M1 Money Stock, Billions of Dollars, Weekly, Seasonally Adjusted]]-B207)/B207</f>
        <v>1.6891891891892533E-3</v>
      </c>
      <c r="D208" s="35">
        <f>((1+Table2634[[#This Row],[Weekly change]])^52)-1</f>
        <v>9.1730152743922044E-2</v>
      </c>
      <c r="E208" s="25">
        <f t="shared" si="3"/>
        <v>354.85</v>
      </c>
      <c r="F208" s="33">
        <f>(Table2634[[#This Row],[4 weeks average]]-B156)/B156</f>
        <v>7.8571428571428639E-2</v>
      </c>
    </row>
    <row r="209" spans="1:6" x14ac:dyDescent="0.2">
      <c r="A209" s="23">
        <v>28821</v>
      </c>
      <c r="B209" s="25">
        <f>VLOOKUP(Table2634[[#This Row],[Date]],'DB Money Supply'!$A:$D,4)</f>
        <v>355.3</v>
      </c>
      <c r="C209" s="31">
        <f>(Table2634[[#This Row],[M1 Money Stock, Billions of Dollars, Weekly, Seasonally Adjusted]]-B208)/B208</f>
        <v>-1.4052838673412028E-3</v>
      </c>
      <c r="D209" s="35">
        <f>((1+Table2634[[#This Row],[Weekly change]])^52)-1</f>
        <v>-7.0516436041947017E-2</v>
      </c>
      <c r="E209" s="25">
        <f t="shared" si="3"/>
        <v>355.34999999999997</v>
      </c>
      <c r="F209" s="33">
        <f>(Table2634[[#This Row],[4 weeks average]]-B157)/B157</f>
        <v>8.1076969881350713E-2</v>
      </c>
    </row>
    <row r="210" spans="1:6" x14ac:dyDescent="0.2">
      <c r="A210" s="23">
        <v>28828</v>
      </c>
      <c r="B210" s="25">
        <f>VLOOKUP(Table2634[[#This Row],[Date]],'DB Money Supply'!$A:$D,4)</f>
        <v>357.1</v>
      </c>
      <c r="C210" s="31">
        <f>(Table2634[[#This Row],[M1 Money Stock, Billions of Dollars, Weekly, Seasonally Adjusted]]-B209)/B209</f>
        <v>5.0661412890515376E-3</v>
      </c>
      <c r="D210" s="35">
        <f>((1+Table2634[[#This Row],[Weekly change]])^52)-1</f>
        <v>0.30053313184473263</v>
      </c>
      <c r="E210" s="25">
        <f t="shared" si="3"/>
        <v>355.85</v>
      </c>
      <c r="F210" s="33">
        <f>(Table2634[[#This Row],[4 weeks average]]-B158)/B158</f>
        <v>7.8333333333333408E-2</v>
      </c>
    </row>
    <row r="211" spans="1:6" x14ac:dyDescent="0.2">
      <c r="A211" s="23">
        <v>28835</v>
      </c>
      <c r="B211" s="25">
        <f>VLOOKUP(Table2634[[#This Row],[Date]],'DB Money Supply'!$A:$D,4)</f>
        <v>356.8</v>
      </c>
      <c r="C211" s="31">
        <f>(Table2634[[#This Row],[M1 Money Stock, Billions of Dollars, Weekly, Seasonally Adjusted]]-B210)/B210</f>
        <v>-8.4010081209748343E-4</v>
      </c>
      <c r="D211" s="35">
        <f>((1+Table2634[[#This Row],[Weekly change]])^52)-1</f>
        <v>-4.2762361743095334E-2</v>
      </c>
      <c r="E211" s="25">
        <f t="shared" si="3"/>
        <v>356.25</v>
      </c>
      <c r="F211" s="33">
        <f>(Table2634[[#This Row],[4 weeks average]]-B159)/B159</f>
        <v>7.8891580860084839E-2</v>
      </c>
    </row>
    <row r="212" spans="1:6" x14ac:dyDescent="0.2">
      <c r="A212" s="23">
        <v>28842</v>
      </c>
      <c r="B212" s="25">
        <f>VLOOKUP(Table2634[[#This Row],[Date]],'DB Money Supply'!$A:$D,4)</f>
        <v>356.2</v>
      </c>
      <c r="C212" s="31">
        <f>(Table2634[[#This Row],[M1 Money Stock, Billions of Dollars, Weekly, Seasonally Adjusted]]-B211)/B211</f>
        <v>-1.6816143497758484E-3</v>
      </c>
      <c r="D212" s="35">
        <f>((1+Table2634[[#This Row],[Weekly change]])^52)-1</f>
        <v>-8.3797209878833656E-2</v>
      </c>
      <c r="E212" s="25">
        <f t="shared" si="3"/>
        <v>356.35</v>
      </c>
      <c r="F212" s="33">
        <f>(Table2634[[#This Row],[4 weeks average]]-B160)/B160</f>
        <v>7.6586102719033308E-2</v>
      </c>
    </row>
    <row r="213" spans="1:6" x14ac:dyDescent="0.2">
      <c r="A213" s="23">
        <v>28849</v>
      </c>
      <c r="B213" s="25">
        <f>VLOOKUP(Table2634[[#This Row],[Date]],'DB Money Supply'!$A:$D,4)</f>
        <v>357.7</v>
      </c>
      <c r="C213" s="31">
        <f>(Table2634[[#This Row],[M1 Money Stock, Billions of Dollars, Weekly, Seasonally Adjusted]]-B212)/B212</f>
        <v>4.2111173498034817E-3</v>
      </c>
      <c r="D213" s="35">
        <f>((1+Table2634[[#This Row],[Weekly change]])^52)-1</f>
        <v>0.24423181234940272</v>
      </c>
      <c r="E213" s="25">
        <f t="shared" si="3"/>
        <v>356.95000000000005</v>
      </c>
      <c r="F213" s="33">
        <f>(Table2634[[#This Row],[4 weeks average]]-B161)/B161</f>
        <v>7.9377078923495784E-2</v>
      </c>
    </row>
    <row r="214" spans="1:6" x14ac:dyDescent="0.2">
      <c r="A214" s="23">
        <v>28856</v>
      </c>
      <c r="B214" s="25">
        <f>VLOOKUP(Table2634[[#This Row],[Date]],'DB Money Supply'!$A:$D,4)</f>
        <v>359.5</v>
      </c>
      <c r="C214" s="31">
        <f>(Table2634[[#This Row],[M1 Money Stock, Billions of Dollars, Weekly, Seasonally Adjusted]]-B213)/B213</f>
        <v>5.0321498462398981E-3</v>
      </c>
      <c r="D214" s="35">
        <f>((1+Table2634[[#This Row],[Weekly change]])^52)-1</f>
        <v>0.29824792651002974</v>
      </c>
      <c r="E214" s="25">
        <f t="shared" si="3"/>
        <v>357.55</v>
      </c>
      <c r="F214" s="33">
        <f>(Table2634[[#This Row],[4 weeks average]]-B162)/B162</f>
        <v>7.533834586466169E-2</v>
      </c>
    </row>
    <row r="215" spans="1:6" x14ac:dyDescent="0.2">
      <c r="A215" s="23">
        <v>28863</v>
      </c>
      <c r="B215" s="25">
        <f>VLOOKUP(Table2634[[#This Row],[Date]],'DB Money Supply'!$A:$D,4)</f>
        <v>357.1</v>
      </c>
      <c r="C215" s="31">
        <f>(Table2634[[#This Row],[M1 Money Stock, Billions of Dollars, Weekly, Seasonally Adjusted]]-B214)/B214</f>
        <v>-6.6759388038942344E-3</v>
      </c>
      <c r="D215" s="35">
        <f>((1+Table2634[[#This Row],[Weekly change]])^52)-1</f>
        <v>-0.29412193802562503</v>
      </c>
      <c r="E215" s="25">
        <f t="shared" si="3"/>
        <v>357.625</v>
      </c>
      <c r="F215" s="33">
        <f>(Table2634[[#This Row],[4 weeks average]]-B163)/B163</f>
        <v>7.0733532934131732E-2</v>
      </c>
    </row>
    <row r="216" spans="1:6" x14ac:dyDescent="0.2">
      <c r="A216" s="23">
        <v>28870</v>
      </c>
      <c r="B216" s="25">
        <f>VLOOKUP(Table2634[[#This Row],[Date]],'DB Money Supply'!$A:$D,4)</f>
        <v>359.5</v>
      </c>
      <c r="C216" s="31">
        <f>(Table2634[[#This Row],[M1 Money Stock, Billions of Dollars, Weekly, Seasonally Adjusted]]-B215)/B215</f>
        <v>6.7208064967795491E-3</v>
      </c>
      <c r="D216" s="35">
        <f>((1+Table2634[[#This Row],[Weekly change]])^52)-1</f>
        <v>0.41667527845100594</v>
      </c>
      <c r="E216" s="25">
        <f t="shared" si="3"/>
        <v>358.45000000000005</v>
      </c>
      <c r="F216" s="33">
        <f>(Table2634[[#This Row],[4 weeks average]]-B164)/B164</f>
        <v>7.1599402092675776E-2</v>
      </c>
    </row>
    <row r="217" spans="1:6" x14ac:dyDescent="0.2">
      <c r="A217" s="23">
        <v>28877</v>
      </c>
      <c r="B217" s="25">
        <f>VLOOKUP(Table2634[[#This Row],[Date]],'DB Money Supply'!$A:$D,4)</f>
        <v>358.7</v>
      </c>
      <c r="C217" s="31">
        <f>(Table2634[[#This Row],[M1 Money Stock, Billions of Dollars, Weekly, Seasonally Adjusted]]-B216)/B216</f>
        <v>-2.2253129346314644E-3</v>
      </c>
      <c r="D217" s="35">
        <f>((1+Table2634[[#This Row],[Weekly change]])^52)-1</f>
        <v>-0.10938693506438057</v>
      </c>
      <c r="E217" s="25">
        <f t="shared" si="3"/>
        <v>358.7</v>
      </c>
      <c r="F217" s="33">
        <f>(Table2634[[#This Row],[4 weeks average]]-B165)/B165</f>
        <v>6.7877344447752341E-2</v>
      </c>
    </row>
    <row r="218" spans="1:6" x14ac:dyDescent="0.2">
      <c r="A218" s="23">
        <v>28884</v>
      </c>
      <c r="B218" s="25">
        <f>VLOOKUP(Table2634[[#This Row],[Date]],'DB Money Supply'!$A:$D,4)</f>
        <v>358.8</v>
      </c>
      <c r="C218" s="31">
        <f>(Table2634[[#This Row],[M1 Money Stock, Billions of Dollars, Weekly, Seasonally Adjusted]]-B217)/B217</f>
        <v>2.7878449958188662E-4</v>
      </c>
      <c r="D218" s="35">
        <f>((1+Table2634[[#This Row],[Weekly change]])^52)-1</f>
        <v>1.4600332243577263E-2</v>
      </c>
      <c r="E218" s="25">
        <f t="shared" si="3"/>
        <v>358.52499999999998</v>
      </c>
      <c r="F218" s="33">
        <f>(Table2634[[#This Row],[4 weeks average]]-B166)/B166</f>
        <v>7.2144138755980872E-2</v>
      </c>
    </row>
    <row r="219" spans="1:6" x14ac:dyDescent="0.2">
      <c r="A219" s="23">
        <v>28891</v>
      </c>
      <c r="B219" s="25">
        <f>VLOOKUP(Table2634[[#This Row],[Date]],'DB Money Supply'!$A:$D,4)</f>
        <v>360.6</v>
      </c>
      <c r="C219" s="31">
        <f>(Table2634[[#This Row],[M1 Money Stock, Billions of Dollars, Weekly, Seasonally Adjusted]]-B218)/B218</f>
        <v>5.0167224080267872E-3</v>
      </c>
      <c r="D219" s="35">
        <f>((1+Table2634[[#This Row],[Weekly change]])^52)-1</f>
        <v>0.29721205746118917</v>
      </c>
      <c r="E219" s="25">
        <f t="shared" si="3"/>
        <v>359.4</v>
      </c>
      <c r="F219" s="33">
        <f>(Table2634[[#This Row],[4 weeks average]]-B167)/B167</f>
        <v>7.6692630317555313E-2</v>
      </c>
    </row>
    <row r="220" spans="1:6" x14ac:dyDescent="0.2">
      <c r="A220" s="23">
        <v>28898</v>
      </c>
      <c r="B220" s="25">
        <f>VLOOKUP(Table2634[[#This Row],[Date]],'DB Money Supply'!$A:$D,4)</f>
        <v>359.3</v>
      </c>
      <c r="C220" s="31">
        <f>(Table2634[[#This Row],[M1 Money Stock, Billions of Dollars, Weekly, Seasonally Adjusted]]-B219)/B219</f>
        <v>-3.6051026067665318E-3</v>
      </c>
      <c r="D220" s="35">
        <f>((1+Table2634[[#This Row],[Weekly change]])^52)-1</f>
        <v>-0.17122292289012564</v>
      </c>
      <c r="E220" s="25">
        <f t="shared" si="3"/>
        <v>359.34999999999997</v>
      </c>
      <c r="F220" s="33">
        <f>(Table2634[[#This Row],[4 weeks average]]-B168)/B168</f>
        <v>7.2366457773798687E-2</v>
      </c>
    </row>
    <row r="221" spans="1:6" x14ac:dyDescent="0.2">
      <c r="A221" s="23">
        <v>28905</v>
      </c>
      <c r="B221" s="25">
        <f>VLOOKUP(Table2634[[#This Row],[Date]],'DB Money Supply'!$A:$D,4)</f>
        <v>359.1</v>
      </c>
      <c r="C221" s="31">
        <f>(Table2634[[#This Row],[M1 Money Stock, Billions of Dollars, Weekly, Seasonally Adjusted]]-B220)/B220</f>
        <v>-5.5663790704143785E-4</v>
      </c>
      <c r="D221" s="35">
        <f>((1+Table2634[[#This Row],[Weekly change]])^52)-1</f>
        <v>-2.8538101465357846E-2</v>
      </c>
      <c r="E221" s="25">
        <f t="shared" si="3"/>
        <v>359.45000000000005</v>
      </c>
      <c r="F221" s="33">
        <f>(Table2634[[#This Row],[4 weeks average]]-B169)/B169</f>
        <v>7.1385991058122336E-2</v>
      </c>
    </row>
    <row r="222" spans="1:6" x14ac:dyDescent="0.2">
      <c r="A222" s="23">
        <v>28912</v>
      </c>
      <c r="B222" s="25">
        <f>VLOOKUP(Table2634[[#This Row],[Date]],'DB Money Supply'!$A:$D,4)</f>
        <v>360.1</v>
      </c>
      <c r="C222" s="31">
        <f>(Table2634[[#This Row],[M1 Money Stock, Billions of Dollars, Weekly, Seasonally Adjusted]]-B221)/B221</f>
        <v>2.7847396268448898E-3</v>
      </c>
      <c r="D222" s="35">
        <f>((1+Table2634[[#This Row],[Weekly change]])^52)-1</f>
        <v>0.15558326746679052</v>
      </c>
      <c r="E222" s="25">
        <f t="shared" si="3"/>
        <v>359.77499999999998</v>
      </c>
      <c r="F222" s="33">
        <f>(Table2634[[#This Row],[4 weeks average]]-B170)/B170</f>
        <v>7.0440345135376239E-2</v>
      </c>
    </row>
    <row r="223" spans="1:6" x14ac:dyDescent="0.2">
      <c r="A223" s="23">
        <v>28919</v>
      </c>
      <c r="B223" s="25">
        <f>VLOOKUP(Table2634[[#This Row],[Date]],'DB Money Supply'!$A:$D,4)</f>
        <v>361.9</v>
      </c>
      <c r="C223" s="31">
        <f>(Table2634[[#This Row],[M1 Money Stock, Billions of Dollars, Weekly, Seasonally Adjusted]]-B222)/B222</f>
        <v>4.9986114968063157E-3</v>
      </c>
      <c r="D223" s="35">
        <f>((1+Table2634[[#This Row],[Weekly change]])^52)-1</f>
        <v>0.29599704206870991</v>
      </c>
      <c r="E223" s="25">
        <f t="shared" si="3"/>
        <v>360.1</v>
      </c>
      <c r="F223" s="33">
        <f>(Table2634[[#This Row],[4 weeks average]]-B171)/B171</f>
        <v>6.9180522565320701E-2</v>
      </c>
    </row>
    <row r="224" spans="1:6" x14ac:dyDescent="0.2">
      <c r="A224" s="23">
        <v>28926</v>
      </c>
      <c r="B224" s="25">
        <f>VLOOKUP(Table2634[[#This Row],[Date]],'DB Money Supply'!$A:$D,4)</f>
        <v>361.2</v>
      </c>
      <c r="C224" s="31">
        <f>(Table2634[[#This Row],[M1 Money Stock, Billions of Dollars, Weekly, Seasonally Adjusted]]-B223)/B223</f>
        <v>-1.9342359767891371E-3</v>
      </c>
      <c r="D224" s="35">
        <f>((1+Table2634[[#This Row],[Weekly change]])^52)-1</f>
        <v>-9.5775554871600721E-2</v>
      </c>
      <c r="E224" s="25">
        <f t="shared" si="3"/>
        <v>360.57499999999999</v>
      </c>
      <c r="F224" s="33">
        <f>(Table2634[[#This Row],[4 weeks average]]-B172)/B172</f>
        <v>7.2501487209994053E-2</v>
      </c>
    </row>
    <row r="225" spans="1:6" x14ac:dyDescent="0.2">
      <c r="A225" s="23">
        <v>28933</v>
      </c>
      <c r="B225" s="25">
        <f>VLOOKUP(Table2634[[#This Row],[Date]],'DB Money Supply'!$A:$D,4)</f>
        <v>361.8</v>
      </c>
      <c r="C225" s="31">
        <f>(Table2634[[#This Row],[M1 Money Stock, Billions of Dollars, Weekly, Seasonally Adjusted]]-B224)/B224</f>
        <v>1.6611295681063752E-3</v>
      </c>
      <c r="D225" s="35">
        <f>((1+Table2634[[#This Row],[Weekly change]])^52)-1</f>
        <v>9.0141030613050344E-2</v>
      </c>
      <c r="E225" s="25">
        <f t="shared" si="3"/>
        <v>361.25</v>
      </c>
      <c r="F225" s="33">
        <f>(Table2634[[#This Row],[4 weeks average]]-B173)/B173</f>
        <v>7.2913572913572949E-2</v>
      </c>
    </row>
    <row r="226" spans="1:6" x14ac:dyDescent="0.2">
      <c r="A226" s="23">
        <v>28940</v>
      </c>
      <c r="B226" s="25">
        <f>VLOOKUP(Table2634[[#This Row],[Date]],'DB Money Supply'!$A:$D,4)</f>
        <v>363.2</v>
      </c>
      <c r="C226" s="31">
        <f>(Table2634[[#This Row],[M1 Money Stock, Billions of Dollars, Weekly, Seasonally Adjusted]]-B225)/B225</f>
        <v>3.8695411829739556E-3</v>
      </c>
      <c r="D226" s="35">
        <f>((1+Table2634[[#This Row],[Weekly change]])^52)-1</f>
        <v>0.22241429776167498</v>
      </c>
      <c r="E226" s="25">
        <f t="shared" si="3"/>
        <v>362.02499999999998</v>
      </c>
      <c r="F226" s="33">
        <f>(Table2634[[#This Row],[4 weeks average]]-B174)/B174</f>
        <v>7.5215325215325188E-2</v>
      </c>
    </row>
    <row r="227" spans="1:6" x14ac:dyDescent="0.2">
      <c r="A227" s="23">
        <v>28947</v>
      </c>
      <c r="B227" s="25">
        <f>VLOOKUP(Table2634[[#This Row],[Date]],'DB Money Supply'!$A:$D,4)</f>
        <v>364.2</v>
      </c>
      <c r="C227" s="31">
        <f>(Table2634[[#This Row],[M1 Money Stock, Billions of Dollars, Weekly, Seasonally Adjusted]]-B226)/B226</f>
        <v>2.7533039647577094E-3</v>
      </c>
      <c r="D227" s="35">
        <f>((1+Table2634[[#This Row],[Weekly change]])^52)-1</f>
        <v>0.15370103890744358</v>
      </c>
      <c r="E227" s="25">
        <f t="shared" si="3"/>
        <v>362.6</v>
      </c>
      <c r="F227" s="33">
        <f>(Table2634[[#This Row],[4 weeks average]]-B175)/B175</f>
        <v>7.0880094506792668E-2</v>
      </c>
    </row>
    <row r="228" spans="1:6" x14ac:dyDescent="0.2">
      <c r="A228" s="23">
        <v>28954</v>
      </c>
      <c r="B228" s="25">
        <f>VLOOKUP(Table2634[[#This Row],[Date]],'DB Money Supply'!$A:$D,4)</f>
        <v>365</v>
      </c>
      <c r="C228" s="31">
        <f>(Table2634[[#This Row],[M1 Money Stock, Billions of Dollars, Weekly, Seasonally Adjusted]]-B227)/B227</f>
        <v>2.196595277320185E-3</v>
      </c>
      <c r="D228" s="35">
        <f>((1+Table2634[[#This Row],[Weekly change]])^52)-1</f>
        <v>0.120861613175133</v>
      </c>
      <c r="E228" s="25">
        <f t="shared" si="3"/>
        <v>363.55</v>
      </c>
      <c r="F228" s="33">
        <f>(Table2634[[#This Row],[4 weeks average]]-B176)/B176</f>
        <v>7.4637895359148679E-2</v>
      </c>
    </row>
    <row r="229" spans="1:6" x14ac:dyDescent="0.2">
      <c r="A229" s="23">
        <v>28961</v>
      </c>
      <c r="B229" s="25">
        <f>VLOOKUP(Table2634[[#This Row],[Date]],'DB Money Supply'!$A:$D,4)</f>
        <v>368.7</v>
      </c>
      <c r="C229" s="31">
        <f>(Table2634[[#This Row],[M1 Money Stock, Billions of Dollars, Weekly, Seasonally Adjusted]]-B228)/B228</f>
        <v>1.0136986301369832E-2</v>
      </c>
      <c r="D229" s="35">
        <f>((1+Table2634[[#This Row],[Weekly change]])^52)-1</f>
        <v>0.68956227446766305</v>
      </c>
      <c r="E229" s="25">
        <f t="shared" si="3"/>
        <v>365.27500000000003</v>
      </c>
      <c r="F229" s="33">
        <f>(Table2634[[#This Row],[4 weeks average]]-B177)/B177</f>
        <v>8.1975710900473966E-2</v>
      </c>
    </row>
    <row r="230" spans="1:6" x14ac:dyDescent="0.2">
      <c r="A230" s="23">
        <v>28968</v>
      </c>
      <c r="B230" s="25">
        <f>VLOOKUP(Table2634[[#This Row],[Date]],'DB Money Supply'!$A:$D,4)</f>
        <v>370.2</v>
      </c>
      <c r="C230" s="31">
        <f>(Table2634[[#This Row],[M1 Money Stock, Billions of Dollars, Weekly, Seasonally Adjusted]]-B229)/B229</f>
        <v>4.0683482506102524E-3</v>
      </c>
      <c r="D230" s="35">
        <f>((1+Table2634[[#This Row],[Weekly change]])^52)-1</f>
        <v>0.2350666481825181</v>
      </c>
      <c r="E230" s="25">
        <f t="shared" si="3"/>
        <v>367.02500000000003</v>
      </c>
      <c r="F230" s="33">
        <f>(Table2634[[#This Row],[4 weeks average]]-B178)/B178</f>
        <v>7.758367586611864E-2</v>
      </c>
    </row>
    <row r="231" spans="1:6" x14ac:dyDescent="0.2">
      <c r="A231" s="23">
        <v>28975</v>
      </c>
      <c r="B231" s="25">
        <f>VLOOKUP(Table2634[[#This Row],[Date]],'DB Money Supply'!$A:$D,4)</f>
        <v>369.6</v>
      </c>
      <c r="C231" s="31">
        <f>(Table2634[[#This Row],[M1 Money Stock, Billions of Dollars, Weekly, Seasonally Adjusted]]-B230)/B230</f>
        <v>-1.6207455429496649E-3</v>
      </c>
      <c r="D231" s="35">
        <f>((1+Table2634[[#This Row],[Weekly change]])^52)-1</f>
        <v>-8.088785926970421E-2</v>
      </c>
      <c r="E231" s="25">
        <f t="shared" si="3"/>
        <v>368.375</v>
      </c>
      <c r="F231" s="33">
        <f>(Table2634[[#This Row],[4 weeks average]]-B179)/B179</f>
        <v>6.8063206726587486E-2</v>
      </c>
    </row>
    <row r="232" spans="1:6" x14ac:dyDescent="0.2">
      <c r="A232" s="23">
        <v>28982</v>
      </c>
      <c r="B232" s="25">
        <f>VLOOKUP(Table2634[[#This Row],[Date]],'DB Money Supply'!$A:$D,4)</f>
        <v>368.9</v>
      </c>
      <c r="C232" s="31">
        <f>(Table2634[[#This Row],[M1 Money Stock, Billions of Dollars, Weekly, Seasonally Adjusted]]-B231)/B231</f>
        <v>-1.8939393939395169E-3</v>
      </c>
      <c r="D232" s="35">
        <f>((1+Table2634[[#This Row],[Weekly change]])^52)-1</f>
        <v>-9.3875195010464818E-2</v>
      </c>
      <c r="E232" s="25">
        <f t="shared" si="3"/>
        <v>369.35</v>
      </c>
      <c r="F232" s="33">
        <f>(Table2634[[#This Row],[4 weeks average]]-B180)/B180</f>
        <v>7.8079392877991816E-2</v>
      </c>
    </row>
    <row r="233" spans="1:6" x14ac:dyDescent="0.2">
      <c r="A233" s="23">
        <v>28989</v>
      </c>
      <c r="B233" s="25">
        <f>VLOOKUP(Table2634[[#This Row],[Date]],'DB Money Supply'!$A:$D,4)</f>
        <v>369.1</v>
      </c>
      <c r="C233" s="31">
        <f>(Table2634[[#This Row],[M1 Money Stock, Billions of Dollars, Weekly, Seasonally Adjusted]]-B232)/B232</f>
        <v>5.4215234480901463E-4</v>
      </c>
      <c r="D233" s="35">
        <f>((1+Table2634[[#This Row],[Weekly change]])^52)-1</f>
        <v>2.8585217246130501E-2</v>
      </c>
      <c r="E233" s="25">
        <f t="shared" si="3"/>
        <v>369.44999999999993</v>
      </c>
      <c r="F233" s="33">
        <f>(Table2634[[#This Row],[4 weeks average]]-B181)/B181</f>
        <v>7.3670444638186311E-2</v>
      </c>
    </row>
    <row r="234" spans="1:6" x14ac:dyDescent="0.2">
      <c r="A234" s="23">
        <v>28996</v>
      </c>
      <c r="B234" s="25">
        <f>VLOOKUP(Table2634[[#This Row],[Date]],'DB Money Supply'!$A:$D,4)</f>
        <v>369.6</v>
      </c>
      <c r="C234" s="31">
        <f>(Table2634[[#This Row],[M1 Money Stock, Billions of Dollars, Weekly, Seasonally Adjusted]]-B233)/B233</f>
        <v>1.3546464372798698E-3</v>
      </c>
      <c r="D234" s="35">
        <f>((1+Table2634[[#This Row],[Weekly change]])^52)-1</f>
        <v>7.2930774841256651E-2</v>
      </c>
      <c r="E234" s="25">
        <f t="shared" si="3"/>
        <v>369.29999999999995</v>
      </c>
      <c r="F234" s="33">
        <f>(Table2634[[#This Row],[4 weeks average]]-B182)/B182</f>
        <v>7.0124601564763633E-2</v>
      </c>
    </row>
    <row r="235" spans="1:6" x14ac:dyDescent="0.2">
      <c r="A235" s="23">
        <v>29003</v>
      </c>
      <c r="B235" s="25">
        <f>VLOOKUP(Table2634[[#This Row],[Date]],'DB Money Supply'!$A:$D,4)</f>
        <v>369</v>
      </c>
      <c r="C235" s="31">
        <f>(Table2634[[#This Row],[M1 Money Stock, Billions of Dollars, Weekly, Seasonally Adjusted]]-B234)/B234</f>
        <v>-1.6233766233766848E-3</v>
      </c>
      <c r="D235" s="35">
        <f>((1+Table2634[[#This Row],[Weekly change]])^52)-1</f>
        <v>-8.101380435858041E-2</v>
      </c>
      <c r="E235" s="25">
        <f t="shared" si="3"/>
        <v>369.15</v>
      </c>
      <c r="F235" s="33">
        <f>(Table2634[[#This Row],[4 weeks average]]-B183)/B183</f>
        <v>6.4753389097202158E-2</v>
      </c>
    </row>
    <row r="236" spans="1:6" x14ac:dyDescent="0.2">
      <c r="A236" s="23">
        <v>29010</v>
      </c>
      <c r="B236" s="25">
        <f>VLOOKUP(Table2634[[#This Row],[Date]],'DB Money Supply'!$A:$D,4)</f>
        <v>372.4</v>
      </c>
      <c r="C236" s="31">
        <f>(Table2634[[#This Row],[M1 Money Stock, Billions of Dollars, Weekly, Seasonally Adjusted]]-B235)/B235</f>
        <v>9.2140921409213476E-3</v>
      </c>
      <c r="D236" s="35">
        <f>((1+Table2634[[#This Row],[Weekly change]])^52)-1</f>
        <v>0.61113495372405047</v>
      </c>
      <c r="E236" s="25">
        <f t="shared" si="3"/>
        <v>370.02499999999998</v>
      </c>
      <c r="F236" s="33">
        <f>(Table2634[[#This Row],[4 weeks average]]-B184)/B184</f>
        <v>6.7585112521638638E-2</v>
      </c>
    </row>
    <row r="237" spans="1:6" x14ac:dyDescent="0.2">
      <c r="A237" s="23">
        <v>29017</v>
      </c>
      <c r="B237" s="25">
        <f>VLOOKUP(Table2634[[#This Row],[Date]],'DB Money Supply'!$A:$D,4)</f>
        <v>372.7</v>
      </c>
      <c r="C237" s="31">
        <f>(Table2634[[#This Row],[M1 Money Stock, Billions of Dollars, Weekly, Seasonally Adjusted]]-B236)/B236</f>
        <v>8.0558539205158807E-4</v>
      </c>
      <c r="D237" s="35">
        <f>((1+Table2634[[#This Row],[Weekly change]])^52)-1</f>
        <v>4.2762640484740766E-2</v>
      </c>
      <c r="E237" s="25">
        <f t="shared" si="3"/>
        <v>370.92500000000001</v>
      </c>
      <c r="F237" s="33">
        <f>(Table2634[[#This Row],[4 weeks average]]-B185)/B185</f>
        <v>6.9564590542099194E-2</v>
      </c>
    </row>
    <row r="238" spans="1:6" x14ac:dyDescent="0.2">
      <c r="A238" s="23">
        <v>29024</v>
      </c>
      <c r="B238" s="25">
        <f>VLOOKUP(Table2634[[#This Row],[Date]],'DB Money Supply'!$A:$D,4)</f>
        <v>372.2</v>
      </c>
      <c r="C238" s="31">
        <f>(Table2634[[#This Row],[M1 Money Stock, Billions of Dollars, Weekly, Seasonally Adjusted]]-B237)/B237</f>
        <v>-1.3415615776764154E-3</v>
      </c>
      <c r="D238" s="35">
        <f>((1+Table2634[[#This Row],[Weekly change]])^52)-1</f>
        <v>-6.7427179111195445E-2</v>
      </c>
      <c r="E238" s="25">
        <f t="shared" si="3"/>
        <v>371.57499999999999</v>
      </c>
      <c r="F238" s="33">
        <f>(Table2634[[#This Row],[4 weeks average]]-B186)/B186</f>
        <v>7.4537304800462625E-2</v>
      </c>
    </row>
    <row r="239" spans="1:6" x14ac:dyDescent="0.2">
      <c r="A239" s="23">
        <v>29031</v>
      </c>
      <c r="B239" s="25">
        <f>VLOOKUP(Table2634[[#This Row],[Date]],'DB Money Supply'!$A:$D,4)</f>
        <v>374.3</v>
      </c>
      <c r="C239" s="31">
        <f>(Table2634[[#This Row],[M1 Money Stock, Billions of Dollars, Weekly, Seasonally Adjusted]]-B238)/B238</f>
        <v>5.6421278882321946E-3</v>
      </c>
      <c r="D239" s="35">
        <f>((1+Table2634[[#This Row],[Weekly change]])^52)-1</f>
        <v>0.33986126700356678</v>
      </c>
      <c r="E239" s="25">
        <f t="shared" si="3"/>
        <v>372.9</v>
      </c>
      <c r="F239" s="33">
        <f>(Table2634[[#This Row],[4 weeks average]]-B187)/B187</f>
        <v>7.6190476190476128E-2</v>
      </c>
    </row>
    <row r="240" spans="1:6" x14ac:dyDescent="0.2">
      <c r="A240" s="23">
        <v>29038</v>
      </c>
      <c r="B240" s="25">
        <f>VLOOKUP(Table2634[[#This Row],[Date]],'DB Money Supply'!$A:$D,4)</f>
        <v>374.9</v>
      </c>
      <c r="C240" s="31">
        <f>(Table2634[[#This Row],[M1 Money Stock, Billions of Dollars, Weekly, Seasonally Adjusted]]-B239)/B239</f>
        <v>1.6029922522040232E-3</v>
      </c>
      <c r="D240" s="35">
        <f>((1+Table2634[[#This Row],[Weekly change]])^52)-1</f>
        <v>8.6855711520852363E-2</v>
      </c>
      <c r="E240" s="25">
        <f t="shared" si="3"/>
        <v>373.52499999999998</v>
      </c>
      <c r="F240" s="33">
        <f>(Table2634[[#This Row],[4 weeks average]]-B188)/B188</f>
        <v>7.3039356506750794E-2</v>
      </c>
    </row>
    <row r="241" spans="1:6" x14ac:dyDescent="0.2">
      <c r="A241" s="23">
        <v>29045</v>
      </c>
      <c r="B241" s="25">
        <f>VLOOKUP(Table2634[[#This Row],[Date]],'DB Money Supply'!$A:$D,4)</f>
        <v>375.7</v>
      </c>
      <c r="C241" s="31">
        <f>(Table2634[[#This Row],[M1 Money Stock, Billions of Dollars, Weekly, Seasonally Adjusted]]-B240)/B240</f>
        <v>2.1339023739664217E-3</v>
      </c>
      <c r="D241" s="35">
        <f>((1+Table2634[[#This Row],[Weekly change]])^52)-1</f>
        <v>0.11722138842904073</v>
      </c>
      <c r="E241" s="25">
        <f t="shared" si="3"/>
        <v>374.27500000000003</v>
      </c>
      <c r="F241" s="33">
        <f>(Table2634[[#This Row],[4 weeks average]]-B189)/B189</f>
        <v>7.6430831176301547E-2</v>
      </c>
    </row>
    <row r="242" spans="1:6" x14ac:dyDescent="0.2">
      <c r="A242" s="23">
        <v>29052</v>
      </c>
      <c r="B242" s="25">
        <f>VLOOKUP(Table2634[[#This Row],[Date]],'DB Money Supply'!$A:$D,4)</f>
        <v>377.8</v>
      </c>
      <c r="C242" s="31">
        <f>(Table2634[[#This Row],[M1 Money Stock, Billions of Dollars, Weekly, Seasonally Adjusted]]-B241)/B241</f>
        <v>5.5895661431994217E-3</v>
      </c>
      <c r="D242" s="35">
        <f>((1+Table2634[[#This Row],[Weekly change]])^52)-1</f>
        <v>0.33622453932458773</v>
      </c>
      <c r="E242" s="25">
        <f t="shared" si="3"/>
        <v>375.67500000000001</v>
      </c>
      <c r="F242" s="33">
        <f>(Table2634[[#This Row],[4 weeks average]]-B190)/B190</f>
        <v>8.5138648180242707E-2</v>
      </c>
    </row>
    <row r="243" spans="1:6" x14ac:dyDescent="0.2">
      <c r="A243" s="23">
        <v>29059</v>
      </c>
      <c r="B243" s="25">
        <f>VLOOKUP(Table2634[[#This Row],[Date]],'DB Money Supply'!$A:$D,4)</f>
        <v>378.3</v>
      </c>
      <c r="C243" s="31">
        <f>(Table2634[[#This Row],[M1 Money Stock, Billions of Dollars, Weekly, Seasonally Adjusted]]-B242)/B242</f>
        <v>1.3234515616728428E-3</v>
      </c>
      <c r="D243" s="35">
        <f>((1+Table2634[[#This Row],[Weekly change]])^52)-1</f>
        <v>7.1194072345931225E-2</v>
      </c>
      <c r="E243" s="25">
        <f t="shared" si="3"/>
        <v>376.67499999999995</v>
      </c>
      <c r="F243" s="33">
        <f>(Table2634[[#This Row],[4 weeks average]]-B191)/B191</f>
        <v>8.1777713957495599E-2</v>
      </c>
    </row>
    <row r="244" spans="1:6" x14ac:dyDescent="0.2">
      <c r="A244" s="23">
        <v>29066</v>
      </c>
      <c r="B244" s="25">
        <f>VLOOKUP(Table2634[[#This Row],[Date]],'DB Money Supply'!$A:$D,4)</f>
        <v>378.5</v>
      </c>
      <c r="C244" s="31">
        <f>(Table2634[[#This Row],[M1 Money Stock, Billions of Dollars, Weekly, Seasonally Adjusted]]-B243)/B243</f>
        <v>5.2868094105204501E-4</v>
      </c>
      <c r="D244" s="35">
        <f>((1+Table2634[[#This Row],[Weekly change]])^52)-1</f>
        <v>2.7865317559839564E-2</v>
      </c>
      <c r="E244" s="25">
        <f t="shared" si="3"/>
        <v>377.57499999999999</v>
      </c>
      <c r="F244" s="33">
        <f>(Table2634[[#This Row],[4 weeks average]]-B192)/B192</f>
        <v>8.3118187033849586E-2</v>
      </c>
    </row>
    <row r="245" spans="1:6" x14ac:dyDescent="0.2">
      <c r="A245" s="23">
        <v>29073</v>
      </c>
      <c r="B245" s="25">
        <f>VLOOKUP(Table2634[[#This Row],[Date]],'DB Money Supply'!$A:$D,4)</f>
        <v>377.7</v>
      </c>
      <c r="C245" s="31">
        <f>(Table2634[[#This Row],[M1 Money Stock, Billions of Dollars, Weekly, Seasonally Adjusted]]-B244)/B244</f>
        <v>-2.1136063408190523E-3</v>
      </c>
      <c r="D245" s="35">
        <f>((1+Table2634[[#This Row],[Weekly change]])^52)-1</f>
        <v>-0.10418722496231625</v>
      </c>
      <c r="E245" s="25">
        <f t="shared" si="3"/>
        <v>378.07499999999999</v>
      </c>
      <c r="F245" s="33">
        <f>(Table2634[[#This Row],[4 weeks average]]-B193)/B193</f>
        <v>8.517508610792196E-2</v>
      </c>
    </row>
    <row r="246" spans="1:6" x14ac:dyDescent="0.2">
      <c r="A246" s="23">
        <v>29080</v>
      </c>
      <c r="B246" s="25">
        <f>VLOOKUP(Table2634[[#This Row],[Date]],'DB Money Supply'!$A:$D,4)</f>
        <v>378.3</v>
      </c>
      <c r="C246" s="31">
        <f>(Table2634[[#This Row],[M1 Money Stock, Billions of Dollars, Weekly, Seasonally Adjusted]]-B245)/B245</f>
        <v>1.5885623510723398E-3</v>
      </c>
      <c r="D246" s="35">
        <f>((1+Table2634[[#This Row],[Weekly change]])^52)-1</f>
        <v>8.6041788300777133E-2</v>
      </c>
      <c r="E246" s="25">
        <f t="shared" si="3"/>
        <v>378.2</v>
      </c>
      <c r="F246" s="33">
        <f>(Table2634[[#This Row],[4 weeks average]]-B194)/B194</f>
        <v>8.1498427223334294E-2</v>
      </c>
    </row>
    <row r="247" spans="1:6" x14ac:dyDescent="0.2">
      <c r="A247" s="23">
        <v>29087</v>
      </c>
      <c r="B247" s="25">
        <f>VLOOKUP(Table2634[[#This Row],[Date]],'DB Money Supply'!$A:$D,4)</f>
        <v>379.9</v>
      </c>
      <c r="C247" s="31">
        <f>(Table2634[[#This Row],[M1 Money Stock, Billions of Dollars, Weekly, Seasonally Adjusted]]-B246)/B246</f>
        <v>4.2294475284165101E-3</v>
      </c>
      <c r="D247" s="35">
        <f>((1+Table2634[[#This Row],[Weekly change]])^52)-1</f>
        <v>0.24541335248171414</v>
      </c>
      <c r="E247" s="25">
        <f t="shared" si="3"/>
        <v>378.6</v>
      </c>
      <c r="F247" s="33">
        <f>(Table2634[[#This Row],[4 weeks average]]-B195)/B195</f>
        <v>8.2642264798398729E-2</v>
      </c>
    </row>
    <row r="248" spans="1:6" x14ac:dyDescent="0.2">
      <c r="A248" s="23">
        <v>29094</v>
      </c>
      <c r="B248" s="25">
        <f>VLOOKUP(Table2634[[#This Row],[Date]],'DB Money Supply'!$A:$D,4)</f>
        <v>379.4</v>
      </c>
      <c r="C248" s="31">
        <f>(Table2634[[#This Row],[M1 Money Stock, Billions of Dollars, Weekly, Seasonally Adjusted]]-B247)/B247</f>
        <v>-1.3161358252171626E-3</v>
      </c>
      <c r="D248" s="35">
        <f>((1+Table2634[[#This Row],[Weekly change]])^52)-1</f>
        <v>-6.619172983215782E-2</v>
      </c>
      <c r="E248" s="25">
        <f t="shared" si="3"/>
        <v>378.82500000000005</v>
      </c>
      <c r="F248" s="33">
        <f>(Table2634[[#This Row],[4 weeks average]]-B196)/B196</f>
        <v>8.4526195247638228E-2</v>
      </c>
    </row>
    <row r="249" spans="1:6" x14ac:dyDescent="0.2">
      <c r="A249" s="23">
        <v>29101</v>
      </c>
      <c r="B249" s="25">
        <f>VLOOKUP(Table2634[[#This Row],[Date]],'DB Money Supply'!$A:$D,4)</f>
        <v>379</v>
      </c>
      <c r="C249" s="31">
        <f>(Table2634[[#This Row],[M1 Money Stock, Billions of Dollars, Weekly, Seasonally Adjusted]]-B248)/B248</f>
        <v>-1.054296257248227E-3</v>
      </c>
      <c r="D249" s="35">
        <f>((1+Table2634[[#This Row],[Weekly change]])^52)-1</f>
        <v>-5.3375070252061896E-2</v>
      </c>
      <c r="E249" s="25">
        <f t="shared" si="3"/>
        <v>379.15</v>
      </c>
      <c r="F249" s="33">
        <f>(Table2634[[#This Row],[4 weeks average]]-B197)/B197</f>
        <v>7.4992911823079073E-2</v>
      </c>
    </row>
    <row r="250" spans="1:6" x14ac:dyDescent="0.2">
      <c r="A250" s="23">
        <v>29108</v>
      </c>
      <c r="B250" s="25">
        <f>VLOOKUP(Table2634[[#This Row],[Date]],'DB Money Supply'!$A:$D,4)</f>
        <v>378.7</v>
      </c>
      <c r="C250" s="31">
        <f>(Table2634[[#This Row],[M1 Money Stock, Billions of Dollars, Weekly, Seasonally Adjusted]]-B249)/B249</f>
        <v>-7.9155672823221998E-4</v>
      </c>
      <c r="D250" s="35">
        <f>((1+Table2634[[#This Row],[Weekly change]])^52)-1</f>
        <v>-4.0340983808826225E-2</v>
      </c>
      <c r="E250" s="25">
        <f t="shared" si="3"/>
        <v>379.25</v>
      </c>
      <c r="F250" s="33">
        <f>(Table2634[[#This Row],[4 weeks average]]-B198)/B198</f>
        <v>7.8640500568828139E-2</v>
      </c>
    </row>
    <row r="251" spans="1:6" x14ac:dyDescent="0.2">
      <c r="A251" s="23">
        <v>29115</v>
      </c>
      <c r="B251" s="25">
        <f>VLOOKUP(Table2634[[#This Row],[Date]],'DB Money Supply'!$A:$D,4)</f>
        <v>378.1</v>
      </c>
      <c r="C251" s="31">
        <f>(Table2634[[#This Row],[M1 Money Stock, Billions of Dollars, Weekly, Seasonally Adjusted]]-B250)/B250</f>
        <v>-1.5843675732769103E-3</v>
      </c>
      <c r="D251" s="35">
        <f>((1+Table2634[[#This Row],[Weekly change]])^52)-1</f>
        <v>-7.914477519673746E-2</v>
      </c>
      <c r="E251" s="25">
        <f t="shared" si="3"/>
        <v>378.79999999999995</v>
      </c>
      <c r="F251" s="33">
        <f>(Table2634[[#This Row],[4 weeks average]]-B199)/B199</f>
        <v>7.7667140825035438E-2</v>
      </c>
    </row>
    <row r="252" spans="1:6" x14ac:dyDescent="0.2">
      <c r="A252" s="23">
        <v>29122</v>
      </c>
      <c r="B252" s="25">
        <f>VLOOKUP(Table2634[[#This Row],[Date]],'DB Money Supply'!$A:$D,4)</f>
        <v>379.6</v>
      </c>
      <c r="C252" s="31">
        <f>(Table2634[[#This Row],[M1 Money Stock, Billions of Dollars, Weekly, Seasonally Adjusted]]-B251)/B251</f>
        <v>3.9672044432689764E-3</v>
      </c>
      <c r="D252" s="35">
        <f>((1+Table2634[[#This Row],[Weekly change]])^52)-1</f>
        <v>0.22861375287101682</v>
      </c>
      <c r="E252" s="25">
        <f t="shared" si="3"/>
        <v>378.85</v>
      </c>
      <c r="F252" s="33">
        <f>(Table2634[[#This Row],[4 weeks average]]-B200)/B200</f>
        <v>7.3837868480725655E-2</v>
      </c>
    </row>
    <row r="253" spans="1:6" x14ac:dyDescent="0.2">
      <c r="A253" s="23">
        <v>29129</v>
      </c>
      <c r="B253" s="25">
        <f>VLOOKUP(Table2634[[#This Row],[Date]],'DB Money Supply'!$A:$D,4)</f>
        <v>381.6</v>
      </c>
      <c r="C253" s="31">
        <f>(Table2634[[#This Row],[M1 Money Stock, Billions of Dollars, Weekly, Seasonally Adjusted]]-B252)/B252</f>
        <v>5.268703898840885E-3</v>
      </c>
      <c r="D253" s="35">
        <f>((1+Table2634[[#This Row],[Weekly change]])^52)-1</f>
        <v>0.31423321303060492</v>
      </c>
      <c r="E253" s="25">
        <f t="shared" si="3"/>
        <v>379.5</v>
      </c>
      <c r="F253" s="33">
        <f>(Table2634[[#This Row],[4 weeks average]]-B201)/B201</f>
        <v>7.5375460470388275E-2</v>
      </c>
    </row>
    <row r="254" spans="1:6" x14ac:dyDescent="0.2">
      <c r="A254" s="23">
        <v>29136</v>
      </c>
      <c r="B254" s="25">
        <f>VLOOKUP(Table2634[[#This Row],[Date]],'DB Money Supply'!$A:$D,4)</f>
        <v>380.7</v>
      </c>
      <c r="C254" s="31">
        <f>(Table2634[[#This Row],[M1 Money Stock, Billions of Dollars, Weekly, Seasonally Adjusted]]-B253)/B253</f>
        <v>-2.3584905660378251E-3</v>
      </c>
      <c r="D254" s="35">
        <f>((1+Table2634[[#This Row],[Weekly change]])^52)-1</f>
        <v>-0.11554740463315438</v>
      </c>
      <c r="E254" s="25">
        <f t="shared" si="3"/>
        <v>380.00000000000006</v>
      </c>
      <c r="F254" s="33">
        <f>(Table2634[[#This Row],[4 weeks average]]-B202)/B202</f>
        <v>7.6487252124646049E-2</v>
      </c>
    </row>
    <row r="255" spans="1:6" x14ac:dyDescent="0.2">
      <c r="A255" s="23">
        <v>29143</v>
      </c>
      <c r="B255" s="25">
        <f>VLOOKUP(Table2634[[#This Row],[Date]],'DB Money Supply'!$A:$D,4)</f>
        <v>381.7</v>
      </c>
      <c r="C255" s="31">
        <f>(Table2634[[#This Row],[M1 Money Stock, Billions of Dollars, Weekly, Seasonally Adjusted]]-B254)/B254</f>
        <v>2.6267402153926978E-3</v>
      </c>
      <c r="D255" s="35">
        <f>((1+Table2634[[#This Row],[Weekly change]])^52)-1</f>
        <v>0.14615333654210771</v>
      </c>
      <c r="E255" s="25">
        <f t="shared" si="3"/>
        <v>380.90000000000003</v>
      </c>
      <c r="F255" s="33">
        <f>(Table2634[[#This Row],[4 weeks average]]-B203)/B203</f>
        <v>7.5077617837990468E-2</v>
      </c>
    </row>
    <row r="256" spans="1:6" x14ac:dyDescent="0.2">
      <c r="A256" s="23">
        <v>29150</v>
      </c>
      <c r="B256" s="25">
        <f>VLOOKUP(Table2634[[#This Row],[Date]],'DB Money Supply'!$A:$D,4)</f>
        <v>380.5</v>
      </c>
      <c r="C256" s="31">
        <f>(Table2634[[#This Row],[M1 Money Stock, Billions of Dollars, Weekly, Seasonally Adjusted]]-B255)/B255</f>
        <v>-3.1438302331673793E-3</v>
      </c>
      <c r="D256" s="35">
        <f>((1+Table2634[[#This Row],[Weekly change]])^52)-1</f>
        <v>-0.15103446420099254</v>
      </c>
      <c r="E256" s="25">
        <f t="shared" si="3"/>
        <v>381.125</v>
      </c>
      <c r="F256" s="33">
        <f>(Table2634[[#This Row],[4 weeks average]]-B204)/B204</f>
        <v>7.9368450863777903E-2</v>
      </c>
    </row>
    <row r="257" spans="1:6" x14ac:dyDescent="0.2">
      <c r="A257" s="23">
        <v>29157</v>
      </c>
      <c r="B257" s="25">
        <f>VLOOKUP(Table2634[[#This Row],[Date]],'DB Money Supply'!$A:$D,4)</f>
        <v>380.9</v>
      </c>
      <c r="C257" s="31">
        <f>(Table2634[[#This Row],[M1 Money Stock, Billions of Dollars, Weekly, Seasonally Adjusted]]-B256)/B256</f>
        <v>1.0512483574243818E-3</v>
      </c>
      <c r="D257" s="35">
        <f>((1+Table2634[[#This Row],[Weekly change]])^52)-1</f>
        <v>5.6156316699329967E-2</v>
      </c>
      <c r="E257" s="25">
        <f t="shared" si="3"/>
        <v>380.95000000000005</v>
      </c>
      <c r="F257" s="33">
        <f>(Table2634[[#This Row],[4 weeks average]]-B205)/B205</f>
        <v>7.8262100198131998E-2</v>
      </c>
    </row>
    <row r="258" spans="1:6" x14ac:dyDescent="0.2">
      <c r="A258" s="23">
        <v>29164</v>
      </c>
      <c r="B258" s="25">
        <f>VLOOKUP(Table2634[[#This Row],[Date]],'DB Money Supply'!$A:$D,4)</f>
        <v>382.3</v>
      </c>
      <c r="C258" s="31">
        <f>(Table2634[[#This Row],[M1 Money Stock, Billions of Dollars, Weekly, Seasonally Adjusted]]-B257)/B257</f>
        <v>3.6755053819901135E-3</v>
      </c>
      <c r="D258" s="35">
        <f>((1+Table2634[[#This Row],[Weekly change]])^52)-1</f>
        <v>0.21018821285459688</v>
      </c>
      <c r="E258" s="25">
        <f t="shared" si="3"/>
        <v>381.34999999999997</v>
      </c>
      <c r="F258" s="33">
        <f>(Table2634[[#This Row],[4 weeks average]]-B206)/B206</f>
        <v>7.3922838637003496E-2</v>
      </c>
    </row>
    <row r="259" spans="1:6" x14ac:dyDescent="0.2">
      <c r="A259" s="23">
        <v>29171</v>
      </c>
      <c r="B259" s="25">
        <f>VLOOKUP(Table2634[[#This Row],[Date]],'DB Money Supply'!$A:$D,4)</f>
        <v>381.1</v>
      </c>
      <c r="C259" s="31">
        <f>(Table2634[[#This Row],[M1 Money Stock, Billions of Dollars, Weekly, Seasonally Adjusted]]-B258)/B258</f>
        <v>-3.1388961548521805E-3</v>
      </c>
      <c r="D259" s="35">
        <f>((1+Table2634[[#This Row],[Weekly change]])^52)-1</f>
        <v>-0.15081592882125328</v>
      </c>
      <c r="E259" s="25">
        <f t="shared" si="3"/>
        <v>381.20000000000005</v>
      </c>
      <c r="F259" s="33">
        <f>(Table2634[[#This Row],[4 weeks average]]-B207)/B207</f>
        <v>7.3198198198198366E-2</v>
      </c>
    </row>
    <row r="260" spans="1:6" x14ac:dyDescent="0.2">
      <c r="A260" s="23">
        <v>29178</v>
      </c>
      <c r="B260" s="25">
        <f>VLOOKUP(Table2634[[#This Row],[Date]],'DB Money Supply'!$A:$D,4)</f>
        <v>381.5</v>
      </c>
      <c r="C260" s="31">
        <f>(Table2634[[#This Row],[M1 Money Stock, Billions of Dollars, Weekly, Seasonally Adjusted]]-B259)/B259</f>
        <v>1.0495932826029316E-3</v>
      </c>
      <c r="D260" s="35">
        <f>((1+Table2634[[#This Row],[Weekly change]])^52)-1</f>
        <v>5.6065519060492841E-2</v>
      </c>
      <c r="E260" s="25">
        <f t="shared" si="3"/>
        <v>381.45000000000005</v>
      </c>
      <c r="F260" s="33">
        <f>(Table2634[[#This Row],[4 weeks average]]-B208)/B208</f>
        <v>7.2091062394603805E-2</v>
      </c>
    </row>
    <row r="261" spans="1:6" x14ac:dyDescent="0.2">
      <c r="A261" s="23">
        <v>29185</v>
      </c>
      <c r="B261" s="25">
        <f>VLOOKUP(Table2634[[#This Row],[Date]],'DB Money Supply'!$A:$D,4)</f>
        <v>380.6</v>
      </c>
      <c r="C261" s="31">
        <f>(Table2634[[#This Row],[M1 Money Stock, Billions of Dollars, Weekly, Seasonally Adjusted]]-B260)/B260</f>
        <v>-2.3591087811270701E-3</v>
      </c>
      <c r="D261" s="35">
        <f>((1+Table2634[[#This Row],[Weekly change]])^52)-1</f>
        <v>-0.11557590406039042</v>
      </c>
      <c r="E261" s="25">
        <f t="shared" si="3"/>
        <v>381.375</v>
      </c>
      <c r="F261" s="33">
        <f>(Table2634[[#This Row],[4 weeks average]]-B209)/B209</f>
        <v>7.3388685617787747E-2</v>
      </c>
    </row>
    <row r="262" spans="1:6" x14ac:dyDescent="0.2">
      <c r="A262" s="23">
        <v>29192</v>
      </c>
      <c r="B262" s="25">
        <f>VLOOKUP(Table2634[[#This Row],[Date]],'DB Money Supply'!$A:$D,4)</f>
        <v>379.3</v>
      </c>
      <c r="C262" s="31">
        <f>(Table2634[[#This Row],[M1 Money Stock, Billions of Dollars, Weekly, Seasonally Adjusted]]-B261)/B261</f>
        <v>-3.4156594850236767E-3</v>
      </c>
      <c r="D262" s="35">
        <f>((1+Table2634[[#This Row],[Weekly change]])^52)-1</f>
        <v>-0.16298921284316337</v>
      </c>
      <c r="E262" s="25">
        <f t="shared" si="3"/>
        <v>380.625</v>
      </c>
      <c r="F262" s="33">
        <f>(Table2634[[#This Row],[4 weeks average]]-B210)/B210</f>
        <v>6.5877905348641769E-2</v>
      </c>
    </row>
    <row r="263" spans="1:6" x14ac:dyDescent="0.2">
      <c r="A263" s="23">
        <v>29199</v>
      </c>
      <c r="B263" s="25">
        <f>VLOOKUP(Table2634[[#This Row],[Date]],'DB Money Supply'!$A:$D,4)</f>
        <v>381.2</v>
      </c>
      <c r="C263" s="31">
        <f>(Table2634[[#This Row],[M1 Money Stock, Billions of Dollars, Weekly, Seasonally Adjusted]]-B262)/B262</f>
        <v>5.0092275243869685E-3</v>
      </c>
      <c r="D263" s="35">
        <f>((1+Table2634[[#This Row],[Weekly change]])^52)-1</f>
        <v>0.29670910916454729</v>
      </c>
      <c r="E263" s="25">
        <f t="shared" si="3"/>
        <v>380.65000000000003</v>
      </c>
      <c r="F263" s="33">
        <f>(Table2634[[#This Row],[4 weeks average]]-B211)/B211</f>
        <v>6.6844170403587505E-2</v>
      </c>
    </row>
    <row r="264" spans="1:6" x14ac:dyDescent="0.2">
      <c r="A264" s="23">
        <v>29206</v>
      </c>
      <c r="B264" s="25">
        <f>VLOOKUP(Table2634[[#This Row],[Date]],'DB Money Supply'!$A:$D,4)</f>
        <v>381</v>
      </c>
      <c r="C264" s="31">
        <f>(Table2634[[#This Row],[M1 Money Stock, Billions of Dollars, Weekly, Seasonally Adjusted]]-B263)/B263</f>
        <v>-5.2465897166838573E-4</v>
      </c>
      <c r="D264" s="35">
        <f>((1+Table2634[[#This Row],[Weekly change]])^52)-1</f>
        <v>-2.6920433737008809E-2</v>
      </c>
      <c r="E264" s="25">
        <f t="shared" si="3"/>
        <v>380.52500000000003</v>
      </c>
      <c r="F264" s="33">
        <f>(Table2634[[#This Row],[4 weeks average]]-B212)/B212</f>
        <v>6.8290286355979918E-2</v>
      </c>
    </row>
    <row r="265" spans="1:6" x14ac:dyDescent="0.2">
      <c r="A265" s="23">
        <v>29213</v>
      </c>
      <c r="B265" s="25">
        <f>VLOOKUP(Table2634[[#This Row],[Date]],'DB Money Supply'!$A:$D,4)</f>
        <v>382.9</v>
      </c>
      <c r="C265" s="31">
        <f>(Table2634[[#This Row],[M1 Money Stock, Billions of Dollars, Weekly, Seasonally Adjusted]]-B264)/B264</f>
        <v>4.9868766404198876E-3</v>
      </c>
      <c r="D265" s="35">
        <f>((1+Table2634[[#This Row],[Weekly change]])^52)-1</f>
        <v>0.29521037609496159</v>
      </c>
      <c r="E265" s="25">
        <f t="shared" ref="E265:E328" si="4">AVERAGE(B262:B265)</f>
        <v>381.1</v>
      </c>
      <c r="F265" s="33">
        <f>(Table2634[[#This Row],[4 weeks average]]-B213)/B213</f>
        <v>6.5417948001118359E-2</v>
      </c>
    </row>
    <row r="266" spans="1:6" x14ac:dyDescent="0.2">
      <c r="A266" s="23">
        <v>29220</v>
      </c>
      <c r="B266" s="25">
        <f>VLOOKUP(Table2634[[#This Row],[Date]],'DB Money Supply'!$A:$D,4)</f>
        <v>384.2</v>
      </c>
      <c r="C266" s="31">
        <f>(Table2634[[#This Row],[M1 Money Stock, Billions of Dollars, Weekly, Seasonally Adjusted]]-B265)/B265</f>
        <v>3.3951423348132972E-3</v>
      </c>
      <c r="D266" s="35">
        <f>((1+Table2634[[#This Row],[Weekly change]])^52)-1</f>
        <v>0.19273426874353738</v>
      </c>
      <c r="E266" s="25">
        <f t="shared" si="4"/>
        <v>382.32499999999999</v>
      </c>
      <c r="F266" s="33">
        <f>(Table2634[[#This Row],[4 weeks average]]-B214)/B214</f>
        <v>6.3490959666203023E-2</v>
      </c>
    </row>
    <row r="267" spans="1:6" x14ac:dyDescent="0.2">
      <c r="A267" s="23">
        <v>29227</v>
      </c>
      <c r="B267" s="25">
        <f>VLOOKUP(Table2634[[#This Row],[Date]],'DB Money Supply'!$A:$D,4)</f>
        <v>383.7</v>
      </c>
      <c r="C267" s="31">
        <f>(Table2634[[#This Row],[M1 Money Stock, Billions of Dollars, Weekly, Seasonally Adjusted]]-B266)/B266</f>
        <v>-1.3014055179593961E-3</v>
      </c>
      <c r="D267" s="35">
        <f>((1+Table2634[[#This Row],[Weekly change]])^52)-1</f>
        <v>-6.547524304204233E-2</v>
      </c>
      <c r="E267" s="25">
        <f t="shared" si="4"/>
        <v>382.95</v>
      </c>
      <c r="F267" s="33">
        <f>(Table2634[[#This Row],[4 weeks average]]-B215)/B215</f>
        <v>7.238868664239699E-2</v>
      </c>
    </row>
    <row r="268" spans="1:6" x14ac:dyDescent="0.2">
      <c r="A268" s="23">
        <v>29234</v>
      </c>
      <c r="B268" s="25">
        <f>VLOOKUP(Table2634[[#This Row],[Date]],'DB Money Supply'!$A:$D,4)</f>
        <v>385.5</v>
      </c>
      <c r="C268" s="31">
        <f>(Table2634[[#This Row],[M1 Money Stock, Billions of Dollars, Weekly, Seasonally Adjusted]]-B267)/B267</f>
        <v>4.6911649726349008E-3</v>
      </c>
      <c r="D268" s="35">
        <f>((1+Table2634[[#This Row],[Weekly change]])^52)-1</f>
        <v>0.27554071515203349</v>
      </c>
      <c r="E268" s="25">
        <f t="shared" si="4"/>
        <v>384.07499999999999</v>
      </c>
      <c r="F268" s="33">
        <f>(Table2634[[#This Row],[4 weeks average]]-B216)/B216</f>
        <v>6.8358831710709292E-2</v>
      </c>
    </row>
    <row r="269" spans="1:6" x14ac:dyDescent="0.2">
      <c r="A269" s="23">
        <v>29241</v>
      </c>
      <c r="B269" s="25">
        <f>VLOOKUP(Table2634[[#This Row],[Date]],'DB Money Supply'!$A:$D,4)</f>
        <v>384.8</v>
      </c>
      <c r="C269" s="31">
        <f>(Table2634[[#This Row],[M1 Money Stock, Billions of Dollars, Weekly, Seasonally Adjusted]]-B268)/B268</f>
        <v>-1.8158236057068448E-3</v>
      </c>
      <c r="D269" s="35">
        <f>((1+Table2634[[#This Row],[Weekly change]])^52)-1</f>
        <v>-9.0180143552137659E-2</v>
      </c>
      <c r="E269" s="25">
        <f t="shared" si="4"/>
        <v>384.55</v>
      </c>
      <c r="F269" s="33">
        <f>(Table2634[[#This Row],[4 weeks average]]-B217)/B217</f>
        <v>7.2065793141901383E-2</v>
      </c>
    </row>
    <row r="270" spans="1:6" x14ac:dyDescent="0.2">
      <c r="A270" s="23">
        <v>29248</v>
      </c>
      <c r="B270" s="25">
        <f>VLOOKUP(Table2634[[#This Row],[Date]],'DB Money Supply'!$A:$D,4)</f>
        <v>387.4</v>
      </c>
      <c r="C270" s="31">
        <f>(Table2634[[#This Row],[M1 Money Stock, Billions of Dollars, Weekly, Seasonally Adjusted]]-B269)/B269</f>
        <v>6.7567567567566678E-3</v>
      </c>
      <c r="D270" s="35">
        <f>((1+Table2634[[#This Row],[Weekly change]])^52)-1</f>
        <v>0.41930834707944076</v>
      </c>
      <c r="E270" s="25">
        <f t="shared" si="4"/>
        <v>385.35</v>
      </c>
      <c r="F270" s="33">
        <f>(Table2634[[#This Row],[4 weeks average]]-B218)/B218</f>
        <v>7.3996655518394683E-2</v>
      </c>
    </row>
    <row r="271" spans="1:6" x14ac:dyDescent="0.2">
      <c r="A271" s="23">
        <v>29255</v>
      </c>
      <c r="B271" s="25">
        <f>VLOOKUP(Table2634[[#This Row],[Date]],'DB Money Supply'!$A:$D,4)</f>
        <v>390.6</v>
      </c>
      <c r="C271" s="31">
        <f>(Table2634[[#This Row],[M1 Money Stock, Billions of Dollars, Weekly, Seasonally Adjusted]]-B270)/B270</f>
        <v>8.2601961796593855E-3</v>
      </c>
      <c r="D271" s="35">
        <f>((1+Table2634[[#This Row],[Weekly change]])^52)-1</f>
        <v>0.53382698296182651</v>
      </c>
      <c r="E271" s="25">
        <f t="shared" si="4"/>
        <v>387.07499999999993</v>
      </c>
      <c r="F271" s="33">
        <f>(Table2634[[#This Row],[4 weeks average]]-B219)/B219</f>
        <v>7.3419301164725198E-2</v>
      </c>
    </row>
    <row r="272" spans="1:6" x14ac:dyDescent="0.2">
      <c r="A272" s="23">
        <v>29262</v>
      </c>
      <c r="B272" s="25">
        <f>VLOOKUP(Table2634[[#This Row],[Date]],'DB Money Supply'!$A:$D,4)</f>
        <v>390.3</v>
      </c>
      <c r="C272" s="31">
        <f>(Table2634[[#This Row],[M1 Money Stock, Billions of Dollars, Weekly, Seasonally Adjusted]]-B271)/B271</f>
        <v>-7.680491551459584E-4</v>
      </c>
      <c r="D272" s="35">
        <f>((1+Table2634[[#This Row],[Weekly change]])^52)-1</f>
        <v>-3.9166268694655448E-2</v>
      </c>
      <c r="E272" s="25">
        <f t="shared" si="4"/>
        <v>388.27500000000003</v>
      </c>
      <c r="F272" s="33">
        <f>(Table2634[[#This Row],[4 weeks average]]-B220)/B220</f>
        <v>8.0642916782632953E-2</v>
      </c>
    </row>
    <row r="273" spans="1:6" x14ac:dyDescent="0.2">
      <c r="A273" s="23">
        <v>29269</v>
      </c>
      <c r="B273" s="25">
        <f>VLOOKUP(Table2634[[#This Row],[Date]],'DB Money Supply'!$A:$D,4)</f>
        <v>390.3</v>
      </c>
      <c r="C273" s="31">
        <f>(Table2634[[#This Row],[M1 Money Stock, Billions of Dollars, Weekly, Seasonally Adjusted]]-B272)/B272</f>
        <v>0</v>
      </c>
      <c r="D273" s="35">
        <f>((1+Table2634[[#This Row],[Weekly change]])^52)-1</f>
        <v>0</v>
      </c>
      <c r="E273" s="25">
        <f t="shared" si="4"/>
        <v>389.65</v>
      </c>
      <c r="F273" s="33">
        <f>(Table2634[[#This Row],[4 weeks average]]-B221)/B221</f>
        <v>8.507379560011126E-2</v>
      </c>
    </row>
    <row r="274" spans="1:6" x14ac:dyDescent="0.2">
      <c r="A274" s="23">
        <v>29276</v>
      </c>
      <c r="B274" s="25">
        <f>VLOOKUP(Table2634[[#This Row],[Date]],'DB Money Supply'!$A:$D,4)</f>
        <v>389.3</v>
      </c>
      <c r="C274" s="31">
        <f>(Table2634[[#This Row],[M1 Money Stock, Billions of Dollars, Weekly, Seasonally Adjusted]]-B273)/B273</f>
        <v>-2.5621316935690495E-3</v>
      </c>
      <c r="D274" s="35">
        <f>((1+Table2634[[#This Row],[Weekly change]])^52)-1</f>
        <v>-0.12488661454998573</v>
      </c>
      <c r="E274" s="25">
        <f t="shared" si="4"/>
        <v>390.125</v>
      </c>
      <c r="F274" s="33">
        <f>(Table2634[[#This Row],[4 weeks average]]-B222)/B222</f>
        <v>8.3379616773118503E-2</v>
      </c>
    </row>
    <row r="275" spans="1:6" x14ac:dyDescent="0.2">
      <c r="A275" s="23">
        <v>29283</v>
      </c>
      <c r="B275" s="25">
        <f>VLOOKUP(Table2634[[#This Row],[Date]],'DB Money Supply'!$A:$D,4)</f>
        <v>389.4</v>
      </c>
      <c r="C275" s="31">
        <f>(Table2634[[#This Row],[M1 Money Stock, Billions of Dollars, Weekly, Seasonally Adjusted]]-B274)/B274</f>
        <v>2.5687130747486744E-4</v>
      </c>
      <c r="D275" s="35">
        <f>((1+Table2634[[#This Row],[Weekly change]])^52)-1</f>
        <v>1.3445177029272948E-2</v>
      </c>
      <c r="E275" s="25">
        <f t="shared" si="4"/>
        <v>389.82500000000005</v>
      </c>
      <c r="F275" s="33">
        <f>(Table2634[[#This Row],[4 weeks average]]-B223)/B223</f>
        <v>7.7162199502625234E-2</v>
      </c>
    </row>
    <row r="276" spans="1:6" x14ac:dyDescent="0.2">
      <c r="A276" s="23">
        <v>29290</v>
      </c>
      <c r="B276" s="25">
        <f>VLOOKUP(Table2634[[#This Row],[Date]],'DB Money Supply'!$A:$D,4)</f>
        <v>388.8</v>
      </c>
      <c r="C276" s="31">
        <f>(Table2634[[#This Row],[M1 Money Stock, Billions of Dollars, Weekly, Seasonally Adjusted]]-B275)/B275</f>
        <v>-1.540832049306538E-3</v>
      </c>
      <c r="D276" s="35">
        <f>((1+Table2634[[#This Row],[Weekly change]])^52)-1</f>
        <v>-7.7054468144140076E-2</v>
      </c>
      <c r="E276" s="25">
        <f t="shared" si="4"/>
        <v>389.45</v>
      </c>
      <c r="F276" s="33">
        <f>(Table2634[[#This Row],[4 weeks average]]-B224)/B224</f>
        <v>7.8211517165005545E-2</v>
      </c>
    </row>
    <row r="277" spans="1:6" x14ac:dyDescent="0.2">
      <c r="A277" s="23">
        <v>29297</v>
      </c>
      <c r="B277" s="25">
        <f>VLOOKUP(Table2634[[#This Row],[Date]],'DB Money Supply'!$A:$D,4)</f>
        <v>389.2</v>
      </c>
      <c r="C277" s="31">
        <f>(Table2634[[#This Row],[M1 Money Stock, Billions of Dollars, Weekly, Seasonally Adjusted]]-B276)/B276</f>
        <v>1.0288065843620815E-3</v>
      </c>
      <c r="D277" s="35">
        <f>((1+Table2634[[#This Row],[Weekly change]])^52)-1</f>
        <v>5.4925809524227764E-2</v>
      </c>
      <c r="E277" s="25">
        <f t="shared" si="4"/>
        <v>389.17500000000001</v>
      </c>
      <c r="F277" s="33">
        <f>(Table2634[[#This Row],[4 weeks average]]-B225)/B225</f>
        <v>7.5663349917081263E-2</v>
      </c>
    </row>
    <row r="278" spans="1:6" x14ac:dyDescent="0.2">
      <c r="A278" s="23">
        <v>29304</v>
      </c>
      <c r="B278" s="25">
        <f>VLOOKUP(Table2634[[#This Row],[Date]],'DB Money Supply'!$A:$D,4)</f>
        <v>388.4</v>
      </c>
      <c r="C278" s="31">
        <f>(Table2634[[#This Row],[M1 Money Stock, Billions of Dollars, Weekly, Seasonally Adjusted]]-B277)/B277</f>
        <v>-2.0554984583761853E-3</v>
      </c>
      <c r="D278" s="35">
        <f>((1+Table2634[[#This Row],[Weekly change]])^52)-1</f>
        <v>-0.10147066328478926</v>
      </c>
      <c r="E278" s="25">
        <f t="shared" si="4"/>
        <v>388.95000000000005</v>
      </c>
      <c r="F278" s="33">
        <f>(Table2634[[#This Row],[4 weeks average]]-B226)/B226</f>
        <v>7.0897577092511169E-2</v>
      </c>
    </row>
    <row r="279" spans="1:6" x14ac:dyDescent="0.2">
      <c r="A279" s="23">
        <v>29311</v>
      </c>
      <c r="B279" s="25">
        <f>VLOOKUP(Table2634[[#This Row],[Date]],'DB Money Supply'!$A:$D,4)</f>
        <v>387.1</v>
      </c>
      <c r="C279" s="31">
        <f>(Table2634[[#This Row],[M1 Money Stock, Billions of Dollars, Weekly, Seasonally Adjusted]]-B278)/B278</f>
        <v>-3.3470648815652794E-3</v>
      </c>
      <c r="D279" s="35">
        <f>((1+Table2634[[#This Row],[Weekly change]])^52)-1</f>
        <v>-0.1599881661652518</v>
      </c>
      <c r="E279" s="25">
        <f t="shared" si="4"/>
        <v>388.375</v>
      </c>
      <c r="F279" s="33">
        <f>(Table2634[[#This Row],[4 weeks average]]-B227)/B227</f>
        <v>6.6378363536518437E-2</v>
      </c>
    </row>
    <row r="280" spans="1:6" x14ac:dyDescent="0.2">
      <c r="A280" s="23">
        <v>29318</v>
      </c>
      <c r="B280" s="25">
        <f>VLOOKUP(Table2634[[#This Row],[Date]],'DB Money Supply'!$A:$D,4)</f>
        <v>386</v>
      </c>
      <c r="C280" s="31">
        <f>(Table2634[[#This Row],[M1 Money Stock, Billions of Dollars, Weekly, Seasonally Adjusted]]-B279)/B279</f>
        <v>-2.8416429863085059E-3</v>
      </c>
      <c r="D280" s="35">
        <f>((1+Table2634[[#This Row],[Weekly change]])^52)-1</f>
        <v>-0.13754799860019584</v>
      </c>
      <c r="E280" s="25">
        <f t="shared" si="4"/>
        <v>387.67499999999995</v>
      </c>
      <c r="F280" s="33">
        <f>(Table2634[[#This Row],[4 weeks average]]-B228)/B228</f>
        <v>6.2123287671232749E-2</v>
      </c>
    </row>
    <row r="281" spans="1:6" x14ac:dyDescent="0.2">
      <c r="A281" s="23">
        <v>29325</v>
      </c>
      <c r="B281" s="25">
        <f>VLOOKUP(Table2634[[#This Row],[Date]],'DB Money Supply'!$A:$D,4)</f>
        <v>385</v>
      </c>
      <c r="C281" s="31">
        <f>(Table2634[[#This Row],[M1 Money Stock, Billions of Dollars, Weekly, Seasonally Adjusted]]-B280)/B280</f>
        <v>-2.5906735751295338E-3</v>
      </c>
      <c r="D281" s="35">
        <f>((1+Table2634[[#This Row],[Weekly change]])^52)-1</f>
        <v>-0.12618782503401216</v>
      </c>
      <c r="E281" s="25">
        <f t="shared" si="4"/>
        <v>386.625</v>
      </c>
      <c r="F281" s="33">
        <f>(Table2634[[#This Row],[4 weeks average]]-B229)/B229</f>
        <v>4.861676159479255E-2</v>
      </c>
    </row>
    <row r="282" spans="1:6" x14ac:dyDescent="0.2">
      <c r="A282" s="23">
        <v>29332</v>
      </c>
      <c r="B282" s="25">
        <f>VLOOKUP(Table2634[[#This Row],[Date]],'DB Money Supply'!$A:$D,4)</f>
        <v>382.8</v>
      </c>
      <c r="C282" s="31">
        <f>(Table2634[[#This Row],[M1 Money Stock, Billions of Dollars, Weekly, Seasonally Adjusted]]-B281)/B281</f>
        <v>-5.7142857142856848E-3</v>
      </c>
      <c r="D282" s="35">
        <f>((1+Table2634[[#This Row],[Weekly change]])^52)-1</f>
        <v>-0.25769501173361131</v>
      </c>
      <c r="E282" s="25">
        <f t="shared" si="4"/>
        <v>385.22499999999997</v>
      </c>
      <c r="F282" s="33">
        <f>(Table2634[[#This Row],[4 weeks average]]-B230)/B230</f>
        <v>4.0586169638033437E-2</v>
      </c>
    </row>
    <row r="283" spans="1:6" x14ac:dyDescent="0.2">
      <c r="A283" s="23">
        <v>29339</v>
      </c>
      <c r="B283" s="25">
        <f>VLOOKUP(Table2634[[#This Row],[Date]],'DB Money Supply'!$A:$D,4)</f>
        <v>381.3</v>
      </c>
      <c r="C283" s="31">
        <f>(Table2634[[#This Row],[M1 Money Stock, Billions of Dollars, Weekly, Seasonally Adjusted]]-B282)/B282</f>
        <v>-3.9184952978056423E-3</v>
      </c>
      <c r="D283" s="35">
        <f>((1+Table2634[[#This Row],[Weekly change]])^52)-1</f>
        <v>-0.18466974029753436</v>
      </c>
      <c r="E283" s="25">
        <f t="shared" si="4"/>
        <v>383.77499999999998</v>
      </c>
      <c r="F283" s="33">
        <f>(Table2634[[#This Row],[4 weeks average]]-B231)/B231</f>
        <v>3.8352272727272603E-2</v>
      </c>
    </row>
    <row r="284" spans="1:6" x14ac:dyDescent="0.2">
      <c r="A284" s="23">
        <v>29346</v>
      </c>
      <c r="B284" s="25">
        <f>VLOOKUP(Table2634[[#This Row],[Date]],'DB Money Supply'!$A:$D,4)</f>
        <v>383.6</v>
      </c>
      <c r="C284" s="31">
        <f>(Table2634[[#This Row],[M1 Money Stock, Billions of Dollars, Weekly, Seasonally Adjusted]]-B283)/B283</f>
        <v>6.0319958038290355E-3</v>
      </c>
      <c r="D284" s="35">
        <f>((1+Table2634[[#This Row],[Weekly change]])^52)-1</f>
        <v>0.36714081076426841</v>
      </c>
      <c r="E284" s="25">
        <f t="shared" si="4"/>
        <v>383.17499999999995</v>
      </c>
      <c r="F284" s="33">
        <f>(Table2634[[#This Row],[4 weeks average]]-B232)/B232</f>
        <v>3.8696123610734559E-2</v>
      </c>
    </row>
    <row r="285" spans="1:6" x14ac:dyDescent="0.2">
      <c r="A285" s="23">
        <v>29353</v>
      </c>
      <c r="B285" s="25">
        <f>VLOOKUP(Table2634[[#This Row],[Date]],'DB Money Supply'!$A:$D,4)</f>
        <v>383.5</v>
      </c>
      <c r="C285" s="31">
        <f>(Table2634[[#This Row],[M1 Money Stock, Billions of Dollars, Weekly, Seasonally Adjusted]]-B284)/B284</f>
        <v>-2.6068821689265571E-4</v>
      </c>
      <c r="D285" s="35">
        <f>((1+Table2634[[#This Row],[Weekly change]])^52)-1</f>
        <v>-1.346606478615564E-2</v>
      </c>
      <c r="E285" s="25">
        <f t="shared" si="4"/>
        <v>382.8</v>
      </c>
      <c r="F285" s="33">
        <f>(Table2634[[#This Row],[4 weeks average]]-B233)/B233</f>
        <v>3.7117312381468405E-2</v>
      </c>
    </row>
    <row r="286" spans="1:6" x14ac:dyDescent="0.2">
      <c r="A286" s="23">
        <v>29360</v>
      </c>
      <c r="B286" s="25">
        <f>VLOOKUP(Table2634[[#This Row],[Date]],'DB Money Supply'!$A:$D,4)</f>
        <v>384.7</v>
      </c>
      <c r="C286" s="31">
        <f>(Table2634[[#This Row],[M1 Money Stock, Billions of Dollars, Weekly, Seasonally Adjusted]]-B285)/B285</f>
        <v>3.1290743155149639E-3</v>
      </c>
      <c r="D286" s="35">
        <f>((1+Table2634[[#This Row],[Weekly change]])^52)-1</f>
        <v>0.1763987033151091</v>
      </c>
      <c r="E286" s="25">
        <f t="shared" si="4"/>
        <v>383.27500000000003</v>
      </c>
      <c r="F286" s="33">
        <f>(Table2634[[#This Row],[4 weeks average]]-B234)/B234</f>
        <v>3.69994588744589E-2</v>
      </c>
    </row>
    <row r="287" spans="1:6" x14ac:dyDescent="0.2">
      <c r="A287" s="23">
        <v>29367</v>
      </c>
      <c r="B287" s="25">
        <f>VLOOKUP(Table2634[[#This Row],[Date]],'DB Money Supply'!$A:$D,4)</f>
        <v>385.8</v>
      </c>
      <c r="C287" s="31">
        <f>(Table2634[[#This Row],[M1 Money Stock, Billions of Dollars, Weekly, Seasonally Adjusted]]-B286)/B286</f>
        <v>2.8593709383936128E-3</v>
      </c>
      <c r="D287" s="35">
        <f>((1+Table2634[[#This Row],[Weekly change]])^52)-1</f>
        <v>0.16006393165553279</v>
      </c>
      <c r="E287" s="25">
        <f t="shared" si="4"/>
        <v>384.4</v>
      </c>
      <c r="F287" s="33">
        <f>(Table2634[[#This Row],[4 weeks average]]-B235)/B235</f>
        <v>4.173441734417338E-2</v>
      </c>
    </row>
    <row r="288" spans="1:6" x14ac:dyDescent="0.2">
      <c r="A288" s="23">
        <v>29374</v>
      </c>
      <c r="B288" s="25">
        <f>VLOOKUP(Table2634[[#This Row],[Date]],'DB Money Supply'!$A:$D,4)</f>
        <v>386.8</v>
      </c>
      <c r="C288" s="31">
        <f>(Table2634[[#This Row],[M1 Money Stock, Billions of Dollars, Weekly, Seasonally Adjusted]]-B287)/B287</f>
        <v>2.592016588906169E-3</v>
      </c>
      <c r="D288" s="35">
        <f>((1+Table2634[[#This Row],[Weekly change]])^52)-1</f>
        <v>0.14409105301943215</v>
      </c>
      <c r="E288" s="25">
        <f t="shared" si="4"/>
        <v>385.2</v>
      </c>
      <c r="F288" s="33">
        <f>(Table2634[[#This Row],[4 weeks average]]-B236)/B236</f>
        <v>3.4371643394199819E-2</v>
      </c>
    </row>
    <row r="289" spans="1:6" x14ac:dyDescent="0.2">
      <c r="A289" s="23">
        <v>29381</v>
      </c>
      <c r="B289" s="25">
        <f>VLOOKUP(Table2634[[#This Row],[Date]],'DB Money Supply'!$A:$D,4)</f>
        <v>387.1</v>
      </c>
      <c r="C289" s="31">
        <f>(Table2634[[#This Row],[M1 Money Stock, Billions of Dollars, Weekly, Seasonally Adjusted]]-B288)/B288</f>
        <v>7.7559462254397969E-4</v>
      </c>
      <c r="D289" s="35">
        <f>((1+Table2634[[#This Row],[Weekly change]])^52)-1</f>
        <v>4.1138981318526113E-2</v>
      </c>
      <c r="E289" s="25">
        <f t="shared" si="4"/>
        <v>386.1</v>
      </c>
      <c r="F289" s="33">
        <f>(Table2634[[#This Row],[4 weeks average]]-B237)/B237</f>
        <v>3.5953850281728025E-2</v>
      </c>
    </row>
    <row r="290" spans="1:6" x14ac:dyDescent="0.2">
      <c r="A290" s="23">
        <v>29388</v>
      </c>
      <c r="B290" s="25">
        <f>VLOOKUP(Table2634[[#This Row],[Date]],'DB Money Supply'!$A:$D,4)</f>
        <v>389</v>
      </c>
      <c r="C290" s="31">
        <f>(Table2634[[#This Row],[M1 Money Stock, Billions of Dollars, Weekly, Seasonally Adjusted]]-B289)/B289</f>
        <v>4.9082924308963506E-3</v>
      </c>
      <c r="D290" s="35">
        <f>((1+Table2634[[#This Row],[Weekly change]])^52)-1</f>
        <v>0.2899544063211521</v>
      </c>
      <c r="E290" s="25">
        <f t="shared" si="4"/>
        <v>387.17500000000001</v>
      </c>
      <c r="F290" s="33">
        <f>(Table2634[[#This Row],[4 weeks average]]-B238)/B238</f>
        <v>4.023374529822682E-2</v>
      </c>
    </row>
    <row r="291" spans="1:6" x14ac:dyDescent="0.2">
      <c r="A291" s="23">
        <v>29395</v>
      </c>
      <c r="B291" s="25">
        <f>VLOOKUP(Table2634[[#This Row],[Date]],'DB Money Supply'!$A:$D,4)</f>
        <v>389.9</v>
      </c>
      <c r="C291" s="31">
        <f>(Table2634[[#This Row],[M1 Money Stock, Billions of Dollars, Weekly, Seasonally Adjusted]]-B290)/B290</f>
        <v>2.3136246786631806E-3</v>
      </c>
      <c r="D291" s="35">
        <f>((1+Table2634[[#This Row],[Weekly change]])^52)-1</f>
        <v>0.12768800470691222</v>
      </c>
      <c r="E291" s="25">
        <f t="shared" si="4"/>
        <v>388.20000000000005</v>
      </c>
      <c r="F291" s="33">
        <f>(Table2634[[#This Row],[4 weeks average]]-B239)/B239</f>
        <v>3.713598717606207E-2</v>
      </c>
    </row>
    <row r="292" spans="1:6" x14ac:dyDescent="0.2">
      <c r="A292" s="23">
        <v>29402</v>
      </c>
      <c r="B292" s="25">
        <f>VLOOKUP(Table2634[[#This Row],[Date]],'DB Money Supply'!$A:$D,4)</f>
        <v>391.3</v>
      </c>
      <c r="C292" s="31">
        <f>(Table2634[[#This Row],[M1 Money Stock, Billions of Dollars, Weekly, Seasonally Adjusted]]-B291)/B291</f>
        <v>3.5906642728905725E-3</v>
      </c>
      <c r="D292" s="35">
        <f>((1+Table2634[[#This Row],[Weekly change]])^52)-1</f>
        <v>0.2048801818464554</v>
      </c>
      <c r="E292" s="25">
        <f t="shared" si="4"/>
        <v>389.32499999999999</v>
      </c>
      <c r="F292" s="33">
        <f>(Table2634[[#This Row],[4 weeks average]]-B240)/B240</f>
        <v>3.8476927180581523E-2</v>
      </c>
    </row>
    <row r="293" spans="1:6" x14ac:dyDescent="0.2">
      <c r="A293" s="23">
        <v>29409</v>
      </c>
      <c r="B293" s="25">
        <f>VLOOKUP(Table2634[[#This Row],[Date]],'DB Money Supply'!$A:$D,4)</f>
        <v>391.4</v>
      </c>
      <c r="C293" s="31">
        <f>(Table2634[[#This Row],[M1 Money Stock, Billions of Dollars, Weekly, Seasonally Adjusted]]-B292)/B292</f>
        <v>2.5555839509319164E-4</v>
      </c>
      <c r="D293" s="35">
        <f>((1+Table2634[[#This Row],[Weekly change]])^52)-1</f>
        <v>1.3376007747148533E-2</v>
      </c>
      <c r="E293" s="25">
        <f t="shared" si="4"/>
        <v>390.4</v>
      </c>
      <c r="F293" s="33">
        <f>(Table2634[[#This Row],[4 weeks average]]-B241)/B241</f>
        <v>3.9126963002395501E-2</v>
      </c>
    </row>
    <row r="294" spans="1:6" x14ac:dyDescent="0.2">
      <c r="A294" s="23">
        <v>29416</v>
      </c>
      <c r="B294" s="25">
        <f>VLOOKUP(Table2634[[#This Row],[Date]],'DB Money Supply'!$A:$D,4)</f>
        <v>394.2</v>
      </c>
      <c r="C294" s="31">
        <f>(Table2634[[#This Row],[M1 Money Stock, Billions of Dollars, Weekly, Seasonally Adjusted]]-B293)/B293</f>
        <v>7.1538068472151543E-3</v>
      </c>
      <c r="D294" s="35">
        <f>((1+Table2634[[#This Row],[Weekly change]])^52)-1</f>
        <v>0.44871023478297078</v>
      </c>
      <c r="E294" s="25">
        <f t="shared" si="4"/>
        <v>391.7</v>
      </c>
      <c r="F294" s="33">
        <f>(Table2634[[#This Row],[4 weeks average]]-B242)/B242</f>
        <v>3.6791953414504967E-2</v>
      </c>
    </row>
    <row r="295" spans="1:6" x14ac:dyDescent="0.2">
      <c r="A295" s="23">
        <v>29423</v>
      </c>
      <c r="B295" s="25">
        <f>VLOOKUP(Table2634[[#This Row],[Date]],'DB Money Supply'!$A:$D,4)</f>
        <v>393.9</v>
      </c>
      <c r="C295" s="31">
        <f>(Table2634[[#This Row],[M1 Money Stock, Billions of Dollars, Weekly, Seasonally Adjusted]]-B294)/B294</f>
        <v>-7.6103500761037898E-4</v>
      </c>
      <c r="D295" s="35">
        <f>((1+Table2634[[#This Row],[Weekly change]])^52)-1</f>
        <v>-3.8815486202602334E-2</v>
      </c>
      <c r="E295" s="25">
        <f t="shared" si="4"/>
        <v>392.70000000000005</v>
      </c>
      <c r="F295" s="33">
        <f>(Table2634[[#This Row],[4 weeks average]]-B243)/B243</f>
        <v>3.8065027755749492E-2</v>
      </c>
    </row>
    <row r="296" spans="1:6" x14ac:dyDescent="0.2">
      <c r="A296" s="23">
        <v>29430</v>
      </c>
      <c r="B296" s="25">
        <f>VLOOKUP(Table2634[[#This Row],[Date]],'DB Money Supply'!$A:$D,4)</f>
        <v>394.6</v>
      </c>
      <c r="C296" s="31">
        <f>(Table2634[[#This Row],[M1 Money Stock, Billions of Dollars, Weekly, Seasonally Adjusted]]-B295)/B295</f>
        <v>1.7771007870018927E-3</v>
      </c>
      <c r="D296" s="35">
        <f>((1+Table2634[[#This Row],[Weekly change]])^52)-1</f>
        <v>9.6723641840885666E-2</v>
      </c>
      <c r="E296" s="25">
        <f t="shared" si="4"/>
        <v>393.52499999999998</v>
      </c>
      <c r="F296" s="33">
        <f>(Table2634[[#This Row],[4 weeks average]]-B244)/B244</f>
        <v>3.9696169088507205E-2</v>
      </c>
    </row>
    <row r="297" spans="1:6" x14ac:dyDescent="0.2">
      <c r="A297" s="23">
        <v>29437</v>
      </c>
      <c r="B297" s="25">
        <f>VLOOKUP(Table2634[[#This Row],[Date]],'DB Money Supply'!$A:$D,4)</f>
        <v>398.8</v>
      </c>
      <c r="C297" s="31">
        <f>(Table2634[[#This Row],[M1 Money Stock, Billions of Dollars, Weekly, Seasonally Adjusted]]-B296)/B296</f>
        <v>1.0643689812468294E-2</v>
      </c>
      <c r="D297" s="35">
        <f>((1+Table2634[[#This Row],[Weekly change]])^52)-1</f>
        <v>0.73420156424186289</v>
      </c>
      <c r="E297" s="25">
        <f t="shared" si="4"/>
        <v>395.37499999999994</v>
      </c>
      <c r="F297" s="33">
        <f>(Table2634[[#This Row],[4 weeks average]]-B245)/B245</f>
        <v>4.6796399258670782E-2</v>
      </c>
    </row>
    <row r="298" spans="1:6" x14ac:dyDescent="0.2">
      <c r="A298" s="23">
        <v>29444</v>
      </c>
      <c r="B298" s="25">
        <f>VLOOKUP(Table2634[[#This Row],[Date]],'DB Money Supply'!$A:$D,4)</f>
        <v>398.2</v>
      </c>
      <c r="C298" s="31">
        <f>(Table2634[[#This Row],[M1 Money Stock, Billions of Dollars, Weekly, Seasonally Adjusted]]-B297)/B297</f>
        <v>-1.5045135406219225E-3</v>
      </c>
      <c r="D298" s="35">
        <f>((1+Table2634[[#This Row],[Weekly change]])^52)-1</f>
        <v>-7.5307117754692343E-2</v>
      </c>
      <c r="E298" s="25">
        <f t="shared" si="4"/>
        <v>396.375</v>
      </c>
      <c r="F298" s="33">
        <f>(Table2634[[#This Row],[4 weeks average]]-B246)/B246</f>
        <v>4.7779540047581254E-2</v>
      </c>
    </row>
    <row r="299" spans="1:6" x14ac:dyDescent="0.2">
      <c r="A299" s="23">
        <v>29451</v>
      </c>
      <c r="B299" s="25">
        <f>VLOOKUP(Table2634[[#This Row],[Date]],'DB Money Supply'!$A:$D,4)</f>
        <v>398.3</v>
      </c>
      <c r="C299" s="31">
        <f>(Table2634[[#This Row],[M1 Money Stock, Billions of Dollars, Weekly, Seasonally Adjusted]]-B298)/B298</f>
        <v>2.5113008538428614E-4</v>
      </c>
      <c r="D299" s="35">
        <f>((1+Table2634[[#This Row],[Weekly change]])^52)-1</f>
        <v>1.3142741475876019E-2</v>
      </c>
      <c r="E299" s="25">
        <f t="shared" si="4"/>
        <v>397.47500000000002</v>
      </c>
      <c r="F299" s="33">
        <f>(Table2634[[#This Row],[4 weeks average]]-B247)/B247</f>
        <v>4.6262174256383383E-2</v>
      </c>
    </row>
    <row r="300" spans="1:6" x14ac:dyDescent="0.2">
      <c r="A300" s="23">
        <v>29458</v>
      </c>
      <c r="B300" s="25">
        <f>VLOOKUP(Table2634[[#This Row],[Date]],'DB Money Supply'!$A:$D,4)</f>
        <v>399.3</v>
      </c>
      <c r="C300" s="31">
        <f>(Table2634[[#This Row],[M1 Money Stock, Billions of Dollars, Weekly, Seasonally Adjusted]]-B299)/B299</f>
        <v>2.5106703489831783E-3</v>
      </c>
      <c r="D300" s="35">
        <f>((1+Table2634[[#This Row],[Weekly change]])^52)-1</f>
        <v>0.13927402781075049</v>
      </c>
      <c r="E300" s="25">
        <f t="shared" si="4"/>
        <v>398.65</v>
      </c>
      <c r="F300" s="33">
        <f>(Table2634[[#This Row],[4 weeks average]]-B248)/B248</f>
        <v>5.07380073800738E-2</v>
      </c>
    </row>
    <row r="301" spans="1:6" x14ac:dyDescent="0.2">
      <c r="A301" s="23">
        <v>29465</v>
      </c>
      <c r="B301" s="25">
        <f>VLOOKUP(Table2634[[#This Row],[Date]],'DB Money Supply'!$A:$D,4)</f>
        <v>402.1</v>
      </c>
      <c r="C301" s="31">
        <f>(Table2634[[#This Row],[M1 Money Stock, Billions of Dollars, Weekly, Seasonally Adjusted]]-B300)/B300</f>
        <v>7.0122714750814209E-3</v>
      </c>
      <c r="D301" s="35">
        <f>((1+Table2634[[#This Row],[Weekly change]])^52)-1</f>
        <v>0.43816154259240414</v>
      </c>
      <c r="E301" s="25">
        <f t="shared" si="4"/>
        <v>399.47500000000002</v>
      </c>
      <c r="F301" s="33">
        <f>(Table2634[[#This Row],[4 weeks average]]-B249)/B249</f>
        <v>5.4023746701847022E-2</v>
      </c>
    </row>
    <row r="302" spans="1:6" x14ac:dyDescent="0.2">
      <c r="A302" s="23">
        <v>29472</v>
      </c>
      <c r="B302" s="25">
        <f>VLOOKUP(Table2634[[#This Row],[Date]],'DB Money Supply'!$A:$D,4)</f>
        <v>403.9</v>
      </c>
      <c r="C302" s="31">
        <f>(Table2634[[#This Row],[M1 Money Stock, Billions of Dollars, Weekly, Seasonally Adjusted]]-B301)/B301</f>
        <v>4.4764983834865817E-3</v>
      </c>
      <c r="D302" s="35">
        <f>((1+Table2634[[#This Row],[Weekly change]])^52)-1</f>
        <v>0.26144570815134016</v>
      </c>
      <c r="E302" s="25">
        <f t="shared" si="4"/>
        <v>400.9</v>
      </c>
      <c r="F302" s="33">
        <f>(Table2634[[#This Row],[4 weeks average]]-B250)/B250</f>
        <v>5.862160021124898E-2</v>
      </c>
    </row>
    <row r="303" spans="1:6" x14ac:dyDescent="0.2">
      <c r="A303" s="23">
        <v>29479</v>
      </c>
      <c r="B303" s="25">
        <f>VLOOKUP(Table2634[[#This Row],[Date]],'DB Money Supply'!$A:$D,4)</f>
        <v>404.7</v>
      </c>
      <c r="C303" s="31">
        <f>(Table2634[[#This Row],[M1 Money Stock, Billions of Dollars, Weekly, Seasonally Adjusted]]-B302)/B302</f>
        <v>1.9806882891805185E-3</v>
      </c>
      <c r="D303" s="35">
        <f>((1+Table2634[[#This Row],[Weekly change]])^52)-1</f>
        <v>0.10837383125187827</v>
      </c>
      <c r="E303" s="25">
        <f t="shared" si="4"/>
        <v>402.50000000000006</v>
      </c>
      <c r="F303" s="33">
        <f>(Table2634[[#This Row],[4 weeks average]]-B251)/B251</f>
        <v>6.4533192277175438E-2</v>
      </c>
    </row>
    <row r="304" spans="1:6" x14ac:dyDescent="0.2">
      <c r="A304" s="23">
        <v>29486</v>
      </c>
      <c r="B304" s="25">
        <f>VLOOKUP(Table2634[[#This Row],[Date]],'DB Money Supply'!$A:$D,4)</f>
        <v>405.6</v>
      </c>
      <c r="C304" s="31">
        <f>(Table2634[[#This Row],[M1 Money Stock, Billions of Dollars, Weekly, Seasonally Adjusted]]-B303)/B303</f>
        <v>2.2238695329874826E-3</v>
      </c>
      <c r="D304" s="35">
        <f>((1+Table2634[[#This Row],[Weekly change]])^52)-1</f>
        <v>0.12244890486608329</v>
      </c>
      <c r="E304" s="25">
        <f t="shared" si="4"/>
        <v>404.07500000000005</v>
      </c>
      <c r="F304" s="33">
        <f>(Table2634[[#This Row],[4 weeks average]]-B252)/B252</f>
        <v>6.4475763962065391E-2</v>
      </c>
    </row>
    <row r="305" spans="1:6" x14ac:dyDescent="0.2">
      <c r="A305" s="23">
        <v>29493</v>
      </c>
      <c r="B305" s="25">
        <f>VLOOKUP(Table2634[[#This Row],[Date]],'DB Money Supply'!$A:$D,4)</f>
        <v>405.3</v>
      </c>
      <c r="C305" s="31">
        <f>(Table2634[[#This Row],[M1 Money Stock, Billions of Dollars, Weekly, Seasonally Adjusted]]-B304)/B304</f>
        <v>-7.3964497041422914E-4</v>
      </c>
      <c r="D305" s="35">
        <f>((1+Table2634[[#This Row],[Weekly change]])^52)-1</f>
        <v>-3.7744979546321833E-2</v>
      </c>
      <c r="E305" s="25">
        <f t="shared" si="4"/>
        <v>404.87499999999994</v>
      </c>
      <c r="F305" s="33">
        <f>(Table2634[[#This Row],[4 weeks average]]-B253)/B253</f>
        <v>6.0993186582809014E-2</v>
      </c>
    </row>
    <row r="306" spans="1:6" x14ac:dyDescent="0.2">
      <c r="A306" s="23">
        <v>29500</v>
      </c>
      <c r="B306" s="25">
        <f>VLOOKUP(Table2634[[#This Row],[Date]],'DB Money Supply'!$A:$D,4)</f>
        <v>408.2</v>
      </c>
      <c r="C306" s="31">
        <f>(Table2634[[#This Row],[M1 Money Stock, Billions of Dollars, Weekly, Seasonally Adjusted]]-B305)/B305</f>
        <v>7.1551936836910367E-3</v>
      </c>
      <c r="D306" s="35">
        <f>((1+Table2634[[#This Row],[Weekly change]])^52)-1</f>
        <v>0.44881397080226249</v>
      </c>
      <c r="E306" s="25">
        <f t="shared" si="4"/>
        <v>405.95</v>
      </c>
      <c r="F306" s="33">
        <f>(Table2634[[#This Row],[4 weeks average]]-B254)/B254</f>
        <v>6.6325190438665624E-2</v>
      </c>
    </row>
    <row r="307" spans="1:6" x14ac:dyDescent="0.2">
      <c r="A307" s="23">
        <v>29507</v>
      </c>
      <c r="B307" s="25">
        <f>VLOOKUP(Table2634[[#This Row],[Date]],'DB Money Supply'!$A:$D,4)</f>
        <v>408.9</v>
      </c>
      <c r="C307" s="31">
        <f>(Table2634[[#This Row],[M1 Money Stock, Billions of Dollars, Weekly, Seasonally Adjusted]]-B306)/B306</f>
        <v>1.7148456638902221E-3</v>
      </c>
      <c r="D307" s="35">
        <f>((1+Table2634[[#This Row],[Weekly change]])^52)-1</f>
        <v>9.3185163912373969E-2</v>
      </c>
      <c r="E307" s="25">
        <f t="shared" si="4"/>
        <v>407</v>
      </c>
      <c r="F307" s="33">
        <f>(Table2634[[#This Row],[4 weeks average]]-B255)/B255</f>
        <v>6.6282420749279577E-2</v>
      </c>
    </row>
    <row r="308" spans="1:6" x14ac:dyDescent="0.2">
      <c r="A308" s="23">
        <v>29514</v>
      </c>
      <c r="B308" s="25">
        <f>VLOOKUP(Table2634[[#This Row],[Date]],'DB Money Supply'!$A:$D,4)</f>
        <v>408.6</v>
      </c>
      <c r="C308" s="31">
        <f>(Table2634[[#This Row],[M1 Money Stock, Billions of Dollars, Weekly, Seasonally Adjusted]]-B307)/B307</f>
        <v>-7.3367571533371125E-4</v>
      </c>
      <c r="D308" s="35">
        <f>((1+Table2634[[#This Row],[Weekly change]])^52)-1</f>
        <v>-3.7446027750459465E-2</v>
      </c>
      <c r="E308" s="25">
        <f t="shared" si="4"/>
        <v>407.75</v>
      </c>
      <c r="F308" s="33">
        <f>(Table2634[[#This Row],[4 weeks average]]-B256)/B256</f>
        <v>7.1616294349540074E-2</v>
      </c>
    </row>
    <row r="309" spans="1:6" x14ac:dyDescent="0.2">
      <c r="A309" s="23">
        <v>29521</v>
      </c>
      <c r="B309" s="25">
        <f>VLOOKUP(Table2634[[#This Row],[Date]],'DB Money Supply'!$A:$D,4)</f>
        <v>409.6</v>
      </c>
      <c r="C309" s="31">
        <f>(Table2634[[#This Row],[M1 Money Stock, Billions of Dollars, Weekly, Seasonally Adjusted]]-B308)/B308</f>
        <v>2.4473813020068525E-3</v>
      </c>
      <c r="D309" s="35">
        <f>((1+Table2634[[#This Row],[Weekly change]])^52)-1</f>
        <v>0.13554004662186681</v>
      </c>
      <c r="E309" s="25">
        <f t="shared" si="4"/>
        <v>408.82499999999993</v>
      </c>
      <c r="F309" s="33">
        <f>(Table2634[[#This Row],[4 weeks average]]-B257)/B257</f>
        <v>7.3313205565765177E-2</v>
      </c>
    </row>
    <row r="310" spans="1:6" x14ac:dyDescent="0.2">
      <c r="A310" s="23">
        <v>29528</v>
      </c>
      <c r="B310" s="25">
        <f>VLOOKUP(Table2634[[#This Row],[Date]],'DB Money Supply'!$A:$D,4)</f>
        <v>409.2</v>
      </c>
      <c r="C310" s="31">
        <f>(Table2634[[#This Row],[M1 Money Stock, Billions of Dollars, Weekly, Seasonally Adjusted]]-B309)/B309</f>
        <v>-9.7656250000008327E-4</v>
      </c>
      <c r="D310" s="35">
        <f>((1+Table2634[[#This Row],[Weekly change]])^52)-1</f>
        <v>-4.9537016153191504E-2</v>
      </c>
      <c r="E310" s="25">
        <f t="shared" si="4"/>
        <v>409.07499999999999</v>
      </c>
      <c r="F310" s="33">
        <f>(Table2634[[#This Row],[4 weeks average]]-B258)/B258</f>
        <v>7.0036620455139878E-2</v>
      </c>
    </row>
    <row r="311" spans="1:6" x14ac:dyDescent="0.2">
      <c r="A311" s="23">
        <v>29535</v>
      </c>
      <c r="B311" s="25">
        <f>VLOOKUP(Table2634[[#This Row],[Date]],'DB Money Supply'!$A:$D,4)</f>
        <v>410.4</v>
      </c>
      <c r="C311" s="31">
        <f>(Table2634[[#This Row],[M1 Money Stock, Billions of Dollars, Weekly, Seasonally Adjusted]]-B310)/B310</f>
        <v>2.9325513196480661E-3</v>
      </c>
      <c r="D311" s="35">
        <f>((1+Table2634[[#This Row],[Weekly change]])^52)-1</f>
        <v>0.16447402980894732</v>
      </c>
      <c r="E311" s="25">
        <f t="shared" si="4"/>
        <v>409.45000000000005</v>
      </c>
      <c r="F311" s="33">
        <f>(Table2634[[#This Row],[4 weeks average]]-B259)/B259</f>
        <v>7.4389923904487065E-2</v>
      </c>
    </row>
    <row r="312" spans="1:6" x14ac:dyDescent="0.2">
      <c r="A312" s="23">
        <v>29542</v>
      </c>
      <c r="B312" s="25">
        <f>VLOOKUP(Table2634[[#This Row],[Date]],'DB Money Supply'!$A:$D,4)</f>
        <v>411.3</v>
      </c>
      <c r="C312" s="31">
        <f>(Table2634[[#This Row],[M1 Money Stock, Billions of Dollars, Weekly, Seasonally Adjusted]]-B311)/B311</f>
        <v>2.192982456140434E-3</v>
      </c>
      <c r="D312" s="35">
        <f>((1+Table2634[[#This Row],[Weekly change]])^52)-1</f>
        <v>0.12065152144342606</v>
      </c>
      <c r="E312" s="25">
        <f t="shared" si="4"/>
        <v>410.12499999999994</v>
      </c>
      <c r="F312" s="33">
        <f>(Table2634[[#This Row],[4 weeks average]]-B260)/B260</f>
        <v>7.503276539973773E-2</v>
      </c>
    </row>
    <row r="313" spans="1:6" x14ac:dyDescent="0.2">
      <c r="A313" s="23">
        <v>29549</v>
      </c>
      <c r="B313" s="25">
        <f>VLOOKUP(Table2634[[#This Row],[Date]],'DB Money Supply'!$A:$D,4)</f>
        <v>410.8</v>
      </c>
      <c r="C313" s="31">
        <f>(Table2634[[#This Row],[M1 Money Stock, Billions of Dollars, Weekly, Seasonally Adjusted]]-B312)/B312</f>
        <v>-1.2156576707999028E-3</v>
      </c>
      <c r="D313" s="35">
        <f>((1+Table2634[[#This Row],[Weekly change]])^52)-1</f>
        <v>-6.1293723665154953E-2</v>
      </c>
      <c r="E313" s="25">
        <f t="shared" si="4"/>
        <v>410.42499999999995</v>
      </c>
      <c r="F313" s="33">
        <f>(Table2634[[#This Row],[4 weeks average]]-B261)/B261</f>
        <v>7.8363110877561565E-2</v>
      </c>
    </row>
    <row r="314" spans="1:6" x14ac:dyDescent="0.2">
      <c r="A314" s="23">
        <v>29556</v>
      </c>
      <c r="B314" s="25">
        <f>VLOOKUP(Table2634[[#This Row],[Date]],'DB Money Supply'!$A:$D,4)</f>
        <v>410.5</v>
      </c>
      <c r="C314" s="31">
        <f>(Table2634[[#This Row],[M1 Money Stock, Billions of Dollars, Weekly, Seasonally Adjusted]]-B313)/B313</f>
        <v>-7.3028237585202372E-4</v>
      </c>
      <c r="D314" s="35">
        <f>((1+Table2634[[#This Row],[Weekly change]])^52)-1</f>
        <v>-3.727604216306879E-2</v>
      </c>
      <c r="E314" s="25">
        <f t="shared" si="4"/>
        <v>410.75</v>
      </c>
      <c r="F314" s="33">
        <f>(Table2634[[#This Row],[4 weeks average]]-B262)/B262</f>
        <v>8.2915897706301048E-2</v>
      </c>
    </row>
    <row r="315" spans="1:6" x14ac:dyDescent="0.2">
      <c r="A315" s="23">
        <v>29563</v>
      </c>
      <c r="B315" s="25">
        <f>VLOOKUP(Table2634[[#This Row],[Date]],'DB Money Supply'!$A:$D,4)</f>
        <v>409.6</v>
      </c>
      <c r="C315" s="31">
        <f>(Table2634[[#This Row],[M1 Money Stock, Billions of Dollars, Weekly, Seasonally Adjusted]]-B314)/B314</f>
        <v>-2.1924482338610894E-3</v>
      </c>
      <c r="D315" s="35">
        <f>((1+Table2634[[#This Row],[Weekly change]])^52)-1</f>
        <v>-0.10786023253506616</v>
      </c>
      <c r="E315" s="25">
        <f t="shared" si="4"/>
        <v>410.54999999999995</v>
      </c>
      <c r="F315" s="33">
        <f>(Table2634[[#This Row],[4 weeks average]]-B263)/B263</f>
        <v>7.6993704092339896E-2</v>
      </c>
    </row>
    <row r="316" spans="1:6" x14ac:dyDescent="0.2">
      <c r="A316" s="23">
        <v>29570</v>
      </c>
      <c r="B316" s="25">
        <f>VLOOKUP(Table2634[[#This Row],[Date]],'DB Money Supply'!$A:$D,4)</f>
        <v>410.7</v>
      </c>
      <c r="C316" s="31">
        <f>(Table2634[[#This Row],[M1 Money Stock, Billions of Dollars, Weekly, Seasonally Adjusted]]-B315)/B315</f>
        <v>2.6855468749999167E-3</v>
      </c>
      <c r="D316" s="35">
        <f>((1+Table2634[[#This Row],[Weekly change]])^52)-1</f>
        <v>0.14965426303576046</v>
      </c>
      <c r="E316" s="25">
        <f t="shared" si="4"/>
        <v>410.40000000000003</v>
      </c>
      <c r="F316" s="33">
        <f>(Table2634[[#This Row],[4 weeks average]]-B264)/B264</f>
        <v>7.7165354330708757E-2</v>
      </c>
    </row>
    <row r="317" spans="1:6" x14ac:dyDescent="0.2">
      <c r="A317" s="23">
        <v>29577</v>
      </c>
      <c r="B317" s="25">
        <f>VLOOKUP(Table2634[[#This Row],[Date]],'DB Money Supply'!$A:$D,4)</f>
        <v>409.9</v>
      </c>
      <c r="C317" s="31">
        <f>(Table2634[[#This Row],[M1 Money Stock, Billions of Dollars, Weekly, Seasonally Adjusted]]-B316)/B316</f>
        <v>-1.9478938397857594E-3</v>
      </c>
      <c r="D317" s="35">
        <f>((1+Table2634[[#This Row],[Weekly change]])^52)-1</f>
        <v>-9.6418763174132782E-2</v>
      </c>
      <c r="E317" s="25">
        <f t="shared" si="4"/>
        <v>410.17499999999995</v>
      </c>
      <c r="F317" s="33">
        <f>(Table2634[[#This Row],[4 weeks average]]-B265)/B265</f>
        <v>7.1232697832332145E-2</v>
      </c>
    </row>
    <row r="318" spans="1:6" x14ac:dyDescent="0.2">
      <c r="A318" s="23">
        <v>29584</v>
      </c>
      <c r="B318" s="25">
        <f>VLOOKUP(Table2634[[#This Row],[Date]],'DB Money Supply'!$A:$D,4)</f>
        <v>404.3</v>
      </c>
      <c r="C318" s="31">
        <f>(Table2634[[#This Row],[M1 Money Stock, Billions of Dollars, Weekly, Seasonally Adjusted]]-B317)/B317</f>
        <v>-1.3661868748475156E-2</v>
      </c>
      <c r="D318" s="35">
        <f>((1+Table2634[[#This Row],[Weekly change]])^52)-1</f>
        <v>-0.5109617857966231</v>
      </c>
      <c r="E318" s="25">
        <f t="shared" si="4"/>
        <v>408.62499999999994</v>
      </c>
      <c r="F318" s="33">
        <f>(Table2634[[#This Row],[4 weeks average]]-B266)/B266</f>
        <v>6.3573659552316392E-2</v>
      </c>
    </row>
    <row r="319" spans="1:6" x14ac:dyDescent="0.2">
      <c r="A319" s="23">
        <v>29591</v>
      </c>
      <c r="B319" s="25">
        <f>VLOOKUP(Table2634[[#This Row],[Date]],'DB Money Supply'!$A:$D,4)</f>
        <v>407.4</v>
      </c>
      <c r="C319" s="31">
        <f>(Table2634[[#This Row],[M1 Money Stock, Billions of Dollars, Weekly, Seasonally Adjusted]]-B318)/B318</f>
        <v>7.667573583972213E-3</v>
      </c>
      <c r="D319" s="35">
        <f>((1+Table2634[[#This Row],[Weekly change]])^52)-1</f>
        <v>0.4876430346920777</v>
      </c>
      <c r="E319" s="25">
        <f t="shared" si="4"/>
        <v>408.07499999999993</v>
      </c>
      <c r="F319" s="33">
        <f>(Table2634[[#This Row],[4 weeks average]]-B267)/B267</f>
        <v>6.3526192337763729E-2</v>
      </c>
    </row>
    <row r="320" spans="1:6" x14ac:dyDescent="0.2">
      <c r="A320" s="23">
        <v>29598</v>
      </c>
      <c r="B320" s="25">
        <f>VLOOKUP(Table2634[[#This Row],[Date]],'DB Money Supply'!$A:$D,4)</f>
        <v>409.4</v>
      </c>
      <c r="C320" s="31">
        <f>(Table2634[[#This Row],[M1 Money Stock, Billions of Dollars, Weekly, Seasonally Adjusted]]-B319)/B319</f>
        <v>4.9091801669121256E-3</v>
      </c>
      <c r="D320" s="35">
        <f>((1+Table2634[[#This Row],[Weekly change]])^52)-1</f>
        <v>0.29001366403561368</v>
      </c>
      <c r="E320" s="25">
        <f t="shared" si="4"/>
        <v>407.75</v>
      </c>
      <c r="F320" s="33">
        <f>(Table2634[[#This Row],[4 weeks average]]-B268)/B268</f>
        <v>5.7717250324254218E-2</v>
      </c>
    </row>
    <row r="321" spans="1:6" x14ac:dyDescent="0.2">
      <c r="A321" s="23">
        <v>29605</v>
      </c>
      <c r="B321" s="25">
        <f>VLOOKUP(Table2634[[#This Row],[Date]],'DB Money Supply'!$A:$D,4)</f>
        <v>413.2</v>
      </c>
      <c r="C321" s="31">
        <f>(Table2634[[#This Row],[M1 Money Stock, Billions of Dollars, Weekly, Seasonally Adjusted]]-B320)/B320</f>
        <v>9.2818759159746245E-3</v>
      </c>
      <c r="D321" s="35">
        <f>((1+Table2634[[#This Row],[Weekly change]])^52)-1</f>
        <v>0.61677161222264365</v>
      </c>
      <c r="E321" s="25">
        <f t="shared" si="4"/>
        <v>408.57499999999999</v>
      </c>
      <c r="F321" s="33">
        <f>(Table2634[[#This Row],[4 weeks average]]-B269)/B269</f>
        <v>6.1785343035342971E-2</v>
      </c>
    </row>
    <row r="322" spans="1:6" x14ac:dyDescent="0.2">
      <c r="A322" s="23">
        <v>29612</v>
      </c>
      <c r="B322" s="25">
        <f>VLOOKUP(Table2634[[#This Row],[Date]],'DB Money Supply'!$A:$D,4)</f>
        <v>413.8</v>
      </c>
      <c r="C322" s="31">
        <f>(Table2634[[#This Row],[M1 Money Stock, Billions of Dollars, Weekly, Seasonally Adjusted]]-B321)/B321</f>
        <v>1.4520813165537821E-3</v>
      </c>
      <c r="D322" s="35">
        <f>((1+Table2634[[#This Row],[Weekly change]])^52)-1</f>
        <v>7.8373038454126798E-2</v>
      </c>
      <c r="E322" s="25">
        <f t="shared" si="4"/>
        <v>410.95</v>
      </c>
      <c r="F322" s="33">
        <f>(Table2634[[#This Row],[4 weeks average]]-B270)/B270</f>
        <v>6.0789881259679948E-2</v>
      </c>
    </row>
    <row r="323" spans="1:6" x14ac:dyDescent="0.2">
      <c r="A323" s="23">
        <v>29619</v>
      </c>
      <c r="B323" s="25">
        <f>VLOOKUP(Table2634[[#This Row],[Date]],'DB Money Supply'!$A:$D,4)</f>
        <v>410.8</v>
      </c>
      <c r="C323" s="31">
        <f>(Table2634[[#This Row],[M1 Money Stock, Billions of Dollars, Weekly, Seasonally Adjusted]]-B322)/B322</f>
        <v>-7.2498791686805217E-3</v>
      </c>
      <c r="D323" s="35">
        <f>((1+Table2634[[#This Row],[Weekly change]])^52)-1</f>
        <v>-0.31502088988406818</v>
      </c>
      <c r="E323" s="25">
        <f t="shared" si="4"/>
        <v>411.79999999999995</v>
      </c>
      <c r="F323" s="33">
        <f>(Table2634[[#This Row],[4 weeks average]]-B271)/B271</f>
        <v>5.4275473630312161E-2</v>
      </c>
    </row>
    <row r="324" spans="1:6" x14ac:dyDescent="0.2">
      <c r="A324" s="23">
        <v>29626</v>
      </c>
      <c r="B324" s="25">
        <f>VLOOKUP(Table2634[[#This Row],[Date]],'DB Money Supply'!$A:$D,4)</f>
        <v>413.6</v>
      </c>
      <c r="C324" s="31">
        <f>(Table2634[[#This Row],[M1 Money Stock, Billions of Dollars, Weekly, Seasonally Adjusted]]-B323)/B323</f>
        <v>6.8159688412853248E-3</v>
      </c>
      <c r="D324" s="35">
        <f>((1+Table2634[[#This Row],[Weekly change]])^52)-1</f>
        <v>0.42365562486361741</v>
      </c>
      <c r="E324" s="25">
        <f t="shared" si="4"/>
        <v>412.85</v>
      </c>
      <c r="F324" s="33">
        <f>(Table2634[[#This Row],[4 weeks average]]-B272)/B272</f>
        <v>5.7776069689982092E-2</v>
      </c>
    </row>
    <row r="325" spans="1:6" x14ac:dyDescent="0.2">
      <c r="A325" s="23">
        <v>29633</v>
      </c>
      <c r="B325" s="25">
        <f>VLOOKUP(Table2634[[#This Row],[Date]],'DB Money Supply'!$A:$D,4)</f>
        <v>415.3</v>
      </c>
      <c r="C325" s="31">
        <f>(Table2634[[#This Row],[M1 Money Stock, Billions of Dollars, Weekly, Seasonally Adjusted]]-B324)/B324</f>
        <v>4.1102514506769546E-3</v>
      </c>
      <c r="D325" s="35">
        <f>((1+Table2634[[#This Row],[Weekly change]])^52)-1</f>
        <v>0.23774976699359263</v>
      </c>
      <c r="E325" s="25">
        <f t="shared" si="4"/>
        <v>413.375</v>
      </c>
      <c r="F325" s="33">
        <f>(Table2634[[#This Row],[4 weeks average]]-B273)/B273</f>
        <v>5.9121188829105782E-2</v>
      </c>
    </row>
    <row r="326" spans="1:6" x14ac:dyDescent="0.2">
      <c r="A326" s="23">
        <v>29640</v>
      </c>
      <c r="B326" s="25">
        <f>VLOOKUP(Table2634[[#This Row],[Date]],'DB Money Supply'!$A:$D,4)</f>
        <v>416.6</v>
      </c>
      <c r="C326" s="31">
        <f>(Table2634[[#This Row],[M1 Money Stock, Billions of Dollars, Weekly, Seasonally Adjusted]]-B325)/B325</f>
        <v>3.1302672766674966E-3</v>
      </c>
      <c r="D326" s="35">
        <f>((1+Table2634[[#This Row],[Weekly change]])^52)-1</f>
        <v>0.17647145457766666</v>
      </c>
      <c r="E326" s="25">
        <f t="shared" si="4"/>
        <v>414.07500000000005</v>
      </c>
      <c r="F326" s="33">
        <f>(Table2634[[#This Row],[4 weeks average]]-B274)/B274</f>
        <v>6.3639866426920197E-2</v>
      </c>
    </row>
    <row r="327" spans="1:6" x14ac:dyDescent="0.2">
      <c r="A327" s="23">
        <v>29647</v>
      </c>
      <c r="B327" s="25">
        <f>VLOOKUP(Table2634[[#This Row],[Date]],'DB Money Supply'!$A:$D,4)</f>
        <v>414.7</v>
      </c>
      <c r="C327" s="31">
        <f>(Table2634[[#This Row],[M1 Money Stock, Billions of Dollars, Weekly, Seasonally Adjusted]]-B326)/B326</f>
        <v>-4.5607297167547627E-3</v>
      </c>
      <c r="D327" s="35">
        <f>((1+Table2634[[#This Row],[Weekly change]])^52)-1</f>
        <v>-0.21156112948085981</v>
      </c>
      <c r="E327" s="25">
        <f t="shared" si="4"/>
        <v>415.05</v>
      </c>
      <c r="F327" s="33">
        <f>(Table2634[[#This Row],[4 weeks average]]-B275)/B275</f>
        <v>6.5870570107858337E-2</v>
      </c>
    </row>
    <row r="328" spans="1:6" x14ac:dyDescent="0.2">
      <c r="A328" s="23">
        <v>29654</v>
      </c>
      <c r="B328" s="25">
        <f>VLOOKUP(Table2634[[#This Row],[Date]],'DB Money Supply'!$A:$D,4)</f>
        <v>417.4</v>
      </c>
      <c r="C328" s="31">
        <f>(Table2634[[#This Row],[M1 Money Stock, Billions of Dollars, Weekly, Seasonally Adjusted]]-B327)/B327</f>
        <v>6.5107306486616558E-3</v>
      </c>
      <c r="D328" s="35">
        <f>((1+Table2634[[#This Row],[Weekly change]])^52)-1</f>
        <v>0.40138442684049647</v>
      </c>
      <c r="E328" s="25">
        <f t="shared" si="4"/>
        <v>416</v>
      </c>
      <c r="F328" s="33">
        <f>(Table2634[[#This Row],[4 weeks average]]-B276)/B276</f>
        <v>6.9958847736625487E-2</v>
      </c>
    </row>
    <row r="329" spans="1:6" x14ac:dyDescent="0.2">
      <c r="A329" s="23">
        <v>29661</v>
      </c>
      <c r="B329" s="25">
        <f>VLOOKUP(Table2634[[#This Row],[Date]],'DB Money Supply'!$A:$D,4)</f>
        <v>419.1</v>
      </c>
      <c r="C329" s="31">
        <f>(Table2634[[#This Row],[M1 Money Stock, Billions of Dollars, Weekly, Seasonally Adjusted]]-B328)/B328</f>
        <v>4.0728318160039422E-3</v>
      </c>
      <c r="D329" s="35">
        <f>((1+Table2634[[#This Row],[Weekly change]])^52)-1</f>
        <v>0.23535346421396452</v>
      </c>
      <c r="E329" s="25">
        <f t="shared" ref="E329:E392" si="5">AVERAGE(B326:B329)</f>
        <v>416.94999999999993</v>
      </c>
      <c r="F329" s="33">
        <f>(Table2634[[#This Row],[4 weeks average]]-B277)/B277</f>
        <v>7.1300102774922769E-2</v>
      </c>
    </row>
    <row r="330" spans="1:6" x14ac:dyDescent="0.2">
      <c r="A330" s="23">
        <v>29668</v>
      </c>
      <c r="B330" s="25">
        <f>VLOOKUP(Table2634[[#This Row],[Date]],'DB Money Supply'!$A:$D,4)</f>
        <v>419.2</v>
      </c>
      <c r="C330" s="31">
        <f>(Table2634[[#This Row],[M1 Money Stock, Billions of Dollars, Weekly, Seasonally Adjusted]]-B329)/B329</f>
        <v>2.3860653781905485E-4</v>
      </c>
      <c r="D330" s="35">
        <f>((1+Table2634[[#This Row],[Weekly change]])^52)-1</f>
        <v>1.2483334329830731E-2</v>
      </c>
      <c r="E330" s="25">
        <f t="shared" si="5"/>
        <v>417.59999999999997</v>
      </c>
      <c r="F330" s="33">
        <f>(Table2634[[#This Row],[4 weeks average]]-B278)/B278</f>
        <v>7.5180226570545808E-2</v>
      </c>
    </row>
    <row r="331" spans="1:6" x14ac:dyDescent="0.2">
      <c r="A331" s="23">
        <v>29675</v>
      </c>
      <c r="B331" s="25">
        <f>VLOOKUP(Table2634[[#This Row],[Date]],'DB Money Supply'!$A:$D,4)</f>
        <v>421</v>
      </c>
      <c r="C331" s="31">
        <f>(Table2634[[#This Row],[M1 Money Stock, Billions of Dollars, Weekly, Seasonally Adjusted]]-B330)/B330</f>
        <v>4.2938931297710195E-3</v>
      </c>
      <c r="D331" s="35">
        <f>((1+Table2634[[#This Row],[Weekly change]])^52)-1</f>
        <v>0.24957617663466514</v>
      </c>
      <c r="E331" s="25">
        <f t="shared" si="5"/>
        <v>419.17500000000001</v>
      </c>
      <c r="F331" s="33">
        <f>(Table2634[[#This Row],[4 weeks average]]-B279)/B279</f>
        <v>8.2859726168948558E-2</v>
      </c>
    </row>
    <row r="332" spans="1:6" x14ac:dyDescent="0.2">
      <c r="A332" s="23">
        <v>29682</v>
      </c>
      <c r="B332" s="25">
        <f>VLOOKUP(Table2634[[#This Row],[Date]],'DB Money Supply'!$A:$D,4)</f>
        <v>424</v>
      </c>
      <c r="C332" s="31">
        <f>(Table2634[[#This Row],[M1 Money Stock, Billions of Dollars, Weekly, Seasonally Adjusted]]-B331)/B331</f>
        <v>7.1258907363420431E-3</v>
      </c>
      <c r="D332" s="35">
        <f>((1+Table2634[[#This Row],[Weekly change]])^52)-1</f>
        <v>0.44662364507988994</v>
      </c>
      <c r="E332" s="25">
        <f t="shared" si="5"/>
        <v>420.82499999999999</v>
      </c>
      <c r="F332" s="33">
        <f>(Table2634[[#This Row],[4 weeks average]]-B280)/B280</f>
        <v>9.0220207253885978E-2</v>
      </c>
    </row>
    <row r="333" spans="1:6" x14ac:dyDescent="0.2">
      <c r="A333" s="23">
        <v>29689</v>
      </c>
      <c r="B333" s="25">
        <f>VLOOKUP(Table2634[[#This Row],[Date]],'DB Money Supply'!$A:$D,4)</f>
        <v>426.1</v>
      </c>
      <c r="C333" s="31">
        <f>(Table2634[[#This Row],[M1 Money Stock, Billions of Dollars, Weekly, Seasonally Adjusted]]-B332)/B332</f>
        <v>4.9528301886792988E-3</v>
      </c>
      <c r="D333" s="35">
        <f>((1+Table2634[[#This Row],[Weekly change]])^52)-1</f>
        <v>0.29293066402750823</v>
      </c>
      <c r="E333" s="25">
        <f t="shared" si="5"/>
        <v>422.57500000000005</v>
      </c>
      <c r="F333" s="33">
        <f>(Table2634[[#This Row],[4 weeks average]]-B281)/B281</f>
        <v>9.759740259740271E-2</v>
      </c>
    </row>
    <row r="334" spans="1:6" x14ac:dyDescent="0.2">
      <c r="A334" s="23">
        <v>29696</v>
      </c>
      <c r="B334" s="25">
        <f>VLOOKUP(Table2634[[#This Row],[Date]],'DB Money Supply'!$A:$D,4)</f>
        <v>429.7</v>
      </c>
      <c r="C334" s="31">
        <f>(Table2634[[#This Row],[M1 Money Stock, Billions of Dollars, Weekly, Seasonally Adjusted]]-B333)/B333</f>
        <v>8.4487209575216278E-3</v>
      </c>
      <c r="D334" s="35">
        <f>((1+Table2634[[#This Row],[Weekly change]])^52)-1</f>
        <v>0.54881167298429601</v>
      </c>
      <c r="E334" s="25">
        <f t="shared" si="5"/>
        <v>425.2</v>
      </c>
      <c r="F334" s="33">
        <f>(Table2634[[#This Row],[4 weeks average]]-B282)/B282</f>
        <v>0.11076280041797278</v>
      </c>
    </row>
    <row r="335" spans="1:6" x14ac:dyDescent="0.2">
      <c r="A335" s="23">
        <v>29703</v>
      </c>
      <c r="B335" s="25">
        <f>VLOOKUP(Table2634[[#This Row],[Date]],'DB Money Supply'!$A:$D,4)</f>
        <v>429.2</v>
      </c>
      <c r="C335" s="31">
        <f>(Table2634[[#This Row],[M1 Money Stock, Billions of Dollars, Weekly, Seasonally Adjusted]]-B334)/B334</f>
        <v>-1.1636025133814289E-3</v>
      </c>
      <c r="D335" s="35">
        <f>((1+Table2634[[#This Row],[Weekly change]])^52)-1</f>
        <v>-5.8746292786466481E-2</v>
      </c>
      <c r="E335" s="25">
        <f t="shared" si="5"/>
        <v>427.25</v>
      </c>
      <c r="F335" s="33">
        <f>(Table2634[[#This Row],[4 weeks average]]-B283)/B283</f>
        <v>0.12050878573301858</v>
      </c>
    </row>
    <row r="336" spans="1:6" x14ac:dyDescent="0.2">
      <c r="A336" s="23">
        <v>29710</v>
      </c>
      <c r="B336" s="25">
        <f>VLOOKUP(Table2634[[#This Row],[Date]],'DB Money Supply'!$A:$D,4)</f>
        <v>427.6</v>
      </c>
      <c r="C336" s="31">
        <f>(Table2634[[#This Row],[M1 Money Stock, Billions of Dollars, Weekly, Seasonally Adjusted]]-B335)/B335</f>
        <v>-3.7278657968312346E-3</v>
      </c>
      <c r="D336" s="35">
        <f>((1+Table2634[[#This Row],[Weekly change]])^52)-1</f>
        <v>-0.17651606972886968</v>
      </c>
      <c r="E336" s="25">
        <f t="shared" si="5"/>
        <v>428.15</v>
      </c>
      <c r="F336" s="33">
        <f>(Table2634[[#This Row],[4 weeks average]]-B284)/B284</f>
        <v>0.11613660062565159</v>
      </c>
    </row>
    <row r="337" spans="1:6" x14ac:dyDescent="0.2">
      <c r="A337" s="23">
        <v>29717</v>
      </c>
      <c r="B337" s="25">
        <f>VLOOKUP(Table2634[[#This Row],[Date]],'DB Money Supply'!$A:$D,4)</f>
        <v>425.7</v>
      </c>
      <c r="C337" s="31">
        <f>(Table2634[[#This Row],[M1 Money Stock, Billions of Dollars, Weekly, Seasonally Adjusted]]-B336)/B336</f>
        <v>-4.4434050514500327E-3</v>
      </c>
      <c r="D337" s="35">
        <f>((1+Table2634[[#This Row],[Weekly change]])^52)-1</f>
        <v>-0.20671436637311502</v>
      </c>
      <c r="E337" s="25">
        <f t="shared" si="5"/>
        <v>428.05</v>
      </c>
      <c r="F337" s="33">
        <f>(Table2634[[#This Row],[4 weeks average]]-B285)/B285</f>
        <v>0.11616688396349416</v>
      </c>
    </row>
    <row r="338" spans="1:6" x14ac:dyDescent="0.2">
      <c r="A338" s="23">
        <v>29724</v>
      </c>
      <c r="B338" s="25">
        <f>VLOOKUP(Table2634[[#This Row],[Date]],'DB Money Supply'!$A:$D,4)</f>
        <v>423.6</v>
      </c>
      <c r="C338" s="31">
        <f>(Table2634[[#This Row],[M1 Money Stock, Billions of Dollars, Weekly, Seasonally Adjusted]]-B337)/B337</f>
        <v>-4.9330514446792716E-3</v>
      </c>
      <c r="D338" s="35">
        <f>((1+Table2634[[#This Row],[Weekly change]])^52)-1</f>
        <v>-0.22675046869723503</v>
      </c>
      <c r="E338" s="25">
        <f t="shared" si="5"/>
        <v>426.52499999999998</v>
      </c>
      <c r="F338" s="33">
        <f>(Table2634[[#This Row],[4 weeks average]]-B286)/B286</f>
        <v>0.10872108136210031</v>
      </c>
    </row>
    <row r="339" spans="1:6" x14ac:dyDescent="0.2">
      <c r="A339" s="23">
        <v>29731</v>
      </c>
      <c r="B339" s="25">
        <f>VLOOKUP(Table2634[[#This Row],[Date]],'DB Money Supply'!$A:$D,4)</f>
        <v>423.1</v>
      </c>
      <c r="C339" s="31">
        <f>(Table2634[[#This Row],[M1 Money Stock, Billions of Dollars, Weekly, Seasonally Adjusted]]-B338)/B338</f>
        <v>-1.1803588290840415E-3</v>
      </c>
      <c r="D339" s="35">
        <f>((1+Table2634[[#This Row],[Weekly change]])^52)-1</f>
        <v>-5.9567038165098896E-2</v>
      </c>
      <c r="E339" s="25">
        <f t="shared" si="5"/>
        <v>425</v>
      </c>
      <c r="F339" s="33">
        <f>(Table2634[[#This Row],[4 weeks average]]-B287)/B287</f>
        <v>0.10160705028512179</v>
      </c>
    </row>
    <row r="340" spans="1:6" x14ac:dyDescent="0.2">
      <c r="A340" s="23">
        <v>29738</v>
      </c>
      <c r="B340" s="25">
        <f>VLOOKUP(Table2634[[#This Row],[Date]],'DB Money Supply'!$A:$D,4)</f>
        <v>424.6</v>
      </c>
      <c r="C340" s="31">
        <f>(Table2634[[#This Row],[M1 Money Stock, Billions of Dollars, Weekly, Seasonally Adjusted]]-B339)/B339</f>
        <v>3.5452611675726776E-3</v>
      </c>
      <c r="D340" s="35">
        <f>((1+Table2634[[#This Row],[Weekly change]])^52)-1</f>
        <v>0.20204895140093804</v>
      </c>
      <c r="E340" s="25">
        <f t="shared" si="5"/>
        <v>424.25</v>
      </c>
      <c r="F340" s="33">
        <f>(Table2634[[#This Row],[4 weeks average]]-B288)/B288</f>
        <v>9.6820062047569766E-2</v>
      </c>
    </row>
    <row r="341" spans="1:6" x14ac:dyDescent="0.2">
      <c r="A341" s="23">
        <v>29745</v>
      </c>
      <c r="B341" s="25">
        <f>VLOOKUP(Table2634[[#This Row],[Date]],'DB Money Supply'!$A:$D,4)</f>
        <v>423.1</v>
      </c>
      <c r="C341" s="31">
        <f>(Table2634[[#This Row],[M1 Money Stock, Billions of Dollars, Weekly, Seasonally Adjusted]]-B340)/B340</f>
        <v>-3.5327366933584547E-3</v>
      </c>
      <c r="D341" s="35">
        <f>((1+Table2634[[#This Row],[Weekly change]])^52)-1</f>
        <v>-0.16808712421025795</v>
      </c>
      <c r="E341" s="25">
        <f t="shared" si="5"/>
        <v>423.6</v>
      </c>
      <c r="F341" s="33">
        <f>(Table2634[[#This Row],[4 weeks average]]-B289)/B289</f>
        <v>9.4290880909325747E-2</v>
      </c>
    </row>
    <row r="342" spans="1:6" x14ac:dyDescent="0.2">
      <c r="A342" s="23">
        <v>29752</v>
      </c>
      <c r="B342" s="25">
        <f>VLOOKUP(Table2634[[#This Row],[Date]],'DB Money Supply'!$A:$D,4)</f>
        <v>425.4</v>
      </c>
      <c r="C342" s="31">
        <f>(Table2634[[#This Row],[M1 Money Stock, Billions of Dollars, Weekly, Seasonally Adjusted]]-B341)/B341</f>
        <v>5.4360671236113314E-3</v>
      </c>
      <c r="D342" s="35">
        <f>((1+Table2634[[#This Row],[Weekly change]])^52)-1</f>
        <v>0.32565932849696444</v>
      </c>
      <c r="E342" s="25">
        <f t="shared" si="5"/>
        <v>424.05000000000007</v>
      </c>
      <c r="F342" s="33">
        <f>(Table2634[[#This Row],[4 weeks average]]-B290)/B290</f>
        <v>9.0102827763496318E-2</v>
      </c>
    </row>
    <row r="343" spans="1:6" x14ac:dyDescent="0.2">
      <c r="A343" s="23">
        <v>29759</v>
      </c>
      <c r="B343" s="25">
        <f>VLOOKUP(Table2634[[#This Row],[Date]],'DB Money Supply'!$A:$D,4)</f>
        <v>426.6</v>
      </c>
      <c r="C343" s="31">
        <f>(Table2634[[#This Row],[M1 Money Stock, Billions of Dollars, Weekly, Seasonally Adjusted]]-B342)/B342</f>
        <v>2.8208744710861437E-3</v>
      </c>
      <c r="D343" s="35">
        <f>((1+Table2634[[#This Row],[Weekly change]])^52)-1</f>
        <v>0.15775058318102841</v>
      </c>
      <c r="E343" s="25">
        <f t="shared" si="5"/>
        <v>424.92499999999995</v>
      </c>
      <c r="F343" s="33">
        <f>(Table2634[[#This Row],[4 weeks average]]-B291)/B291</f>
        <v>8.9830725827135111E-2</v>
      </c>
    </row>
    <row r="344" spans="1:6" x14ac:dyDescent="0.2">
      <c r="A344" s="23">
        <v>29766</v>
      </c>
      <c r="B344" s="25">
        <f>VLOOKUP(Table2634[[#This Row],[Date]],'DB Money Supply'!$A:$D,4)</f>
        <v>425.2</v>
      </c>
      <c r="C344" s="31">
        <f>(Table2634[[#This Row],[M1 Money Stock, Billions of Dollars, Weekly, Seasonally Adjusted]]-B343)/B343</f>
        <v>-3.2817627754337412E-3</v>
      </c>
      <c r="D344" s="35">
        <f>((1+Table2634[[#This Row],[Weekly change]])^52)-1</f>
        <v>-0.15712136356339312</v>
      </c>
      <c r="E344" s="25">
        <f t="shared" si="5"/>
        <v>425.07499999999999</v>
      </c>
      <c r="F344" s="33">
        <f>(Table2634[[#This Row],[4 weeks average]]-B292)/B292</f>
        <v>8.631484794275486E-2</v>
      </c>
    </row>
    <row r="345" spans="1:6" x14ac:dyDescent="0.2">
      <c r="A345" s="23">
        <v>29773</v>
      </c>
      <c r="B345" s="25">
        <f>VLOOKUP(Table2634[[#This Row],[Date]],'DB Money Supply'!$A:$D,4)</f>
        <v>428.8</v>
      </c>
      <c r="C345" s="31">
        <f>(Table2634[[#This Row],[M1 Money Stock, Billions of Dollars, Weekly, Seasonally Adjusted]]-B344)/B344</f>
        <v>8.4666039510818969E-3</v>
      </c>
      <c r="D345" s="35">
        <f>((1+Table2634[[#This Row],[Weekly change]])^52)-1</f>
        <v>0.55024051679276886</v>
      </c>
      <c r="E345" s="25">
        <f t="shared" si="5"/>
        <v>426.5</v>
      </c>
      <c r="F345" s="33">
        <f>(Table2634[[#This Row],[4 weeks average]]-B293)/B293</f>
        <v>8.9678078691875385E-2</v>
      </c>
    </row>
    <row r="346" spans="1:6" x14ac:dyDescent="0.2">
      <c r="A346" s="23">
        <v>29780</v>
      </c>
      <c r="B346" s="25">
        <f>VLOOKUP(Table2634[[#This Row],[Date]],'DB Money Supply'!$A:$D,4)</f>
        <v>426.2</v>
      </c>
      <c r="C346" s="31">
        <f>(Table2634[[#This Row],[M1 Money Stock, Billions of Dollars, Weekly, Seasonally Adjusted]]-B345)/B345</f>
        <v>-6.0634328358209486E-3</v>
      </c>
      <c r="D346" s="35">
        <f>((1+Table2634[[#This Row],[Weekly change]])^52)-1</f>
        <v>-0.27112883048178971</v>
      </c>
      <c r="E346" s="25">
        <f t="shared" si="5"/>
        <v>426.7</v>
      </c>
      <c r="F346" s="33">
        <f>(Table2634[[#This Row],[4 weeks average]]-B294)/B294</f>
        <v>8.2445459157787934E-2</v>
      </c>
    </row>
    <row r="347" spans="1:6" x14ac:dyDescent="0.2">
      <c r="A347" s="23">
        <v>29787</v>
      </c>
      <c r="B347" s="25">
        <f>VLOOKUP(Table2634[[#This Row],[Date]],'DB Money Supply'!$A:$D,4)</f>
        <v>427.4</v>
      </c>
      <c r="C347" s="31">
        <f>(Table2634[[#This Row],[M1 Money Stock, Billions of Dollars, Weekly, Seasonally Adjusted]]-B346)/B346</f>
        <v>2.8155795401219818E-3</v>
      </c>
      <c r="D347" s="35">
        <f>((1+Table2634[[#This Row],[Weekly change]])^52)-1</f>
        <v>0.15743275176996141</v>
      </c>
      <c r="E347" s="25">
        <f t="shared" si="5"/>
        <v>426.9</v>
      </c>
      <c r="F347" s="33">
        <f>(Table2634[[#This Row],[4 weeks average]]-B295)/B295</f>
        <v>8.3777608530083786E-2</v>
      </c>
    </row>
    <row r="348" spans="1:6" x14ac:dyDescent="0.2">
      <c r="A348" s="23">
        <v>29794</v>
      </c>
      <c r="B348" s="25">
        <f>VLOOKUP(Table2634[[#This Row],[Date]],'DB Money Supply'!$A:$D,4)</f>
        <v>426.2</v>
      </c>
      <c r="C348" s="31">
        <f>(Table2634[[#This Row],[M1 Money Stock, Billions of Dollars, Weekly, Seasonally Adjusted]]-B347)/B347</f>
        <v>-2.8076743097800389E-3</v>
      </c>
      <c r="D348" s="35">
        <f>((1+Table2634[[#This Row],[Weekly change]])^52)-1</f>
        <v>-0.13601891905099117</v>
      </c>
      <c r="E348" s="25">
        <f t="shared" si="5"/>
        <v>427.15000000000003</v>
      </c>
      <c r="F348" s="33">
        <f>(Table2634[[#This Row],[4 weeks average]]-B296)/B296</f>
        <v>8.2488596046629517E-2</v>
      </c>
    </row>
    <row r="349" spans="1:6" x14ac:dyDescent="0.2">
      <c r="A349" s="23">
        <v>29801</v>
      </c>
      <c r="B349" s="25">
        <f>VLOOKUP(Table2634[[#This Row],[Date]],'DB Money Supply'!$A:$D,4)</f>
        <v>425.9</v>
      </c>
      <c r="C349" s="31">
        <f>(Table2634[[#This Row],[M1 Money Stock, Billions of Dollars, Weekly, Seasonally Adjusted]]-B348)/B348</f>
        <v>-7.0389488503052884E-4</v>
      </c>
      <c r="D349" s="35">
        <f>((1+Table2634[[#This Row],[Weekly change]])^52)-1</f>
        <v>-3.5953184966649232E-2</v>
      </c>
      <c r="E349" s="25">
        <f t="shared" si="5"/>
        <v>426.42499999999995</v>
      </c>
      <c r="F349" s="33">
        <f>(Table2634[[#This Row],[4 weeks average]]-B297)/B297</f>
        <v>6.9270310932798257E-2</v>
      </c>
    </row>
    <row r="350" spans="1:6" x14ac:dyDescent="0.2">
      <c r="A350" s="23">
        <v>29808</v>
      </c>
      <c r="B350" s="25">
        <f>VLOOKUP(Table2634[[#This Row],[Date]],'DB Money Supply'!$A:$D,4)</f>
        <v>429</v>
      </c>
      <c r="C350" s="31">
        <f>(Table2634[[#This Row],[M1 Money Stock, Billions of Dollars, Weekly, Seasonally Adjusted]]-B349)/B349</f>
        <v>7.2787039211082948E-3</v>
      </c>
      <c r="D350" s="35">
        <f>((1+Table2634[[#This Row],[Weekly change]])^52)-1</f>
        <v>0.45808186951415442</v>
      </c>
      <c r="E350" s="25">
        <f t="shared" si="5"/>
        <v>427.125</v>
      </c>
      <c r="F350" s="33">
        <f>(Table2634[[#This Row],[4 weeks average]]-B298)/B298</f>
        <v>7.2639377197388277E-2</v>
      </c>
    </row>
    <row r="351" spans="1:6" x14ac:dyDescent="0.2">
      <c r="A351" s="23">
        <v>29815</v>
      </c>
      <c r="B351" s="25">
        <f>VLOOKUP(Table2634[[#This Row],[Date]],'DB Money Supply'!$A:$D,4)</f>
        <v>426.3</v>
      </c>
      <c r="C351" s="31">
        <f>(Table2634[[#This Row],[M1 Money Stock, Billions of Dollars, Weekly, Seasonally Adjusted]]-B350)/B350</f>
        <v>-6.2937062937062672E-3</v>
      </c>
      <c r="D351" s="35">
        <f>((1+Table2634[[#This Row],[Weekly change]])^52)-1</f>
        <v>-0.27985806046366746</v>
      </c>
      <c r="E351" s="25">
        <f t="shared" si="5"/>
        <v>426.84999999999997</v>
      </c>
      <c r="F351" s="33">
        <f>(Table2634[[#This Row],[4 weeks average]]-B299)/B299</f>
        <v>7.1679638463469628E-2</v>
      </c>
    </row>
    <row r="352" spans="1:6" x14ac:dyDescent="0.2">
      <c r="A352" s="23">
        <v>29822</v>
      </c>
      <c r="B352" s="25">
        <f>VLOOKUP(Table2634[[#This Row],[Date]],'DB Money Supply'!$A:$D,4)</f>
        <v>425.8</v>
      </c>
      <c r="C352" s="31">
        <f>(Table2634[[#This Row],[M1 Money Stock, Billions of Dollars, Weekly, Seasonally Adjusted]]-B351)/B351</f>
        <v>-1.1728829462819611E-3</v>
      </c>
      <c r="D352" s="35">
        <f>((1+Table2634[[#This Row],[Weekly change]])^52)-1</f>
        <v>-5.9200946797190679E-2</v>
      </c>
      <c r="E352" s="25">
        <f t="shared" si="5"/>
        <v>426.75</v>
      </c>
      <c r="F352" s="33">
        <f>(Table2634[[#This Row],[4 weeks average]]-B300)/B300</f>
        <v>6.8745304282494341E-2</v>
      </c>
    </row>
    <row r="353" spans="1:6" x14ac:dyDescent="0.2">
      <c r="A353" s="23">
        <v>29829</v>
      </c>
      <c r="B353" s="25">
        <f>VLOOKUP(Table2634[[#This Row],[Date]],'DB Money Supply'!$A:$D,4)</f>
        <v>427</v>
      </c>
      <c r="C353" s="31">
        <f>(Table2634[[#This Row],[M1 Money Stock, Billions of Dollars, Weekly, Seasonally Adjusted]]-B352)/B352</f>
        <v>2.8182245185532848E-3</v>
      </c>
      <c r="D353" s="35">
        <f>((1+Table2634[[#This Row],[Weekly change]])^52)-1</f>
        <v>0.15759150749048167</v>
      </c>
      <c r="E353" s="25">
        <f t="shared" si="5"/>
        <v>427.02499999999998</v>
      </c>
      <c r="F353" s="33">
        <f>(Table2634[[#This Row],[4 weeks average]]-B301)/B301</f>
        <v>6.1987067893558699E-2</v>
      </c>
    </row>
    <row r="354" spans="1:6" x14ac:dyDescent="0.2">
      <c r="A354" s="23">
        <v>29836</v>
      </c>
      <c r="B354" s="25">
        <f>VLOOKUP(Table2634[[#This Row],[Date]],'DB Money Supply'!$A:$D,4)</f>
        <v>425.6</v>
      </c>
      <c r="C354" s="31">
        <f>(Table2634[[#This Row],[M1 Money Stock, Billions of Dollars, Weekly, Seasonally Adjusted]]-B353)/B353</f>
        <v>-3.2786885245901106E-3</v>
      </c>
      <c r="D354" s="35">
        <f>((1+Table2634[[#This Row],[Weekly change]])^52)-1</f>
        <v>-0.15698616581946889</v>
      </c>
      <c r="E354" s="25">
        <f t="shared" si="5"/>
        <v>426.17499999999995</v>
      </c>
      <c r="F354" s="33">
        <f>(Table2634[[#This Row],[4 weeks average]]-B302)/B302</f>
        <v>5.5149789551869222E-2</v>
      </c>
    </row>
    <row r="355" spans="1:6" x14ac:dyDescent="0.2">
      <c r="A355" s="23">
        <v>29843</v>
      </c>
      <c r="B355" s="25">
        <f>VLOOKUP(Table2634[[#This Row],[Date]],'DB Money Supply'!$A:$D,4)</f>
        <v>429</v>
      </c>
      <c r="C355" s="31">
        <f>(Table2634[[#This Row],[M1 Money Stock, Billions of Dollars, Weekly, Seasonally Adjusted]]-B354)/B354</f>
        <v>7.988721804511224E-3</v>
      </c>
      <c r="D355" s="35">
        <f>((1+Table2634[[#This Row],[Weekly change]])^52)-1</f>
        <v>0.51249863256058448</v>
      </c>
      <c r="E355" s="25">
        <f t="shared" si="5"/>
        <v>426.85</v>
      </c>
      <c r="F355" s="33">
        <f>(Table2634[[#This Row],[4 weeks average]]-B303)/B303</f>
        <v>5.4731900172967717E-2</v>
      </c>
    </row>
    <row r="356" spans="1:6" x14ac:dyDescent="0.2">
      <c r="A356" s="23">
        <v>29850</v>
      </c>
      <c r="B356" s="25">
        <f>VLOOKUP(Table2634[[#This Row],[Date]],'DB Money Supply'!$A:$D,4)</f>
        <v>428.3</v>
      </c>
      <c r="C356" s="31">
        <f>(Table2634[[#This Row],[M1 Money Stock, Billions of Dollars, Weekly, Seasonally Adjusted]]-B355)/B355</f>
        <v>-1.6317016317016052E-3</v>
      </c>
      <c r="D356" s="35">
        <f>((1+Table2634[[#This Row],[Weekly change]])^52)-1</f>
        <v>-8.14121960403561E-2</v>
      </c>
      <c r="E356" s="25">
        <f t="shared" si="5"/>
        <v>427.47499999999997</v>
      </c>
      <c r="F356" s="33">
        <f>(Table2634[[#This Row],[4 weeks average]]-B304)/B304</f>
        <v>5.3932445759368695E-2</v>
      </c>
    </row>
    <row r="357" spans="1:6" x14ac:dyDescent="0.2">
      <c r="A357" s="23">
        <v>29857</v>
      </c>
      <c r="B357" s="25">
        <f>VLOOKUP(Table2634[[#This Row],[Date]],'DB Money Supply'!$A:$D,4)</f>
        <v>424.9</v>
      </c>
      <c r="C357" s="31">
        <f>(Table2634[[#This Row],[M1 Money Stock, Billions of Dollars, Weekly, Seasonally Adjusted]]-B356)/B356</f>
        <v>-7.9383609619426438E-3</v>
      </c>
      <c r="D357" s="35">
        <f>((1+Table2634[[#This Row],[Weekly change]])^52)-1</f>
        <v>-0.33929111357994335</v>
      </c>
      <c r="E357" s="25">
        <f t="shared" si="5"/>
        <v>426.95000000000005</v>
      </c>
      <c r="F357" s="33">
        <f>(Table2634[[#This Row],[4 weeks average]]-B305)/B305</f>
        <v>5.3417221811004278E-2</v>
      </c>
    </row>
    <row r="358" spans="1:6" x14ac:dyDescent="0.2">
      <c r="A358" s="23">
        <v>29864</v>
      </c>
      <c r="B358" s="25">
        <f>VLOOKUP(Table2634[[#This Row],[Date]],'DB Money Supply'!$A:$D,4)</f>
        <v>427</v>
      </c>
      <c r="C358" s="31">
        <f>(Table2634[[#This Row],[M1 Money Stock, Billions of Dollars, Weekly, Seasonally Adjusted]]-B357)/B357</f>
        <v>4.9423393739703994E-3</v>
      </c>
      <c r="D358" s="35">
        <f>((1+Table2634[[#This Row],[Weekly change]])^52)-1</f>
        <v>0.29222900435761368</v>
      </c>
      <c r="E358" s="25">
        <f t="shared" si="5"/>
        <v>427.29999999999995</v>
      </c>
      <c r="F358" s="33">
        <f>(Table2634[[#This Row],[4 weeks average]]-B306)/B306</f>
        <v>4.6790788829005309E-2</v>
      </c>
    </row>
    <row r="359" spans="1:6" x14ac:dyDescent="0.2">
      <c r="A359" s="23">
        <v>29871</v>
      </c>
      <c r="B359" s="25">
        <f>VLOOKUP(Table2634[[#This Row],[Date]],'DB Money Supply'!$A:$D,4)</f>
        <v>428.3</v>
      </c>
      <c r="C359" s="31">
        <f>(Table2634[[#This Row],[M1 Money Stock, Billions of Dollars, Weekly, Seasonally Adjusted]]-B358)/B358</f>
        <v>3.0444964871194644E-3</v>
      </c>
      <c r="D359" s="35">
        <f>((1+Table2634[[#This Row],[Weekly change]])^52)-1</f>
        <v>0.17125205888355355</v>
      </c>
      <c r="E359" s="25">
        <f t="shared" si="5"/>
        <v>427.125</v>
      </c>
      <c r="F359" s="33">
        <f>(Table2634[[#This Row],[4 weeks average]]-B307)/B307</f>
        <v>4.4570799706529773E-2</v>
      </c>
    </row>
    <row r="360" spans="1:6" x14ac:dyDescent="0.2">
      <c r="A360" s="23">
        <v>29878</v>
      </c>
      <c r="B360" s="25">
        <f>VLOOKUP(Table2634[[#This Row],[Date]],'DB Money Supply'!$A:$D,4)</f>
        <v>428.9</v>
      </c>
      <c r="C360" s="31">
        <f>(Table2634[[#This Row],[M1 Money Stock, Billions of Dollars, Weekly, Seasonally Adjusted]]-B359)/B359</f>
        <v>1.4008872285780198E-3</v>
      </c>
      <c r="D360" s="35">
        <f>((1+Table2634[[#This Row],[Weekly change]])^52)-1</f>
        <v>7.5510205632299598E-2</v>
      </c>
      <c r="E360" s="25">
        <f t="shared" si="5"/>
        <v>427.27499999999998</v>
      </c>
      <c r="F360" s="33">
        <f>(Table2634[[#This Row],[4 weeks average]]-B308)/B308</f>
        <v>4.5704845814977857E-2</v>
      </c>
    </row>
    <row r="361" spans="1:6" x14ac:dyDescent="0.2">
      <c r="A361" s="23">
        <v>29885</v>
      </c>
      <c r="B361" s="25">
        <f>VLOOKUP(Table2634[[#This Row],[Date]],'DB Money Supply'!$A:$D,4)</f>
        <v>428.9</v>
      </c>
      <c r="C361" s="31">
        <f>(Table2634[[#This Row],[M1 Money Stock, Billions of Dollars, Weekly, Seasonally Adjusted]]-B360)/B360</f>
        <v>0</v>
      </c>
      <c r="D361" s="35">
        <f>((1+Table2634[[#This Row],[Weekly change]])^52)-1</f>
        <v>0</v>
      </c>
      <c r="E361" s="25">
        <f t="shared" si="5"/>
        <v>428.27499999999998</v>
      </c>
      <c r="F361" s="33">
        <f>(Table2634[[#This Row],[4 weeks average]]-B309)/B309</f>
        <v>4.5593261718749889E-2</v>
      </c>
    </row>
    <row r="362" spans="1:6" x14ac:dyDescent="0.2">
      <c r="A362" s="23">
        <v>29892</v>
      </c>
      <c r="B362" s="25">
        <f>VLOOKUP(Table2634[[#This Row],[Date]],'DB Money Supply'!$A:$D,4)</f>
        <v>428.3</v>
      </c>
      <c r="C362" s="31">
        <f>(Table2634[[#This Row],[M1 Money Stock, Billions of Dollars, Weekly, Seasonally Adjusted]]-B361)/B361</f>
        <v>-1.3989274889250778E-3</v>
      </c>
      <c r="D362" s="35">
        <f>((1+Table2634[[#This Row],[Weekly change]])^52)-1</f>
        <v>-7.0208729993325614E-2</v>
      </c>
      <c r="E362" s="25">
        <f t="shared" si="5"/>
        <v>428.59999999999997</v>
      </c>
      <c r="F362" s="33">
        <f>(Table2634[[#This Row],[4 weeks average]]-B310)/B310</f>
        <v>4.7409579667644128E-2</v>
      </c>
    </row>
    <row r="363" spans="1:6" x14ac:dyDescent="0.2">
      <c r="A363" s="23">
        <v>29899</v>
      </c>
      <c r="B363" s="25">
        <f>VLOOKUP(Table2634[[#This Row],[Date]],'DB Money Supply'!$A:$D,4)</f>
        <v>430.6</v>
      </c>
      <c r="C363" s="31">
        <f>(Table2634[[#This Row],[M1 Money Stock, Billions of Dollars, Weekly, Seasonally Adjusted]]-B362)/B362</f>
        <v>5.370067709549408E-3</v>
      </c>
      <c r="D363" s="35">
        <f>((1+Table2634[[#This Row],[Weekly change]])^52)-1</f>
        <v>0.32114187050057486</v>
      </c>
      <c r="E363" s="25">
        <f t="shared" si="5"/>
        <v>429.17499999999995</v>
      </c>
      <c r="F363" s="33">
        <f>(Table2634[[#This Row],[4 weeks average]]-B311)/B311</f>
        <v>4.5748050682261156E-2</v>
      </c>
    </row>
    <row r="364" spans="1:6" x14ac:dyDescent="0.2">
      <c r="A364" s="23">
        <v>29906</v>
      </c>
      <c r="B364" s="25">
        <f>VLOOKUP(Table2634[[#This Row],[Date]],'DB Money Supply'!$A:$D,4)</f>
        <v>431.4</v>
      </c>
      <c r="C364" s="31">
        <f>(Table2634[[#This Row],[M1 Money Stock, Billions of Dollars, Weekly, Seasonally Adjusted]]-B363)/B363</f>
        <v>1.8578727357174976E-3</v>
      </c>
      <c r="D364" s="35">
        <f>((1+Table2634[[#This Row],[Weekly change]])^52)-1</f>
        <v>0.10133133144003659</v>
      </c>
      <c r="E364" s="25">
        <f t="shared" si="5"/>
        <v>429.80000000000007</v>
      </c>
      <c r="F364" s="33">
        <f>(Table2634[[#This Row],[4 weeks average]]-B312)/B312</f>
        <v>4.497933381959654E-2</v>
      </c>
    </row>
    <row r="365" spans="1:6" x14ac:dyDescent="0.2">
      <c r="A365" s="23">
        <v>29913</v>
      </c>
      <c r="B365" s="25">
        <f>VLOOKUP(Table2634[[#This Row],[Date]],'DB Money Supply'!$A:$D,4)</f>
        <v>430.4</v>
      </c>
      <c r="C365" s="31">
        <f>(Table2634[[#This Row],[M1 Money Stock, Billions of Dollars, Weekly, Seasonally Adjusted]]-B364)/B364</f>
        <v>-2.3180343069077423E-3</v>
      </c>
      <c r="D365" s="35">
        <f>((1+Table2634[[#This Row],[Weekly change]])^52)-1</f>
        <v>-0.11368043059126576</v>
      </c>
      <c r="E365" s="25">
        <f t="shared" si="5"/>
        <v>430.17500000000007</v>
      </c>
      <c r="F365" s="33">
        <f>(Table2634[[#This Row],[4 weeks average]]-B313)/B313</f>
        <v>4.7164070107108221E-2</v>
      </c>
    </row>
    <row r="366" spans="1:6" x14ac:dyDescent="0.2">
      <c r="A366" s="23">
        <v>29920</v>
      </c>
      <c r="B366" s="25">
        <f>VLOOKUP(Table2634[[#This Row],[Date]],'DB Money Supply'!$A:$D,4)</f>
        <v>433.5</v>
      </c>
      <c r="C366" s="31">
        <f>(Table2634[[#This Row],[M1 Money Stock, Billions of Dollars, Weekly, Seasonally Adjusted]]-B365)/B365</f>
        <v>7.2026022304833249E-3</v>
      </c>
      <c r="D366" s="35">
        <f>((1+Table2634[[#This Row],[Weekly change]])^52)-1</f>
        <v>0.45236453694846124</v>
      </c>
      <c r="E366" s="25">
        <f t="shared" si="5"/>
        <v>431.47500000000002</v>
      </c>
      <c r="F366" s="33">
        <f>(Table2634[[#This Row],[4 weeks average]]-B314)/B314</f>
        <v>5.1096224116930627E-2</v>
      </c>
    </row>
    <row r="367" spans="1:6" x14ac:dyDescent="0.2">
      <c r="A367" s="23">
        <v>29927</v>
      </c>
      <c r="B367" s="25">
        <f>VLOOKUP(Table2634[[#This Row],[Date]],'DB Money Supply'!$A:$D,4)</f>
        <v>436.2</v>
      </c>
      <c r="C367" s="31">
        <f>(Table2634[[#This Row],[M1 Money Stock, Billions of Dollars, Weekly, Seasonally Adjusted]]-B366)/B366</f>
        <v>6.2283737024221193E-3</v>
      </c>
      <c r="D367" s="35">
        <f>((1+Table2634[[#This Row],[Weekly change]])^52)-1</f>
        <v>0.38108716872731319</v>
      </c>
      <c r="E367" s="25">
        <f t="shared" si="5"/>
        <v>432.875</v>
      </c>
      <c r="F367" s="33">
        <f>(Table2634[[#This Row],[4 weeks average]]-B315)/B315</f>
        <v>5.6823730468749944E-2</v>
      </c>
    </row>
    <row r="368" spans="1:6" x14ac:dyDescent="0.2">
      <c r="A368" s="23">
        <v>29934</v>
      </c>
      <c r="B368" s="25">
        <f>VLOOKUP(Table2634[[#This Row],[Date]],'DB Money Supply'!$A:$D,4)</f>
        <v>435.1</v>
      </c>
      <c r="C368" s="31">
        <f>(Table2634[[#This Row],[M1 Money Stock, Billions of Dollars, Weekly, Seasonally Adjusted]]-B367)/B367</f>
        <v>-2.5217790004584272E-3</v>
      </c>
      <c r="D368" s="35">
        <f>((1+Table2634[[#This Row],[Weekly change]])^52)-1</f>
        <v>-0.12304371167463046</v>
      </c>
      <c r="E368" s="25">
        <f t="shared" si="5"/>
        <v>433.79999999999995</v>
      </c>
      <c r="F368" s="33">
        <f>(Table2634[[#This Row],[4 weeks average]]-B316)/B316</f>
        <v>5.6245434623812922E-2</v>
      </c>
    </row>
    <row r="369" spans="1:6" x14ac:dyDescent="0.2">
      <c r="A369" s="23">
        <v>29941</v>
      </c>
      <c r="B369" s="25">
        <f>VLOOKUP(Table2634[[#This Row],[Date]],'DB Money Supply'!$A:$D,4)</f>
        <v>437.2</v>
      </c>
      <c r="C369" s="31">
        <f>(Table2634[[#This Row],[M1 Money Stock, Billions of Dollars, Weekly, Seasonally Adjusted]]-B368)/B368</f>
        <v>4.8264766720293398E-3</v>
      </c>
      <c r="D369" s="35">
        <f>((1+Table2634[[#This Row],[Weekly change]])^52)-1</f>
        <v>0.2845045270627149</v>
      </c>
      <c r="E369" s="25">
        <f t="shared" si="5"/>
        <v>435.50000000000006</v>
      </c>
      <c r="F369" s="33">
        <f>(Table2634[[#This Row],[4 weeks average]]-B317)/B317</f>
        <v>6.2454257135887002E-2</v>
      </c>
    </row>
    <row r="370" spans="1:6" x14ac:dyDescent="0.2">
      <c r="A370" s="23">
        <v>29948</v>
      </c>
      <c r="B370" s="25">
        <f>VLOOKUP(Table2634[[#This Row],[Date]],'DB Money Supply'!$A:$D,4)</f>
        <v>436.7</v>
      </c>
      <c r="C370" s="31">
        <f>(Table2634[[#This Row],[M1 Money Stock, Billions of Dollars, Weekly, Seasonally Adjusted]]-B369)/B369</f>
        <v>-1.1436413540713633E-3</v>
      </c>
      <c r="D370" s="35">
        <f>((1+Table2634[[#This Row],[Weekly change]])^52)-1</f>
        <v>-5.7767653199565894E-2</v>
      </c>
      <c r="E370" s="25">
        <f t="shared" si="5"/>
        <v>436.3</v>
      </c>
      <c r="F370" s="33">
        <f>(Table2634[[#This Row],[4 weeks average]]-B318)/B318</f>
        <v>7.9149146673262422E-2</v>
      </c>
    </row>
    <row r="371" spans="1:6" x14ac:dyDescent="0.2">
      <c r="A371" s="23">
        <v>29955</v>
      </c>
      <c r="B371" s="25">
        <f>VLOOKUP(Table2634[[#This Row],[Date]],'DB Money Supply'!$A:$D,4)</f>
        <v>440.2</v>
      </c>
      <c r="C371" s="31">
        <f>(Table2634[[#This Row],[M1 Money Stock, Billions of Dollars, Weekly, Seasonally Adjusted]]-B370)/B370</f>
        <v>8.014655369819098E-3</v>
      </c>
      <c r="D371" s="35">
        <f>((1+Table2634[[#This Row],[Weekly change]])^52)-1</f>
        <v>0.51452346850858444</v>
      </c>
      <c r="E371" s="25">
        <f t="shared" si="5"/>
        <v>437.3</v>
      </c>
      <c r="F371" s="33">
        <f>(Table2634[[#This Row],[4 weeks average]]-B319)/B319</f>
        <v>7.3392243495336365E-2</v>
      </c>
    </row>
    <row r="372" spans="1:6" x14ac:dyDescent="0.2">
      <c r="A372" s="23">
        <v>29962</v>
      </c>
      <c r="B372" s="25">
        <f>VLOOKUP(Table2634[[#This Row],[Date]],'DB Money Supply'!$A:$D,4)</f>
        <v>442.7</v>
      </c>
      <c r="C372" s="31">
        <f>(Table2634[[#This Row],[M1 Money Stock, Billions of Dollars, Weekly, Seasonally Adjusted]]-B371)/B371</f>
        <v>5.6792367105860976E-3</v>
      </c>
      <c r="D372" s="35">
        <f>((1+Table2634[[#This Row],[Weekly change]])^52)-1</f>
        <v>0.34243465698326303</v>
      </c>
      <c r="E372" s="25">
        <f t="shared" si="5"/>
        <v>439.2</v>
      </c>
      <c r="F372" s="33">
        <f>(Table2634[[#This Row],[4 weeks average]]-B320)/B320</f>
        <v>7.2789447972642918E-2</v>
      </c>
    </row>
    <row r="373" spans="1:6" x14ac:dyDescent="0.2">
      <c r="A373" s="23">
        <v>29969</v>
      </c>
      <c r="B373" s="25">
        <f>VLOOKUP(Table2634[[#This Row],[Date]],'DB Money Supply'!$A:$D,4)</f>
        <v>442.8</v>
      </c>
      <c r="C373" s="31">
        <f>(Table2634[[#This Row],[M1 Money Stock, Billions of Dollars, Weekly, Seasonally Adjusted]]-B372)/B372</f>
        <v>2.2588660492437934E-4</v>
      </c>
      <c r="D373" s="35">
        <f>((1+Table2634[[#This Row],[Weekly change]])^52)-1</f>
        <v>1.1814017712304947E-2</v>
      </c>
      <c r="E373" s="25">
        <f t="shared" si="5"/>
        <v>440.59999999999997</v>
      </c>
      <c r="F373" s="33">
        <f>(Table2634[[#This Row],[4 weeks average]]-B321)/B321</f>
        <v>6.6311713455953478E-2</v>
      </c>
    </row>
    <row r="374" spans="1:6" x14ac:dyDescent="0.2">
      <c r="A374" s="23">
        <v>29976</v>
      </c>
      <c r="B374" s="25">
        <f>VLOOKUP(Table2634[[#This Row],[Date]],'DB Money Supply'!$A:$D,4)</f>
        <v>442.7</v>
      </c>
      <c r="C374" s="31">
        <f>(Table2634[[#This Row],[M1 Money Stock, Billions of Dollars, Weekly, Seasonally Adjusted]]-B373)/B373</f>
        <v>-2.2583559168930158E-4</v>
      </c>
      <c r="D374" s="35">
        <f>((1+Table2634[[#This Row],[Weekly change]])^52)-1</f>
        <v>-1.1676076339624641E-2</v>
      </c>
      <c r="E374" s="25">
        <f t="shared" si="5"/>
        <v>442.1</v>
      </c>
      <c r="F374" s="33">
        <f>(Table2634[[#This Row],[4 weeks average]]-B322)/B322</f>
        <v>6.8390526824552947E-2</v>
      </c>
    </row>
    <row r="375" spans="1:6" x14ac:dyDescent="0.2">
      <c r="A375" s="23">
        <v>29983</v>
      </c>
      <c r="B375" s="25">
        <f>VLOOKUP(Table2634[[#This Row],[Date]],'DB Money Supply'!$A:$D,4)</f>
        <v>444.2</v>
      </c>
      <c r="C375" s="31">
        <f>(Table2634[[#This Row],[M1 Money Stock, Billions of Dollars, Weekly, Seasonally Adjusted]]-B374)/B374</f>
        <v>3.3882990738649198E-3</v>
      </c>
      <c r="D375" s="35">
        <f>((1+Table2634[[#This Row],[Weekly change]])^52)-1</f>
        <v>0.19231134446190312</v>
      </c>
      <c r="E375" s="25">
        <f t="shared" si="5"/>
        <v>443.1</v>
      </c>
      <c r="F375" s="33">
        <f>(Table2634[[#This Row],[4 weeks average]]-B323)/B323</f>
        <v>7.8627069133398272E-2</v>
      </c>
    </row>
    <row r="376" spans="1:6" x14ac:dyDescent="0.2">
      <c r="A376" s="23">
        <v>29990</v>
      </c>
      <c r="B376" s="25">
        <f>VLOOKUP(Table2634[[#This Row],[Date]],'DB Money Supply'!$A:$D,4)</f>
        <v>441.3</v>
      </c>
      <c r="C376" s="31">
        <f>(Table2634[[#This Row],[M1 Money Stock, Billions of Dollars, Weekly, Seasonally Adjusted]]-B375)/B375</f>
        <v>-6.5285907248986436E-3</v>
      </c>
      <c r="D376" s="35">
        <f>((1+Table2634[[#This Row],[Weekly change]])^52)-1</f>
        <v>-0.28865643322537382</v>
      </c>
      <c r="E376" s="25">
        <f t="shared" si="5"/>
        <v>442.75</v>
      </c>
      <c r="F376" s="33">
        <f>(Table2634[[#This Row],[4 weeks average]]-B324)/B324</f>
        <v>7.0478723404255261E-2</v>
      </c>
    </row>
    <row r="377" spans="1:6" x14ac:dyDescent="0.2">
      <c r="A377" s="23">
        <v>29997</v>
      </c>
      <c r="B377" s="25">
        <f>VLOOKUP(Table2634[[#This Row],[Date]],'DB Money Supply'!$A:$D,4)</f>
        <v>442.3</v>
      </c>
      <c r="C377" s="31">
        <f>(Table2634[[#This Row],[M1 Money Stock, Billions of Dollars, Weekly, Seasonally Adjusted]]-B376)/B376</f>
        <v>2.2660321776569229E-3</v>
      </c>
      <c r="D377" s="35">
        <f>((1+Table2634[[#This Row],[Weekly change]])^52)-1</f>
        <v>0.12490700175923508</v>
      </c>
      <c r="E377" s="25">
        <f t="shared" si="5"/>
        <v>442.625</v>
      </c>
      <c r="F377" s="33">
        <f>(Table2634[[#This Row],[4 weeks average]]-B325)/B325</f>
        <v>6.579581025764504E-2</v>
      </c>
    </row>
    <row r="378" spans="1:6" x14ac:dyDescent="0.2">
      <c r="A378" s="23">
        <v>30004</v>
      </c>
      <c r="B378" s="25">
        <f>VLOOKUP(Table2634[[#This Row],[Date]],'DB Money Supply'!$A:$D,4)</f>
        <v>441.6</v>
      </c>
      <c r="C378" s="31">
        <f>(Table2634[[#This Row],[M1 Money Stock, Billions of Dollars, Weekly, Seasonally Adjusted]]-B377)/B377</f>
        <v>-1.5826362197603179E-3</v>
      </c>
      <c r="D378" s="35">
        <f>((1+Table2634[[#This Row],[Weekly change]])^52)-1</f>
        <v>-7.9061735015985124E-2</v>
      </c>
      <c r="E378" s="25">
        <f t="shared" si="5"/>
        <v>442.35</v>
      </c>
      <c r="F378" s="33">
        <f>(Table2634[[#This Row],[4 weeks average]]-B326)/B326</f>
        <v>6.1809889582333168E-2</v>
      </c>
    </row>
    <row r="379" spans="1:6" x14ac:dyDescent="0.2">
      <c r="A379" s="23">
        <v>30011</v>
      </c>
      <c r="B379" s="25">
        <f>VLOOKUP(Table2634[[#This Row],[Date]],'DB Money Supply'!$A:$D,4)</f>
        <v>442.2</v>
      </c>
      <c r="C379" s="31">
        <f>(Table2634[[#This Row],[M1 Money Stock, Billions of Dollars, Weekly, Seasonally Adjusted]]-B378)/B378</f>
        <v>1.3586956521738358E-3</v>
      </c>
      <c r="D379" s="35">
        <f>((1+Table2634[[#This Row],[Weekly change]])^52)-1</f>
        <v>7.3156407903380405E-2</v>
      </c>
      <c r="E379" s="25">
        <f t="shared" si="5"/>
        <v>441.85</v>
      </c>
      <c r="F379" s="33">
        <f>(Table2634[[#This Row],[4 weeks average]]-B327)/B327</f>
        <v>6.5469013744875904E-2</v>
      </c>
    </row>
    <row r="380" spans="1:6" x14ac:dyDescent="0.2">
      <c r="A380" s="23">
        <v>30018</v>
      </c>
      <c r="B380" s="25">
        <f>VLOOKUP(Table2634[[#This Row],[Date]],'DB Money Supply'!$A:$D,4)</f>
        <v>442.1</v>
      </c>
      <c r="C380" s="31">
        <f>(Table2634[[#This Row],[M1 Money Stock, Billions of Dollars, Weekly, Seasonally Adjusted]]-B379)/B379</f>
        <v>-2.2614201718671619E-4</v>
      </c>
      <c r="D380" s="35">
        <f>((1+Table2634[[#This Row],[Weekly change]])^52)-1</f>
        <v>-1.1691827851592174E-2</v>
      </c>
      <c r="E380" s="25">
        <f t="shared" si="5"/>
        <v>442.05000000000007</v>
      </c>
      <c r="F380" s="33">
        <f>(Table2634[[#This Row],[4 weeks average]]-B328)/B328</f>
        <v>5.9056061332055806E-2</v>
      </c>
    </row>
    <row r="381" spans="1:6" x14ac:dyDescent="0.2">
      <c r="A381" s="23">
        <v>30025</v>
      </c>
      <c r="B381" s="25">
        <f>VLOOKUP(Table2634[[#This Row],[Date]],'DB Money Supply'!$A:$D,4)</f>
        <v>443.4</v>
      </c>
      <c r="C381" s="31">
        <f>(Table2634[[#This Row],[M1 Money Stock, Billions of Dollars, Weekly, Seasonally Adjusted]]-B380)/B380</f>
        <v>2.9405111965617606E-3</v>
      </c>
      <c r="D381" s="35">
        <f>((1+Table2634[[#This Row],[Weekly change]])^52)-1</f>
        <v>0.16495470938861545</v>
      </c>
      <c r="E381" s="25">
        <f t="shared" si="5"/>
        <v>442.32500000000005</v>
      </c>
      <c r="F381" s="33">
        <f>(Table2634[[#This Row],[4 weeks average]]-B329)/B329</f>
        <v>5.5416368408494447E-2</v>
      </c>
    </row>
    <row r="382" spans="1:6" x14ac:dyDescent="0.2">
      <c r="A382" s="23">
        <v>30032</v>
      </c>
      <c r="B382" s="25">
        <f>VLOOKUP(Table2634[[#This Row],[Date]],'DB Money Supply'!$A:$D,4)</f>
        <v>442.4</v>
      </c>
      <c r="C382" s="31">
        <f>(Table2634[[#This Row],[M1 Money Stock, Billions of Dollars, Weekly, Seasonally Adjusted]]-B381)/B381</f>
        <v>-2.2552999548940012E-3</v>
      </c>
      <c r="D382" s="35">
        <f>((1+Table2634[[#This Row],[Weekly change]])^52)-1</f>
        <v>-0.11077772149104592</v>
      </c>
      <c r="E382" s="25">
        <f t="shared" si="5"/>
        <v>442.52499999999998</v>
      </c>
      <c r="F382" s="33">
        <f>(Table2634[[#This Row],[4 weeks average]]-B330)/B330</f>
        <v>5.5641698473282417E-2</v>
      </c>
    </row>
    <row r="383" spans="1:6" x14ac:dyDescent="0.2">
      <c r="A383" s="23">
        <v>30039</v>
      </c>
      <c r="B383" s="25">
        <f>VLOOKUP(Table2634[[#This Row],[Date]],'DB Money Supply'!$A:$D,4)</f>
        <v>442.4</v>
      </c>
      <c r="C383" s="31">
        <f>(Table2634[[#This Row],[M1 Money Stock, Billions of Dollars, Weekly, Seasonally Adjusted]]-B382)/B382</f>
        <v>0</v>
      </c>
      <c r="D383" s="35">
        <f>((1+Table2634[[#This Row],[Weekly change]])^52)-1</f>
        <v>0</v>
      </c>
      <c r="E383" s="25">
        <f t="shared" si="5"/>
        <v>442.57500000000005</v>
      </c>
      <c r="F383" s="33">
        <f>(Table2634[[#This Row],[4 weeks average]]-B331)/B331</f>
        <v>5.1247030878859963E-2</v>
      </c>
    </row>
    <row r="384" spans="1:6" x14ac:dyDescent="0.2">
      <c r="A384" s="23">
        <v>30046</v>
      </c>
      <c r="B384" s="25">
        <f>VLOOKUP(Table2634[[#This Row],[Date]],'DB Money Supply'!$A:$D,4)</f>
        <v>445.2</v>
      </c>
      <c r="C384" s="31">
        <f>(Table2634[[#This Row],[M1 Money Stock, Billions of Dollars, Weekly, Seasonally Adjusted]]-B383)/B383</f>
        <v>6.3291139240506588E-3</v>
      </c>
      <c r="D384" s="35">
        <f>((1+Table2634[[#This Row],[Weekly change]])^52)-1</f>
        <v>0.38829558658902985</v>
      </c>
      <c r="E384" s="25">
        <f t="shared" si="5"/>
        <v>443.34999999999997</v>
      </c>
      <c r="F384" s="33">
        <f>(Table2634[[#This Row],[4 weeks average]]-B332)/B332</f>
        <v>4.5636792452830109E-2</v>
      </c>
    </row>
    <row r="385" spans="1:6" x14ac:dyDescent="0.2">
      <c r="A385" s="23">
        <v>30053</v>
      </c>
      <c r="B385" s="25">
        <f>VLOOKUP(Table2634[[#This Row],[Date]],'DB Money Supply'!$A:$D,4)</f>
        <v>447.6</v>
      </c>
      <c r="C385" s="31">
        <f>(Table2634[[#This Row],[M1 Money Stock, Billions of Dollars, Weekly, Seasonally Adjusted]]-B384)/B384</f>
        <v>5.3908355795149014E-3</v>
      </c>
      <c r="D385" s="35">
        <f>((1+Table2634[[#This Row],[Weekly change]])^52)-1</f>
        <v>0.32256173725056514</v>
      </c>
      <c r="E385" s="25">
        <f t="shared" si="5"/>
        <v>444.4</v>
      </c>
      <c r="F385" s="33">
        <f>(Table2634[[#This Row],[4 weeks average]]-B333)/B333</f>
        <v>4.2947664867401911E-2</v>
      </c>
    </row>
    <row r="386" spans="1:6" x14ac:dyDescent="0.2">
      <c r="A386" s="23">
        <v>30060</v>
      </c>
      <c r="B386" s="25">
        <f>VLOOKUP(Table2634[[#This Row],[Date]],'DB Money Supply'!$A:$D,4)</f>
        <v>448.5</v>
      </c>
      <c r="C386" s="31">
        <f>(Table2634[[#This Row],[M1 Money Stock, Billions of Dollars, Weekly, Seasonally Adjusted]]-B385)/B385</f>
        <v>2.0107238605897616E-3</v>
      </c>
      <c r="D386" s="35">
        <f>((1+Table2634[[#This Row],[Weekly change]])^52)-1</f>
        <v>0.1101028438797218</v>
      </c>
      <c r="E386" s="25">
        <f t="shared" si="5"/>
        <v>445.92499999999995</v>
      </c>
      <c r="F386" s="33">
        <f>(Table2634[[#This Row],[4 weeks average]]-B334)/B334</f>
        <v>3.7758901559227287E-2</v>
      </c>
    </row>
    <row r="387" spans="1:6" x14ac:dyDescent="0.2">
      <c r="A387" s="23">
        <v>30067</v>
      </c>
      <c r="B387" s="25">
        <f>VLOOKUP(Table2634[[#This Row],[Date]],'DB Money Supply'!$A:$D,4)</f>
        <v>447.7</v>
      </c>
      <c r="C387" s="31">
        <f>(Table2634[[#This Row],[M1 Money Stock, Billions of Dollars, Weekly, Seasonally Adjusted]]-B386)/B386</f>
        <v>-1.7837235228539831E-3</v>
      </c>
      <c r="D387" s="35">
        <f>((1+Table2634[[#This Row],[Weekly change]])^52)-1</f>
        <v>-8.8657457354439195E-2</v>
      </c>
      <c r="E387" s="25">
        <f t="shared" si="5"/>
        <v>447.25</v>
      </c>
      <c r="F387" s="33">
        <f>(Table2634[[#This Row],[4 weeks average]]-B335)/B335</f>
        <v>4.2054986020503289E-2</v>
      </c>
    </row>
    <row r="388" spans="1:6" x14ac:dyDescent="0.2">
      <c r="A388" s="23">
        <v>30074</v>
      </c>
      <c r="B388" s="25">
        <f>VLOOKUP(Table2634[[#This Row],[Date]],'DB Money Supply'!$A:$D,4)</f>
        <v>445.3</v>
      </c>
      <c r="C388" s="31">
        <f>(Table2634[[#This Row],[M1 Money Stock, Billions of Dollars, Weekly, Seasonally Adjusted]]-B387)/B387</f>
        <v>-5.3607326334598557E-3</v>
      </c>
      <c r="D388" s="35">
        <f>((1+Table2634[[#This Row],[Weekly change]])^52)-1</f>
        <v>-0.24384428500902167</v>
      </c>
      <c r="E388" s="25">
        <f t="shared" si="5"/>
        <v>447.27499999999998</v>
      </c>
      <c r="F388" s="33">
        <f>(Table2634[[#This Row],[4 weeks average]]-B336)/B336</f>
        <v>4.6012628624882958E-2</v>
      </c>
    </row>
    <row r="389" spans="1:6" x14ac:dyDescent="0.2">
      <c r="A389" s="23">
        <v>30081</v>
      </c>
      <c r="B389" s="25">
        <f>VLOOKUP(Table2634[[#This Row],[Date]],'DB Money Supply'!$A:$D,4)</f>
        <v>447.2</v>
      </c>
      <c r="C389" s="31">
        <f>(Table2634[[#This Row],[M1 Money Stock, Billions of Dollars, Weekly, Seasonally Adjusted]]-B388)/B388</f>
        <v>4.2667864361104358E-3</v>
      </c>
      <c r="D389" s="35">
        <f>((1+Table2634[[#This Row],[Weekly change]])^52)-1</f>
        <v>0.24782357614787132</v>
      </c>
      <c r="E389" s="25">
        <f t="shared" si="5"/>
        <v>447.17500000000001</v>
      </c>
      <c r="F389" s="33">
        <f>(Table2634[[#This Row],[4 weeks average]]-B337)/B337</f>
        <v>5.044632370213771E-2</v>
      </c>
    </row>
    <row r="390" spans="1:6" x14ac:dyDescent="0.2">
      <c r="A390" s="23">
        <v>30088</v>
      </c>
      <c r="B390" s="25">
        <f>VLOOKUP(Table2634[[#This Row],[Date]],'DB Money Supply'!$A:$D,4)</f>
        <v>445.9</v>
      </c>
      <c r="C390" s="31">
        <f>(Table2634[[#This Row],[M1 Money Stock, Billions of Dollars, Weekly, Seasonally Adjusted]]-B389)/B389</f>
        <v>-2.9069767441860721E-3</v>
      </c>
      <c r="D390" s="35">
        <f>((1+Table2634[[#This Row],[Weekly change]])^52)-1</f>
        <v>-0.14048150046320063</v>
      </c>
      <c r="E390" s="25">
        <f t="shared" si="5"/>
        <v>446.52499999999998</v>
      </c>
      <c r="F390" s="33">
        <f>(Table2634[[#This Row],[4 weeks average]]-B338)/B338</f>
        <v>5.4119452313503194E-2</v>
      </c>
    </row>
    <row r="391" spans="1:6" x14ac:dyDescent="0.2">
      <c r="A391" s="23">
        <v>30095</v>
      </c>
      <c r="B391" s="25">
        <f>VLOOKUP(Table2634[[#This Row],[Date]],'DB Money Supply'!$A:$D,4)</f>
        <v>447.1</v>
      </c>
      <c r="C391" s="31">
        <f>(Table2634[[#This Row],[M1 Money Stock, Billions of Dollars, Weekly, Seasonally Adjusted]]-B390)/B390</f>
        <v>2.6911863646558545E-3</v>
      </c>
      <c r="D391" s="35">
        <f>((1+Table2634[[#This Row],[Weekly change]])^52)-1</f>
        <v>0.14999054837635928</v>
      </c>
      <c r="E391" s="25">
        <f t="shared" si="5"/>
        <v>446.375</v>
      </c>
      <c r="F391" s="33">
        <f>(Table2634[[#This Row],[4 weeks average]]-B339)/B339</f>
        <v>5.5010635783502661E-2</v>
      </c>
    </row>
    <row r="392" spans="1:6" x14ac:dyDescent="0.2">
      <c r="A392" s="23">
        <v>30102</v>
      </c>
      <c r="B392" s="25">
        <f>VLOOKUP(Table2634[[#This Row],[Date]],'DB Money Supply'!$A:$D,4)</f>
        <v>447.4</v>
      </c>
      <c r="C392" s="31">
        <f>(Table2634[[#This Row],[M1 Money Stock, Billions of Dollars, Weekly, Seasonally Adjusted]]-B391)/B391</f>
        <v>6.7099082979189112E-4</v>
      </c>
      <c r="D392" s="35">
        <f>((1+Table2634[[#This Row],[Weekly change]])^52)-1</f>
        <v>3.5495258024968113E-2</v>
      </c>
      <c r="E392" s="25">
        <f t="shared" si="5"/>
        <v>446.9</v>
      </c>
      <c r="F392" s="33">
        <f>(Table2634[[#This Row],[4 weeks average]]-B340)/B340</f>
        <v>5.2520018841262256E-2</v>
      </c>
    </row>
    <row r="393" spans="1:6" x14ac:dyDescent="0.2">
      <c r="A393" s="23">
        <v>30109</v>
      </c>
      <c r="B393" s="25">
        <f>VLOOKUP(Table2634[[#This Row],[Date]],'DB Money Supply'!$A:$D,4)</f>
        <v>448</v>
      </c>
      <c r="C393" s="31">
        <f>(Table2634[[#This Row],[M1 Money Stock, Billions of Dollars, Weekly, Seasonally Adjusted]]-B392)/B392</f>
        <v>1.3410818059902162E-3</v>
      </c>
      <c r="D393" s="35">
        <f>((1+Table2634[[#This Row],[Weekly change]])^52)-1</f>
        <v>7.2175256326697523E-2</v>
      </c>
      <c r="E393" s="25">
        <f t="shared" ref="E393:E456" si="6">AVERAGE(B390:B393)</f>
        <v>447.1</v>
      </c>
      <c r="F393" s="33">
        <f>(Table2634[[#This Row],[4 weeks average]]-B341)/B341</f>
        <v>5.6724178681162842E-2</v>
      </c>
    </row>
    <row r="394" spans="1:6" x14ac:dyDescent="0.2">
      <c r="A394" s="23">
        <v>30116</v>
      </c>
      <c r="B394" s="25">
        <f>VLOOKUP(Table2634[[#This Row],[Date]],'DB Money Supply'!$A:$D,4)</f>
        <v>449.1</v>
      </c>
      <c r="C394" s="31">
        <f>(Table2634[[#This Row],[M1 Money Stock, Billions of Dollars, Weekly, Seasonally Adjusted]]-B393)/B393</f>
        <v>2.4553571428571935E-3</v>
      </c>
      <c r="D394" s="35">
        <f>((1+Table2634[[#This Row],[Weekly change]])^52)-1</f>
        <v>0.13600995026055029</v>
      </c>
      <c r="E394" s="25">
        <f t="shared" si="6"/>
        <v>447.9</v>
      </c>
      <c r="F394" s="33">
        <f>(Table2634[[#This Row],[4 weeks average]]-B342)/B342</f>
        <v>5.2891396332863189E-2</v>
      </c>
    </row>
    <row r="395" spans="1:6" x14ac:dyDescent="0.2">
      <c r="A395" s="23">
        <v>30123</v>
      </c>
      <c r="B395" s="25">
        <f>VLOOKUP(Table2634[[#This Row],[Date]],'DB Money Supply'!$A:$D,4)</f>
        <v>448.3</v>
      </c>
      <c r="C395" s="31">
        <f>(Table2634[[#This Row],[M1 Money Stock, Billions of Dollars, Weekly, Seasonally Adjusted]]-B394)/B394</f>
        <v>-1.7813404586951933E-3</v>
      </c>
      <c r="D395" s="35">
        <f>((1+Table2634[[#This Row],[Weekly change]])^52)-1</f>
        <v>-8.8544315702764664E-2</v>
      </c>
      <c r="E395" s="25">
        <f t="shared" si="6"/>
        <v>448.2</v>
      </c>
      <c r="F395" s="33">
        <f>(Table2634[[#This Row],[4 weeks average]]-B343)/B343</f>
        <v>5.0632911392404979E-2</v>
      </c>
    </row>
    <row r="396" spans="1:6" x14ac:dyDescent="0.2">
      <c r="A396" s="23">
        <v>30130</v>
      </c>
      <c r="B396" s="25">
        <f>VLOOKUP(Table2634[[#This Row],[Date]],'DB Money Supply'!$A:$D,4)</f>
        <v>445</v>
      </c>
      <c r="C396" s="31">
        <f>(Table2634[[#This Row],[M1 Money Stock, Billions of Dollars, Weekly, Seasonally Adjusted]]-B395)/B395</f>
        <v>-7.3611420923488987E-3</v>
      </c>
      <c r="D396" s="35">
        <f>((1+Table2634[[#This Row],[Weekly change]])^52)-1</f>
        <v>-0.31900150835569308</v>
      </c>
      <c r="E396" s="25">
        <f t="shared" si="6"/>
        <v>447.6</v>
      </c>
      <c r="F396" s="33">
        <f>(Table2634[[#This Row],[4 weeks average]]-B344)/B344</f>
        <v>5.2681091251175996E-2</v>
      </c>
    </row>
    <row r="397" spans="1:6" x14ac:dyDescent="0.2">
      <c r="A397" s="23">
        <v>30137</v>
      </c>
      <c r="B397" s="25">
        <f>VLOOKUP(Table2634[[#This Row],[Date]],'DB Money Supply'!$A:$D,4)</f>
        <v>446.1</v>
      </c>
      <c r="C397" s="31">
        <f>(Table2634[[#This Row],[M1 Money Stock, Billions of Dollars, Weekly, Seasonally Adjusted]]-B396)/B396</f>
        <v>2.4719101123596016E-3</v>
      </c>
      <c r="D397" s="35">
        <f>((1+Table2634[[#This Row],[Weekly change]])^52)-1</f>
        <v>0.13698579164389479</v>
      </c>
      <c r="E397" s="25">
        <f t="shared" si="6"/>
        <v>447.125</v>
      </c>
      <c r="F397" s="33">
        <f>(Table2634[[#This Row],[4 weeks average]]-B345)/B345</f>
        <v>4.2735541044776094E-2</v>
      </c>
    </row>
    <row r="398" spans="1:6" x14ac:dyDescent="0.2">
      <c r="A398" s="23">
        <v>30144</v>
      </c>
      <c r="B398" s="25">
        <f>VLOOKUP(Table2634[[#This Row],[Date]],'DB Money Supply'!$A:$D,4)</f>
        <v>449</v>
      </c>
      <c r="C398" s="31">
        <f>(Table2634[[#This Row],[M1 Money Stock, Billions of Dollars, Weekly, Seasonally Adjusted]]-B397)/B397</f>
        <v>6.5007845774489514E-3</v>
      </c>
      <c r="D398" s="35">
        <f>((1+Table2634[[#This Row],[Weekly change]])^52)-1</f>
        <v>0.40066450664862518</v>
      </c>
      <c r="E398" s="25">
        <f t="shared" si="6"/>
        <v>447.1</v>
      </c>
      <c r="F398" s="33">
        <f>(Table2634[[#This Row],[4 weeks average]]-B346)/B346</f>
        <v>4.9038010323791729E-2</v>
      </c>
    </row>
    <row r="399" spans="1:6" x14ac:dyDescent="0.2">
      <c r="A399" s="23">
        <v>30151</v>
      </c>
      <c r="B399" s="25">
        <f>VLOOKUP(Table2634[[#This Row],[Date]],'DB Money Supply'!$A:$D,4)</f>
        <v>447.8</v>
      </c>
      <c r="C399" s="31">
        <f>(Table2634[[#This Row],[M1 Money Stock, Billions of Dollars, Weekly, Seasonally Adjusted]]-B398)/B398</f>
        <v>-2.6726057906458545E-3</v>
      </c>
      <c r="D399" s="35">
        <f>((1+Table2634[[#This Row],[Weekly change]])^52)-1</f>
        <v>-0.12991254207484626</v>
      </c>
      <c r="E399" s="25">
        <f t="shared" si="6"/>
        <v>446.97499999999997</v>
      </c>
      <c r="F399" s="33">
        <f>(Table2634[[#This Row],[4 weeks average]]-B347)/B347</f>
        <v>4.5800187178287294E-2</v>
      </c>
    </row>
    <row r="400" spans="1:6" x14ac:dyDescent="0.2">
      <c r="A400" s="23">
        <v>30158</v>
      </c>
      <c r="B400" s="25">
        <f>VLOOKUP(Table2634[[#This Row],[Date]],'DB Money Supply'!$A:$D,4)</f>
        <v>448.4</v>
      </c>
      <c r="C400" s="31">
        <f>(Table2634[[#This Row],[M1 Money Stock, Billions of Dollars, Weekly, Seasonally Adjusted]]-B399)/B399</f>
        <v>1.3398838767306072E-3</v>
      </c>
      <c r="D400" s="35">
        <f>((1+Table2634[[#This Row],[Weekly change]])^52)-1</f>
        <v>7.2108559524217908E-2</v>
      </c>
      <c r="E400" s="25">
        <f t="shared" si="6"/>
        <v>447.82500000000005</v>
      </c>
      <c r="F400" s="33">
        <f>(Table2634[[#This Row],[4 weeks average]]-B348)/B348</f>
        <v>5.0739089629282162E-2</v>
      </c>
    </row>
    <row r="401" spans="1:6" x14ac:dyDescent="0.2">
      <c r="A401" s="23">
        <v>30165</v>
      </c>
      <c r="B401" s="25">
        <f>VLOOKUP(Table2634[[#This Row],[Date]],'DB Money Supply'!$A:$D,4)</f>
        <v>448.5</v>
      </c>
      <c r="C401" s="31">
        <f>(Table2634[[#This Row],[M1 Money Stock, Billions of Dollars, Weekly, Seasonally Adjusted]]-B400)/B400</f>
        <v>2.2301516503127285E-4</v>
      </c>
      <c r="D401" s="35">
        <f>((1+Table2634[[#This Row],[Weekly change]])^52)-1</f>
        <v>1.166298400501864E-2</v>
      </c>
      <c r="E401" s="25">
        <f t="shared" si="6"/>
        <v>448.42499999999995</v>
      </c>
      <c r="F401" s="33">
        <f>(Table2634[[#This Row],[4 weeks average]]-B349)/B349</f>
        <v>5.2888001878375154E-2</v>
      </c>
    </row>
    <row r="402" spans="1:6" x14ac:dyDescent="0.2">
      <c r="A402" s="23">
        <v>30172</v>
      </c>
      <c r="B402" s="25">
        <f>VLOOKUP(Table2634[[#This Row],[Date]],'DB Money Supply'!$A:$D,4)</f>
        <v>449.6</v>
      </c>
      <c r="C402" s="31">
        <f>(Table2634[[#This Row],[M1 Money Stock, Billions of Dollars, Weekly, Seasonally Adjusted]]-B401)/B401</f>
        <v>2.4526198439242426E-3</v>
      </c>
      <c r="D402" s="35">
        <f>((1+Table2634[[#This Row],[Weekly change]])^52)-1</f>
        <v>0.13584865840939697</v>
      </c>
      <c r="E402" s="25">
        <f t="shared" si="6"/>
        <v>448.57500000000005</v>
      </c>
      <c r="F402" s="33">
        <f>(Table2634[[#This Row],[4 weeks average]]-B350)/B350</f>
        <v>4.5629370629370739E-2</v>
      </c>
    </row>
    <row r="403" spans="1:6" x14ac:dyDescent="0.2">
      <c r="A403" s="23">
        <v>30179</v>
      </c>
      <c r="B403" s="25">
        <f>VLOOKUP(Table2634[[#This Row],[Date]],'DB Money Supply'!$A:$D,4)</f>
        <v>451.2</v>
      </c>
      <c r="C403" s="31">
        <f>(Table2634[[#This Row],[M1 Money Stock, Billions of Dollars, Weekly, Seasonally Adjusted]]-B402)/B402</f>
        <v>3.5587188612098883E-3</v>
      </c>
      <c r="D403" s="35">
        <f>((1+Table2634[[#This Row],[Weekly change]])^52)-1</f>
        <v>0.20288746032512694</v>
      </c>
      <c r="E403" s="25">
        <f t="shared" si="6"/>
        <v>449.42500000000001</v>
      </c>
      <c r="F403" s="33">
        <f>(Table2634[[#This Row],[4 weeks average]]-B351)/B351</f>
        <v>5.4245836265540699E-2</v>
      </c>
    </row>
    <row r="404" spans="1:6" x14ac:dyDescent="0.2">
      <c r="A404" s="23">
        <v>30186</v>
      </c>
      <c r="B404" s="25">
        <f>VLOOKUP(Table2634[[#This Row],[Date]],'DB Money Supply'!$A:$D,4)</f>
        <v>452.3</v>
      </c>
      <c r="C404" s="31">
        <f>(Table2634[[#This Row],[M1 Money Stock, Billions of Dollars, Weekly, Seasonally Adjusted]]-B403)/B403</f>
        <v>2.4379432624113979E-3</v>
      </c>
      <c r="D404" s="35">
        <f>((1+Table2634[[#This Row],[Weekly change]])^52)-1</f>
        <v>0.13498424252296015</v>
      </c>
      <c r="E404" s="25">
        <f t="shared" si="6"/>
        <v>450.4</v>
      </c>
      <c r="F404" s="33">
        <f>(Table2634[[#This Row],[4 weeks average]]-B352)/B352</f>
        <v>5.7773602630342799E-2</v>
      </c>
    </row>
    <row r="405" spans="1:6" x14ac:dyDescent="0.2">
      <c r="A405" s="23">
        <v>30193</v>
      </c>
      <c r="B405" s="25">
        <f>VLOOKUP(Table2634[[#This Row],[Date]],'DB Money Supply'!$A:$D,4)</f>
        <v>453.1</v>
      </c>
      <c r="C405" s="31">
        <f>(Table2634[[#This Row],[M1 Money Stock, Billions of Dollars, Weekly, Seasonally Adjusted]]-B404)/B404</f>
        <v>1.7687375635640312E-3</v>
      </c>
      <c r="D405" s="35">
        <f>((1+Table2634[[#This Row],[Weekly change]])^52)-1</f>
        <v>9.6247637736268432E-2</v>
      </c>
      <c r="E405" s="25">
        <f t="shared" si="6"/>
        <v>451.54999999999995</v>
      </c>
      <c r="F405" s="33">
        <f>(Table2634[[#This Row],[4 weeks average]]-B353)/B353</f>
        <v>5.7494145199063124E-2</v>
      </c>
    </row>
    <row r="406" spans="1:6" x14ac:dyDescent="0.2">
      <c r="A406" s="23">
        <v>30200</v>
      </c>
      <c r="B406" s="25">
        <f>VLOOKUP(Table2634[[#This Row],[Date]],'DB Money Supply'!$A:$D,4)</f>
        <v>454.5</v>
      </c>
      <c r="C406" s="31">
        <f>(Table2634[[#This Row],[M1 Money Stock, Billions of Dollars, Weekly, Seasonally Adjusted]]-B405)/B405</f>
        <v>3.0898256455528079E-3</v>
      </c>
      <c r="D406" s="35">
        <f>((1+Table2634[[#This Row],[Weekly change]])^52)-1</f>
        <v>0.1740076306784919</v>
      </c>
      <c r="E406" s="25">
        <f t="shared" si="6"/>
        <v>452.77499999999998</v>
      </c>
      <c r="F406" s="33">
        <f>(Table2634[[#This Row],[4 weeks average]]-B354)/B354</f>
        <v>6.385103383458636E-2</v>
      </c>
    </row>
    <row r="407" spans="1:6" x14ac:dyDescent="0.2">
      <c r="A407" s="23">
        <v>30207</v>
      </c>
      <c r="B407" s="25">
        <f>VLOOKUP(Table2634[[#This Row],[Date]],'DB Money Supply'!$A:$D,4)</f>
        <v>456.6</v>
      </c>
      <c r="C407" s="31">
        <f>(Table2634[[#This Row],[M1 Money Stock, Billions of Dollars, Weekly, Seasonally Adjusted]]-B406)/B406</f>
        <v>4.6204620462046708E-3</v>
      </c>
      <c r="D407" s="35">
        <f>((1+Table2634[[#This Row],[Weekly change]])^52)-1</f>
        <v>0.27088138648219173</v>
      </c>
      <c r="E407" s="25">
        <f t="shared" si="6"/>
        <v>454.125</v>
      </c>
      <c r="F407" s="33">
        <f>(Table2634[[#This Row],[4 weeks average]]-B355)/B355</f>
        <v>5.8566433566433568E-2</v>
      </c>
    </row>
    <row r="408" spans="1:6" x14ac:dyDescent="0.2">
      <c r="A408" s="23">
        <v>30214</v>
      </c>
      <c r="B408" s="25">
        <f>VLOOKUP(Table2634[[#This Row],[Date]],'DB Money Supply'!$A:$D,4)</f>
        <v>458.2</v>
      </c>
      <c r="C408" s="31">
        <f>(Table2634[[#This Row],[M1 Money Stock, Billions of Dollars, Weekly, Seasonally Adjusted]]-B407)/B407</f>
        <v>3.5041611914147304E-3</v>
      </c>
      <c r="D408" s="35">
        <f>((1+Table2634[[#This Row],[Weekly change]])^52)-1</f>
        <v>0.19949168117822347</v>
      </c>
      <c r="E408" s="25">
        <f t="shared" si="6"/>
        <v>455.6</v>
      </c>
      <c r="F408" s="33">
        <f>(Table2634[[#This Row],[4 weeks average]]-B356)/B356</f>
        <v>6.3740368900303546E-2</v>
      </c>
    </row>
    <row r="409" spans="1:6" x14ac:dyDescent="0.2">
      <c r="A409" s="23">
        <v>30221</v>
      </c>
      <c r="B409" s="25">
        <f>VLOOKUP(Table2634[[#This Row],[Date]],'DB Money Supply'!$A:$D,4)</f>
        <v>456.6</v>
      </c>
      <c r="C409" s="31">
        <f>(Table2634[[#This Row],[M1 Money Stock, Billions of Dollars, Weekly, Seasonally Adjusted]]-B408)/B408</f>
        <v>-3.491924923614068E-3</v>
      </c>
      <c r="D409" s="35">
        <f>((1+Table2634[[#This Row],[Weekly change]])^52)-1</f>
        <v>-0.16631351789139837</v>
      </c>
      <c r="E409" s="25">
        <f t="shared" si="6"/>
        <v>456.47500000000002</v>
      </c>
      <c r="F409" s="33">
        <f>(Table2634[[#This Row],[4 weeks average]]-B357)/B357</f>
        <v>7.4311602730054244E-2</v>
      </c>
    </row>
    <row r="410" spans="1:6" x14ac:dyDescent="0.2">
      <c r="A410" s="23">
        <v>30228</v>
      </c>
      <c r="B410" s="25">
        <f>VLOOKUP(Table2634[[#This Row],[Date]],'DB Money Supply'!$A:$D,4)</f>
        <v>460</v>
      </c>
      <c r="C410" s="31">
        <f>(Table2634[[#This Row],[M1 Money Stock, Billions of Dollars, Weekly, Seasonally Adjusted]]-B409)/B409</f>
        <v>7.4463425317564105E-3</v>
      </c>
      <c r="D410" s="35">
        <f>((1+Table2634[[#This Row],[Weekly change]])^52)-1</f>
        <v>0.47075412602538314</v>
      </c>
      <c r="E410" s="25">
        <f t="shared" si="6"/>
        <v>457.85</v>
      </c>
      <c r="F410" s="33">
        <f>(Table2634[[#This Row],[4 weeks average]]-B358)/B358</f>
        <v>7.2248243559719025E-2</v>
      </c>
    </row>
    <row r="411" spans="1:6" x14ac:dyDescent="0.2">
      <c r="A411" s="23">
        <v>30235</v>
      </c>
      <c r="B411" s="25">
        <f>VLOOKUP(Table2634[[#This Row],[Date]],'DB Money Supply'!$A:$D,4)</f>
        <v>463.3</v>
      </c>
      <c r="C411" s="31">
        <f>(Table2634[[#This Row],[M1 Money Stock, Billions of Dollars, Weekly, Seasonally Adjusted]]-B410)/B410</f>
        <v>7.1739130434782857E-3</v>
      </c>
      <c r="D411" s="35">
        <f>((1+Table2634[[#This Row],[Weekly change]])^52)-1</f>
        <v>0.45021490073170289</v>
      </c>
      <c r="E411" s="25">
        <f t="shared" si="6"/>
        <v>459.52499999999998</v>
      </c>
      <c r="F411" s="33">
        <f>(Table2634[[#This Row],[4 weeks average]]-B359)/B359</f>
        <v>7.2904506187251847E-2</v>
      </c>
    </row>
    <row r="412" spans="1:6" x14ac:dyDescent="0.2">
      <c r="A412" s="23">
        <v>30242</v>
      </c>
      <c r="B412" s="25">
        <f>VLOOKUP(Table2634[[#This Row],[Date]],'DB Money Supply'!$A:$D,4)</f>
        <v>463.9</v>
      </c>
      <c r="C412" s="31">
        <f>(Table2634[[#This Row],[M1 Money Stock, Billions of Dollars, Weekly, Seasonally Adjusted]]-B411)/B411</f>
        <v>1.2950571983595205E-3</v>
      </c>
      <c r="D412" s="35">
        <f>((1+Table2634[[#This Row],[Weekly change]])^52)-1</f>
        <v>6.9615678974172868E-2</v>
      </c>
      <c r="E412" s="25">
        <f t="shared" si="6"/>
        <v>460.95000000000005</v>
      </c>
      <c r="F412" s="33">
        <f>(Table2634[[#This Row],[4 weeks average]]-B360)/B360</f>
        <v>7.4726043366752315E-2</v>
      </c>
    </row>
    <row r="413" spans="1:6" x14ac:dyDescent="0.2">
      <c r="A413" s="23">
        <v>30249</v>
      </c>
      <c r="B413" s="25">
        <f>VLOOKUP(Table2634[[#This Row],[Date]],'DB Money Supply'!$A:$D,4)</f>
        <v>465.5</v>
      </c>
      <c r="C413" s="31">
        <f>(Table2634[[#This Row],[M1 Money Stock, Billions of Dollars, Weekly, Seasonally Adjusted]]-B412)/B412</f>
        <v>3.4490191851692669E-3</v>
      </c>
      <c r="D413" s="35">
        <f>((1+Table2634[[#This Row],[Weekly change]])^52)-1</f>
        <v>0.19606908577973359</v>
      </c>
      <c r="E413" s="25">
        <f t="shared" si="6"/>
        <v>463.17499999999995</v>
      </c>
      <c r="F413" s="33">
        <f>(Table2634[[#This Row],[4 weeks average]]-B361)/B361</f>
        <v>7.9913732804849563E-2</v>
      </c>
    </row>
    <row r="414" spans="1:6" x14ac:dyDescent="0.2">
      <c r="A414" s="23">
        <v>30256</v>
      </c>
      <c r="B414" s="25">
        <f>VLOOKUP(Table2634[[#This Row],[Date]],'DB Money Supply'!$A:$D,4)</f>
        <v>468.7</v>
      </c>
      <c r="C414" s="31">
        <f>(Table2634[[#This Row],[M1 Money Stock, Billions of Dollars, Weekly, Seasonally Adjusted]]-B413)/B413</f>
        <v>6.8743286788399329E-3</v>
      </c>
      <c r="D414" s="35">
        <f>((1+Table2634[[#This Row],[Weekly change]])^52)-1</f>
        <v>0.42795310965184763</v>
      </c>
      <c r="E414" s="25">
        <f t="shared" si="6"/>
        <v>465.35</v>
      </c>
      <c r="F414" s="33">
        <f>(Table2634[[#This Row],[4 weeks average]]-B362)/B362</f>
        <v>8.6504786364697661E-2</v>
      </c>
    </row>
    <row r="415" spans="1:6" x14ac:dyDescent="0.2">
      <c r="A415" s="23">
        <v>30263</v>
      </c>
      <c r="B415" s="25">
        <f>VLOOKUP(Table2634[[#This Row],[Date]],'DB Money Supply'!$A:$D,4)</f>
        <v>470.4</v>
      </c>
      <c r="C415" s="31">
        <f>(Table2634[[#This Row],[M1 Money Stock, Billions of Dollars, Weekly, Seasonally Adjusted]]-B414)/B414</f>
        <v>3.6270535523788964E-3</v>
      </c>
      <c r="D415" s="35">
        <f>((1+Table2634[[#This Row],[Weekly change]])^52)-1</f>
        <v>0.20715405197878201</v>
      </c>
      <c r="E415" s="25">
        <f t="shared" si="6"/>
        <v>467.125</v>
      </c>
      <c r="F415" s="33">
        <f>(Table2634[[#This Row],[4 weeks average]]-B363)/B363</f>
        <v>8.4823502090106764E-2</v>
      </c>
    </row>
    <row r="416" spans="1:6" x14ac:dyDescent="0.2">
      <c r="A416" s="23">
        <v>30270</v>
      </c>
      <c r="B416" s="25">
        <f>VLOOKUP(Table2634[[#This Row],[Date]],'DB Money Supply'!$A:$D,4)</f>
        <v>472.1</v>
      </c>
      <c r="C416" s="31">
        <f>(Table2634[[#This Row],[M1 Money Stock, Billions of Dollars, Weekly, Seasonally Adjusted]]-B415)/B415</f>
        <v>3.6139455782313893E-3</v>
      </c>
      <c r="D416" s="35">
        <f>((1+Table2634[[#This Row],[Weekly change]])^52)-1</f>
        <v>0.20633448467452475</v>
      </c>
      <c r="E416" s="25">
        <f t="shared" si="6"/>
        <v>469.17499999999995</v>
      </c>
      <c r="F416" s="33">
        <f>(Table2634[[#This Row],[4 weeks average]]-B364)/B364</f>
        <v>8.7563745943439908E-2</v>
      </c>
    </row>
    <row r="417" spans="1:6" x14ac:dyDescent="0.2">
      <c r="A417" s="23">
        <v>30277</v>
      </c>
      <c r="B417" s="25">
        <f>VLOOKUP(Table2634[[#This Row],[Date]],'DB Money Supply'!$A:$D,4)</f>
        <v>471.9</v>
      </c>
      <c r="C417" s="31">
        <f>(Table2634[[#This Row],[M1 Money Stock, Billions of Dollars, Weekly, Seasonally Adjusted]]-B416)/B416</f>
        <v>-4.2363905952138415E-4</v>
      </c>
      <c r="D417" s="35">
        <f>((1+Table2634[[#This Row],[Weekly change]])^52)-1</f>
        <v>-2.1792925395180407E-2</v>
      </c>
      <c r="E417" s="25">
        <f t="shared" si="6"/>
        <v>470.77499999999998</v>
      </c>
      <c r="F417" s="33">
        <f>(Table2634[[#This Row],[4 weeks average]]-B365)/B365</f>
        <v>9.3808085501858735E-2</v>
      </c>
    </row>
    <row r="418" spans="1:6" x14ac:dyDescent="0.2">
      <c r="A418" s="23">
        <v>30284</v>
      </c>
      <c r="B418" s="25">
        <f>VLOOKUP(Table2634[[#This Row],[Date]],'DB Money Supply'!$A:$D,4)</f>
        <v>471.5</v>
      </c>
      <c r="C418" s="31">
        <f>(Table2634[[#This Row],[M1 Money Stock, Billions of Dollars, Weekly, Seasonally Adjusted]]-B417)/B417</f>
        <v>-8.4763721127352682E-4</v>
      </c>
      <c r="D418" s="35">
        <f>((1+Table2634[[#This Row],[Weekly change]])^52)-1</f>
        <v>-4.3137739451310275E-2</v>
      </c>
      <c r="E418" s="25">
        <f t="shared" si="6"/>
        <v>471.47500000000002</v>
      </c>
      <c r="F418" s="33">
        <f>(Table2634[[#This Row],[4 weeks average]]-B366)/B366</f>
        <v>8.7600922722030045E-2</v>
      </c>
    </row>
    <row r="419" spans="1:6" x14ac:dyDescent="0.2">
      <c r="A419" s="23">
        <v>30291</v>
      </c>
      <c r="B419" s="25">
        <f>VLOOKUP(Table2634[[#This Row],[Date]],'DB Money Supply'!$A:$D,4)</f>
        <v>474.2</v>
      </c>
      <c r="C419" s="31">
        <f>(Table2634[[#This Row],[M1 Money Stock, Billions of Dollars, Weekly, Seasonally Adjusted]]-B418)/B418</f>
        <v>5.7264050901378342E-3</v>
      </c>
      <c r="D419" s="35">
        <f>((1+Table2634[[#This Row],[Weekly change]])^52)-1</f>
        <v>0.34571264592510587</v>
      </c>
      <c r="E419" s="25">
        <f t="shared" si="6"/>
        <v>472.42500000000001</v>
      </c>
      <c r="F419" s="33">
        <f>(Table2634[[#This Row],[4 weeks average]]-B367)/B367</f>
        <v>8.3046767537826735E-2</v>
      </c>
    </row>
    <row r="420" spans="1:6" x14ac:dyDescent="0.2">
      <c r="A420" s="23">
        <v>30298</v>
      </c>
      <c r="B420" s="25">
        <f>VLOOKUP(Table2634[[#This Row],[Date]],'DB Money Supply'!$A:$D,4)</f>
        <v>477.1</v>
      </c>
      <c r="C420" s="31">
        <f>(Table2634[[#This Row],[M1 Money Stock, Billions of Dollars, Weekly, Seasonally Adjusted]]-B419)/B419</f>
        <v>6.1155630535639693E-3</v>
      </c>
      <c r="D420" s="35">
        <f>((1+Table2634[[#This Row],[Weekly change]])^52)-1</f>
        <v>0.3730586222189185</v>
      </c>
      <c r="E420" s="25">
        <f t="shared" si="6"/>
        <v>473.67499999999995</v>
      </c>
      <c r="F420" s="33">
        <f>(Table2634[[#This Row],[4 weeks average]]-B368)/B368</f>
        <v>8.8657779820730712E-2</v>
      </c>
    </row>
    <row r="421" spans="1:6" x14ac:dyDescent="0.2">
      <c r="A421" s="23">
        <v>30305</v>
      </c>
      <c r="B421" s="25">
        <f>VLOOKUP(Table2634[[#This Row],[Date]],'DB Money Supply'!$A:$D,4)</f>
        <v>475.2</v>
      </c>
      <c r="C421" s="31">
        <f>(Table2634[[#This Row],[M1 Money Stock, Billions of Dollars, Weekly, Seasonally Adjusted]]-B420)/B420</f>
        <v>-3.9823936281702665E-3</v>
      </c>
      <c r="D421" s="35">
        <f>((1+Table2634[[#This Row],[Weekly change]])^52)-1</f>
        <v>-0.18738506199945892</v>
      </c>
      <c r="E421" s="25">
        <f t="shared" si="6"/>
        <v>474.50000000000006</v>
      </c>
      <c r="F421" s="33">
        <f>(Table2634[[#This Row],[4 weeks average]]-B369)/B369</f>
        <v>8.5315645013723851E-2</v>
      </c>
    </row>
    <row r="422" spans="1:6" x14ac:dyDescent="0.2">
      <c r="A422" s="23">
        <v>30312</v>
      </c>
      <c r="B422" s="25">
        <f>VLOOKUP(Table2634[[#This Row],[Date]],'DB Money Supply'!$A:$D,4)</f>
        <v>473.9</v>
      </c>
      <c r="C422" s="31">
        <f>(Table2634[[#This Row],[M1 Money Stock, Billions of Dollars, Weekly, Seasonally Adjusted]]-B421)/B421</f>
        <v>-2.7356902356902597E-3</v>
      </c>
      <c r="D422" s="35">
        <f>((1+Table2634[[#This Row],[Weekly change]])^52)-1</f>
        <v>-0.1327698066902846</v>
      </c>
      <c r="E422" s="25">
        <f t="shared" si="6"/>
        <v>475.1</v>
      </c>
      <c r="F422" s="33">
        <f>(Table2634[[#This Row],[4 weeks average]]-B370)/B370</f>
        <v>8.793221891458676E-2</v>
      </c>
    </row>
    <row r="423" spans="1:6" x14ac:dyDescent="0.2">
      <c r="A423" s="23">
        <v>30319</v>
      </c>
      <c r="B423" s="25">
        <f>VLOOKUP(Table2634[[#This Row],[Date]],'DB Money Supply'!$A:$D,4)</f>
        <v>472.6</v>
      </c>
      <c r="C423" s="31">
        <f>(Table2634[[#This Row],[M1 Money Stock, Billions of Dollars, Weekly, Seasonally Adjusted]]-B422)/B422</f>
        <v>-2.7431947668283491E-3</v>
      </c>
      <c r="D423" s="35">
        <f>((1+Table2634[[#This Row],[Weekly change]])^52)-1</f>
        <v>-0.13310909405464355</v>
      </c>
      <c r="E423" s="25">
        <f t="shared" si="6"/>
        <v>474.69999999999993</v>
      </c>
      <c r="F423" s="33">
        <f>(Table2634[[#This Row],[4 weeks average]]-B371)/B371</f>
        <v>7.8373466606088016E-2</v>
      </c>
    </row>
    <row r="424" spans="1:6" x14ac:dyDescent="0.2">
      <c r="A424" s="23">
        <v>30326</v>
      </c>
      <c r="B424" s="25">
        <f>VLOOKUP(Table2634[[#This Row],[Date]],'DB Money Supply'!$A:$D,4)</f>
        <v>475.3</v>
      </c>
      <c r="C424" s="31">
        <f>(Table2634[[#This Row],[M1 Money Stock, Billions of Dollars, Weekly, Seasonally Adjusted]]-B423)/B423</f>
        <v>5.7130765975454689E-3</v>
      </c>
      <c r="D424" s="35">
        <f>((1+Table2634[[#This Row],[Weekly change]])^52)-1</f>
        <v>0.34478558110461344</v>
      </c>
      <c r="E424" s="25">
        <f t="shared" si="6"/>
        <v>474.24999999999994</v>
      </c>
      <c r="F424" s="33">
        <f>(Table2634[[#This Row],[4 weeks average]]-B372)/B372</f>
        <v>7.1267223853625383E-2</v>
      </c>
    </row>
    <row r="425" spans="1:6" x14ac:dyDescent="0.2">
      <c r="A425" s="23">
        <v>30333</v>
      </c>
      <c r="B425" s="25">
        <f>VLOOKUP(Table2634[[#This Row],[Date]],'DB Money Supply'!$A:$D,4)</f>
        <v>477.2</v>
      </c>
      <c r="C425" s="31">
        <f>(Table2634[[#This Row],[M1 Money Stock, Billions of Dollars, Weekly, Seasonally Adjusted]]-B424)/B424</f>
        <v>3.9974752787712547E-3</v>
      </c>
      <c r="D425" s="35">
        <f>((1+Table2634[[#This Row],[Weekly change]])^52)-1</f>
        <v>0.23054153321182969</v>
      </c>
      <c r="E425" s="25">
        <f t="shared" si="6"/>
        <v>474.75</v>
      </c>
      <c r="F425" s="33">
        <f>(Table2634[[#This Row],[4 weeks average]]-B373)/B373</f>
        <v>7.2154471544715423E-2</v>
      </c>
    </row>
    <row r="426" spans="1:6" x14ac:dyDescent="0.2">
      <c r="A426" s="23">
        <v>30340</v>
      </c>
      <c r="B426" s="25">
        <f>VLOOKUP(Table2634[[#This Row],[Date]],'DB Money Supply'!$A:$D,4)</f>
        <v>478.4</v>
      </c>
      <c r="C426" s="31">
        <f>(Table2634[[#This Row],[M1 Money Stock, Billions of Dollars, Weekly, Seasonally Adjusted]]-B425)/B425</f>
        <v>2.514668901927889E-3</v>
      </c>
      <c r="D426" s="35">
        <f>((1+Table2634[[#This Row],[Weekly change]])^52)-1</f>
        <v>0.1395103418694883</v>
      </c>
      <c r="E426" s="25">
        <f t="shared" si="6"/>
        <v>475.875</v>
      </c>
      <c r="F426" s="33">
        <f>(Table2634[[#This Row],[4 weeks average]]-B374)/B374</f>
        <v>7.4937881183645833E-2</v>
      </c>
    </row>
    <row r="427" spans="1:6" x14ac:dyDescent="0.2">
      <c r="A427" s="23">
        <v>30347</v>
      </c>
      <c r="B427" s="25">
        <f>VLOOKUP(Table2634[[#This Row],[Date]],'DB Money Supply'!$A:$D,4)</f>
        <v>479.7</v>
      </c>
      <c r="C427" s="31">
        <f>(Table2634[[#This Row],[M1 Money Stock, Billions of Dollars, Weekly, Seasonally Adjusted]]-B426)/B426</f>
        <v>2.7173913043478499E-3</v>
      </c>
      <c r="D427" s="35">
        <f>((1+Table2634[[#This Row],[Weekly change]])^52)-1</f>
        <v>0.1515544269848681</v>
      </c>
      <c r="E427" s="25">
        <f t="shared" si="6"/>
        <v>477.65000000000003</v>
      </c>
      <c r="F427" s="33">
        <f>(Table2634[[#This Row],[4 weeks average]]-B375)/B375</f>
        <v>7.5303917154435046E-2</v>
      </c>
    </row>
    <row r="428" spans="1:6" x14ac:dyDescent="0.2">
      <c r="A428" s="23">
        <v>30354</v>
      </c>
      <c r="B428" s="25">
        <f>VLOOKUP(Table2634[[#This Row],[Date]],'DB Money Supply'!$A:$D,4)</f>
        <v>482.3</v>
      </c>
      <c r="C428" s="31">
        <f>(Table2634[[#This Row],[M1 Money Stock, Billions of Dollars, Weekly, Seasonally Adjusted]]-B427)/B427</f>
        <v>5.4200542005420531E-3</v>
      </c>
      <c r="D428" s="35">
        <f>((1+Table2634[[#This Row],[Weekly change]])^52)-1</f>
        <v>0.32456190294637977</v>
      </c>
      <c r="E428" s="25">
        <f t="shared" si="6"/>
        <v>479.4</v>
      </c>
      <c r="F428" s="33">
        <f>(Table2634[[#This Row],[4 weeks average]]-B376)/B376</f>
        <v>8.6335825968728672E-2</v>
      </c>
    </row>
    <row r="429" spans="1:6" x14ac:dyDescent="0.2">
      <c r="A429" s="23">
        <v>30361</v>
      </c>
      <c r="B429" s="25">
        <f>VLOOKUP(Table2634[[#This Row],[Date]],'DB Money Supply'!$A:$D,4)</f>
        <v>483.4</v>
      </c>
      <c r="C429" s="31">
        <f>(Table2634[[#This Row],[M1 Money Stock, Billions of Dollars, Weekly, Seasonally Adjusted]]-B428)/B428</f>
        <v>2.2807381297946629E-3</v>
      </c>
      <c r="D429" s="35">
        <f>((1+Table2634[[#This Row],[Weekly change]])^52)-1</f>
        <v>0.12576560515580493</v>
      </c>
      <c r="E429" s="25">
        <f t="shared" si="6"/>
        <v>480.94999999999993</v>
      </c>
      <c r="F429" s="33">
        <f>(Table2634[[#This Row],[4 weeks average]]-B377)/B377</f>
        <v>8.7384128419624507E-2</v>
      </c>
    </row>
    <row r="430" spans="1:6" x14ac:dyDescent="0.2">
      <c r="A430" s="23">
        <v>30368</v>
      </c>
      <c r="B430" s="25">
        <f>VLOOKUP(Table2634[[#This Row],[Date]],'DB Money Supply'!$A:$D,4)</f>
        <v>483.9</v>
      </c>
      <c r="C430" s="31">
        <f>(Table2634[[#This Row],[M1 Money Stock, Billions of Dollars, Weekly, Seasonally Adjusted]]-B429)/B429</f>
        <v>1.034340091021928E-3</v>
      </c>
      <c r="D430" s="35">
        <f>((1+Table2634[[#This Row],[Weekly change]])^52)-1</f>
        <v>5.5229087129581078E-2</v>
      </c>
      <c r="E430" s="25">
        <f t="shared" si="6"/>
        <v>482.32500000000005</v>
      </c>
      <c r="F430" s="33">
        <f>(Table2634[[#This Row],[4 weeks average]]-B378)/B378</f>
        <v>9.2221467391304393E-2</v>
      </c>
    </row>
    <row r="431" spans="1:6" x14ac:dyDescent="0.2">
      <c r="A431" s="23">
        <v>30375</v>
      </c>
      <c r="B431" s="25">
        <f>VLOOKUP(Table2634[[#This Row],[Date]],'DB Money Supply'!$A:$D,4)</f>
        <v>487.5</v>
      </c>
      <c r="C431" s="31">
        <f>(Table2634[[#This Row],[M1 Money Stock, Billions of Dollars, Weekly, Seasonally Adjusted]]-B430)/B430</f>
        <v>7.43955362678244E-3</v>
      </c>
      <c r="D431" s="35">
        <f>((1+Table2634[[#This Row],[Weekly change]])^52)-1</f>
        <v>0.47023884209569444</v>
      </c>
      <c r="E431" s="25">
        <f t="shared" si="6"/>
        <v>484.27499999999998</v>
      </c>
      <c r="F431" s="33">
        <f>(Table2634[[#This Row],[4 weeks average]]-B379)/B379</f>
        <v>9.5149253731343267E-2</v>
      </c>
    </row>
    <row r="432" spans="1:6" x14ac:dyDescent="0.2">
      <c r="A432" s="23">
        <v>30382</v>
      </c>
      <c r="B432" s="25">
        <f>VLOOKUP(Table2634[[#This Row],[Date]],'DB Money Supply'!$A:$D,4)</f>
        <v>489.6</v>
      </c>
      <c r="C432" s="31">
        <f>(Table2634[[#This Row],[M1 Money Stock, Billions of Dollars, Weekly, Seasonally Adjusted]]-B431)/B431</f>
        <v>4.3076923076923544E-3</v>
      </c>
      <c r="D432" s="35">
        <f>((1+Table2634[[#This Row],[Weekly change]])^52)-1</f>
        <v>0.25046929834550902</v>
      </c>
      <c r="E432" s="25">
        <f t="shared" si="6"/>
        <v>486.1</v>
      </c>
      <c r="F432" s="33">
        <f>(Table2634[[#This Row],[4 weeks average]]-B380)/B380</f>
        <v>9.9524994345170772E-2</v>
      </c>
    </row>
    <row r="433" spans="1:6" x14ac:dyDescent="0.2">
      <c r="A433" s="23">
        <v>30389</v>
      </c>
      <c r="B433" s="25">
        <f>VLOOKUP(Table2634[[#This Row],[Date]],'DB Money Supply'!$A:$D,4)</f>
        <v>489.6</v>
      </c>
      <c r="C433" s="31">
        <f>(Table2634[[#This Row],[M1 Money Stock, Billions of Dollars, Weekly, Seasonally Adjusted]]-B432)/B432</f>
        <v>0</v>
      </c>
      <c r="D433" s="35">
        <f>((1+Table2634[[#This Row],[Weekly change]])^52)-1</f>
        <v>0</v>
      </c>
      <c r="E433" s="25">
        <f t="shared" si="6"/>
        <v>487.65</v>
      </c>
      <c r="F433" s="33">
        <f>(Table2634[[#This Row],[4 weeks average]]-B381)/B381</f>
        <v>9.9797023004059543E-2</v>
      </c>
    </row>
    <row r="434" spans="1:6" x14ac:dyDescent="0.2">
      <c r="A434" s="23">
        <v>30396</v>
      </c>
      <c r="B434" s="25">
        <f>VLOOKUP(Table2634[[#This Row],[Date]],'DB Money Supply'!$A:$D,4)</f>
        <v>490.9</v>
      </c>
      <c r="C434" s="31">
        <f>(Table2634[[#This Row],[M1 Money Stock, Billions of Dollars, Weekly, Seasonally Adjusted]]-B433)/B433</f>
        <v>2.6552287581698415E-3</v>
      </c>
      <c r="D434" s="35">
        <f>((1+Table2634[[#This Row],[Weekly change]])^52)-1</f>
        <v>0.14784803222734522</v>
      </c>
      <c r="E434" s="25">
        <f t="shared" si="6"/>
        <v>489.4</v>
      </c>
      <c r="F434" s="33">
        <f>(Table2634[[#This Row],[4 weeks average]]-B382)/B382</f>
        <v>0.10623869801084991</v>
      </c>
    </row>
    <row r="435" spans="1:6" x14ac:dyDescent="0.2">
      <c r="A435" s="23">
        <v>30403</v>
      </c>
      <c r="B435" s="25">
        <f>VLOOKUP(Table2634[[#This Row],[Date]],'DB Money Supply'!$A:$D,4)</f>
        <v>491</v>
      </c>
      <c r="C435" s="31">
        <f>(Table2634[[#This Row],[M1 Money Stock, Billions of Dollars, Weekly, Seasonally Adjusted]]-B434)/B434</f>
        <v>2.0370747606441789E-4</v>
      </c>
      <c r="D435" s="35">
        <f>((1+Table2634[[#This Row],[Weekly change]])^52)-1</f>
        <v>1.0648000709737593E-2</v>
      </c>
      <c r="E435" s="25">
        <f t="shared" si="6"/>
        <v>490.27499999999998</v>
      </c>
      <c r="F435" s="33">
        <f>(Table2634[[#This Row],[4 weeks average]]-B383)/B383</f>
        <v>0.10821654611211574</v>
      </c>
    </row>
    <row r="436" spans="1:6" x14ac:dyDescent="0.2">
      <c r="A436" s="23">
        <v>30410</v>
      </c>
      <c r="B436" s="25">
        <f>VLOOKUP(Table2634[[#This Row],[Date]],'DB Money Supply'!$A:$D,4)</f>
        <v>493.4</v>
      </c>
      <c r="C436" s="31">
        <f>(Table2634[[#This Row],[M1 Money Stock, Billions of Dollars, Weekly, Seasonally Adjusted]]-B435)/B435</f>
        <v>4.8879837067209312E-3</v>
      </c>
      <c r="D436" s="35">
        <f>((1+Table2634[[#This Row],[Weekly change]])^52)-1</f>
        <v>0.28859949733765489</v>
      </c>
      <c r="E436" s="25">
        <f t="shared" si="6"/>
        <v>491.22500000000002</v>
      </c>
      <c r="F436" s="33">
        <f>(Table2634[[#This Row],[4 weeks average]]-B384)/B384</f>
        <v>0.10338050314465416</v>
      </c>
    </row>
    <row r="437" spans="1:6" x14ac:dyDescent="0.2">
      <c r="A437" s="23">
        <v>30417</v>
      </c>
      <c r="B437" s="25">
        <f>VLOOKUP(Table2634[[#This Row],[Date]],'DB Money Supply'!$A:$D,4)</f>
        <v>493.7</v>
      </c>
      <c r="C437" s="31">
        <f>(Table2634[[#This Row],[M1 Money Stock, Billions of Dollars, Weekly, Seasonally Adjusted]]-B436)/B436</f>
        <v>6.0802594244023381E-4</v>
      </c>
      <c r="D437" s="35">
        <f>((1+Table2634[[#This Row],[Weekly change]])^52)-1</f>
        <v>3.2112570257157635E-2</v>
      </c>
      <c r="E437" s="25">
        <f t="shared" si="6"/>
        <v>492.25</v>
      </c>
      <c r="F437" s="33">
        <f>(Table2634[[#This Row],[4 weeks average]]-B385)/B385</f>
        <v>9.9754244861483418E-2</v>
      </c>
    </row>
    <row r="438" spans="1:6" x14ac:dyDescent="0.2">
      <c r="A438" s="23">
        <v>30424</v>
      </c>
      <c r="B438" s="25">
        <f>VLOOKUP(Table2634[[#This Row],[Date]],'DB Money Supply'!$A:$D,4)</f>
        <v>491.2</v>
      </c>
      <c r="C438" s="31">
        <f>(Table2634[[#This Row],[M1 Money Stock, Billions of Dollars, Weekly, Seasonally Adjusted]]-B437)/B437</f>
        <v>-5.0638039295118498E-3</v>
      </c>
      <c r="D438" s="35">
        <f>((1+Table2634[[#This Row],[Weekly change]])^52)-1</f>
        <v>-0.23201629112208111</v>
      </c>
      <c r="E438" s="25">
        <f t="shared" si="6"/>
        <v>492.32499999999999</v>
      </c>
      <c r="F438" s="33">
        <f>(Table2634[[#This Row],[4 weeks average]]-B386)/B386</f>
        <v>9.7714604236343344E-2</v>
      </c>
    </row>
    <row r="439" spans="1:6" x14ac:dyDescent="0.2">
      <c r="A439" s="23">
        <v>30431</v>
      </c>
      <c r="B439" s="25">
        <f>VLOOKUP(Table2634[[#This Row],[Date]],'DB Money Supply'!$A:$D,4)</f>
        <v>492.5</v>
      </c>
      <c r="C439" s="31">
        <f>(Table2634[[#This Row],[M1 Money Stock, Billions of Dollars, Weekly, Seasonally Adjusted]]-B438)/B438</f>
        <v>2.6465798045602839E-3</v>
      </c>
      <c r="D439" s="35">
        <f>((1+Table2634[[#This Row],[Weekly change]])^52)-1</f>
        <v>0.14733327298099419</v>
      </c>
      <c r="E439" s="25">
        <f t="shared" si="6"/>
        <v>492.7</v>
      </c>
      <c r="F439" s="33">
        <f>(Table2634[[#This Row],[4 weeks average]]-B387)/B387</f>
        <v>0.10051373687737325</v>
      </c>
    </row>
    <row r="440" spans="1:6" x14ac:dyDescent="0.2">
      <c r="A440" s="23">
        <v>30438</v>
      </c>
      <c r="B440" s="25">
        <f>VLOOKUP(Table2634[[#This Row],[Date]],'DB Money Supply'!$A:$D,4)</f>
        <v>496</v>
      </c>
      <c r="C440" s="31">
        <f>(Table2634[[#This Row],[M1 Money Stock, Billions of Dollars, Weekly, Seasonally Adjusted]]-B439)/B439</f>
        <v>7.1065989847715737E-3</v>
      </c>
      <c r="D440" s="35">
        <f>((1+Table2634[[#This Row],[Weekly change]])^52)-1</f>
        <v>0.44518340569237136</v>
      </c>
      <c r="E440" s="25">
        <f t="shared" si="6"/>
        <v>493.35</v>
      </c>
      <c r="F440" s="33">
        <f>(Table2634[[#This Row],[4 weeks average]]-B388)/B388</f>
        <v>0.1079047832921626</v>
      </c>
    </row>
    <row r="441" spans="1:6" x14ac:dyDescent="0.2">
      <c r="A441" s="23">
        <v>30445</v>
      </c>
      <c r="B441" s="25">
        <f>VLOOKUP(Table2634[[#This Row],[Date]],'DB Money Supply'!$A:$D,4)</f>
        <v>497.5</v>
      </c>
      <c r="C441" s="31">
        <f>(Table2634[[#This Row],[M1 Money Stock, Billions of Dollars, Weekly, Seasonally Adjusted]]-B440)/B440</f>
        <v>3.0241935483870967E-3</v>
      </c>
      <c r="D441" s="35">
        <f>((1+Table2634[[#This Row],[Weekly change]])^52)-1</f>
        <v>0.17001989557896513</v>
      </c>
      <c r="E441" s="25">
        <f t="shared" si="6"/>
        <v>494.3</v>
      </c>
      <c r="F441" s="33">
        <f>(Table2634[[#This Row],[4 weeks average]]-B389)/B389</f>
        <v>0.10532200357781758</v>
      </c>
    </row>
    <row r="442" spans="1:6" x14ac:dyDescent="0.2">
      <c r="A442" s="23">
        <v>30452</v>
      </c>
      <c r="B442" s="25">
        <f>VLOOKUP(Table2634[[#This Row],[Date]],'DB Money Supply'!$A:$D,4)</f>
        <v>501.3</v>
      </c>
      <c r="C442" s="31">
        <f>(Table2634[[#This Row],[M1 Money Stock, Billions of Dollars, Weekly, Seasonally Adjusted]]-B441)/B441</f>
        <v>7.6381909547738923E-3</v>
      </c>
      <c r="D442" s="35">
        <f>((1+Table2634[[#This Row],[Weekly change]])^52)-1</f>
        <v>0.48538904169364305</v>
      </c>
      <c r="E442" s="25">
        <f t="shared" si="6"/>
        <v>496.82499999999999</v>
      </c>
      <c r="F442" s="33">
        <f>(Table2634[[#This Row],[4 weeks average]]-B390)/B390</f>
        <v>0.11420722135007852</v>
      </c>
    </row>
    <row r="443" spans="1:6" x14ac:dyDescent="0.2">
      <c r="A443" s="23">
        <v>30459</v>
      </c>
      <c r="B443" s="25">
        <f>VLOOKUP(Table2634[[#This Row],[Date]],'DB Money Supply'!$A:$D,4)</f>
        <v>500.9</v>
      </c>
      <c r="C443" s="31">
        <f>(Table2634[[#This Row],[M1 Money Stock, Billions of Dollars, Weekly, Seasonally Adjusted]]-B442)/B442</f>
        <v>-7.9792539397573127E-4</v>
      </c>
      <c r="D443" s="35">
        <f>((1+Table2634[[#This Row],[Weekly change]])^52)-1</f>
        <v>-4.0658994754433797E-2</v>
      </c>
      <c r="E443" s="25">
        <f t="shared" si="6"/>
        <v>498.92499999999995</v>
      </c>
      <c r="F443" s="33">
        <f>(Table2634[[#This Row],[4 weeks average]]-B391)/B391</f>
        <v>0.11591366584656661</v>
      </c>
    </row>
    <row r="444" spans="1:6" x14ac:dyDescent="0.2">
      <c r="A444" s="23">
        <v>30466</v>
      </c>
      <c r="B444" s="25">
        <f>VLOOKUP(Table2634[[#This Row],[Date]],'DB Money Supply'!$A:$D,4)</f>
        <v>501</v>
      </c>
      <c r="C444" s="31">
        <f>(Table2634[[#This Row],[M1 Money Stock, Billions of Dollars, Weekly, Seasonally Adjusted]]-B443)/B443</f>
        <v>1.9964064683574114E-4</v>
      </c>
      <c r="D444" s="35">
        <f>((1+Table2634[[#This Row],[Weekly change]])^52)-1</f>
        <v>1.0434339485358102E-2</v>
      </c>
      <c r="E444" s="25">
        <f t="shared" si="6"/>
        <v>500.17499999999995</v>
      </c>
      <c r="F444" s="33">
        <f>(Table2634[[#This Row],[4 weeks average]]-B392)/B392</f>
        <v>0.11795932051855158</v>
      </c>
    </row>
    <row r="445" spans="1:6" x14ac:dyDescent="0.2">
      <c r="A445" s="23">
        <v>30473</v>
      </c>
      <c r="B445" s="25">
        <f>VLOOKUP(Table2634[[#This Row],[Date]],'DB Money Supply'!$A:$D,4)</f>
        <v>502.6</v>
      </c>
      <c r="C445" s="31">
        <f>(Table2634[[#This Row],[M1 Money Stock, Billions of Dollars, Weekly, Seasonally Adjusted]]-B444)/B444</f>
        <v>3.1936127744511432E-3</v>
      </c>
      <c r="D445" s="35">
        <f>((1+Table2634[[#This Row],[Weekly change]])^52)-1</f>
        <v>0.18034084596521072</v>
      </c>
      <c r="E445" s="25">
        <f t="shared" si="6"/>
        <v>501.45000000000005</v>
      </c>
      <c r="F445" s="33">
        <f>(Table2634[[#This Row],[4 weeks average]]-B393)/B393</f>
        <v>0.11930803571428582</v>
      </c>
    </row>
    <row r="446" spans="1:6" x14ac:dyDescent="0.2">
      <c r="A446" s="23">
        <v>30480</v>
      </c>
      <c r="B446" s="25">
        <f>VLOOKUP(Table2634[[#This Row],[Date]],'DB Money Supply'!$A:$D,4)</f>
        <v>504.2</v>
      </c>
      <c r="C446" s="31">
        <f>(Table2634[[#This Row],[M1 Money Stock, Billions of Dollars, Weekly, Seasonally Adjusted]]-B445)/B445</f>
        <v>3.1834460803819454E-3</v>
      </c>
      <c r="D446" s="35">
        <f>((1+Table2634[[#This Row],[Weekly change]])^52)-1</f>
        <v>0.17971898463942226</v>
      </c>
      <c r="E446" s="25">
        <f t="shared" si="6"/>
        <v>502.17500000000001</v>
      </c>
      <c r="F446" s="33">
        <f>(Table2634[[#This Row],[4 weeks average]]-B394)/B394</f>
        <v>0.11818080605655752</v>
      </c>
    </row>
    <row r="447" spans="1:6" x14ac:dyDescent="0.2">
      <c r="A447" s="23">
        <v>30487</v>
      </c>
      <c r="B447" s="25">
        <f>VLOOKUP(Table2634[[#This Row],[Date]],'DB Money Supply'!$A:$D,4)</f>
        <v>504.4</v>
      </c>
      <c r="C447" s="31">
        <f>(Table2634[[#This Row],[M1 Money Stock, Billions of Dollars, Weekly, Seasonally Adjusted]]-B446)/B446</f>
        <v>3.9666798889327376E-4</v>
      </c>
      <c r="D447" s="35">
        <f>((1+Table2634[[#This Row],[Weekly change]])^52)-1</f>
        <v>2.0836761622470723E-2</v>
      </c>
      <c r="E447" s="25">
        <f t="shared" si="6"/>
        <v>503.04999999999995</v>
      </c>
      <c r="F447" s="33">
        <f>(Table2634[[#This Row],[4 weeks average]]-B395)/B395</f>
        <v>0.12212803925942436</v>
      </c>
    </row>
    <row r="448" spans="1:6" x14ac:dyDescent="0.2">
      <c r="A448" s="23">
        <v>30494</v>
      </c>
      <c r="B448" s="25">
        <f>VLOOKUP(Table2634[[#This Row],[Date]],'DB Money Supply'!$A:$D,4)</f>
        <v>503.9</v>
      </c>
      <c r="C448" s="31">
        <f>(Table2634[[#This Row],[M1 Money Stock, Billions of Dollars, Weekly, Seasonally Adjusted]]-B447)/B447</f>
        <v>-9.9127676447264071E-4</v>
      </c>
      <c r="D448" s="35">
        <f>((1+Table2634[[#This Row],[Weekly change]])^52)-1</f>
        <v>-5.0264692618220974E-2</v>
      </c>
      <c r="E448" s="25">
        <f t="shared" si="6"/>
        <v>503.77499999999998</v>
      </c>
      <c r="F448" s="33">
        <f>(Table2634[[#This Row],[4 weeks average]]-B396)/B396</f>
        <v>0.13207865168539321</v>
      </c>
    </row>
    <row r="449" spans="1:6" x14ac:dyDescent="0.2">
      <c r="A449" s="23">
        <v>30501</v>
      </c>
      <c r="B449" s="25">
        <f>VLOOKUP(Table2634[[#This Row],[Date]],'DB Money Supply'!$A:$D,4)</f>
        <v>505.1</v>
      </c>
      <c r="C449" s="31">
        <f>(Table2634[[#This Row],[M1 Money Stock, Billions of Dollars, Weekly, Seasonally Adjusted]]-B448)/B448</f>
        <v>2.3814248858901477E-3</v>
      </c>
      <c r="D449" s="35">
        <f>((1+Table2634[[#This Row],[Weekly change]])^52)-1</f>
        <v>0.1316614662233766</v>
      </c>
      <c r="E449" s="25">
        <f t="shared" si="6"/>
        <v>504.4</v>
      </c>
      <c r="F449" s="33">
        <f>(Table2634[[#This Row],[4 weeks average]]-B397)/B397</f>
        <v>0.13068818650526776</v>
      </c>
    </row>
    <row r="450" spans="1:6" x14ac:dyDescent="0.2">
      <c r="A450" s="23">
        <v>30508</v>
      </c>
      <c r="B450" s="25">
        <f>VLOOKUP(Table2634[[#This Row],[Date]],'DB Money Supply'!$A:$D,4)</f>
        <v>508.2</v>
      </c>
      <c r="C450" s="31">
        <f>(Table2634[[#This Row],[M1 Money Stock, Billions of Dollars, Weekly, Seasonally Adjusted]]-B449)/B449</f>
        <v>6.1373985349435075E-3</v>
      </c>
      <c r="D450" s="35">
        <f>((1+Table2634[[#This Row],[Weekly change]])^52)-1</f>
        <v>0.37460903626739261</v>
      </c>
      <c r="E450" s="25">
        <f t="shared" si="6"/>
        <v>505.40000000000003</v>
      </c>
      <c r="F450" s="33">
        <f>(Table2634[[#This Row],[4 weeks average]]-B398)/B398</f>
        <v>0.12561247216035643</v>
      </c>
    </row>
    <row r="451" spans="1:6" x14ac:dyDescent="0.2">
      <c r="A451" s="23">
        <v>30515</v>
      </c>
      <c r="B451" s="25">
        <f>VLOOKUP(Table2634[[#This Row],[Date]],'DB Money Supply'!$A:$D,4)</f>
        <v>506.8</v>
      </c>
      <c r="C451" s="31">
        <f>(Table2634[[#This Row],[M1 Money Stock, Billions of Dollars, Weekly, Seasonally Adjusted]]-B450)/B450</f>
        <v>-2.7548209366390739E-3</v>
      </c>
      <c r="D451" s="35">
        <f>((1+Table2634[[#This Row],[Weekly change]])^52)-1</f>
        <v>-0.13363446777064092</v>
      </c>
      <c r="E451" s="25">
        <f t="shared" si="6"/>
        <v>506</v>
      </c>
      <c r="F451" s="33">
        <f>(Table2634[[#This Row],[4 weeks average]]-B399)/B399</f>
        <v>0.12996873604287626</v>
      </c>
    </row>
    <row r="452" spans="1:6" x14ac:dyDescent="0.2">
      <c r="A452" s="23">
        <v>30522</v>
      </c>
      <c r="B452" s="25">
        <f>VLOOKUP(Table2634[[#This Row],[Date]],'DB Money Supply'!$A:$D,4)</f>
        <v>508.2</v>
      </c>
      <c r="C452" s="31">
        <f>(Table2634[[#This Row],[M1 Money Stock, Billions of Dollars, Weekly, Seasonally Adjusted]]-B451)/B451</f>
        <v>2.7624309392264746E-3</v>
      </c>
      <c r="D452" s="35">
        <f>((1+Table2634[[#This Row],[Weekly change]])^52)-1</f>
        <v>0.15424721182843881</v>
      </c>
      <c r="E452" s="25">
        <f t="shared" si="6"/>
        <v>507.07499999999999</v>
      </c>
      <c r="F452" s="33">
        <f>(Table2634[[#This Row],[4 weeks average]]-B400)/B400</f>
        <v>0.1308541480820696</v>
      </c>
    </row>
    <row r="453" spans="1:6" x14ac:dyDescent="0.2">
      <c r="A453" s="23">
        <v>30529</v>
      </c>
      <c r="B453" s="25">
        <f>VLOOKUP(Table2634[[#This Row],[Date]],'DB Money Supply'!$A:$D,4)</f>
        <v>510.1</v>
      </c>
      <c r="C453" s="31">
        <f>(Table2634[[#This Row],[M1 Money Stock, Billions of Dollars, Weekly, Seasonally Adjusted]]-B452)/B452</f>
        <v>3.7386855568674422E-3</v>
      </c>
      <c r="D453" s="35">
        <f>((1+Table2634[[#This Row],[Weekly change]])^52)-1</f>
        <v>0.21415593324690918</v>
      </c>
      <c r="E453" s="25">
        <f t="shared" si="6"/>
        <v>508.32500000000005</v>
      </c>
      <c r="F453" s="33">
        <f>(Table2634[[#This Row],[4 weeks average]]-B401)/B401</f>
        <v>0.13338907469342262</v>
      </c>
    </row>
    <row r="454" spans="1:6" x14ac:dyDescent="0.2">
      <c r="A454" s="23">
        <v>30536</v>
      </c>
      <c r="B454" s="25">
        <f>VLOOKUP(Table2634[[#This Row],[Date]],'DB Money Supply'!$A:$D,4)</f>
        <v>509.1</v>
      </c>
      <c r="C454" s="31">
        <f>(Table2634[[#This Row],[M1 Money Stock, Billions of Dollars, Weekly, Seasonally Adjusted]]-B453)/B453</f>
        <v>-1.9603999215840029E-3</v>
      </c>
      <c r="D454" s="35">
        <f>((1+Table2634[[#This Row],[Weekly change]])^52)-1</f>
        <v>-9.7007335495724267E-2</v>
      </c>
      <c r="E454" s="25">
        <f t="shared" si="6"/>
        <v>508.54999999999995</v>
      </c>
      <c r="F454" s="33">
        <f>(Table2634[[#This Row],[4 weeks average]]-B402)/B402</f>
        <v>0.13111654804270448</v>
      </c>
    </row>
    <row r="455" spans="1:6" x14ac:dyDescent="0.2">
      <c r="A455" s="23">
        <v>30543</v>
      </c>
      <c r="B455" s="25">
        <f>VLOOKUP(Table2634[[#This Row],[Date]],'DB Money Supply'!$A:$D,4)</f>
        <v>510.8</v>
      </c>
      <c r="C455" s="31">
        <f>(Table2634[[#This Row],[M1 Money Stock, Billions of Dollars, Weekly, Seasonally Adjusted]]-B454)/B454</f>
        <v>3.3392260852484553E-3</v>
      </c>
      <c r="D455" s="35">
        <f>((1+Table2634[[#This Row],[Weekly change]])^52)-1</f>
        <v>0.18928286261234373</v>
      </c>
      <c r="E455" s="25">
        <f t="shared" si="6"/>
        <v>509.55</v>
      </c>
      <c r="F455" s="33">
        <f>(Table2634[[#This Row],[4 weeks average]]-B403)/B403</f>
        <v>0.12932180851063835</v>
      </c>
    </row>
    <row r="456" spans="1:6" x14ac:dyDescent="0.2">
      <c r="A456" s="23">
        <v>30550</v>
      </c>
      <c r="B456" s="25">
        <f>VLOOKUP(Table2634[[#This Row],[Date]],'DB Money Supply'!$A:$D,4)</f>
        <v>510.9</v>
      </c>
      <c r="C456" s="31">
        <f>(Table2634[[#This Row],[M1 Money Stock, Billions of Dollars, Weekly, Seasonally Adjusted]]-B455)/B455</f>
        <v>1.9577133907589249E-4</v>
      </c>
      <c r="D456" s="35">
        <f>((1+Table2634[[#This Row],[Weekly change]])^52)-1</f>
        <v>1.0231096680605178E-2</v>
      </c>
      <c r="E456" s="25">
        <f t="shared" si="6"/>
        <v>510.22500000000002</v>
      </c>
      <c r="F456" s="33">
        <f>(Table2634[[#This Row],[4 weeks average]]-B404)/B404</f>
        <v>0.12806765421180635</v>
      </c>
    </row>
    <row r="457" spans="1:6" x14ac:dyDescent="0.2">
      <c r="A457" s="23">
        <v>30557</v>
      </c>
      <c r="B457" s="25">
        <f>VLOOKUP(Table2634[[#This Row],[Date]],'DB Money Supply'!$A:$D,4)</f>
        <v>510.6</v>
      </c>
      <c r="C457" s="31">
        <f>(Table2634[[#This Row],[M1 Money Stock, Billions of Dollars, Weekly, Seasonally Adjusted]]-B456)/B456</f>
        <v>-5.871990604814142E-4</v>
      </c>
      <c r="D457" s="35">
        <f>((1+Table2634[[#This Row],[Weekly change]])^52)-1</f>
        <v>-3.0081585249994713E-2</v>
      </c>
      <c r="E457" s="25">
        <f t="shared" ref="E457:E520" si="7">AVERAGE(B454:B457)</f>
        <v>510.35</v>
      </c>
      <c r="F457" s="33">
        <f>(Table2634[[#This Row],[4 weeks average]]-B405)/B405</f>
        <v>0.12635179871992938</v>
      </c>
    </row>
    <row r="458" spans="1:6" x14ac:dyDescent="0.2">
      <c r="A458" s="23">
        <v>30564</v>
      </c>
      <c r="B458" s="25">
        <f>VLOOKUP(Table2634[[#This Row],[Date]],'DB Money Supply'!$A:$D,4)</f>
        <v>512.29999999999995</v>
      </c>
      <c r="C458" s="31">
        <f>(Table2634[[#This Row],[M1 Money Stock, Billions of Dollars, Weekly, Seasonally Adjusted]]-B457)/B457</f>
        <v>3.3294163728945E-3</v>
      </c>
      <c r="D458" s="35">
        <f>((1+Table2634[[#This Row],[Weekly change]])^52)-1</f>
        <v>0.18867837317884151</v>
      </c>
      <c r="E458" s="25">
        <f t="shared" si="7"/>
        <v>511.15000000000003</v>
      </c>
      <c r="F458" s="33">
        <f>(Table2634[[#This Row],[4 weeks average]]-B406)/B406</f>
        <v>0.12464246424642472</v>
      </c>
    </row>
    <row r="459" spans="1:6" x14ac:dyDescent="0.2">
      <c r="A459" s="23">
        <v>30571</v>
      </c>
      <c r="B459" s="25">
        <f>VLOOKUP(Table2634[[#This Row],[Date]],'DB Money Supply'!$A:$D,4)</f>
        <v>511.8</v>
      </c>
      <c r="C459" s="31">
        <f>(Table2634[[#This Row],[M1 Money Stock, Billions of Dollars, Weekly, Seasonally Adjusted]]-B458)/B458</f>
        <v>-9.7599063048983638E-4</v>
      </c>
      <c r="D459" s="35">
        <f>((1+Table2634[[#This Row],[Weekly change]])^52)-1</f>
        <v>-4.9508723989892256E-2</v>
      </c>
      <c r="E459" s="25">
        <f t="shared" si="7"/>
        <v>511.4</v>
      </c>
      <c r="F459" s="33">
        <f>(Table2634[[#This Row],[4 weeks average]]-B407)/B407</f>
        <v>0.12001752080595697</v>
      </c>
    </row>
    <row r="460" spans="1:6" x14ac:dyDescent="0.2">
      <c r="A460" s="23">
        <v>30578</v>
      </c>
      <c r="B460" s="25">
        <f>VLOOKUP(Table2634[[#This Row],[Date]],'DB Money Supply'!$A:$D,4)</f>
        <v>512.29999999999995</v>
      </c>
      <c r="C460" s="31">
        <f>(Table2634[[#This Row],[M1 Money Stock, Billions of Dollars, Weekly, Seasonally Adjusted]]-B459)/B459</f>
        <v>9.7694411879629376E-4</v>
      </c>
      <c r="D460" s="35">
        <f>((1+Table2634[[#This Row],[Weekly change]])^52)-1</f>
        <v>5.2087510153401295E-2</v>
      </c>
      <c r="E460" s="25">
        <f t="shared" si="7"/>
        <v>511.75</v>
      </c>
      <c r="F460" s="33">
        <f>(Table2634[[#This Row],[4 weeks average]]-B408)/B408</f>
        <v>0.11687036228721086</v>
      </c>
    </row>
    <row r="461" spans="1:6" x14ac:dyDescent="0.2">
      <c r="A461" s="23">
        <v>30585</v>
      </c>
      <c r="B461" s="25">
        <f>VLOOKUP(Table2634[[#This Row],[Date]],'DB Money Supply'!$A:$D,4)</f>
        <v>514</v>
      </c>
      <c r="C461" s="31">
        <f>(Table2634[[#This Row],[M1 Money Stock, Billions of Dollars, Weekly, Seasonally Adjusted]]-B460)/B460</f>
        <v>3.3183681436659098E-3</v>
      </c>
      <c r="D461" s="35">
        <f>((1+Table2634[[#This Row],[Weekly change]])^52)-1</f>
        <v>0.18799792525484271</v>
      </c>
      <c r="E461" s="25">
        <f t="shared" si="7"/>
        <v>512.59999999999991</v>
      </c>
      <c r="F461" s="33">
        <f>(Table2634[[#This Row],[4 weeks average]]-B409)/B409</f>
        <v>0.12264564169951793</v>
      </c>
    </row>
    <row r="462" spans="1:6" x14ac:dyDescent="0.2">
      <c r="A462" s="23">
        <v>30592</v>
      </c>
      <c r="B462" s="25">
        <f>VLOOKUP(Table2634[[#This Row],[Date]],'DB Money Supply'!$A:$D,4)</f>
        <v>513.79999999999995</v>
      </c>
      <c r="C462" s="31">
        <f>(Table2634[[#This Row],[M1 Money Stock, Billions of Dollars, Weekly, Seasonally Adjusted]]-B461)/B461</f>
        <v>-3.8910505836584725E-4</v>
      </c>
      <c r="D462" s="35">
        <f>((1+Table2634[[#This Row],[Weekly change]])^52)-1</f>
        <v>-2.0033998756372018E-2</v>
      </c>
      <c r="E462" s="25">
        <f t="shared" si="7"/>
        <v>512.97499999999991</v>
      </c>
      <c r="F462" s="33">
        <f>(Table2634[[#This Row],[4 weeks average]]-B410)/B410</f>
        <v>0.11516304347826067</v>
      </c>
    </row>
    <row r="463" spans="1:6" x14ac:dyDescent="0.2">
      <c r="A463" s="23">
        <v>30599</v>
      </c>
      <c r="B463" s="25">
        <f>VLOOKUP(Table2634[[#This Row],[Date]],'DB Money Supply'!$A:$D,4)</f>
        <v>517.29999999999995</v>
      </c>
      <c r="C463" s="31">
        <f>(Table2634[[#This Row],[M1 Money Stock, Billions of Dollars, Weekly, Seasonally Adjusted]]-B462)/B462</f>
        <v>6.8119891008174395E-3</v>
      </c>
      <c r="D463" s="35">
        <f>((1+Table2634[[#This Row],[Weekly change]])^52)-1</f>
        <v>0.42336302833223161</v>
      </c>
      <c r="E463" s="25">
        <f t="shared" si="7"/>
        <v>514.34999999999991</v>
      </c>
      <c r="F463" s="33">
        <f>(Table2634[[#This Row],[4 weeks average]]-B411)/B411</f>
        <v>0.11018778329376192</v>
      </c>
    </row>
    <row r="464" spans="1:6" x14ac:dyDescent="0.2">
      <c r="A464" s="23">
        <v>30606</v>
      </c>
      <c r="B464" s="25">
        <f>VLOOKUP(Table2634[[#This Row],[Date]],'DB Money Supply'!$A:$D,4)</f>
        <v>517.70000000000005</v>
      </c>
      <c r="C464" s="31">
        <f>(Table2634[[#This Row],[M1 Money Stock, Billions of Dollars, Weekly, Seasonally Adjusted]]-B463)/B463</f>
        <v>7.7324569882097622E-4</v>
      </c>
      <c r="D464" s="35">
        <f>((1+Table2634[[#This Row],[Weekly change]])^52)-1</f>
        <v>4.1011918563907512E-2</v>
      </c>
      <c r="E464" s="25">
        <f t="shared" si="7"/>
        <v>515.70000000000005</v>
      </c>
      <c r="F464" s="33">
        <f>(Table2634[[#This Row],[4 weeks average]]-B412)/B412</f>
        <v>0.11166199611985357</v>
      </c>
    </row>
    <row r="465" spans="1:6" x14ac:dyDescent="0.2">
      <c r="A465" s="23">
        <v>30613</v>
      </c>
      <c r="B465" s="25">
        <f>VLOOKUP(Table2634[[#This Row],[Date]],'DB Money Supply'!$A:$D,4)</f>
        <v>518.5</v>
      </c>
      <c r="C465" s="31">
        <f>(Table2634[[#This Row],[M1 Money Stock, Billions of Dollars, Weekly, Seasonally Adjusted]]-B464)/B464</f>
        <v>1.5452965037665723E-3</v>
      </c>
      <c r="D465" s="35">
        <f>((1+Table2634[[#This Row],[Weekly change]])^52)-1</f>
        <v>8.3604945974495193E-2</v>
      </c>
      <c r="E465" s="25">
        <f t="shared" si="7"/>
        <v>516.82500000000005</v>
      </c>
      <c r="F465" s="33">
        <f>(Table2634[[#This Row],[4 weeks average]]-B413)/B413</f>
        <v>0.1102577873254566</v>
      </c>
    </row>
    <row r="466" spans="1:6" x14ac:dyDescent="0.2">
      <c r="A466" s="23">
        <v>30620</v>
      </c>
      <c r="B466" s="25">
        <f>VLOOKUP(Table2634[[#This Row],[Date]],'DB Money Supply'!$A:$D,4)</f>
        <v>518.4</v>
      </c>
      <c r="C466" s="31">
        <f>(Table2634[[#This Row],[M1 Money Stock, Billions of Dollars, Weekly, Seasonally Adjusted]]-B465)/B465</f>
        <v>-1.928640308582888E-4</v>
      </c>
      <c r="D466" s="35">
        <f>((1+Table2634[[#This Row],[Weekly change]])^52)-1</f>
        <v>-9.9797651687448807E-3</v>
      </c>
      <c r="E466" s="25">
        <f t="shared" si="7"/>
        <v>517.97500000000002</v>
      </c>
      <c r="F466" s="33">
        <f>(Table2634[[#This Row],[4 weeks average]]-B414)/B414</f>
        <v>0.10513121399615967</v>
      </c>
    </row>
    <row r="467" spans="1:6" x14ac:dyDescent="0.2">
      <c r="A467" s="23">
        <v>30627</v>
      </c>
      <c r="B467" s="25">
        <f>VLOOKUP(Table2634[[#This Row],[Date]],'DB Money Supply'!$A:$D,4)</f>
        <v>518.9</v>
      </c>
      <c r="C467" s="31">
        <f>(Table2634[[#This Row],[M1 Money Stock, Billions of Dollars, Weekly, Seasonally Adjusted]]-B466)/B466</f>
        <v>9.6450617283950623E-4</v>
      </c>
      <c r="D467" s="35">
        <f>((1+Table2634[[#This Row],[Weekly change]])^52)-1</f>
        <v>5.1407927637936668E-2</v>
      </c>
      <c r="E467" s="25">
        <f t="shared" si="7"/>
        <v>518.375</v>
      </c>
      <c r="F467" s="33">
        <f>(Table2634[[#This Row],[4 weeks average]]-B415)/B415</f>
        <v>0.10198767006802727</v>
      </c>
    </row>
    <row r="468" spans="1:6" x14ac:dyDescent="0.2">
      <c r="A468" s="23">
        <v>30634</v>
      </c>
      <c r="B468" s="25">
        <f>VLOOKUP(Table2634[[#This Row],[Date]],'DB Money Supply'!$A:$D,4)</f>
        <v>519.1</v>
      </c>
      <c r="C468" s="31">
        <f>(Table2634[[#This Row],[M1 Money Stock, Billions of Dollars, Weekly, Seasonally Adjusted]]-B467)/B467</f>
        <v>3.8543071882837825E-4</v>
      </c>
      <c r="D468" s="35">
        <f>((1+Table2634[[#This Row],[Weekly change]])^52)-1</f>
        <v>2.0240655154417864E-2</v>
      </c>
      <c r="E468" s="25">
        <f t="shared" si="7"/>
        <v>518.72500000000002</v>
      </c>
      <c r="F468" s="33">
        <f>(Table2634[[#This Row],[4 weeks average]]-B416)/B416</f>
        <v>9.8760855750900226E-2</v>
      </c>
    </row>
    <row r="469" spans="1:6" x14ac:dyDescent="0.2">
      <c r="A469" s="23">
        <v>30641</v>
      </c>
      <c r="B469" s="25">
        <f>VLOOKUP(Table2634[[#This Row],[Date]],'DB Money Supply'!$A:$D,4)</f>
        <v>518.79999999999995</v>
      </c>
      <c r="C469" s="31">
        <f>(Table2634[[#This Row],[M1 Money Stock, Billions of Dollars, Weekly, Seasonally Adjusted]]-B468)/B468</f>
        <v>-5.7792332883850551E-4</v>
      </c>
      <c r="D469" s="35">
        <f>((1+Table2634[[#This Row],[Weekly change]])^52)-1</f>
        <v>-2.9613371024470592E-2</v>
      </c>
      <c r="E469" s="25">
        <f t="shared" si="7"/>
        <v>518.79999999999995</v>
      </c>
      <c r="F469" s="33">
        <f>(Table2634[[#This Row],[4 weeks average]]-B417)/B417</f>
        <v>9.9385463021826617E-2</v>
      </c>
    </row>
    <row r="470" spans="1:6" x14ac:dyDescent="0.2">
      <c r="A470" s="23">
        <v>30648</v>
      </c>
      <c r="B470" s="25">
        <f>VLOOKUP(Table2634[[#This Row],[Date]],'DB Money Supply'!$A:$D,4)</f>
        <v>518.6</v>
      </c>
      <c r="C470" s="31">
        <f>(Table2634[[#This Row],[M1 Money Stock, Billions of Dollars, Weekly, Seasonally Adjusted]]-B469)/B469</f>
        <v>-3.8550501156501892E-4</v>
      </c>
      <c r="D470" s="35">
        <f>((1+Table2634[[#This Row],[Weekly change]])^52)-1</f>
        <v>-1.9850458470914711E-2</v>
      </c>
      <c r="E470" s="25">
        <f t="shared" si="7"/>
        <v>518.85</v>
      </c>
      <c r="F470" s="33">
        <f>(Table2634[[#This Row],[4 weeks average]]-B418)/B418</f>
        <v>0.10042417815482507</v>
      </c>
    </row>
    <row r="471" spans="1:6" x14ac:dyDescent="0.2">
      <c r="A471" s="23">
        <v>30655</v>
      </c>
      <c r="B471" s="25">
        <f>VLOOKUP(Table2634[[#This Row],[Date]],'DB Money Supply'!$A:$D,4)</f>
        <v>520.4</v>
      </c>
      <c r="C471" s="31">
        <f>(Table2634[[#This Row],[M1 Money Stock, Billions of Dollars, Weekly, Seasonally Adjusted]]-B470)/B470</f>
        <v>3.4708831469339656E-3</v>
      </c>
      <c r="D471" s="35">
        <f>((1+Table2634[[#This Row],[Weekly change]])^52)-1</f>
        <v>0.19742500705939325</v>
      </c>
      <c r="E471" s="25">
        <f t="shared" si="7"/>
        <v>519.22500000000002</v>
      </c>
      <c r="F471" s="33">
        <f>(Table2634[[#This Row],[4 weeks average]]-B419)/B419</f>
        <v>9.4949388443694716E-2</v>
      </c>
    </row>
    <row r="472" spans="1:6" x14ac:dyDescent="0.2">
      <c r="A472" s="23">
        <v>30662</v>
      </c>
      <c r="B472" s="25">
        <f>VLOOKUP(Table2634[[#This Row],[Date]],'DB Money Supply'!$A:$D,4)</f>
        <v>521.6</v>
      </c>
      <c r="C472" s="31">
        <f>(Table2634[[#This Row],[M1 Money Stock, Billions of Dollars, Weekly, Seasonally Adjusted]]-B471)/B471</f>
        <v>2.3059185242122319E-3</v>
      </c>
      <c r="D472" s="35">
        <f>((1+Table2634[[#This Row],[Weekly change]])^52)-1</f>
        <v>0.12723724899637578</v>
      </c>
      <c r="E472" s="25">
        <f t="shared" si="7"/>
        <v>519.85</v>
      </c>
      <c r="F472" s="33">
        <f>(Table2634[[#This Row],[4 weeks average]]-B420)/B420</f>
        <v>8.9603856633829387E-2</v>
      </c>
    </row>
    <row r="473" spans="1:6" x14ac:dyDescent="0.2">
      <c r="A473" s="23">
        <v>30669</v>
      </c>
      <c r="B473" s="25">
        <f>VLOOKUP(Table2634[[#This Row],[Date]],'DB Money Supply'!$A:$D,4)</f>
        <v>522.20000000000005</v>
      </c>
      <c r="C473" s="31">
        <f>(Table2634[[#This Row],[M1 Money Stock, Billions of Dollars, Weekly, Seasonally Adjusted]]-B472)/B472</f>
        <v>1.1503067484663011E-3</v>
      </c>
      <c r="D473" s="35">
        <f>((1+Table2634[[#This Row],[Weekly change]])^52)-1</f>
        <v>6.1604639094467339E-2</v>
      </c>
      <c r="E473" s="25">
        <f t="shared" si="7"/>
        <v>520.70000000000005</v>
      </c>
      <c r="F473" s="33">
        <f>(Table2634[[#This Row],[4 weeks average]]-B421)/B421</f>
        <v>9.5749158249158375E-2</v>
      </c>
    </row>
    <row r="474" spans="1:6" x14ac:dyDescent="0.2">
      <c r="A474" s="23">
        <v>30676</v>
      </c>
      <c r="B474" s="25">
        <f>VLOOKUP(Table2634[[#This Row],[Date]],'DB Money Supply'!$A:$D,4)</f>
        <v>520.6</v>
      </c>
      <c r="C474" s="31">
        <f>(Table2634[[#This Row],[M1 Money Stock, Billions of Dollars, Weekly, Seasonally Adjusted]]-B473)/B473</f>
        <v>-3.0639601685178526E-3</v>
      </c>
      <c r="D474" s="35">
        <f>((1+Table2634[[#This Row],[Weekly change]])^52)-1</f>
        <v>-0.14749014744100886</v>
      </c>
      <c r="E474" s="25">
        <f t="shared" si="7"/>
        <v>521.20000000000005</v>
      </c>
      <c r="F474" s="33">
        <f>(Table2634[[#This Row],[4 weeks average]]-B422)/B422</f>
        <v>9.9810086516142801E-2</v>
      </c>
    </row>
    <row r="475" spans="1:6" x14ac:dyDescent="0.2">
      <c r="A475" s="23">
        <v>30683</v>
      </c>
      <c r="B475" s="25">
        <f>VLOOKUP(Table2634[[#This Row],[Date]],'DB Money Supply'!$A:$D,4)</f>
        <v>522.20000000000005</v>
      </c>
      <c r="C475" s="31">
        <f>(Table2634[[#This Row],[M1 Money Stock, Billions of Dollars, Weekly, Seasonally Adjusted]]-B474)/B474</f>
        <v>3.0733768728390754E-3</v>
      </c>
      <c r="D475" s="35">
        <f>((1+Table2634[[#This Row],[Weekly change]])^52)-1</f>
        <v>0.17300697111978969</v>
      </c>
      <c r="E475" s="25">
        <f t="shared" si="7"/>
        <v>521.65000000000009</v>
      </c>
      <c r="F475" s="33">
        <f>(Table2634[[#This Row],[4 weeks average]]-B423)/B423</f>
        <v>0.10378755818874326</v>
      </c>
    </row>
    <row r="476" spans="1:6" x14ac:dyDescent="0.2">
      <c r="A476" s="23">
        <v>30690</v>
      </c>
      <c r="B476" s="25">
        <f>VLOOKUP(Table2634[[#This Row],[Date]],'DB Money Supply'!$A:$D,4)</f>
        <v>525.29999999999995</v>
      </c>
      <c r="C476" s="31">
        <f>(Table2634[[#This Row],[M1 Money Stock, Billions of Dollars, Weekly, Seasonally Adjusted]]-B475)/B475</f>
        <v>5.9364228265030806E-3</v>
      </c>
      <c r="D476" s="35">
        <f>((1+Table2634[[#This Row],[Weekly change]])^52)-1</f>
        <v>0.36040347444322385</v>
      </c>
      <c r="E476" s="25">
        <f t="shared" si="7"/>
        <v>522.57500000000005</v>
      </c>
      <c r="F476" s="33">
        <f>(Table2634[[#This Row],[4 weeks average]]-B424)/B424</f>
        <v>9.9463496738901813E-2</v>
      </c>
    </row>
    <row r="477" spans="1:6" x14ac:dyDescent="0.2">
      <c r="A477" s="23">
        <v>30697</v>
      </c>
      <c r="B477" s="25">
        <f>VLOOKUP(Table2634[[#This Row],[Date]],'DB Money Supply'!$A:$D,4)</f>
        <v>526.29999999999995</v>
      </c>
      <c r="C477" s="31">
        <f>(Table2634[[#This Row],[M1 Money Stock, Billions of Dollars, Weekly, Seasonally Adjusted]]-B476)/B476</f>
        <v>1.9036740909956218E-3</v>
      </c>
      <c r="D477" s="35">
        <f>((1+Table2634[[#This Row],[Weekly change]])^52)-1</f>
        <v>0.10395253005349514</v>
      </c>
      <c r="E477" s="25">
        <f t="shared" si="7"/>
        <v>523.6</v>
      </c>
      <c r="F477" s="33">
        <f>(Table2634[[#This Row],[4 weeks average]]-B425)/B425</f>
        <v>9.723386420787937E-2</v>
      </c>
    </row>
    <row r="478" spans="1:6" x14ac:dyDescent="0.2">
      <c r="A478" s="23">
        <v>30704</v>
      </c>
      <c r="B478" s="25">
        <f>VLOOKUP(Table2634[[#This Row],[Date]],'DB Money Supply'!$A:$D,4)</f>
        <v>525</v>
      </c>
      <c r="C478" s="31">
        <f>(Table2634[[#This Row],[M1 Money Stock, Billions of Dollars, Weekly, Seasonally Adjusted]]-B477)/B477</f>
        <v>-2.4700741022229806E-3</v>
      </c>
      <c r="D478" s="35">
        <f>((1+Table2634[[#This Row],[Weekly change]])^52)-1</f>
        <v>-0.1206767908731311</v>
      </c>
      <c r="E478" s="25">
        <f t="shared" si="7"/>
        <v>524.70000000000005</v>
      </c>
      <c r="F478" s="33">
        <f>(Table2634[[#This Row],[4 weeks average]]-B426)/B426</f>
        <v>9.6780936454849642E-2</v>
      </c>
    </row>
    <row r="479" spans="1:6" x14ac:dyDescent="0.2">
      <c r="A479" s="23">
        <v>30711</v>
      </c>
      <c r="B479" s="25">
        <f>VLOOKUP(Table2634[[#This Row],[Date]],'DB Money Supply'!$A:$D,4)</f>
        <v>524.20000000000005</v>
      </c>
      <c r="C479" s="31">
        <f>(Table2634[[#This Row],[M1 Money Stock, Billions of Dollars, Weekly, Seasonally Adjusted]]-B478)/B478</f>
        <v>-1.5238095238094371E-3</v>
      </c>
      <c r="D479" s="35">
        <f>((1+Table2634[[#This Row],[Weekly change]])^52)-1</f>
        <v>-7.6235886655672047E-2</v>
      </c>
      <c r="E479" s="25">
        <f t="shared" si="7"/>
        <v>525.20000000000005</v>
      </c>
      <c r="F479" s="33">
        <f>(Table2634[[#This Row],[4 weeks average]]-B427)/B427</f>
        <v>9.4850948509485222E-2</v>
      </c>
    </row>
    <row r="480" spans="1:6" x14ac:dyDescent="0.2">
      <c r="A480" s="23">
        <v>30718</v>
      </c>
      <c r="B480" s="25">
        <f>VLOOKUP(Table2634[[#This Row],[Date]],'DB Money Supply'!$A:$D,4)</f>
        <v>526.6</v>
      </c>
      <c r="C480" s="31">
        <f>(Table2634[[#This Row],[M1 Money Stock, Billions of Dollars, Weekly, Seasonally Adjusted]]-B479)/B479</f>
        <v>4.5784051888591703E-3</v>
      </c>
      <c r="D480" s="35">
        <f>((1+Table2634[[#This Row],[Weekly change]])^52)-1</f>
        <v>0.26811775825718964</v>
      </c>
      <c r="E480" s="25">
        <f t="shared" si="7"/>
        <v>525.52499999999998</v>
      </c>
      <c r="F480" s="33">
        <f>(Table2634[[#This Row],[4 weeks average]]-B428)/B428</f>
        <v>8.9622641509433887E-2</v>
      </c>
    </row>
    <row r="481" spans="1:6" x14ac:dyDescent="0.2">
      <c r="A481" s="23">
        <v>30725</v>
      </c>
      <c r="B481" s="25">
        <f>VLOOKUP(Table2634[[#This Row],[Date]],'DB Money Supply'!$A:$D,4)</f>
        <v>527.1</v>
      </c>
      <c r="C481" s="31">
        <f>(Table2634[[#This Row],[M1 Money Stock, Billions of Dollars, Weekly, Seasonally Adjusted]]-B480)/B480</f>
        <v>9.4948727687048991E-4</v>
      </c>
      <c r="D481" s="35">
        <f>((1+Table2634[[#This Row],[Weekly change]])^52)-1</f>
        <v>5.0587901368246646E-2</v>
      </c>
      <c r="E481" s="25">
        <f t="shared" si="7"/>
        <v>525.72500000000002</v>
      </c>
      <c r="F481" s="33">
        <f>(Table2634[[#This Row],[4 weeks average]]-B429)/B429</f>
        <v>8.7556888705006303E-2</v>
      </c>
    </row>
    <row r="482" spans="1:6" x14ac:dyDescent="0.2">
      <c r="A482" s="23">
        <v>30732</v>
      </c>
      <c r="B482" s="25">
        <f>VLOOKUP(Table2634[[#This Row],[Date]],'DB Money Supply'!$A:$D,4)</f>
        <v>528.5</v>
      </c>
      <c r="C482" s="31">
        <f>(Table2634[[#This Row],[M1 Money Stock, Billions of Dollars, Weekly, Seasonally Adjusted]]-B481)/B481</f>
        <v>2.6560424966799038E-3</v>
      </c>
      <c r="D482" s="35">
        <f>((1+Table2634[[#This Row],[Weekly change]])^52)-1</f>
        <v>0.14789647510928172</v>
      </c>
      <c r="E482" s="25">
        <f t="shared" si="7"/>
        <v>526.6</v>
      </c>
      <c r="F482" s="33">
        <f>(Table2634[[#This Row],[4 weeks average]]-B430)/B430</f>
        <v>8.8241372184335698E-2</v>
      </c>
    </row>
    <row r="483" spans="1:6" x14ac:dyDescent="0.2">
      <c r="A483" s="23">
        <v>30739</v>
      </c>
      <c r="B483" s="25">
        <f>VLOOKUP(Table2634[[#This Row],[Date]],'DB Money Supply'!$A:$D,4)</f>
        <v>527.4</v>
      </c>
      <c r="C483" s="31">
        <f>(Table2634[[#This Row],[M1 Money Stock, Billions of Dollars, Weekly, Seasonally Adjusted]]-B482)/B482</f>
        <v>-2.0813623462630514E-3</v>
      </c>
      <c r="D483" s="35">
        <f>((1+Table2634[[#This Row],[Weekly change]])^52)-1</f>
        <v>-0.10268080444745487</v>
      </c>
      <c r="E483" s="25">
        <f t="shared" si="7"/>
        <v>527.4</v>
      </c>
      <c r="F483" s="33">
        <f>(Table2634[[#This Row],[4 weeks average]]-B431)/B431</f>
        <v>8.1846153846153805E-2</v>
      </c>
    </row>
    <row r="484" spans="1:6" x14ac:dyDescent="0.2">
      <c r="A484" s="23">
        <v>30746</v>
      </c>
      <c r="B484" s="25">
        <f>VLOOKUP(Table2634[[#This Row],[Date]],'DB Money Supply'!$A:$D,4)</f>
        <v>529.4</v>
      </c>
      <c r="C484" s="31">
        <f>(Table2634[[#This Row],[M1 Money Stock, Billions of Dollars, Weekly, Seasonally Adjusted]]-B483)/B483</f>
        <v>3.7921880925293897E-3</v>
      </c>
      <c r="D484" s="35">
        <f>((1+Table2634[[#This Row],[Weekly change]])^52)-1</f>
        <v>0.2175258714969881</v>
      </c>
      <c r="E484" s="25">
        <f t="shared" si="7"/>
        <v>528.1</v>
      </c>
      <c r="F484" s="33">
        <f>(Table2634[[#This Row],[4 weeks average]]-B432)/B432</f>
        <v>7.8635620915032678E-2</v>
      </c>
    </row>
    <row r="485" spans="1:6" x14ac:dyDescent="0.2">
      <c r="A485" s="23">
        <v>30753</v>
      </c>
      <c r="B485" s="25">
        <f>VLOOKUP(Table2634[[#This Row],[Date]],'DB Money Supply'!$A:$D,4)</f>
        <v>530</v>
      </c>
      <c r="C485" s="31">
        <f>(Table2634[[#This Row],[M1 Money Stock, Billions of Dollars, Weekly, Seasonally Adjusted]]-B484)/B484</f>
        <v>1.1333585190782447E-3</v>
      </c>
      <c r="D485" s="35">
        <f>((1+Table2634[[#This Row],[Weekly change]])^52)-1</f>
        <v>6.0670516805809926E-2</v>
      </c>
      <c r="E485" s="25">
        <f t="shared" si="7"/>
        <v>528.82500000000005</v>
      </c>
      <c r="F485" s="33">
        <f>(Table2634[[#This Row],[4 weeks average]]-B433)/B433</f>
        <v>8.0116421568627499E-2</v>
      </c>
    </row>
    <row r="486" spans="1:6" x14ac:dyDescent="0.2">
      <c r="A486" s="23">
        <v>30760</v>
      </c>
      <c r="B486" s="25">
        <f>VLOOKUP(Table2634[[#This Row],[Date]],'DB Money Supply'!$A:$D,4)</f>
        <v>531.4</v>
      </c>
      <c r="C486" s="31">
        <f>(Table2634[[#This Row],[M1 Money Stock, Billions of Dollars, Weekly, Seasonally Adjusted]]-B485)/B485</f>
        <v>2.6415094339622214E-3</v>
      </c>
      <c r="D486" s="35">
        <f>((1+Table2634[[#This Row],[Weekly change]])^52)-1</f>
        <v>0.14703160531976933</v>
      </c>
      <c r="E486" s="25">
        <f t="shared" si="7"/>
        <v>529.54999999999995</v>
      </c>
      <c r="F486" s="33">
        <f>(Table2634[[#This Row],[4 weeks average]]-B434)/B434</f>
        <v>7.8732939498879564E-2</v>
      </c>
    </row>
    <row r="487" spans="1:6" x14ac:dyDescent="0.2">
      <c r="A487" s="23">
        <v>30767</v>
      </c>
      <c r="B487" s="25">
        <f>VLOOKUP(Table2634[[#This Row],[Date]],'DB Money Supply'!$A:$D,4)</f>
        <v>533.29999999999995</v>
      </c>
      <c r="C487" s="31">
        <f>(Table2634[[#This Row],[M1 Money Stock, Billions of Dollars, Weekly, Seasonally Adjusted]]-B486)/B486</f>
        <v>3.5754610462927689E-3</v>
      </c>
      <c r="D487" s="35">
        <f>((1+Table2634[[#This Row],[Weekly change]])^52)-1</f>
        <v>0.2039314169569495</v>
      </c>
      <c r="E487" s="25">
        <f t="shared" si="7"/>
        <v>531.02500000000009</v>
      </c>
      <c r="F487" s="33">
        <f>(Table2634[[#This Row],[4 weeks average]]-B435)/B435</f>
        <v>8.1517311608961487E-2</v>
      </c>
    </row>
    <row r="488" spans="1:6" x14ac:dyDescent="0.2">
      <c r="A488" s="23">
        <v>30774</v>
      </c>
      <c r="B488" s="25">
        <f>VLOOKUP(Table2634[[#This Row],[Date]],'DB Money Supply'!$A:$D,4)</f>
        <v>531.79999999999995</v>
      </c>
      <c r="C488" s="31">
        <f>(Table2634[[#This Row],[M1 Money Stock, Billions of Dollars, Weekly, Seasonally Adjusted]]-B487)/B487</f>
        <v>-2.8126757922370149E-3</v>
      </c>
      <c r="D488" s="35">
        <f>((1+Table2634[[#This Row],[Weekly change]])^52)-1</f>
        <v>-0.1362442245827129</v>
      </c>
      <c r="E488" s="25">
        <f t="shared" si="7"/>
        <v>531.625</v>
      </c>
      <c r="F488" s="33">
        <f>(Table2634[[#This Row],[4 weeks average]]-B436)/B436</f>
        <v>7.7472638832590243E-2</v>
      </c>
    </row>
    <row r="489" spans="1:6" x14ac:dyDescent="0.2">
      <c r="A489" s="23">
        <v>30781</v>
      </c>
      <c r="B489" s="25">
        <f>VLOOKUP(Table2634[[#This Row],[Date]],'DB Money Supply'!$A:$D,4)</f>
        <v>533.79999999999995</v>
      </c>
      <c r="C489" s="31">
        <f>(Table2634[[#This Row],[M1 Money Stock, Billions of Dollars, Weekly, Seasonally Adjusted]]-B488)/B488</f>
        <v>3.7608123354644606E-3</v>
      </c>
      <c r="D489" s="35">
        <f>((1+Table2634[[#This Row],[Weekly change]])^52)-1</f>
        <v>0.21554851111621742</v>
      </c>
      <c r="E489" s="25">
        <f t="shared" si="7"/>
        <v>532.57499999999993</v>
      </c>
      <c r="F489" s="33">
        <f>(Table2634[[#This Row],[4 weeks average]]-B437)/B437</f>
        <v>7.8742151103909142E-2</v>
      </c>
    </row>
    <row r="490" spans="1:6" x14ac:dyDescent="0.2">
      <c r="A490" s="23">
        <v>30788</v>
      </c>
      <c r="B490" s="25">
        <f>VLOOKUP(Table2634[[#This Row],[Date]],'DB Money Supply'!$A:$D,4)</f>
        <v>535.5</v>
      </c>
      <c r="C490" s="31">
        <f>(Table2634[[#This Row],[M1 Money Stock, Billions of Dollars, Weekly, Seasonally Adjusted]]-B489)/B489</f>
        <v>3.1847133757962639E-3</v>
      </c>
      <c r="D490" s="35">
        <f>((1+Table2634[[#This Row],[Weekly change]])^52)-1</f>
        <v>0.17979648315937302</v>
      </c>
      <c r="E490" s="25">
        <f t="shared" si="7"/>
        <v>533.59999999999991</v>
      </c>
      <c r="F490" s="33">
        <f>(Table2634[[#This Row],[4 weeks average]]-B438)/B438</f>
        <v>8.6319218241042189E-2</v>
      </c>
    </row>
    <row r="491" spans="1:6" x14ac:dyDescent="0.2">
      <c r="A491" s="23">
        <v>30795</v>
      </c>
      <c r="B491" s="25">
        <f>VLOOKUP(Table2634[[#This Row],[Date]],'DB Money Supply'!$A:$D,4)</f>
        <v>534.70000000000005</v>
      </c>
      <c r="C491" s="31">
        <f>(Table2634[[#This Row],[M1 Money Stock, Billions of Dollars, Weekly, Seasonally Adjusted]]-B490)/B490</f>
        <v>-1.4939309056955267E-3</v>
      </c>
      <c r="D491" s="35">
        <f>((1+Table2634[[#This Row],[Weekly change]])^52)-1</f>
        <v>-7.4797357529967967E-2</v>
      </c>
      <c r="E491" s="25">
        <f t="shared" si="7"/>
        <v>533.95000000000005</v>
      </c>
      <c r="F491" s="33">
        <f>(Table2634[[#This Row],[4 weeks average]]-B439)/B439</f>
        <v>8.4162436548223446E-2</v>
      </c>
    </row>
    <row r="492" spans="1:6" x14ac:dyDescent="0.2">
      <c r="A492" s="23">
        <v>30802</v>
      </c>
      <c r="B492" s="25">
        <f>VLOOKUP(Table2634[[#This Row],[Date]],'DB Money Supply'!$A:$D,4)</f>
        <v>534.5</v>
      </c>
      <c r="C492" s="31">
        <f>(Table2634[[#This Row],[M1 Money Stock, Billions of Dollars, Weekly, Seasonally Adjusted]]-B491)/B491</f>
        <v>-3.7404151860865058E-4</v>
      </c>
      <c r="D492" s="35">
        <f>((1+Table2634[[#This Row],[Weekly change]])^52)-1</f>
        <v>-1.9265793445188972E-2</v>
      </c>
      <c r="E492" s="25">
        <f t="shared" si="7"/>
        <v>534.625</v>
      </c>
      <c r="F492" s="33">
        <f>(Table2634[[#This Row],[4 weeks average]]-B440)/B440</f>
        <v>7.7872983870967735E-2</v>
      </c>
    </row>
    <row r="493" spans="1:6" x14ac:dyDescent="0.2">
      <c r="A493" s="23">
        <v>30809</v>
      </c>
      <c r="B493" s="25">
        <f>VLOOKUP(Table2634[[#This Row],[Date]],'DB Money Supply'!$A:$D,4)</f>
        <v>535.4</v>
      </c>
      <c r="C493" s="31">
        <f>(Table2634[[#This Row],[M1 Money Stock, Billions of Dollars, Weekly, Seasonally Adjusted]]-B492)/B492</f>
        <v>1.6838166510757292E-3</v>
      </c>
      <c r="D493" s="35">
        <f>((1+Table2634[[#This Row],[Weekly change]])^52)-1</f>
        <v>9.1425709899571661E-2</v>
      </c>
      <c r="E493" s="25">
        <f t="shared" si="7"/>
        <v>535.02499999999998</v>
      </c>
      <c r="F493" s="33">
        <f>(Table2634[[#This Row],[4 weeks average]]-B441)/B441</f>
        <v>7.5427135678391918E-2</v>
      </c>
    </row>
    <row r="494" spans="1:6" x14ac:dyDescent="0.2">
      <c r="A494" s="23">
        <v>30816</v>
      </c>
      <c r="B494" s="25">
        <f>VLOOKUP(Table2634[[#This Row],[Date]],'DB Money Supply'!$A:$D,4)</f>
        <v>537.4</v>
      </c>
      <c r="C494" s="31">
        <f>(Table2634[[#This Row],[M1 Money Stock, Billions of Dollars, Weekly, Seasonally Adjusted]]-B493)/B493</f>
        <v>3.7355248412401943E-3</v>
      </c>
      <c r="D494" s="35">
        <f>((1+Table2634[[#This Row],[Weekly change]])^52)-1</f>
        <v>0.21395713722092746</v>
      </c>
      <c r="E494" s="25">
        <f t="shared" si="7"/>
        <v>535.5</v>
      </c>
      <c r="F494" s="33">
        <f>(Table2634[[#This Row],[4 weeks average]]-B442)/B442</f>
        <v>6.8222621184919188E-2</v>
      </c>
    </row>
    <row r="495" spans="1:6" x14ac:dyDescent="0.2">
      <c r="A495" s="23">
        <v>30823</v>
      </c>
      <c r="B495" s="25">
        <f>VLOOKUP(Table2634[[#This Row],[Date]],'DB Money Supply'!$A:$D,4)</f>
        <v>537.1</v>
      </c>
      <c r="C495" s="31">
        <f>(Table2634[[#This Row],[M1 Money Stock, Billions of Dollars, Weekly, Seasonally Adjusted]]-B494)/B494</f>
        <v>-5.5824339411975163E-4</v>
      </c>
      <c r="D495" s="35">
        <f>((1+Table2634[[#This Row],[Weekly change]])^52)-1</f>
        <v>-2.8619246126765141E-2</v>
      </c>
      <c r="E495" s="25">
        <f t="shared" si="7"/>
        <v>536.1</v>
      </c>
      <c r="F495" s="33">
        <f>(Table2634[[#This Row],[4 weeks average]]-B443)/B443</f>
        <v>7.0273507686164999E-2</v>
      </c>
    </row>
    <row r="496" spans="1:6" x14ac:dyDescent="0.2">
      <c r="A496" s="23">
        <v>30830</v>
      </c>
      <c r="B496" s="25">
        <f>VLOOKUP(Table2634[[#This Row],[Date]],'DB Money Supply'!$A:$D,4)</f>
        <v>536.20000000000005</v>
      </c>
      <c r="C496" s="31">
        <f>(Table2634[[#This Row],[M1 Money Stock, Billions of Dollars, Weekly, Seasonally Adjusted]]-B495)/B495</f>
        <v>-1.6756656116179059E-3</v>
      </c>
      <c r="D496" s="35">
        <f>((1+Table2634[[#This Row],[Weekly change]])^52)-1</f>
        <v>-8.3513276317767948E-2</v>
      </c>
      <c r="E496" s="25">
        <f t="shared" si="7"/>
        <v>536.52500000000009</v>
      </c>
      <c r="F496" s="33">
        <f>(Table2634[[#This Row],[4 weeks average]]-B444)/B444</f>
        <v>7.0908183632734711E-2</v>
      </c>
    </row>
    <row r="497" spans="1:6" x14ac:dyDescent="0.2">
      <c r="A497" s="23">
        <v>30837</v>
      </c>
      <c r="B497" s="25">
        <f>VLOOKUP(Table2634[[#This Row],[Date]],'DB Money Supply'!$A:$D,4)</f>
        <v>539.6</v>
      </c>
      <c r="C497" s="31">
        <f>(Table2634[[#This Row],[M1 Money Stock, Billions of Dollars, Weekly, Seasonally Adjusted]]-B496)/B496</f>
        <v>6.3409175680715722E-3</v>
      </c>
      <c r="D497" s="35">
        <f>((1+Table2634[[#This Row],[Weekly change]])^52)-1</f>
        <v>0.38914260189067784</v>
      </c>
      <c r="E497" s="25">
        <f t="shared" si="7"/>
        <v>537.57500000000005</v>
      </c>
      <c r="F497" s="33">
        <f>(Table2634[[#This Row],[4 weeks average]]-B445)/B445</f>
        <v>6.9588141663350617E-2</v>
      </c>
    </row>
    <row r="498" spans="1:6" x14ac:dyDescent="0.2">
      <c r="A498" s="23">
        <v>30844</v>
      </c>
      <c r="B498" s="25">
        <f>VLOOKUP(Table2634[[#This Row],[Date]],'DB Money Supply'!$A:$D,4)</f>
        <v>540.20000000000005</v>
      </c>
      <c r="C498" s="31">
        <f>(Table2634[[#This Row],[M1 Money Stock, Billions of Dollars, Weekly, Seasonally Adjusted]]-B497)/B497</f>
        <v>1.1119347664937411E-3</v>
      </c>
      <c r="D498" s="35">
        <f>((1+Table2634[[#This Row],[Weekly change]])^52)-1</f>
        <v>5.949087410951881E-2</v>
      </c>
      <c r="E498" s="25">
        <f t="shared" si="7"/>
        <v>538.27500000000009</v>
      </c>
      <c r="F498" s="33">
        <f>(Table2634[[#This Row],[4 weeks average]]-B446)/B446</f>
        <v>6.7582308607695568E-2</v>
      </c>
    </row>
    <row r="499" spans="1:6" x14ac:dyDescent="0.2">
      <c r="A499" s="23">
        <v>30851</v>
      </c>
      <c r="B499" s="25">
        <f>VLOOKUP(Table2634[[#This Row],[Date]],'DB Money Supply'!$A:$D,4)</f>
        <v>539.29999999999995</v>
      </c>
      <c r="C499" s="31">
        <f>(Table2634[[#This Row],[M1 Money Stock, Billions of Dollars, Weekly, Seasonally Adjusted]]-B498)/B498</f>
        <v>-1.6660496112552588E-3</v>
      </c>
      <c r="D499" s="35">
        <f>((1+Table2634[[#This Row],[Weekly change]])^52)-1</f>
        <v>-8.3054121642547107E-2</v>
      </c>
      <c r="E499" s="25">
        <f t="shared" si="7"/>
        <v>538.82500000000005</v>
      </c>
      <c r="F499" s="33">
        <f>(Table2634[[#This Row],[4 weeks average]]-B447)/B447</f>
        <v>6.8249405233941449E-2</v>
      </c>
    </row>
    <row r="500" spans="1:6" x14ac:dyDescent="0.2">
      <c r="A500" s="23">
        <v>30858</v>
      </c>
      <c r="B500" s="25">
        <f>VLOOKUP(Table2634[[#This Row],[Date]],'DB Money Supply'!$A:$D,4)</f>
        <v>540.29999999999995</v>
      </c>
      <c r="C500" s="31">
        <f>(Table2634[[#This Row],[M1 Money Stock, Billions of Dollars, Weekly, Seasonally Adjusted]]-B499)/B499</f>
        <v>1.8542555164101616E-3</v>
      </c>
      <c r="D500" s="35">
        <f>((1+Table2634[[#This Row],[Weekly change]])^52)-1</f>
        <v>0.10112457926879248</v>
      </c>
      <c r="E500" s="25">
        <f t="shared" si="7"/>
        <v>539.85</v>
      </c>
      <c r="F500" s="33">
        <f>(Table2634[[#This Row],[4 weeks average]]-B448)/B448</f>
        <v>7.1343520539789734E-2</v>
      </c>
    </row>
    <row r="501" spans="1:6" x14ac:dyDescent="0.2">
      <c r="A501" s="23">
        <v>30865</v>
      </c>
      <c r="B501" s="25">
        <f>VLOOKUP(Table2634[[#This Row],[Date]],'DB Money Supply'!$A:$D,4)</f>
        <v>541.1</v>
      </c>
      <c r="C501" s="31">
        <f>(Table2634[[#This Row],[M1 Money Stock, Billions of Dollars, Weekly, Seasonally Adjusted]]-B500)/B500</f>
        <v>1.4806588932076037E-3</v>
      </c>
      <c r="D501" s="35">
        <f>((1+Table2634[[#This Row],[Weekly change]])^52)-1</f>
        <v>7.9974378810188762E-2</v>
      </c>
      <c r="E501" s="25">
        <f t="shared" si="7"/>
        <v>540.22500000000002</v>
      </c>
      <c r="F501" s="33">
        <f>(Table2634[[#This Row],[4 weeks average]]-B449)/B449</f>
        <v>6.9540685012868739E-2</v>
      </c>
    </row>
    <row r="502" spans="1:6" x14ac:dyDescent="0.2">
      <c r="A502" s="23">
        <v>30872</v>
      </c>
      <c r="B502" s="25">
        <f>VLOOKUP(Table2634[[#This Row],[Date]],'DB Money Supply'!$A:$D,4)</f>
        <v>539.9</v>
      </c>
      <c r="C502" s="31">
        <f>(Table2634[[#This Row],[M1 Money Stock, Billions of Dollars, Weekly, Seasonally Adjusted]]-B501)/B501</f>
        <v>-2.2177046756607752E-3</v>
      </c>
      <c r="D502" s="35">
        <f>((1+Table2634[[#This Row],[Weekly change]])^52)-1</f>
        <v>-0.10903372777456755</v>
      </c>
      <c r="E502" s="25">
        <f t="shared" si="7"/>
        <v>540.15</v>
      </c>
      <c r="F502" s="33">
        <f>(Table2634[[#This Row],[4 weeks average]]-B450)/B450</f>
        <v>6.2868949232585569E-2</v>
      </c>
    </row>
    <row r="503" spans="1:6" x14ac:dyDescent="0.2">
      <c r="A503" s="23">
        <v>30879</v>
      </c>
      <c r="B503" s="25">
        <f>VLOOKUP(Table2634[[#This Row],[Date]],'DB Money Supply'!$A:$D,4)</f>
        <v>542.20000000000005</v>
      </c>
      <c r="C503" s="31">
        <f>(Table2634[[#This Row],[M1 Money Stock, Billions of Dollars, Weekly, Seasonally Adjusted]]-B502)/B502</f>
        <v>4.2600481570662495E-3</v>
      </c>
      <c r="D503" s="35">
        <f>((1+Table2634[[#This Row],[Weekly change]])^52)-1</f>
        <v>0.24738828271161228</v>
      </c>
      <c r="E503" s="25">
        <f t="shared" si="7"/>
        <v>540.875</v>
      </c>
      <c r="F503" s="33">
        <f>(Table2634[[#This Row],[4 weeks average]]-B451)/B451</f>
        <v>6.723559589581686E-2</v>
      </c>
    </row>
    <row r="504" spans="1:6" x14ac:dyDescent="0.2">
      <c r="A504" s="23">
        <v>30886</v>
      </c>
      <c r="B504" s="25">
        <f>VLOOKUP(Table2634[[#This Row],[Date]],'DB Money Supply'!$A:$D,4)</f>
        <v>541.29999999999995</v>
      </c>
      <c r="C504" s="31">
        <f>(Table2634[[#This Row],[M1 Money Stock, Billions of Dollars, Weekly, Seasonally Adjusted]]-B503)/B503</f>
        <v>-1.6599040944302672E-3</v>
      </c>
      <c r="D504" s="35">
        <f>((1+Table2634[[#This Row],[Weekly change]])^52)-1</f>
        <v>-8.2760561025615131E-2</v>
      </c>
      <c r="E504" s="25">
        <f t="shared" si="7"/>
        <v>541.125</v>
      </c>
      <c r="F504" s="33">
        <f>(Table2634[[#This Row],[4 weeks average]]-B452)/B452</f>
        <v>6.4787485242030721E-2</v>
      </c>
    </row>
    <row r="505" spans="1:6" x14ac:dyDescent="0.2">
      <c r="A505" s="23">
        <v>30893</v>
      </c>
      <c r="B505" s="25">
        <f>VLOOKUP(Table2634[[#This Row],[Date]],'DB Money Supply'!$A:$D,4)</f>
        <v>539.70000000000005</v>
      </c>
      <c r="C505" s="31">
        <f>(Table2634[[#This Row],[M1 Money Stock, Billions of Dollars, Weekly, Seasonally Adjusted]]-B504)/B504</f>
        <v>-2.9558470349157753E-3</v>
      </c>
      <c r="D505" s="35">
        <f>((1+Table2634[[#This Row],[Weekly change]])^52)-1</f>
        <v>-0.14266938867911694</v>
      </c>
      <c r="E505" s="25">
        <f t="shared" si="7"/>
        <v>540.77499999999998</v>
      </c>
      <c r="F505" s="33">
        <f>(Table2634[[#This Row],[4 weeks average]]-B453)/B453</f>
        <v>6.0135267594589203E-2</v>
      </c>
    </row>
    <row r="506" spans="1:6" x14ac:dyDescent="0.2">
      <c r="A506" s="23">
        <v>30900</v>
      </c>
      <c r="B506" s="25">
        <f>VLOOKUP(Table2634[[#This Row],[Date]],'DB Money Supply'!$A:$D,4)</f>
        <v>540.5</v>
      </c>
      <c r="C506" s="31">
        <f>(Table2634[[#This Row],[M1 Money Stock, Billions of Dollars, Weekly, Seasonally Adjusted]]-B505)/B505</f>
        <v>1.4823049842504251E-3</v>
      </c>
      <c r="D506" s="35">
        <f>((1+Table2634[[#This Row],[Weekly change]])^52)-1</f>
        <v>8.0066688285878929E-2</v>
      </c>
      <c r="E506" s="25">
        <f t="shared" si="7"/>
        <v>540.92499999999995</v>
      </c>
      <c r="F506" s="33">
        <f>(Table2634[[#This Row],[4 weeks average]]-B454)/B454</f>
        <v>6.251227656648975E-2</v>
      </c>
    </row>
    <row r="507" spans="1:6" x14ac:dyDescent="0.2">
      <c r="A507" s="23">
        <v>30907</v>
      </c>
      <c r="B507" s="25">
        <f>VLOOKUP(Table2634[[#This Row],[Date]],'DB Money Supply'!$A:$D,4)</f>
        <v>541.20000000000005</v>
      </c>
      <c r="C507" s="31">
        <f>(Table2634[[#This Row],[M1 Money Stock, Billions of Dollars, Weekly, Seasonally Adjusted]]-B506)/B506</f>
        <v>1.2950971322850055E-3</v>
      </c>
      <c r="D507" s="35">
        <f>((1+Table2634[[#This Row],[Weekly change]])^52)-1</f>
        <v>6.9617897229213188E-2</v>
      </c>
      <c r="E507" s="25">
        <f t="shared" si="7"/>
        <v>540.67499999999995</v>
      </c>
      <c r="F507" s="33">
        <f>(Table2634[[#This Row],[4 weeks average]]-B455)/B455</f>
        <v>5.848668754894272E-2</v>
      </c>
    </row>
    <row r="508" spans="1:6" x14ac:dyDescent="0.2">
      <c r="A508" s="23">
        <v>30914</v>
      </c>
      <c r="B508" s="25">
        <f>VLOOKUP(Table2634[[#This Row],[Date]],'DB Money Supply'!$A:$D,4)</f>
        <v>541.29999999999995</v>
      </c>
      <c r="C508" s="31">
        <f>(Table2634[[#This Row],[M1 Money Stock, Billions of Dollars, Weekly, Seasonally Adjusted]]-B507)/B507</f>
        <v>1.8477457501830938E-4</v>
      </c>
      <c r="D508" s="35">
        <f>((1+Table2634[[#This Row],[Weekly change]])^52)-1</f>
        <v>9.6536894544791974E-3</v>
      </c>
      <c r="E508" s="25">
        <f t="shared" si="7"/>
        <v>540.67499999999995</v>
      </c>
      <c r="F508" s="33">
        <f>(Table2634[[#This Row],[4 weeks average]]-B456)/B456</f>
        <v>5.8279506752789152E-2</v>
      </c>
    </row>
    <row r="509" spans="1:6" x14ac:dyDescent="0.2">
      <c r="A509" s="23">
        <v>30921</v>
      </c>
      <c r="B509" s="25">
        <f>VLOOKUP(Table2634[[#This Row],[Date]],'DB Money Supply'!$A:$D,4)</f>
        <v>540.70000000000005</v>
      </c>
      <c r="C509" s="31">
        <f>(Table2634[[#This Row],[M1 Money Stock, Billions of Dollars, Weekly, Seasonally Adjusted]]-B508)/B508</f>
        <v>-1.1084426380933107E-3</v>
      </c>
      <c r="D509" s="35">
        <f>((1+Table2634[[#This Row],[Weekly change]])^52)-1</f>
        <v>-5.6039527040845249E-2</v>
      </c>
      <c r="E509" s="25">
        <f t="shared" si="7"/>
        <v>540.92499999999995</v>
      </c>
      <c r="F509" s="33">
        <f>(Table2634[[#This Row],[4 weeks average]]-B457)/B457</f>
        <v>5.9390912651782084E-2</v>
      </c>
    </row>
    <row r="510" spans="1:6" x14ac:dyDescent="0.2">
      <c r="A510" s="23">
        <v>30928</v>
      </c>
      <c r="B510" s="25">
        <f>VLOOKUP(Table2634[[#This Row],[Date]],'DB Money Supply'!$A:$D,4)</f>
        <v>541.70000000000005</v>
      </c>
      <c r="C510" s="31">
        <f>(Table2634[[#This Row],[M1 Money Stock, Billions of Dollars, Weekly, Seasonally Adjusted]]-B509)/B509</f>
        <v>1.84945441094877E-3</v>
      </c>
      <c r="D510" s="35">
        <f>((1+Table2634[[#This Row],[Weekly change]])^52)-1</f>
        <v>0.10085021760443458</v>
      </c>
      <c r="E510" s="25">
        <f t="shared" si="7"/>
        <v>541.22500000000002</v>
      </c>
      <c r="F510" s="33">
        <f>(Table2634[[#This Row],[4 weeks average]]-B458)/B458</f>
        <v>5.6461057973843591E-2</v>
      </c>
    </row>
    <row r="511" spans="1:6" x14ac:dyDescent="0.2">
      <c r="A511" s="23">
        <v>30935</v>
      </c>
      <c r="B511" s="25">
        <f>VLOOKUP(Table2634[[#This Row],[Date]],'DB Money Supply'!$A:$D,4)</f>
        <v>543.4</v>
      </c>
      <c r="C511" s="31">
        <f>(Table2634[[#This Row],[M1 Money Stock, Billions of Dollars, Weekly, Seasonally Adjusted]]-B510)/B510</f>
        <v>3.1382684142513043E-3</v>
      </c>
      <c r="D511" s="35">
        <f>((1+Table2634[[#This Row],[Weekly change]])^52)-1</f>
        <v>0.17695950812819405</v>
      </c>
      <c r="E511" s="25">
        <f t="shared" si="7"/>
        <v>541.77499999999998</v>
      </c>
      <c r="F511" s="33">
        <f>(Table2634[[#This Row],[4 weeks average]]-B459)/B459</f>
        <v>5.8567799921844403E-2</v>
      </c>
    </row>
    <row r="512" spans="1:6" x14ac:dyDescent="0.2">
      <c r="A512" s="23">
        <v>30942</v>
      </c>
      <c r="B512" s="25">
        <f>VLOOKUP(Table2634[[#This Row],[Date]],'DB Money Supply'!$A:$D,4)</f>
        <v>542.79999999999995</v>
      </c>
      <c r="C512" s="31">
        <f>(Table2634[[#This Row],[M1 Money Stock, Billions of Dollars, Weekly, Seasonally Adjusted]]-B511)/B511</f>
        <v>-1.1041589988958829E-3</v>
      </c>
      <c r="D512" s="35">
        <f>((1+Table2634[[#This Row],[Weekly change]])^52)-1</f>
        <v>-5.5829004216941702E-2</v>
      </c>
      <c r="E512" s="25">
        <f t="shared" si="7"/>
        <v>542.15000000000009</v>
      </c>
      <c r="F512" s="33">
        <f>(Table2634[[#This Row],[4 weeks average]]-B460)/B460</f>
        <v>5.8266640640250125E-2</v>
      </c>
    </row>
    <row r="513" spans="1:6" x14ac:dyDescent="0.2">
      <c r="A513" s="23">
        <v>30949</v>
      </c>
      <c r="B513" s="25">
        <f>VLOOKUP(Table2634[[#This Row],[Date]],'DB Money Supply'!$A:$D,4)</f>
        <v>542.79999999999995</v>
      </c>
      <c r="C513" s="31">
        <f>(Table2634[[#This Row],[M1 Money Stock, Billions of Dollars, Weekly, Seasonally Adjusted]]-B512)/B512</f>
        <v>0</v>
      </c>
      <c r="D513" s="35">
        <f>((1+Table2634[[#This Row],[Weekly change]])^52)-1</f>
        <v>0</v>
      </c>
      <c r="E513" s="25">
        <f t="shared" si="7"/>
        <v>542.67499999999995</v>
      </c>
      <c r="F513" s="33">
        <f>(Table2634[[#This Row],[4 weeks average]]-B461)/B461</f>
        <v>5.5787937743190574E-2</v>
      </c>
    </row>
    <row r="514" spans="1:6" x14ac:dyDescent="0.2">
      <c r="A514" s="23">
        <v>30956</v>
      </c>
      <c r="B514" s="25">
        <f>VLOOKUP(Table2634[[#This Row],[Date]],'DB Money Supply'!$A:$D,4)</f>
        <v>544.9</v>
      </c>
      <c r="C514" s="31">
        <f>(Table2634[[#This Row],[M1 Money Stock, Billions of Dollars, Weekly, Seasonally Adjusted]]-B513)/B513</f>
        <v>3.8688282977155913E-3</v>
      </c>
      <c r="D514" s="35">
        <f>((1+Table2634[[#This Row],[Weekly change]])^52)-1</f>
        <v>0.22236915831232107</v>
      </c>
      <c r="E514" s="25">
        <f t="shared" si="7"/>
        <v>543.47499999999991</v>
      </c>
      <c r="F514" s="33">
        <f>(Table2634[[#This Row],[4 weeks average]]-B462)/B462</f>
        <v>5.7755936161930629E-2</v>
      </c>
    </row>
    <row r="515" spans="1:6" x14ac:dyDescent="0.2">
      <c r="A515" s="23">
        <v>30963</v>
      </c>
      <c r="B515" s="25">
        <f>VLOOKUP(Table2634[[#This Row],[Date]],'DB Money Supply'!$A:$D,4)</f>
        <v>542.20000000000005</v>
      </c>
      <c r="C515" s="31">
        <f>(Table2634[[#This Row],[M1 Money Stock, Billions of Dollars, Weekly, Seasonally Adjusted]]-B514)/B514</f>
        <v>-4.9550376215818171E-3</v>
      </c>
      <c r="D515" s="35">
        <f>((1+Table2634[[#This Row],[Weekly change]])^52)-1</f>
        <v>-0.22763839261331831</v>
      </c>
      <c r="E515" s="25">
        <f t="shared" si="7"/>
        <v>543.17499999999995</v>
      </c>
      <c r="F515" s="33">
        <f>(Table2634[[#This Row],[4 weeks average]]-B463)/B463</f>
        <v>5.0019331142470522E-2</v>
      </c>
    </row>
    <row r="516" spans="1:6" x14ac:dyDescent="0.2">
      <c r="A516" s="23">
        <v>30970</v>
      </c>
      <c r="B516" s="25">
        <f>VLOOKUP(Table2634[[#This Row],[Date]],'DB Money Supply'!$A:$D,4)</f>
        <v>545.70000000000005</v>
      </c>
      <c r="C516" s="31">
        <f>(Table2634[[#This Row],[M1 Money Stock, Billions of Dollars, Weekly, Seasonally Adjusted]]-B515)/B515</f>
        <v>6.4551825894503864E-3</v>
      </c>
      <c r="D516" s="35">
        <f>((1+Table2634[[#This Row],[Weekly change]])^52)-1</f>
        <v>0.39736836811303222</v>
      </c>
      <c r="E516" s="25">
        <f t="shared" si="7"/>
        <v>543.9</v>
      </c>
      <c r="F516" s="33">
        <f>(Table2634[[#This Row],[4 weeks average]]-B464)/B464</f>
        <v>5.0608460498357988E-2</v>
      </c>
    </row>
    <row r="517" spans="1:6" x14ac:dyDescent="0.2">
      <c r="A517" s="23">
        <v>30977</v>
      </c>
      <c r="B517" s="25">
        <f>VLOOKUP(Table2634[[#This Row],[Date]],'DB Money Supply'!$A:$D,4)</f>
        <v>542.1</v>
      </c>
      <c r="C517" s="31">
        <f>(Table2634[[#This Row],[M1 Money Stock, Billions of Dollars, Weekly, Seasonally Adjusted]]-B516)/B516</f>
        <v>-6.5970313358988866E-3</v>
      </c>
      <c r="D517" s="35">
        <f>((1+Table2634[[#This Row],[Weekly change]])^52)-1</f>
        <v>-0.29120020729222151</v>
      </c>
      <c r="E517" s="25">
        <f t="shared" si="7"/>
        <v>543.72500000000002</v>
      </c>
      <c r="F517" s="33">
        <f>(Table2634[[#This Row],[4 weeks average]]-B465)/B465</f>
        <v>4.8649951783992326E-2</v>
      </c>
    </row>
    <row r="518" spans="1:6" x14ac:dyDescent="0.2">
      <c r="A518" s="23">
        <v>30984</v>
      </c>
      <c r="B518" s="25">
        <f>VLOOKUP(Table2634[[#This Row],[Date]],'DB Money Supply'!$A:$D,4)</f>
        <v>544.4</v>
      </c>
      <c r="C518" s="31">
        <f>(Table2634[[#This Row],[M1 Money Stock, Billions of Dollars, Weekly, Seasonally Adjusted]]-B517)/B517</f>
        <v>4.2427596384430073E-3</v>
      </c>
      <c r="D518" s="35">
        <f>((1+Table2634[[#This Row],[Weekly change]])^52)-1</f>
        <v>0.24627212397414167</v>
      </c>
      <c r="E518" s="25">
        <f t="shared" si="7"/>
        <v>543.6</v>
      </c>
      <c r="F518" s="33">
        <f>(Table2634[[#This Row],[4 weeks average]]-B466)/B466</f>
        <v>4.8611111111111202E-2</v>
      </c>
    </row>
    <row r="519" spans="1:6" x14ac:dyDescent="0.2">
      <c r="A519" s="23">
        <v>30991</v>
      </c>
      <c r="B519" s="25">
        <f>VLOOKUP(Table2634[[#This Row],[Date]],'DB Money Supply'!$A:$D,4)</f>
        <v>546.4</v>
      </c>
      <c r="C519" s="31">
        <f>(Table2634[[#This Row],[M1 Money Stock, Billions of Dollars, Weekly, Seasonally Adjusted]]-B518)/B518</f>
        <v>3.6737692872887582E-3</v>
      </c>
      <c r="D519" s="35">
        <f>((1+Table2634[[#This Row],[Weekly change]])^52)-1</f>
        <v>0.21007936567190622</v>
      </c>
      <c r="E519" s="25">
        <f t="shared" si="7"/>
        <v>544.65000000000009</v>
      </c>
      <c r="F519" s="33">
        <f>(Table2634[[#This Row],[4 weeks average]]-B467)/B467</f>
        <v>4.9624205049142639E-2</v>
      </c>
    </row>
    <row r="520" spans="1:6" x14ac:dyDescent="0.2">
      <c r="A520" s="23">
        <v>30998</v>
      </c>
      <c r="B520" s="25">
        <f>VLOOKUP(Table2634[[#This Row],[Date]],'DB Money Supply'!$A:$D,4)</f>
        <v>546.70000000000005</v>
      </c>
      <c r="C520" s="31">
        <f>(Table2634[[#This Row],[M1 Money Stock, Billions of Dollars, Weekly, Seasonally Adjusted]]-B519)/B519</f>
        <v>5.4904831625195508E-4</v>
      </c>
      <c r="D520" s="35">
        <f>((1+Table2634[[#This Row],[Weekly change]])^52)-1</f>
        <v>2.8953923086170619E-2</v>
      </c>
      <c r="E520" s="25">
        <f t="shared" si="7"/>
        <v>544.90000000000009</v>
      </c>
      <c r="F520" s="33">
        <f>(Table2634[[#This Row],[4 weeks average]]-B468)/B468</f>
        <v>4.9701406280100301E-2</v>
      </c>
    </row>
    <row r="521" spans="1:6" x14ac:dyDescent="0.2">
      <c r="A521" s="23">
        <v>31005</v>
      </c>
      <c r="B521" s="25">
        <f>VLOOKUP(Table2634[[#This Row],[Date]],'DB Money Supply'!$A:$D,4)</f>
        <v>549.70000000000005</v>
      </c>
      <c r="C521" s="31">
        <f>(Table2634[[#This Row],[M1 Money Stock, Billions of Dollars, Weekly, Seasonally Adjusted]]-B520)/B520</f>
        <v>5.4874702762026705E-3</v>
      </c>
      <c r="D521" s="35">
        <f>((1+Table2634[[#This Row],[Weekly change]])^52)-1</f>
        <v>0.32918820834170637</v>
      </c>
      <c r="E521" s="25">
        <f t="shared" ref="E521:E584" si="8">AVERAGE(B518:B521)</f>
        <v>546.79999999999995</v>
      </c>
      <c r="F521" s="33">
        <f>(Table2634[[#This Row],[4 weeks average]]-B469)/B469</f>
        <v>5.3970701619121056E-2</v>
      </c>
    </row>
    <row r="522" spans="1:6" x14ac:dyDescent="0.2">
      <c r="A522" s="23">
        <v>31012</v>
      </c>
      <c r="B522" s="25">
        <f>VLOOKUP(Table2634[[#This Row],[Date]],'DB Money Supply'!$A:$D,4)</f>
        <v>549.1</v>
      </c>
      <c r="C522" s="31">
        <f>(Table2634[[#This Row],[M1 Money Stock, Billions of Dollars, Weekly, Seasonally Adjusted]]-B521)/B521</f>
        <v>-1.0915044569765739E-3</v>
      </c>
      <c r="D522" s="35">
        <f>((1+Table2634[[#This Row],[Weekly change]])^52)-1</f>
        <v>-5.5206817797680663E-2</v>
      </c>
      <c r="E522" s="25">
        <f t="shared" si="8"/>
        <v>547.97500000000002</v>
      </c>
      <c r="F522" s="33">
        <f>(Table2634[[#This Row],[4 weeks average]]-B470)/B470</f>
        <v>5.6642884689548784E-2</v>
      </c>
    </row>
    <row r="523" spans="1:6" x14ac:dyDescent="0.2">
      <c r="A523" s="23">
        <v>31019</v>
      </c>
      <c r="B523" s="25">
        <f>VLOOKUP(Table2634[[#This Row],[Date]],'DB Money Supply'!$A:$D,4)</f>
        <v>545.1</v>
      </c>
      <c r="C523" s="31">
        <f>(Table2634[[#This Row],[M1 Money Stock, Billions of Dollars, Weekly, Seasonally Adjusted]]-B522)/B522</f>
        <v>-7.2846476051720999E-3</v>
      </c>
      <c r="D523" s="35">
        <f>((1+Table2634[[#This Row],[Weekly change]])^52)-1</f>
        <v>-0.31626723432568982</v>
      </c>
      <c r="E523" s="25">
        <f t="shared" si="8"/>
        <v>547.65</v>
      </c>
      <c r="F523" s="33">
        <f>(Table2634[[#This Row],[4 weeks average]]-B471)/B471</f>
        <v>5.2363566487317451E-2</v>
      </c>
    </row>
    <row r="524" spans="1:6" x14ac:dyDescent="0.2">
      <c r="A524" s="23">
        <v>31026</v>
      </c>
      <c r="B524" s="25">
        <f>VLOOKUP(Table2634[[#This Row],[Date]],'DB Money Supply'!$A:$D,4)</f>
        <v>549.6</v>
      </c>
      <c r="C524" s="31">
        <f>(Table2634[[#This Row],[M1 Money Stock, Billions of Dollars, Weekly, Seasonally Adjusted]]-B523)/B523</f>
        <v>8.2553659878921298E-3</v>
      </c>
      <c r="D524" s="35">
        <f>((1+Table2634[[#This Row],[Weekly change]])^52)-1</f>
        <v>0.53344493453542396</v>
      </c>
      <c r="E524" s="25">
        <f t="shared" si="8"/>
        <v>548.375</v>
      </c>
      <c r="F524" s="33">
        <f>(Table2634[[#This Row],[4 weeks average]]-B472)/B472</f>
        <v>5.1332438650306705E-2</v>
      </c>
    </row>
    <row r="525" spans="1:6" x14ac:dyDescent="0.2">
      <c r="A525" s="23">
        <v>31033</v>
      </c>
      <c r="B525" s="25">
        <f>VLOOKUP(Table2634[[#This Row],[Date]],'DB Money Supply'!$A:$D,4)</f>
        <v>550.6</v>
      </c>
      <c r="C525" s="31">
        <f>(Table2634[[#This Row],[M1 Money Stock, Billions of Dollars, Weekly, Seasonally Adjusted]]-B524)/B524</f>
        <v>1.8195050946142649E-3</v>
      </c>
      <c r="D525" s="35">
        <f>((1+Table2634[[#This Row],[Weekly change]])^52)-1</f>
        <v>9.9140261348949155E-2</v>
      </c>
      <c r="E525" s="25">
        <f t="shared" si="8"/>
        <v>548.6</v>
      </c>
      <c r="F525" s="33">
        <f>(Table2634[[#This Row],[4 weeks average]]-B473)/B473</f>
        <v>5.0555342780543806E-2</v>
      </c>
    </row>
    <row r="526" spans="1:6" x14ac:dyDescent="0.2">
      <c r="A526" s="23">
        <v>31040</v>
      </c>
      <c r="B526" s="25">
        <f>VLOOKUP(Table2634[[#This Row],[Date]],'DB Money Supply'!$A:$D,4)</f>
        <v>554</v>
      </c>
      <c r="C526" s="31">
        <f>(Table2634[[#This Row],[M1 Money Stock, Billions of Dollars, Weekly, Seasonally Adjusted]]-B525)/B525</f>
        <v>6.1750817290228428E-3</v>
      </c>
      <c r="D526" s="35">
        <f>((1+Table2634[[#This Row],[Weekly change]])^52)-1</f>
        <v>0.37728874623131747</v>
      </c>
      <c r="E526" s="25">
        <f t="shared" si="8"/>
        <v>549.82500000000005</v>
      </c>
      <c r="F526" s="33">
        <f>(Table2634[[#This Row],[4 weeks average]]-B474)/B474</f>
        <v>5.6137149442950486E-2</v>
      </c>
    </row>
    <row r="527" spans="1:6" x14ac:dyDescent="0.2">
      <c r="A527" s="23">
        <v>31047</v>
      </c>
      <c r="B527" s="25">
        <f>VLOOKUP(Table2634[[#This Row],[Date]],'DB Money Supply'!$A:$D,4)</f>
        <v>555.9</v>
      </c>
      <c r="C527" s="31">
        <f>(Table2634[[#This Row],[M1 Money Stock, Billions of Dollars, Weekly, Seasonally Adjusted]]-B526)/B526</f>
        <v>3.4296028880866016E-3</v>
      </c>
      <c r="D527" s="35">
        <f>((1+Table2634[[#This Row],[Weekly change]])^52)-1</f>
        <v>0.19486622203777881</v>
      </c>
      <c r="E527" s="25">
        <f t="shared" si="8"/>
        <v>552.52499999999998</v>
      </c>
      <c r="F527" s="33">
        <f>(Table2634[[#This Row],[4 weeks average]]-B475)/B475</f>
        <v>5.807162006893897E-2</v>
      </c>
    </row>
    <row r="528" spans="1:6" x14ac:dyDescent="0.2">
      <c r="A528" s="23">
        <v>31054</v>
      </c>
      <c r="B528" s="25">
        <f>VLOOKUP(Table2634[[#This Row],[Date]],'DB Money Supply'!$A:$D,4)</f>
        <v>554</v>
      </c>
      <c r="C528" s="31">
        <f>(Table2634[[#This Row],[M1 Money Stock, Billions of Dollars, Weekly, Seasonally Adjusted]]-B527)/B527</f>
        <v>-3.4178809138333825E-3</v>
      </c>
      <c r="D528" s="35">
        <f>((1+Table2634[[#This Row],[Weekly change]])^52)-1</f>
        <v>-0.16308622542316498</v>
      </c>
      <c r="E528" s="25">
        <f t="shared" si="8"/>
        <v>553.625</v>
      </c>
      <c r="F528" s="33">
        <f>(Table2634[[#This Row],[4 weeks average]]-B476)/B476</f>
        <v>5.3921568627451073E-2</v>
      </c>
    </row>
    <row r="529" spans="1:6" x14ac:dyDescent="0.2">
      <c r="A529" s="23">
        <v>31061</v>
      </c>
      <c r="B529" s="25">
        <f>VLOOKUP(Table2634[[#This Row],[Date]],'DB Money Supply'!$A:$D,4)</f>
        <v>555.6</v>
      </c>
      <c r="C529" s="31">
        <f>(Table2634[[#This Row],[M1 Money Stock, Billions of Dollars, Weekly, Seasonally Adjusted]]-B528)/B528</f>
        <v>2.888086642599319E-3</v>
      </c>
      <c r="D529" s="35">
        <f>((1+Table2634[[#This Row],[Weekly change]])^52)-1</f>
        <v>0.16179248124365309</v>
      </c>
      <c r="E529" s="25">
        <f t="shared" si="8"/>
        <v>554.875</v>
      </c>
      <c r="F529" s="33">
        <f>(Table2634[[#This Row],[4 weeks average]]-B477)/B477</f>
        <v>5.4294128823864807E-2</v>
      </c>
    </row>
    <row r="530" spans="1:6" x14ac:dyDescent="0.2">
      <c r="A530" s="23">
        <v>31068</v>
      </c>
      <c r="B530" s="25">
        <f>VLOOKUP(Table2634[[#This Row],[Date]],'DB Money Supply'!$A:$D,4)</f>
        <v>557.5</v>
      </c>
      <c r="C530" s="31">
        <f>(Table2634[[#This Row],[M1 Money Stock, Billions of Dollars, Weekly, Seasonally Adjusted]]-B529)/B529</f>
        <v>3.4197264218862079E-3</v>
      </c>
      <c r="D530" s="35">
        <f>((1+Table2634[[#This Row],[Weekly change]])^52)-1</f>
        <v>0.19425481800174116</v>
      </c>
      <c r="E530" s="25">
        <f t="shared" si="8"/>
        <v>555.75</v>
      </c>
      <c r="F530" s="33">
        <f>(Table2634[[#This Row],[4 weeks average]]-B478)/B478</f>
        <v>5.8571428571428573E-2</v>
      </c>
    </row>
    <row r="531" spans="1:6" x14ac:dyDescent="0.2">
      <c r="A531" s="23">
        <v>31075</v>
      </c>
      <c r="B531" s="25">
        <f>VLOOKUP(Table2634[[#This Row],[Date]],'DB Money Supply'!$A:$D,4)</f>
        <v>558.79999999999995</v>
      </c>
      <c r="C531" s="31">
        <f>(Table2634[[#This Row],[M1 Money Stock, Billions of Dollars, Weekly, Seasonally Adjusted]]-B530)/B530</f>
        <v>2.3318385650223398E-3</v>
      </c>
      <c r="D531" s="35">
        <f>((1+Table2634[[#This Row],[Weekly change]])^52)-1</f>
        <v>0.12875409147180572</v>
      </c>
      <c r="E531" s="25">
        <f t="shared" si="8"/>
        <v>556.47499999999991</v>
      </c>
      <c r="F531" s="33">
        <f>(Table2634[[#This Row],[4 weeks average]]-B479)/B479</f>
        <v>6.1570011446012707E-2</v>
      </c>
    </row>
    <row r="532" spans="1:6" x14ac:dyDescent="0.2">
      <c r="A532" s="23">
        <v>31082</v>
      </c>
      <c r="B532" s="25">
        <f>VLOOKUP(Table2634[[#This Row],[Date]],'DB Money Supply'!$A:$D,4)</f>
        <v>561.4</v>
      </c>
      <c r="C532" s="31">
        <f>(Table2634[[#This Row],[M1 Money Stock, Billions of Dollars, Weekly, Seasonally Adjusted]]-B531)/B531</f>
        <v>4.6528274874731981E-3</v>
      </c>
      <c r="D532" s="35">
        <f>((1+Table2634[[#This Row],[Weekly change]])^52)-1</f>
        <v>0.27301219637029339</v>
      </c>
      <c r="E532" s="25">
        <f t="shared" si="8"/>
        <v>558.32499999999993</v>
      </c>
      <c r="F532" s="33">
        <f>(Table2634[[#This Row],[4 weeks average]]-B480)/B480</f>
        <v>6.0244967717432409E-2</v>
      </c>
    </row>
    <row r="533" spans="1:6" x14ac:dyDescent="0.2">
      <c r="A533" s="23">
        <v>31089</v>
      </c>
      <c r="B533" s="25">
        <f>VLOOKUP(Table2634[[#This Row],[Date]],'DB Money Supply'!$A:$D,4)</f>
        <v>562.4</v>
      </c>
      <c r="C533" s="31">
        <f>(Table2634[[#This Row],[M1 Money Stock, Billions of Dollars, Weekly, Seasonally Adjusted]]-B532)/B532</f>
        <v>1.7812611328820807E-3</v>
      </c>
      <c r="D533" s="35">
        <f>((1+Table2634[[#This Row],[Weekly change]])^52)-1</f>
        <v>9.6960509015695528E-2</v>
      </c>
      <c r="E533" s="25">
        <f t="shared" si="8"/>
        <v>560.02499999999998</v>
      </c>
      <c r="F533" s="33">
        <f>(Table2634[[#This Row],[4 weeks average]]-B481)/B481</f>
        <v>6.2464428002276522E-2</v>
      </c>
    </row>
    <row r="534" spans="1:6" x14ac:dyDescent="0.2">
      <c r="A534" s="23">
        <v>31096</v>
      </c>
      <c r="B534" s="25">
        <f>VLOOKUP(Table2634[[#This Row],[Date]],'DB Money Supply'!$A:$D,4)</f>
        <v>563.70000000000005</v>
      </c>
      <c r="C534" s="31">
        <f>(Table2634[[#This Row],[M1 Money Stock, Billions of Dollars, Weekly, Seasonally Adjusted]]-B533)/B533</f>
        <v>2.3115220483642751E-3</v>
      </c>
      <c r="D534" s="35">
        <f>((1+Table2634[[#This Row],[Weekly change]])^52)-1</f>
        <v>0.12756499812309685</v>
      </c>
      <c r="E534" s="25">
        <f t="shared" si="8"/>
        <v>561.57500000000005</v>
      </c>
      <c r="F534" s="33">
        <f>(Table2634[[#This Row],[4 weeks average]]-B482)/B482</f>
        <v>6.2582781456953729E-2</v>
      </c>
    </row>
    <row r="535" spans="1:6" x14ac:dyDescent="0.2">
      <c r="A535" s="23">
        <v>31103</v>
      </c>
      <c r="B535" s="25">
        <f>VLOOKUP(Table2634[[#This Row],[Date]],'DB Money Supply'!$A:$D,4)</f>
        <v>564.9</v>
      </c>
      <c r="C535" s="31">
        <f>(Table2634[[#This Row],[M1 Money Stock, Billions of Dollars, Weekly, Seasonally Adjusted]]-B534)/B534</f>
        <v>2.1287919105906186E-3</v>
      </c>
      <c r="D535" s="35">
        <f>((1+Table2634[[#This Row],[Weekly change]])^52)-1</f>
        <v>0.11692516416006637</v>
      </c>
      <c r="E535" s="25">
        <f t="shared" si="8"/>
        <v>563.1</v>
      </c>
      <c r="F535" s="33">
        <f>(Table2634[[#This Row],[4 weeks average]]-B483)/B483</f>
        <v>6.7690557451649688E-2</v>
      </c>
    </row>
    <row r="536" spans="1:6" x14ac:dyDescent="0.2">
      <c r="A536" s="23">
        <v>31110</v>
      </c>
      <c r="B536" s="25">
        <f>VLOOKUP(Table2634[[#This Row],[Date]],'DB Money Supply'!$A:$D,4)</f>
        <v>565.70000000000005</v>
      </c>
      <c r="C536" s="31">
        <f>(Table2634[[#This Row],[M1 Money Stock, Billions of Dollars, Weekly, Seasonally Adjusted]]-B535)/B535</f>
        <v>1.4161798548416858E-3</v>
      </c>
      <c r="D536" s="35">
        <f>((1+Table2634[[#This Row],[Weekly change]])^52)-1</f>
        <v>7.6364605385182527E-2</v>
      </c>
      <c r="E536" s="25">
        <f t="shared" si="8"/>
        <v>564.17499999999995</v>
      </c>
      <c r="F536" s="33">
        <f>(Table2634[[#This Row],[4 weeks average]]-B484)/B484</f>
        <v>6.5687570834907408E-2</v>
      </c>
    </row>
    <row r="537" spans="1:6" x14ac:dyDescent="0.2">
      <c r="A537" s="23">
        <v>31117</v>
      </c>
      <c r="B537" s="25">
        <f>VLOOKUP(Table2634[[#This Row],[Date]],'DB Money Supply'!$A:$D,4)</f>
        <v>565.6</v>
      </c>
      <c r="C537" s="31">
        <f>(Table2634[[#This Row],[M1 Money Stock, Billions of Dollars, Weekly, Seasonally Adjusted]]-B536)/B536</f>
        <v>-1.7677214071066418E-4</v>
      </c>
      <c r="D537" s="35">
        <f>((1+Table2634[[#This Row],[Weekly change]])^52)-1</f>
        <v>-9.1508377652341766E-3</v>
      </c>
      <c r="E537" s="25">
        <f t="shared" si="8"/>
        <v>564.97500000000002</v>
      </c>
      <c r="F537" s="33">
        <f>(Table2634[[#This Row],[4 weeks average]]-B485)/B485</f>
        <v>6.5990566037735898E-2</v>
      </c>
    </row>
    <row r="538" spans="1:6" x14ac:dyDescent="0.2">
      <c r="A538" s="23">
        <v>31124</v>
      </c>
      <c r="B538" s="25">
        <f>VLOOKUP(Table2634[[#This Row],[Date]],'DB Money Supply'!$A:$D,4)</f>
        <v>565.1</v>
      </c>
      <c r="C538" s="31">
        <f>(Table2634[[#This Row],[M1 Money Stock, Billions of Dollars, Weekly, Seasonally Adjusted]]-B537)/B537</f>
        <v>-8.8401697312588397E-4</v>
      </c>
      <c r="D538" s="35">
        <f>((1+Table2634[[#This Row],[Weekly change]])^52)-1</f>
        <v>-4.4947735927521992E-2</v>
      </c>
      <c r="E538" s="25">
        <f t="shared" si="8"/>
        <v>565.32499999999993</v>
      </c>
      <c r="F538" s="33">
        <f>(Table2634[[#This Row],[4 weeks average]]-B486)/B486</f>
        <v>6.3840797892359719E-2</v>
      </c>
    </row>
    <row r="539" spans="1:6" x14ac:dyDescent="0.2">
      <c r="A539" s="23">
        <v>31131</v>
      </c>
      <c r="B539" s="25">
        <f>VLOOKUP(Table2634[[#This Row],[Date]],'DB Money Supply'!$A:$D,4)</f>
        <v>567.6</v>
      </c>
      <c r="C539" s="31">
        <f>(Table2634[[#This Row],[M1 Money Stock, Billions of Dollars, Weekly, Seasonally Adjusted]]-B538)/B538</f>
        <v>4.4239957529640774E-3</v>
      </c>
      <c r="D539" s="35">
        <f>((1+Table2634[[#This Row],[Weekly change]])^52)-1</f>
        <v>0.25802170260745072</v>
      </c>
      <c r="E539" s="25">
        <f t="shared" si="8"/>
        <v>566</v>
      </c>
      <c r="F539" s="33">
        <f>(Table2634[[#This Row],[4 weeks average]]-B487)/B487</f>
        <v>6.1316332270767014E-2</v>
      </c>
    </row>
    <row r="540" spans="1:6" x14ac:dyDescent="0.2">
      <c r="A540" s="23">
        <v>31138</v>
      </c>
      <c r="B540" s="25">
        <f>VLOOKUP(Table2634[[#This Row],[Date]],'DB Money Supply'!$A:$D,4)</f>
        <v>568.9</v>
      </c>
      <c r="C540" s="31">
        <f>(Table2634[[#This Row],[M1 Money Stock, Billions of Dollars, Weekly, Seasonally Adjusted]]-B539)/B539</f>
        <v>2.2903453136010475E-3</v>
      </c>
      <c r="D540" s="35">
        <f>((1+Table2634[[#This Row],[Weekly change]])^52)-1</f>
        <v>0.12632686528483794</v>
      </c>
      <c r="E540" s="25">
        <f t="shared" si="8"/>
        <v>566.80000000000007</v>
      </c>
      <c r="F540" s="33">
        <f>(Table2634[[#This Row],[4 weeks average]]-B488)/B488</f>
        <v>6.5814215870628273E-2</v>
      </c>
    </row>
    <row r="541" spans="1:6" x14ac:dyDescent="0.2">
      <c r="A541" s="23">
        <v>31145</v>
      </c>
      <c r="B541" s="25">
        <f>VLOOKUP(Table2634[[#This Row],[Date]],'DB Money Supply'!$A:$D,4)</f>
        <v>567.79999999999995</v>
      </c>
      <c r="C541" s="31">
        <f>(Table2634[[#This Row],[M1 Money Stock, Billions of Dollars, Weekly, Seasonally Adjusted]]-B540)/B540</f>
        <v>-1.9335559852347035E-3</v>
      </c>
      <c r="D541" s="35">
        <f>((1+Table2634[[#This Row],[Weekly change]])^52)-1</f>
        <v>-9.5743519372629593E-2</v>
      </c>
      <c r="E541" s="25">
        <f t="shared" si="8"/>
        <v>567.34999999999991</v>
      </c>
      <c r="F541" s="33">
        <f>(Table2634[[#This Row],[4 weeks average]]-B489)/B489</f>
        <v>6.2851255151742141E-2</v>
      </c>
    </row>
    <row r="542" spans="1:6" x14ac:dyDescent="0.2">
      <c r="A542" s="23">
        <v>31152</v>
      </c>
      <c r="B542" s="25">
        <f>VLOOKUP(Table2634[[#This Row],[Date]],'DB Money Supply'!$A:$D,4)</f>
        <v>571.20000000000005</v>
      </c>
      <c r="C542" s="31">
        <f>(Table2634[[#This Row],[M1 Money Stock, Billions of Dollars, Weekly, Seasonally Adjusted]]-B541)/B541</f>
        <v>5.9880239520959692E-3</v>
      </c>
      <c r="D542" s="35">
        <f>((1+Table2634[[#This Row],[Weekly change]])^52)-1</f>
        <v>0.36403699746989937</v>
      </c>
      <c r="E542" s="25">
        <f t="shared" si="8"/>
        <v>568.875</v>
      </c>
      <c r="F542" s="33">
        <f>(Table2634[[#This Row],[4 weeks average]]-B490)/B490</f>
        <v>6.2324929971988796E-2</v>
      </c>
    </row>
    <row r="543" spans="1:6" x14ac:dyDescent="0.2">
      <c r="A543" s="23">
        <v>31159</v>
      </c>
      <c r="B543" s="25">
        <f>VLOOKUP(Table2634[[#This Row],[Date]],'DB Money Supply'!$A:$D,4)</f>
        <v>572.1</v>
      </c>
      <c r="C543" s="31">
        <f>(Table2634[[#This Row],[M1 Money Stock, Billions of Dollars, Weekly, Seasonally Adjusted]]-B542)/B542</f>
        <v>1.5756302521008005E-3</v>
      </c>
      <c r="D543" s="35">
        <f>((1+Table2634[[#This Row],[Weekly change]])^52)-1</f>
        <v>8.5312857065026781E-2</v>
      </c>
      <c r="E543" s="25">
        <f t="shared" si="8"/>
        <v>570</v>
      </c>
      <c r="F543" s="33">
        <f>(Table2634[[#This Row],[4 weeks average]]-B491)/B491</f>
        <v>6.6018328034411725E-2</v>
      </c>
    </row>
    <row r="544" spans="1:6" x14ac:dyDescent="0.2">
      <c r="A544" s="23">
        <v>31166</v>
      </c>
      <c r="B544" s="25">
        <f>VLOOKUP(Table2634[[#This Row],[Date]],'DB Money Supply'!$A:$D,4)</f>
        <v>570.4</v>
      </c>
      <c r="C544" s="31">
        <f>(Table2634[[#This Row],[M1 Money Stock, Billions of Dollars, Weekly, Seasonally Adjusted]]-B543)/B543</f>
        <v>-2.9715084775389713E-3</v>
      </c>
      <c r="D544" s="35">
        <f>((1+Table2634[[#This Row],[Weekly change]])^52)-1</f>
        <v>-0.14336938394166243</v>
      </c>
      <c r="E544" s="25">
        <f t="shared" si="8"/>
        <v>570.375</v>
      </c>
      <c r="F544" s="33">
        <f>(Table2634[[#This Row],[4 weeks average]]-B492)/B492</f>
        <v>6.7118802619270349E-2</v>
      </c>
    </row>
    <row r="545" spans="1:6" x14ac:dyDescent="0.2">
      <c r="A545" s="23">
        <v>31173</v>
      </c>
      <c r="B545" s="25">
        <f>VLOOKUP(Table2634[[#This Row],[Date]],'DB Money Supply'!$A:$D,4)</f>
        <v>571.9</v>
      </c>
      <c r="C545" s="31">
        <f>(Table2634[[#This Row],[M1 Money Stock, Billions of Dollars, Weekly, Seasonally Adjusted]]-B544)/B544</f>
        <v>2.6297335203366058E-3</v>
      </c>
      <c r="D545" s="35">
        <f>((1+Table2634[[#This Row],[Weekly change]])^52)-1</f>
        <v>0.14633128359896297</v>
      </c>
      <c r="E545" s="25">
        <f t="shared" si="8"/>
        <v>571.40000000000009</v>
      </c>
      <c r="F545" s="33">
        <f>(Table2634[[#This Row],[4 weeks average]]-B493)/B493</f>
        <v>6.7239447142323716E-2</v>
      </c>
    </row>
    <row r="546" spans="1:6" x14ac:dyDescent="0.2">
      <c r="A546" s="23">
        <v>31180</v>
      </c>
      <c r="B546" s="25">
        <f>VLOOKUP(Table2634[[#This Row],[Date]],'DB Money Supply'!$A:$D,4)</f>
        <v>574</v>
      </c>
      <c r="C546" s="31">
        <f>(Table2634[[#This Row],[M1 Money Stock, Billions of Dollars, Weekly, Seasonally Adjusted]]-B545)/B545</f>
        <v>3.6719706242350461E-3</v>
      </c>
      <c r="D546" s="35">
        <f>((1+Table2634[[#This Row],[Weekly change]])^52)-1</f>
        <v>0.20996660579513149</v>
      </c>
      <c r="E546" s="25">
        <f t="shared" si="8"/>
        <v>572.1</v>
      </c>
      <c r="F546" s="33">
        <f>(Table2634[[#This Row],[4 weeks average]]-B494)/B494</f>
        <v>6.4570152586527818E-2</v>
      </c>
    </row>
    <row r="547" spans="1:6" x14ac:dyDescent="0.2">
      <c r="A547" s="23">
        <v>31187</v>
      </c>
      <c r="B547" s="25">
        <f>VLOOKUP(Table2634[[#This Row],[Date]],'DB Money Supply'!$A:$D,4)</f>
        <v>576.4</v>
      </c>
      <c r="C547" s="31">
        <f>(Table2634[[#This Row],[M1 Money Stock, Billions of Dollars, Weekly, Seasonally Adjusted]]-B546)/B546</f>
        <v>4.1811846689895071E-3</v>
      </c>
      <c r="D547" s="35">
        <f>((1+Table2634[[#This Row],[Weekly change]])^52)-1</f>
        <v>0.24230475263163753</v>
      </c>
      <c r="E547" s="25">
        <f t="shared" si="8"/>
        <v>573.17499999999995</v>
      </c>
      <c r="F547" s="33">
        <f>(Table2634[[#This Row],[4 weeks average]]-B495)/B495</f>
        <v>6.7166263265685963E-2</v>
      </c>
    </row>
    <row r="548" spans="1:6" x14ac:dyDescent="0.2">
      <c r="A548" s="23">
        <v>31194</v>
      </c>
      <c r="B548" s="25">
        <f>VLOOKUP(Table2634[[#This Row],[Date]],'DB Money Supply'!$A:$D,4)</f>
        <v>577.1</v>
      </c>
      <c r="C548" s="31">
        <f>(Table2634[[#This Row],[M1 Money Stock, Billions of Dollars, Weekly, Seasonally Adjusted]]-B547)/B547</f>
        <v>1.2144344205413697E-3</v>
      </c>
      <c r="D548" s="35">
        <f>((1+Table2634[[#This Row],[Weekly change]])^52)-1</f>
        <v>6.51464215778359E-2</v>
      </c>
      <c r="E548" s="25">
        <f t="shared" si="8"/>
        <v>574.85</v>
      </c>
      <c r="F548" s="33">
        <f>(Table2634[[#This Row],[4 weeks average]]-B496)/B496</f>
        <v>7.20813129429317E-2</v>
      </c>
    </row>
    <row r="549" spans="1:6" x14ac:dyDescent="0.2">
      <c r="A549" s="23">
        <v>31201</v>
      </c>
      <c r="B549" s="25">
        <f>VLOOKUP(Table2634[[#This Row],[Date]],'DB Money Supply'!$A:$D,4)</f>
        <v>575.9</v>
      </c>
      <c r="C549" s="31">
        <f>(Table2634[[#This Row],[M1 Money Stock, Billions of Dollars, Weekly, Seasonally Adjusted]]-B548)/B548</f>
        <v>-2.0793623288858872E-3</v>
      </c>
      <c r="D549" s="35">
        <f>((1+Table2634[[#This Row],[Weekly change]])^52)-1</f>
        <v>-0.1025872830187543</v>
      </c>
      <c r="E549" s="25">
        <f t="shared" si="8"/>
        <v>575.85</v>
      </c>
      <c r="F549" s="33">
        <f>(Table2634[[#This Row],[4 weeks average]]-B497)/B497</f>
        <v>6.7179392142327654E-2</v>
      </c>
    </row>
    <row r="550" spans="1:6" x14ac:dyDescent="0.2">
      <c r="A550" s="23">
        <v>31208</v>
      </c>
      <c r="B550" s="25">
        <f>VLOOKUP(Table2634[[#This Row],[Date]],'DB Money Supply'!$A:$D,4)</f>
        <v>580.5</v>
      </c>
      <c r="C550" s="31">
        <f>(Table2634[[#This Row],[M1 Money Stock, Billions of Dollars, Weekly, Seasonally Adjusted]]-B549)/B549</f>
        <v>7.9874978294843246E-3</v>
      </c>
      <c r="D550" s="35">
        <f>((1+Table2634[[#This Row],[Weekly change]])^52)-1</f>
        <v>0.51240313291258111</v>
      </c>
      <c r="E550" s="25">
        <f t="shared" si="8"/>
        <v>577.47500000000002</v>
      </c>
      <c r="F550" s="33">
        <f>(Table2634[[#This Row],[4 weeks average]]-B498)/B498</f>
        <v>6.9002221399481631E-2</v>
      </c>
    </row>
    <row r="551" spans="1:6" x14ac:dyDescent="0.2">
      <c r="A551" s="23">
        <v>31215</v>
      </c>
      <c r="B551" s="25">
        <f>VLOOKUP(Table2634[[#This Row],[Date]],'DB Money Supply'!$A:$D,4)</f>
        <v>581.20000000000005</v>
      </c>
      <c r="C551" s="31">
        <f>(Table2634[[#This Row],[M1 Money Stock, Billions of Dollars, Weekly, Seasonally Adjusted]]-B550)/B550</f>
        <v>1.2058570198105866E-3</v>
      </c>
      <c r="D551" s="35">
        <f>((1+Table2634[[#This Row],[Weekly change]])^52)-1</f>
        <v>6.4672019718442275E-2</v>
      </c>
      <c r="E551" s="25">
        <f t="shared" si="8"/>
        <v>578.67499999999995</v>
      </c>
      <c r="F551" s="33">
        <f>(Table2634[[#This Row],[4 weeks average]]-B499)/B499</f>
        <v>7.3011310958650114E-2</v>
      </c>
    </row>
    <row r="552" spans="1:6" x14ac:dyDescent="0.2">
      <c r="A552" s="23">
        <v>31222</v>
      </c>
      <c r="B552" s="25">
        <f>VLOOKUP(Table2634[[#This Row],[Date]],'DB Money Supply'!$A:$D,4)</f>
        <v>583.6</v>
      </c>
      <c r="C552" s="31">
        <f>(Table2634[[#This Row],[M1 Money Stock, Billions of Dollars, Weekly, Seasonally Adjusted]]-B551)/B551</f>
        <v>4.1293874741912887E-3</v>
      </c>
      <c r="D552" s="35">
        <f>((1+Table2634[[#This Row],[Weekly change]])^52)-1</f>
        <v>0.23897697325417577</v>
      </c>
      <c r="E552" s="25">
        <f t="shared" si="8"/>
        <v>580.30000000000007</v>
      </c>
      <c r="F552" s="33">
        <f>(Table2634[[#This Row],[4 weeks average]]-B500)/B500</f>
        <v>7.4032944660374078E-2</v>
      </c>
    </row>
    <row r="553" spans="1:6" x14ac:dyDescent="0.2">
      <c r="A553" s="23">
        <v>31229</v>
      </c>
      <c r="B553" s="25">
        <f>VLOOKUP(Table2634[[#This Row],[Date]],'DB Money Supply'!$A:$D,4)</f>
        <v>587.29999999999995</v>
      </c>
      <c r="C553" s="31">
        <f>(Table2634[[#This Row],[M1 Money Stock, Billions of Dollars, Weekly, Seasonally Adjusted]]-B552)/B552</f>
        <v>6.3399588759423088E-3</v>
      </c>
      <c r="D553" s="35">
        <f>((1+Table2634[[#This Row],[Weekly change]])^52)-1</f>
        <v>0.38907378838958961</v>
      </c>
      <c r="E553" s="25">
        <f t="shared" si="8"/>
        <v>583.15000000000009</v>
      </c>
      <c r="F553" s="33">
        <f>(Table2634[[#This Row],[4 weeks average]]-B501)/B501</f>
        <v>7.7712068009610183E-2</v>
      </c>
    </row>
    <row r="554" spans="1:6" x14ac:dyDescent="0.2">
      <c r="A554" s="23">
        <v>31236</v>
      </c>
      <c r="B554" s="25">
        <f>VLOOKUP(Table2634[[#This Row],[Date]],'DB Money Supply'!$A:$D,4)</f>
        <v>585.70000000000005</v>
      </c>
      <c r="C554" s="31">
        <f>(Table2634[[#This Row],[M1 Money Stock, Billions of Dollars, Weekly, Seasonally Adjusted]]-B553)/B553</f>
        <v>-2.7243316873827843E-3</v>
      </c>
      <c r="D554" s="35">
        <f>((1+Table2634[[#This Row],[Weekly change]])^52)-1</f>
        <v>-0.13225602759798782</v>
      </c>
      <c r="E554" s="25">
        <f t="shared" si="8"/>
        <v>584.45000000000005</v>
      </c>
      <c r="F554" s="33">
        <f>(Table2634[[#This Row],[4 weeks average]]-B502)/B502</f>
        <v>8.2515280607520045E-2</v>
      </c>
    </row>
    <row r="555" spans="1:6" x14ac:dyDescent="0.2">
      <c r="A555" s="23">
        <v>31243</v>
      </c>
      <c r="B555" s="25">
        <f>VLOOKUP(Table2634[[#This Row],[Date]],'DB Money Supply'!$A:$D,4)</f>
        <v>588.6</v>
      </c>
      <c r="C555" s="31">
        <f>(Table2634[[#This Row],[M1 Money Stock, Billions of Dollars, Weekly, Seasonally Adjusted]]-B554)/B554</f>
        <v>4.9513402765920724E-3</v>
      </c>
      <c r="D555" s="35">
        <f>((1+Table2634[[#This Row],[Weekly change]])^52)-1</f>
        <v>0.29283099112014432</v>
      </c>
      <c r="E555" s="25">
        <f t="shared" si="8"/>
        <v>586.30000000000007</v>
      </c>
      <c r="F555" s="33">
        <f>(Table2634[[#This Row],[4 weeks average]]-B503)/B503</f>
        <v>8.1335300627074919E-2</v>
      </c>
    </row>
    <row r="556" spans="1:6" x14ac:dyDescent="0.2">
      <c r="A556" s="23">
        <v>31250</v>
      </c>
      <c r="B556" s="25">
        <f>VLOOKUP(Table2634[[#This Row],[Date]],'DB Money Supply'!$A:$D,4)</f>
        <v>590</v>
      </c>
      <c r="C556" s="31">
        <f>(Table2634[[#This Row],[M1 Money Stock, Billions of Dollars, Weekly, Seasonally Adjusted]]-B555)/B555</f>
        <v>2.3785253143050922E-3</v>
      </c>
      <c r="D556" s="35">
        <f>((1+Table2634[[#This Row],[Weekly change]])^52)-1</f>
        <v>0.13149125481622281</v>
      </c>
      <c r="E556" s="25">
        <f t="shared" si="8"/>
        <v>587.9</v>
      </c>
      <c r="F556" s="33">
        <f>(Table2634[[#This Row],[4 weeks average]]-B504)/B504</f>
        <v>8.6089044891926897E-2</v>
      </c>
    </row>
    <row r="557" spans="1:6" x14ac:dyDescent="0.2">
      <c r="A557" s="23">
        <v>31257</v>
      </c>
      <c r="B557" s="25">
        <f>VLOOKUP(Table2634[[#This Row],[Date]],'DB Money Supply'!$A:$D,4)</f>
        <v>591</v>
      </c>
      <c r="C557" s="31">
        <f>(Table2634[[#This Row],[M1 Money Stock, Billions of Dollars, Weekly, Seasonally Adjusted]]-B556)/B556</f>
        <v>1.6949152542372881E-3</v>
      </c>
      <c r="D557" s="35">
        <f>((1+Table2634[[#This Row],[Weekly change]])^52)-1</f>
        <v>9.2054720406198998E-2</v>
      </c>
      <c r="E557" s="25">
        <f t="shared" si="8"/>
        <v>588.82500000000005</v>
      </c>
      <c r="F557" s="33">
        <f>(Table2634[[#This Row],[4 weeks average]]-B505)/B505</f>
        <v>9.1022790439132847E-2</v>
      </c>
    </row>
    <row r="558" spans="1:6" x14ac:dyDescent="0.2">
      <c r="A558" s="23">
        <v>31264</v>
      </c>
      <c r="B558" s="25">
        <f>VLOOKUP(Table2634[[#This Row],[Date]],'DB Money Supply'!$A:$D,4)</f>
        <v>593.6</v>
      </c>
      <c r="C558" s="31">
        <f>(Table2634[[#This Row],[M1 Money Stock, Billions of Dollars, Weekly, Seasonally Adjusted]]-B557)/B557</f>
        <v>4.3993231810491081E-3</v>
      </c>
      <c r="D558" s="35">
        <f>((1+Table2634[[#This Row],[Weekly change]])^52)-1</f>
        <v>0.25641580883464532</v>
      </c>
      <c r="E558" s="25">
        <f t="shared" si="8"/>
        <v>590.79999999999995</v>
      </c>
      <c r="F558" s="33">
        <f>(Table2634[[#This Row],[4 weeks average]]-B506)/B506</f>
        <v>9.3061979648473556E-2</v>
      </c>
    </row>
    <row r="559" spans="1:6" x14ac:dyDescent="0.2">
      <c r="A559" s="23">
        <v>31271</v>
      </c>
      <c r="B559" s="25">
        <f>VLOOKUP(Table2634[[#This Row],[Date]],'DB Money Supply'!$A:$D,4)</f>
        <v>594.9</v>
      </c>
      <c r="C559" s="31">
        <f>(Table2634[[#This Row],[M1 Money Stock, Billions of Dollars, Weekly, Seasonally Adjusted]]-B558)/B558</f>
        <v>2.1900269541778208E-3</v>
      </c>
      <c r="D559" s="35">
        <f>((1+Table2634[[#This Row],[Weekly change]])^52)-1</f>
        <v>0.12047968266977227</v>
      </c>
      <c r="E559" s="25">
        <f t="shared" si="8"/>
        <v>592.375</v>
      </c>
      <c r="F559" s="33">
        <f>(Table2634[[#This Row],[4 weeks average]]-B507)/B507</f>
        <v>9.4558388765705742E-2</v>
      </c>
    </row>
    <row r="560" spans="1:6" x14ac:dyDescent="0.2">
      <c r="A560" s="23">
        <v>31278</v>
      </c>
      <c r="B560" s="25">
        <f>VLOOKUP(Table2634[[#This Row],[Date]],'DB Money Supply'!$A:$D,4)</f>
        <v>595.70000000000005</v>
      </c>
      <c r="C560" s="31">
        <f>(Table2634[[#This Row],[M1 Money Stock, Billions of Dollars, Weekly, Seasonally Adjusted]]-B559)/B559</f>
        <v>1.3447638258531993E-3</v>
      </c>
      <c r="D560" s="35">
        <f>((1+Table2634[[#This Row],[Weekly change]])^52)-1</f>
        <v>7.2380284687388219E-2</v>
      </c>
      <c r="E560" s="25">
        <f t="shared" si="8"/>
        <v>593.79999999999995</v>
      </c>
      <c r="F560" s="33">
        <f>(Table2634[[#This Row],[4 weeks average]]-B508)/B508</f>
        <v>9.6988730833179396E-2</v>
      </c>
    </row>
    <row r="561" spans="1:6" x14ac:dyDescent="0.2">
      <c r="A561" s="23">
        <v>31285</v>
      </c>
      <c r="B561" s="25">
        <f>VLOOKUP(Table2634[[#This Row],[Date]],'DB Money Supply'!$A:$D,4)</f>
        <v>598.5</v>
      </c>
      <c r="C561" s="31">
        <f>(Table2634[[#This Row],[M1 Money Stock, Billions of Dollars, Weekly, Seasonally Adjusted]]-B560)/B560</f>
        <v>4.7003525264394065E-3</v>
      </c>
      <c r="D561" s="35">
        <f>((1+Table2634[[#This Row],[Weekly change]])^52)-1</f>
        <v>0.27614740434361251</v>
      </c>
      <c r="E561" s="25">
        <f t="shared" si="8"/>
        <v>595.67499999999995</v>
      </c>
      <c r="F561" s="33">
        <f>(Table2634[[#This Row],[4 weeks average]]-B509)/B509</f>
        <v>0.10167375624190846</v>
      </c>
    </row>
    <row r="562" spans="1:6" x14ac:dyDescent="0.2">
      <c r="A562" s="23">
        <v>31292</v>
      </c>
      <c r="B562" s="25">
        <f>VLOOKUP(Table2634[[#This Row],[Date]],'DB Money Supply'!$A:$D,4)</f>
        <v>598.20000000000005</v>
      </c>
      <c r="C562" s="31">
        <f>(Table2634[[#This Row],[M1 Money Stock, Billions of Dollars, Weekly, Seasonally Adjusted]]-B561)/B561</f>
        <v>-5.0125313283200419E-4</v>
      </c>
      <c r="D562" s="35">
        <f>((1+Table2634[[#This Row],[Weekly change]])^52)-1</f>
        <v>-2.5734765484973443E-2</v>
      </c>
      <c r="E562" s="25">
        <f t="shared" si="8"/>
        <v>596.82500000000005</v>
      </c>
      <c r="F562" s="33">
        <f>(Table2634[[#This Row],[4 weeks average]]-B510)/B510</f>
        <v>0.10176296843271182</v>
      </c>
    </row>
    <row r="563" spans="1:6" x14ac:dyDescent="0.2">
      <c r="A563" s="23">
        <v>31299</v>
      </c>
      <c r="B563" s="25">
        <f>VLOOKUP(Table2634[[#This Row],[Date]],'DB Money Supply'!$A:$D,4)</f>
        <v>601.29999999999995</v>
      </c>
      <c r="C563" s="31">
        <f>(Table2634[[#This Row],[M1 Money Stock, Billions of Dollars, Weekly, Seasonally Adjusted]]-B562)/B562</f>
        <v>5.1822133065862735E-3</v>
      </c>
      <c r="D563" s="35">
        <f>((1+Table2634[[#This Row],[Weekly change]])^52)-1</f>
        <v>0.3083662953972508</v>
      </c>
      <c r="E563" s="25">
        <f t="shared" si="8"/>
        <v>598.42499999999995</v>
      </c>
      <c r="F563" s="33">
        <f>(Table2634[[#This Row],[4 weeks average]]-B511)/B511</f>
        <v>0.10126058152373939</v>
      </c>
    </row>
    <row r="564" spans="1:6" x14ac:dyDescent="0.2">
      <c r="A564" s="23">
        <v>31306</v>
      </c>
      <c r="B564" s="25">
        <f>VLOOKUP(Table2634[[#This Row],[Date]],'DB Money Supply'!$A:$D,4)</f>
        <v>601.20000000000005</v>
      </c>
      <c r="C564" s="31">
        <f>(Table2634[[#This Row],[M1 Money Stock, Billions of Dollars, Weekly, Seasonally Adjusted]]-B563)/B563</f>
        <v>-1.6630633627126069E-4</v>
      </c>
      <c r="D564" s="35">
        <f>((1+Table2634[[#This Row],[Weekly change]])^52)-1</f>
        <v>-8.6113566925183349E-3</v>
      </c>
      <c r="E564" s="25">
        <f t="shared" si="8"/>
        <v>599.79999999999995</v>
      </c>
      <c r="F564" s="33">
        <f>(Table2634[[#This Row],[4 weeks average]]-B512)/B512</f>
        <v>0.10501105379513634</v>
      </c>
    </row>
    <row r="565" spans="1:6" x14ac:dyDescent="0.2">
      <c r="A565" s="23">
        <v>31313</v>
      </c>
      <c r="B565" s="25">
        <f>VLOOKUP(Table2634[[#This Row],[Date]],'DB Money Supply'!$A:$D,4)</f>
        <v>602</v>
      </c>
      <c r="C565" s="31">
        <f>(Table2634[[#This Row],[M1 Money Stock, Billions of Dollars, Weekly, Seasonally Adjusted]]-B564)/B564</f>
        <v>1.3306719893545484E-3</v>
      </c>
      <c r="D565" s="35">
        <f>((1+Table2634[[#This Row],[Weekly change]])^52)-1</f>
        <v>7.1595807557266022E-2</v>
      </c>
      <c r="E565" s="25">
        <f t="shared" si="8"/>
        <v>600.67499999999995</v>
      </c>
      <c r="F565" s="33">
        <f>(Table2634[[#This Row],[4 weeks average]]-B513)/B513</f>
        <v>0.10662306558585115</v>
      </c>
    </row>
    <row r="566" spans="1:6" x14ac:dyDescent="0.2">
      <c r="A566" s="23">
        <v>31320</v>
      </c>
      <c r="B566" s="25">
        <f>VLOOKUP(Table2634[[#This Row],[Date]],'DB Money Supply'!$A:$D,4)</f>
        <v>610.29999999999995</v>
      </c>
      <c r="C566" s="31">
        <f>(Table2634[[#This Row],[M1 Money Stock, Billions of Dollars, Weekly, Seasonally Adjusted]]-B565)/B565</f>
        <v>1.3787375415282316E-2</v>
      </c>
      <c r="D566" s="35">
        <f>((1+Table2634[[#This Row],[Weekly change]])^52)-1</f>
        <v>1.0381572698951604</v>
      </c>
      <c r="E566" s="25">
        <f t="shared" si="8"/>
        <v>603.70000000000005</v>
      </c>
      <c r="F566" s="33">
        <f>(Table2634[[#This Row],[4 weeks average]]-B514)/B514</f>
        <v>0.1079097082033402</v>
      </c>
    </row>
    <row r="567" spans="1:6" x14ac:dyDescent="0.2">
      <c r="A567" s="23">
        <v>31327</v>
      </c>
      <c r="B567" s="25">
        <f>VLOOKUP(Table2634[[#This Row],[Date]],'DB Money Supply'!$A:$D,4)</f>
        <v>606.20000000000005</v>
      </c>
      <c r="C567" s="31">
        <f>(Table2634[[#This Row],[M1 Money Stock, Billions of Dollars, Weekly, Seasonally Adjusted]]-B566)/B566</f>
        <v>-6.7180075372766006E-3</v>
      </c>
      <c r="D567" s="35">
        <f>((1+Table2634[[#This Row],[Weekly change]])^52)-1</f>
        <v>-0.29567479896269766</v>
      </c>
      <c r="E567" s="25">
        <f t="shared" si="8"/>
        <v>604.92499999999995</v>
      </c>
      <c r="F567" s="33">
        <f>(Table2634[[#This Row],[4 weeks average]]-B515)/B515</f>
        <v>0.11568609369236427</v>
      </c>
    </row>
    <row r="568" spans="1:6" x14ac:dyDescent="0.2">
      <c r="A568" s="23">
        <v>31334</v>
      </c>
      <c r="B568" s="25">
        <f>VLOOKUP(Table2634[[#This Row],[Date]],'DB Money Supply'!$A:$D,4)</f>
        <v>605.79999999999995</v>
      </c>
      <c r="C568" s="31">
        <f>(Table2634[[#This Row],[M1 Money Stock, Billions of Dollars, Weekly, Seasonally Adjusted]]-B567)/B567</f>
        <v>-6.5984823490612156E-4</v>
      </c>
      <c r="D568" s="35">
        <f>((1+Table2634[[#This Row],[Weekly change]])^52)-1</f>
        <v>-3.3741066502957495E-2</v>
      </c>
      <c r="E568" s="25">
        <f t="shared" si="8"/>
        <v>606.07500000000005</v>
      </c>
      <c r="F568" s="33">
        <f>(Table2634[[#This Row],[4 weeks average]]-B516)/B516</f>
        <v>0.11063771302913689</v>
      </c>
    </row>
    <row r="569" spans="1:6" x14ac:dyDescent="0.2">
      <c r="A569" s="23">
        <v>31341</v>
      </c>
      <c r="B569" s="25">
        <f>VLOOKUP(Table2634[[#This Row],[Date]],'DB Money Supply'!$A:$D,4)</f>
        <v>609.5</v>
      </c>
      <c r="C569" s="31">
        <f>(Table2634[[#This Row],[M1 Money Stock, Billions of Dollars, Weekly, Seasonally Adjusted]]-B568)/B568</f>
        <v>6.1076262793001747E-3</v>
      </c>
      <c r="D569" s="35">
        <f>((1+Table2634[[#This Row],[Weekly change]])^52)-1</f>
        <v>0.37249550186413427</v>
      </c>
      <c r="E569" s="25">
        <f t="shared" si="8"/>
        <v>607.95000000000005</v>
      </c>
      <c r="F569" s="33">
        <f>(Table2634[[#This Row],[4 weeks average]]-B517)/B517</f>
        <v>0.12147205312672943</v>
      </c>
    </row>
    <row r="570" spans="1:6" x14ac:dyDescent="0.2">
      <c r="A570" s="23">
        <v>31348</v>
      </c>
      <c r="B570" s="25">
        <f>VLOOKUP(Table2634[[#This Row],[Date]],'DB Money Supply'!$A:$D,4)</f>
        <v>608.9</v>
      </c>
      <c r="C570" s="31">
        <f>(Table2634[[#This Row],[M1 Money Stock, Billions of Dollars, Weekly, Seasonally Adjusted]]-B569)/B569</f>
        <v>-9.8441345365057062E-4</v>
      </c>
      <c r="D570" s="35">
        <f>((1+Table2634[[#This Row],[Weekly change]])^52)-1</f>
        <v>-4.9925343754343543E-2</v>
      </c>
      <c r="E570" s="25">
        <f t="shared" si="8"/>
        <v>607.6</v>
      </c>
      <c r="F570" s="33">
        <f>(Table2634[[#This Row],[4 weeks average]]-B518)/B518</f>
        <v>0.11609110947832485</v>
      </c>
    </row>
    <row r="571" spans="1:6" x14ac:dyDescent="0.2">
      <c r="A571" s="23">
        <v>31355</v>
      </c>
      <c r="B571" s="25">
        <f>VLOOKUP(Table2634[[#This Row],[Date]],'DB Money Supply'!$A:$D,4)</f>
        <v>609.9</v>
      </c>
      <c r="C571" s="31">
        <f>(Table2634[[#This Row],[M1 Money Stock, Billions of Dollars, Weekly, Seasonally Adjusted]]-B570)/B570</f>
        <v>1.6423057973394646E-3</v>
      </c>
      <c r="D571" s="35">
        <f>((1+Table2634[[#This Row],[Weekly change]])^52)-1</f>
        <v>8.9076241183652316E-2</v>
      </c>
      <c r="E571" s="25">
        <f t="shared" si="8"/>
        <v>608.52499999999998</v>
      </c>
      <c r="F571" s="33">
        <f>(Table2634[[#This Row],[4 weeks average]]-B519)/B519</f>
        <v>0.11369875549048317</v>
      </c>
    </row>
    <row r="572" spans="1:6" x14ac:dyDescent="0.2">
      <c r="A572" s="23">
        <v>31362</v>
      </c>
      <c r="B572" s="25">
        <f>VLOOKUP(Table2634[[#This Row],[Date]],'DB Money Supply'!$A:$D,4)</f>
        <v>609.29999999999995</v>
      </c>
      <c r="C572" s="31">
        <f>(Table2634[[#This Row],[M1 Money Stock, Billions of Dollars, Weekly, Seasonally Adjusted]]-B571)/B571</f>
        <v>-9.8376783079197035E-4</v>
      </c>
      <c r="D572" s="35">
        <f>((1+Table2634[[#This Row],[Weekly change]])^52)-1</f>
        <v>-4.9893415522518358E-2</v>
      </c>
      <c r="E572" s="25">
        <f t="shared" si="8"/>
        <v>609.40000000000009</v>
      </c>
      <c r="F572" s="33">
        <f>(Table2634[[#This Row],[4 weeks average]]-B520)/B520</f>
        <v>0.11468812877263589</v>
      </c>
    </row>
    <row r="573" spans="1:6" x14ac:dyDescent="0.2">
      <c r="A573" s="23">
        <v>31369</v>
      </c>
      <c r="B573" s="25">
        <f>VLOOKUP(Table2634[[#This Row],[Date]],'DB Money Supply'!$A:$D,4)</f>
        <v>611</v>
      </c>
      <c r="C573" s="31">
        <f>(Table2634[[#This Row],[M1 Money Stock, Billions of Dollars, Weekly, Seasonally Adjusted]]-B572)/B572</f>
        <v>2.7900869850649031E-3</v>
      </c>
      <c r="D573" s="35">
        <f>((1+Table2634[[#This Row],[Weekly change]])^52)-1</f>
        <v>0.15590374324204825</v>
      </c>
      <c r="E573" s="25">
        <f t="shared" si="8"/>
        <v>609.77499999999998</v>
      </c>
      <c r="F573" s="33">
        <f>(Table2634[[#This Row],[4 weeks average]]-B521)/B521</f>
        <v>0.1092868837547752</v>
      </c>
    </row>
    <row r="574" spans="1:6" x14ac:dyDescent="0.2">
      <c r="A574" s="23">
        <v>31376</v>
      </c>
      <c r="B574" s="25">
        <f>VLOOKUP(Table2634[[#This Row],[Date]],'DB Money Supply'!$A:$D,4)</f>
        <v>614.79999999999995</v>
      </c>
      <c r="C574" s="31">
        <f>(Table2634[[#This Row],[M1 Money Stock, Billions of Dollars, Weekly, Seasonally Adjusted]]-B573)/B573</f>
        <v>6.219312602291251E-3</v>
      </c>
      <c r="D574" s="35">
        <f>((1+Table2634[[#This Row],[Weekly change]])^52)-1</f>
        <v>0.38044060835728244</v>
      </c>
      <c r="E574" s="25">
        <f t="shared" si="8"/>
        <v>611.25</v>
      </c>
      <c r="F574" s="33">
        <f>(Table2634[[#This Row],[4 weeks average]]-B522)/B522</f>
        <v>0.11318521216536145</v>
      </c>
    </row>
    <row r="575" spans="1:6" x14ac:dyDescent="0.2">
      <c r="A575" s="23">
        <v>31383</v>
      </c>
      <c r="B575" s="25">
        <f>VLOOKUP(Table2634[[#This Row],[Date]],'DB Money Supply'!$A:$D,4)</f>
        <v>616.20000000000005</v>
      </c>
      <c r="C575" s="31">
        <f>(Table2634[[#This Row],[M1 Money Stock, Billions of Dollars, Weekly, Seasonally Adjusted]]-B574)/B574</f>
        <v>2.2771633051400309E-3</v>
      </c>
      <c r="D575" s="35">
        <f>((1+Table2634[[#This Row],[Weekly change]])^52)-1</f>
        <v>0.12555683078620872</v>
      </c>
      <c r="E575" s="25">
        <f t="shared" si="8"/>
        <v>612.82500000000005</v>
      </c>
      <c r="F575" s="33">
        <f>(Table2634[[#This Row],[4 weeks average]]-B523)/B523</f>
        <v>0.12424325811777659</v>
      </c>
    </row>
    <row r="576" spans="1:6" x14ac:dyDescent="0.2">
      <c r="A576" s="23">
        <v>31390</v>
      </c>
      <c r="B576" s="25">
        <f>VLOOKUP(Table2634[[#This Row],[Date]],'DB Money Supply'!$A:$D,4)</f>
        <v>618.20000000000005</v>
      </c>
      <c r="C576" s="31">
        <f>(Table2634[[#This Row],[M1 Money Stock, Billions of Dollars, Weekly, Seasonally Adjusted]]-B575)/B575</f>
        <v>3.2456994482310936E-3</v>
      </c>
      <c r="D576" s="35">
        <f>((1+Table2634[[#This Row],[Weekly change]])^52)-1</f>
        <v>0.18353185299545594</v>
      </c>
      <c r="E576" s="25">
        <f t="shared" si="8"/>
        <v>615.04999999999995</v>
      </c>
      <c r="F576" s="33">
        <f>(Table2634[[#This Row],[4 weeks average]]-B524)/B524</f>
        <v>0.11908660844250352</v>
      </c>
    </row>
    <row r="577" spans="1:6" x14ac:dyDescent="0.2">
      <c r="A577" s="23">
        <v>31397</v>
      </c>
      <c r="B577" s="25">
        <f>VLOOKUP(Table2634[[#This Row],[Date]],'DB Money Supply'!$A:$D,4)</f>
        <v>619.5</v>
      </c>
      <c r="C577" s="31">
        <f>(Table2634[[#This Row],[M1 Money Stock, Billions of Dollars, Weekly, Seasonally Adjusted]]-B576)/B576</f>
        <v>2.1028793270785415E-3</v>
      </c>
      <c r="D577" s="35">
        <f>((1+Table2634[[#This Row],[Weekly change]])^52)-1</f>
        <v>0.11542434535205315</v>
      </c>
      <c r="E577" s="25">
        <f t="shared" si="8"/>
        <v>617.17499999999995</v>
      </c>
      <c r="F577" s="33">
        <f>(Table2634[[#This Row],[4 weeks average]]-B525)/B525</f>
        <v>0.12091354885579356</v>
      </c>
    </row>
    <row r="578" spans="1:6" x14ac:dyDescent="0.2">
      <c r="A578" s="23">
        <v>31404</v>
      </c>
      <c r="B578" s="25">
        <f>VLOOKUP(Table2634[[#This Row],[Date]],'DB Money Supply'!$A:$D,4)</f>
        <v>622.4</v>
      </c>
      <c r="C578" s="31">
        <f>(Table2634[[#This Row],[M1 Money Stock, Billions of Dollars, Weekly, Seasonally Adjusted]]-B577)/B577</f>
        <v>4.6811945117029496E-3</v>
      </c>
      <c r="D578" s="35">
        <f>((1+Table2634[[#This Row],[Weekly change]])^52)-1</f>
        <v>0.27488264768018333</v>
      </c>
      <c r="E578" s="25">
        <f t="shared" si="8"/>
        <v>619.07500000000005</v>
      </c>
      <c r="F578" s="33">
        <f>(Table2634[[#This Row],[4 weeks average]]-B526)/B526</f>
        <v>0.1174638989169676</v>
      </c>
    </row>
    <row r="579" spans="1:6" x14ac:dyDescent="0.2">
      <c r="A579" s="23">
        <v>31411</v>
      </c>
      <c r="B579" s="25">
        <f>VLOOKUP(Table2634[[#This Row],[Date]],'DB Money Supply'!$A:$D,4)</f>
        <v>619.9</v>
      </c>
      <c r="C579" s="31">
        <f>(Table2634[[#This Row],[M1 Money Stock, Billions of Dollars, Weekly, Seasonally Adjusted]]-B578)/B578</f>
        <v>-4.0167095115681232E-3</v>
      </c>
      <c r="D579" s="35">
        <f>((1+Table2634[[#This Row],[Weekly change]])^52)-1</f>
        <v>-0.18883963262745584</v>
      </c>
      <c r="E579" s="25">
        <f t="shared" si="8"/>
        <v>620</v>
      </c>
      <c r="F579" s="33">
        <f>(Table2634[[#This Row],[4 weeks average]]-B527)/B527</f>
        <v>0.11530850872459079</v>
      </c>
    </row>
    <row r="580" spans="1:6" x14ac:dyDescent="0.2">
      <c r="A580" s="23">
        <v>31418</v>
      </c>
      <c r="B580" s="25">
        <f>VLOOKUP(Table2634[[#This Row],[Date]],'DB Money Supply'!$A:$D,4)</f>
        <v>622</v>
      </c>
      <c r="C580" s="31">
        <f>(Table2634[[#This Row],[M1 Money Stock, Billions of Dollars, Weekly, Seasonally Adjusted]]-B579)/B579</f>
        <v>3.3876431682529806E-3</v>
      </c>
      <c r="D580" s="35">
        <f>((1+Table2634[[#This Row],[Weekly change]])^52)-1</f>
        <v>0.19227081618915909</v>
      </c>
      <c r="E580" s="25">
        <f t="shared" si="8"/>
        <v>620.95000000000005</v>
      </c>
      <c r="F580" s="33">
        <f>(Table2634[[#This Row],[4 weeks average]]-B528)/B528</f>
        <v>0.12084837545126362</v>
      </c>
    </row>
    <row r="581" spans="1:6" x14ac:dyDescent="0.2">
      <c r="A581" s="23">
        <v>31425</v>
      </c>
      <c r="B581" s="25">
        <f>VLOOKUP(Table2634[[#This Row],[Date]],'DB Money Supply'!$A:$D,4)</f>
        <v>620.1</v>
      </c>
      <c r="C581" s="31">
        <f>(Table2634[[#This Row],[M1 Money Stock, Billions of Dollars, Weekly, Seasonally Adjusted]]-B580)/B580</f>
        <v>-3.0546623794211851E-3</v>
      </c>
      <c r="D581" s="35">
        <f>((1+Table2634[[#This Row],[Weekly change]])^52)-1</f>
        <v>-0.14707660657422406</v>
      </c>
      <c r="E581" s="25">
        <f t="shared" si="8"/>
        <v>621.1</v>
      </c>
      <c r="F581" s="33">
        <f>(Table2634[[#This Row],[4 weeks average]]-B529)/B529</f>
        <v>0.11789056875449963</v>
      </c>
    </row>
    <row r="582" spans="1:6" x14ac:dyDescent="0.2">
      <c r="A582" s="23">
        <v>31432</v>
      </c>
      <c r="B582" s="25">
        <f>VLOOKUP(Table2634[[#This Row],[Date]],'DB Money Supply'!$A:$D,4)</f>
        <v>620.9</v>
      </c>
      <c r="C582" s="31">
        <f>(Table2634[[#This Row],[M1 Money Stock, Billions of Dollars, Weekly, Seasonally Adjusted]]-B581)/B581</f>
        <v>1.290114497661594E-3</v>
      </c>
      <c r="D582" s="35">
        <f>((1+Table2634[[#This Row],[Weekly change]])^52)-1</f>
        <v>6.9341156010714444E-2</v>
      </c>
      <c r="E582" s="25">
        <f t="shared" si="8"/>
        <v>620.72500000000002</v>
      </c>
      <c r="F582" s="33">
        <f>(Table2634[[#This Row],[4 weeks average]]-B530)/B530</f>
        <v>0.11340807174887896</v>
      </c>
    </row>
    <row r="583" spans="1:6" x14ac:dyDescent="0.2">
      <c r="A583" s="23">
        <v>31439</v>
      </c>
      <c r="B583" s="25">
        <f>VLOOKUP(Table2634[[#This Row],[Date]],'DB Money Supply'!$A:$D,4)</f>
        <v>623.4</v>
      </c>
      <c r="C583" s="31">
        <f>(Table2634[[#This Row],[M1 Money Stock, Billions of Dollars, Weekly, Seasonally Adjusted]]-B582)/B582</f>
        <v>4.0264132710581416E-3</v>
      </c>
      <c r="D583" s="35">
        <f>((1+Table2634[[#This Row],[Weekly change]])^52)-1</f>
        <v>0.23238720566411897</v>
      </c>
      <c r="E583" s="25">
        <f t="shared" si="8"/>
        <v>621.6</v>
      </c>
      <c r="F583" s="33">
        <f>(Table2634[[#This Row],[4 weeks average]]-B531)/B531</f>
        <v>0.1123836793128133</v>
      </c>
    </row>
    <row r="584" spans="1:6" x14ac:dyDescent="0.2">
      <c r="A584" s="23">
        <v>31446</v>
      </c>
      <c r="B584" s="25">
        <f>VLOOKUP(Table2634[[#This Row],[Date]],'DB Money Supply'!$A:$D,4)</f>
        <v>620.29999999999995</v>
      </c>
      <c r="C584" s="31">
        <f>(Table2634[[#This Row],[M1 Money Stock, Billions of Dollars, Weekly, Seasonally Adjusted]]-B583)/B583</f>
        <v>-4.9727301892846052E-3</v>
      </c>
      <c r="D584" s="35">
        <f>((1+Table2634[[#This Row],[Weekly change]])^52)-1</f>
        <v>-0.22835219054246292</v>
      </c>
      <c r="E584" s="25">
        <f t="shared" si="8"/>
        <v>621.17499999999995</v>
      </c>
      <c r="F584" s="33">
        <f>(Table2634[[#This Row],[4 weeks average]]-B532)/B532</f>
        <v>0.10647488421802632</v>
      </c>
    </row>
    <row r="585" spans="1:6" x14ac:dyDescent="0.2">
      <c r="A585" s="23">
        <v>31453</v>
      </c>
      <c r="B585" s="25">
        <f>VLOOKUP(Table2634[[#This Row],[Date]],'DB Money Supply'!$A:$D,4)</f>
        <v>624.1</v>
      </c>
      <c r="C585" s="31">
        <f>(Table2634[[#This Row],[M1 Money Stock, Billions of Dollars, Weekly, Seasonally Adjusted]]-B584)/B584</f>
        <v>6.1260680315977246E-3</v>
      </c>
      <c r="D585" s="35">
        <f>((1+Table2634[[#This Row],[Weekly change]])^52)-1</f>
        <v>0.3738043071039685</v>
      </c>
      <c r="E585" s="25">
        <f t="shared" ref="E585:E648" si="9">AVERAGE(B582:B585)</f>
        <v>622.17499999999995</v>
      </c>
      <c r="F585" s="33">
        <f>(Table2634[[#This Row],[4 weeks average]]-B533)/B533</f>
        <v>0.10628556187766711</v>
      </c>
    </row>
    <row r="586" spans="1:6" x14ac:dyDescent="0.2">
      <c r="A586" s="23">
        <v>31460</v>
      </c>
      <c r="B586" s="25">
        <f>VLOOKUP(Table2634[[#This Row],[Date]],'DB Money Supply'!$A:$D,4)</f>
        <v>624.4</v>
      </c>
      <c r="C586" s="31">
        <f>(Table2634[[#This Row],[M1 Money Stock, Billions of Dollars, Weekly, Seasonally Adjusted]]-B585)/B585</f>
        <v>4.8069219676326634E-4</v>
      </c>
      <c r="D586" s="35">
        <f>((1+Table2634[[#This Row],[Weekly change]])^52)-1</f>
        <v>2.5304855599177722E-2</v>
      </c>
      <c r="E586" s="25">
        <f t="shared" si="9"/>
        <v>623.04999999999995</v>
      </c>
      <c r="F586" s="33">
        <f>(Table2634[[#This Row],[4 weeks average]]-B534)/B534</f>
        <v>0.10528649991130017</v>
      </c>
    </row>
    <row r="587" spans="1:6" x14ac:dyDescent="0.2">
      <c r="A587" s="23">
        <v>31467</v>
      </c>
      <c r="B587" s="25">
        <f>VLOOKUP(Table2634[[#This Row],[Date]],'DB Money Supply'!$A:$D,4)</f>
        <v>627.70000000000005</v>
      </c>
      <c r="C587" s="31">
        <f>(Table2634[[#This Row],[M1 Money Stock, Billions of Dollars, Weekly, Seasonally Adjusted]]-B586)/B586</f>
        <v>5.2850736707240045E-3</v>
      </c>
      <c r="D587" s="35">
        <f>((1+Table2634[[#This Row],[Weekly change]])^52)-1</f>
        <v>0.31534652427578491</v>
      </c>
      <c r="E587" s="25">
        <f t="shared" si="9"/>
        <v>624.125</v>
      </c>
      <c r="F587" s="33">
        <f>(Table2634[[#This Row],[4 weeks average]]-B535)/B535</f>
        <v>0.10484156487873965</v>
      </c>
    </row>
    <row r="588" spans="1:6" x14ac:dyDescent="0.2">
      <c r="A588" s="23">
        <v>31474</v>
      </c>
      <c r="B588" s="25">
        <f>VLOOKUP(Table2634[[#This Row],[Date]],'DB Money Supply'!$A:$D,4)</f>
        <v>627.5</v>
      </c>
      <c r="C588" s="31">
        <f>(Table2634[[#This Row],[M1 Money Stock, Billions of Dollars, Weekly, Seasonally Adjusted]]-B587)/B587</f>
        <v>-3.1862354628014252E-4</v>
      </c>
      <c r="D588" s="35">
        <f>((1+Table2634[[#This Row],[Weekly change]])^52)-1</f>
        <v>-1.6434519694292771E-2</v>
      </c>
      <c r="E588" s="25">
        <f t="shared" si="9"/>
        <v>625.92499999999995</v>
      </c>
      <c r="F588" s="33">
        <f>(Table2634[[#This Row],[4 weeks average]]-B536)/B536</f>
        <v>0.10646102174297314</v>
      </c>
    </row>
    <row r="589" spans="1:6" x14ac:dyDescent="0.2">
      <c r="A589" s="23">
        <v>31481</v>
      </c>
      <c r="B589" s="25">
        <f>VLOOKUP(Table2634[[#This Row],[Date]],'DB Money Supply'!$A:$D,4)</f>
        <v>631.70000000000005</v>
      </c>
      <c r="C589" s="31">
        <f>(Table2634[[#This Row],[M1 Money Stock, Billions of Dollars, Weekly, Seasonally Adjusted]]-B588)/B588</f>
        <v>6.6932270916335388E-3</v>
      </c>
      <c r="D589" s="35">
        <f>((1+Table2634[[#This Row],[Weekly change]])^52)-1</f>
        <v>0.41465855591021206</v>
      </c>
      <c r="E589" s="25">
        <f t="shared" si="9"/>
        <v>627.82500000000005</v>
      </c>
      <c r="F589" s="33">
        <f>(Table2634[[#This Row],[4 weeks average]]-B537)/B537</f>
        <v>0.1100159123055163</v>
      </c>
    </row>
    <row r="590" spans="1:6" x14ac:dyDescent="0.2">
      <c r="A590" s="23">
        <v>31488</v>
      </c>
      <c r="B590" s="25">
        <f>VLOOKUP(Table2634[[#This Row],[Date]],'DB Money Supply'!$A:$D,4)</f>
        <v>633.5</v>
      </c>
      <c r="C590" s="31">
        <f>(Table2634[[#This Row],[M1 Money Stock, Billions of Dollars, Weekly, Seasonally Adjusted]]-B589)/B589</f>
        <v>2.8494538546777813E-3</v>
      </c>
      <c r="D590" s="35">
        <f>((1+Table2634[[#This Row],[Weekly change]])^52)-1</f>
        <v>0.15946755628331744</v>
      </c>
      <c r="E590" s="25">
        <f t="shared" si="9"/>
        <v>630.1</v>
      </c>
      <c r="F590" s="33">
        <f>(Table2634[[#This Row],[4 weeks average]]-B538)/B538</f>
        <v>0.115023889577066</v>
      </c>
    </row>
    <row r="591" spans="1:6" x14ac:dyDescent="0.2">
      <c r="A591" s="23">
        <v>31495</v>
      </c>
      <c r="B591" s="25">
        <f>VLOOKUP(Table2634[[#This Row],[Date]],'DB Money Supply'!$A:$D,4)</f>
        <v>635.20000000000005</v>
      </c>
      <c r="C591" s="31">
        <f>(Table2634[[#This Row],[M1 Money Stock, Billions of Dollars, Weekly, Seasonally Adjusted]]-B590)/B590</f>
        <v>2.6835043409629764E-3</v>
      </c>
      <c r="D591" s="35">
        <f>((1+Table2634[[#This Row],[Weekly change]])^52)-1</f>
        <v>0.14953248959260601</v>
      </c>
      <c r="E591" s="25">
        <f t="shared" si="9"/>
        <v>631.97500000000002</v>
      </c>
      <c r="F591" s="33">
        <f>(Table2634[[#This Row],[4 weeks average]]-B539)/B539</f>
        <v>0.11341613812544045</v>
      </c>
    </row>
    <row r="592" spans="1:6" x14ac:dyDescent="0.2">
      <c r="A592" s="23">
        <v>31502</v>
      </c>
      <c r="B592" s="25">
        <f>VLOOKUP(Table2634[[#This Row],[Date]],'DB Money Supply'!$A:$D,4)</f>
        <v>636.1</v>
      </c>
      <c r="C592" s="31">
        <f>(Table2634[[#This Row],[M1 Money Stock, Billions of Dollars, Weekly, Seasonally Adjusted]]-B591)/B591</f>
        <v>1.4168765743072689E-3</v>
      </c>
      <c r="D592" s="35">
        <f>((1+Table2634[[#This Row],[Weekly change]])^52)-1</f>
        <v>7.6403546985686299E-2</v>
      </c>
      <c r="E592" s="25">
        <f t="shared" si="9"/>
        <v>634.125</v>
      </c>
      <c r="F592" s="33">
        <f>(Table2634[[#This Row],[4 weeks average]]-B540)/B540</f>
        <v>0.1146510810335736</v>
      </c>
    </row>
    <row r="593" spans="1:6" x14ac:dyDescent="0.2">
      <c r="A593" s="23">
        <v>31509</v>
      </c>
      <c r="B593" s="25">
        <f>VLOOKUP(Table2634[[#This Row],[Date]],'DB Money Supply'!$A:$D,4)</f>
        <v>639.70000000000005</v>
      </c>
      <c r="C593" s="31">
        <f>(Table2634[[#This Row],[M1 Money Stock, Billions of Dollars, Weekly, Seasonally Adjusted]]-B592)/B592</f>
        <v>5.6594875019651356E-3</v>
      </c>
      <c r="D593" s="35">
        <f>((1+Table2634[[#This Row],[Weekly change]])^52)-1</f>
        <v>0.34106450339621963</v>
      </c>
      <c r="E593" s="25">
        <f t="shared" si="9"/>
        <v>636.125</v>
      </c>
      <c r="F593" s="33">
        <f>(Table2634[[#This Row],[4 weeks average]]-B541)/B541</f>
        <v>0.12033286368439601</v>
      </c>
    </row>
    <row r="594" spans="1:6" x14ac:dyDescent="0.2">
      <c r="A594" s="23">
        <v>31516</v>
      </c>
      <c r="B594" s="25">
        <f>VLOOKUP(Table2634[[#This Row],[Date]],'DB Money Supply'!$A:$D,4)</f>
        <v>638.1</v>
      </c>
      <c r="C594" s="31">
        <f>(Table2634[[#This Row],[M1 Money Stock, Billions of Dollars, Weekly, Seasonally Adjusted]]-B593)/B593</f>
        <v>-2.5011724245740546E-3</v>
      </c>
      <c r="D594" s="35">
        <f>((1+Table2634[[#This Row],[Weekly change]])^52)-1</f>
        <v>-0.12210114408129547</v>
      </c>
      <c r="E594" s="25">
        <f t="shared" si="9"/>
        <v>637.27500000000009</v>
      </c>
      <c r="F594" s="33">
        <f>(Table2634[[#This Row],[4 weeks average]]-B542)/B542</f>
        <v>0.11567752100840344</v>
      </c>
    </row>
    <row r="595" spans="1:6" x14ac:dyDescent="0.2">
      <c r="A595" s="23">
        <v>31523</v>
      </c>
      <c r="B595" s="25">
        <f>VLOOKUP(Table2634[[#This Row],[Date]],'DB Money Supply'!$A:$D,4)</f>
        <v>640.6</v>
      </c>
      <c r="C595" s="31">
        <f>(Table2634[[#This Row],[M1 Money Stock, Billions of Dollars, Weekly, Seasonally Adjusted]]-B594)/B594</f>
        <v>3.9178812098417176E-3</v>
      </c>
      <c r="D595" s="35">
        <f>((1+Table2634[[#This Row],[Weekly change]])^52)-1</f>
        <v>0.22547897507749237</v>
      </c>
      <c r="E595" s="25">
        <f t="shared" si="9"/>
        <v>638.625</v>
      </c>
      <c r="F595" s="33">
        <f>(Table2634[[#This Row],[4 weeks average]]-B543)/B543</f>
        <v>0.11628211851074982</v>
      </c>
    </row>
    <row r="596" spans="1:6" x14ac:dyDescent="0.2">
      <c r="A596" s="23">
        <v>31530</v>
      </c>
      <c r="B596" s="25">
        <f>VLOOKUP(Table2634[[#This Row],[Date]],'DB Money Supply'!$A:$D,4)</f>
        <v>643.29999999999995</v>
      </c>
      <c r="C596" s="31">
        <f>(Table2634[[#This Row],[M1 Money Stock, Billions of Dollars, Weekly, Seasonally Adjusted]]-B595)/B595</f>
        <v>4.2147986262877487E-3</v>
      </c>
      <c r="D596" s="35">
        <f>((1+Table2634[[#This Row],[Weekly change]])^52)-1</f>
        <v>0.24446901451750214</v>
      </c>
      <c r="E596" s="25">
        <f t="shared" si="9"/>
        <v>640.42499999999995</v>
      </c>
      <c r="F596" s="33">
        <f>(Table2634[[#This Row],[4 weeks average]]-B544)/B544</f>
        <v>0.12276472650771385</v>
      </c>
    </row>
    <row r="597" spans="1:6" x14ac:dyDescent="0.2">
      <c r="A597" s="23">
        <v>31537</v>
      </c>
      <c r="B597" s="25">
        <f>VLOOKUP(Table2634[[#This Row],[Date]],'DB Money Supply'!$A:$D,4)</f>
        <v>648.20000000000005</v>
      </c>
      <c r="C597" s="31">
        <f>(Table2634[[#This Row],[M1 Money Stock, Billions of Dollars, Weekly, Seasonally Adjusted]]-B596)/B596</f>
        <v>7.6169749727966595E-3</v>
      </c>
      <c r="D597" s="35">
        <f>((1+Table2634[[#This Row],[Weekly change]])^52)-1</f>
        <v>0.4837636092605393</v>
      </c>
      <c r="E597" s="25">
        <f t="shared" si="9"/>
        <v>642.54999999999995</v>
      </c>
      <c r="F597" s="33">
        <f>(Table2634[[#This Row],[4 weeks average]]-B545)/B545</f>
        <v>0.12353558314390624</v>
      </c>
    </row>
    <row r="598" spans="1:6" x14ac:dyDescent="0.2">
      <c r="A598" s="23">
        <v>31544</v>
      </c>
      <c r="B598" s="25">
        <f>VLOOKUP(Table2634[[#This Row],[Date]],'DB Money Supply'!$A:$D,4)</f>
        <v>650.29999999999995</v>
      </c>
      <c r="C598" s="31">
        <f>(Table2634[[#This Row],[M1 Money Stock, Billions of Dollars, Weekly, Seasonally Adjusted]]-B597)/B597</f>
        <v>3.2397408207342007E-3</v>
      </c>
      <c r="D598" s="35">
        <f>((1+Table2634[[#This Row],[Weekly change]])^52)-1</f>
        <v>0.18316637902596455</v>
      </c>
      <c r="E598" s="25">
        <f t="shared" si="9"/>
        <v>645.6</v>
      </c>
      <c r="F598" s="33">
        <f>(Table2634[[#This Row],[4 weeks average]]-B546)/B546</f>
        <v>0.12473867595818819</v>
      </c>
    </row>
    <row r="599" spans="1:6" x14ac:dyDescent="0.2">
      <c r="A599" s="23">
        <v>31551</v>
      </c>
      <c r="B599" s="25">
        <f>VLOOKUP(Table2634[[#This Row],[Date]],'DB Money Supply'!$A:$D,4)</f>
        <v>652.20000000000005</v>
      </c>
      <c r="C599" s="31">
        <f>(Table2634[[#This Row],[M1 Money Stock, Billions of Dollars, Weekly, Seasonally Adjusted]]-B598)/B598</f>
        <v>2.9217284330310487E-3</v>
      </c>
      <c r="D599" s="35">
        <f>((1+Table2634[[#This Row],[Weekly change]])^52)-1</f>
        <v>0.16382077136821227</v>
      </c>
      <c r="E599" s="25">
        <f t="shared" si="9"/>
        <v>648.5</v>
      </c>
      <c r="F599" s="33">
        <f>(Table2634[[#This Row],[4 weeks average]]-B547)/B547</f>
        <v>0.12508674531575301</v>
      </c>
    </row>
    <row r="600" spans="1:6" x14ac:dyDescent="0.2">
      <c r="A600" s="23">
        <v>31558</v>
      </c>
      <c r="B600" s="25">
        <f>VLOOKUP(Table2634[[#This Row],[Date]],'DB Money Supply'!$A:$D,4)</f>
        <v>654.20000000000005</v>
      </c>
      <c r="C600" s="31">
        <f>(Table2634[[#This Row],[M1 Money Stock, Billions of Dollars, Weekly, Seasonally Adjusted]]-B599)/B599</f>
        <v>3.0665440049064702E-3</v>
      </c>
      <c r="D600" s="35">
        <f>((1+Table2634[[#This Row],[Weekly change]])^52)-1</f>
        <v>0.17259154019453371</v>
      </c>
      <c r="E600" s="25">
        <f t="shared" si="9"/>
        <v>651.22500000000002</v>
      </c>
      <c r="F600" s="33">
        <f>(Table2634[[#This Row],[4 weeks average]]-B548)/B548</f>
        <v>0.12844394385721711</v>
      </c>
    </row>
    <row r="601" spans="1:6" x14ac:dyDescent="0.2">
      <c r="A601" s="23">
        <v>31565</v>
      </c>
      <c r="B601" s="25">
        <f>VLOOKUP(Table2634[[#This Row],[Date]],'DB Money Supply'!$A:$D,4)</f>
        <v>654.9</v>
      </c>
      <c r="C601" s="31">
        <f>(Table2634[[#This Row],[M1 Money Stock, Billions of Dollars, Weekly, Seasonally Adjusted]]-B600)/B600</f>
        <v>1.07000917150708E-3</v>
      </c>
      <c r="D601" s="35">
        <f>((1+Table2634[[#This Row],[Weekly change]])^52)-1</f>
        <v>5.7186073043917762E-2</v>
      </c>
      <c r="E601" s="25">
        <f t="shared" si="9"/>
        <v>652.9</v>
      </c>
      <c r="F601" s="33">
        <f>(Table2634[[#This Row],[4 weeks average]]-B549)/B549</f>
        <v>0.13370376801528044</v>
      </c>
    </row>
    <row r="602" spans="1:6" x14ac:dyDescent="0.2">
      <c r="A602" s="23">
        <v>31572</v>
      </c>
      <c r="B602" s="25">
        <f>VLOOKUP(Table2634[[#This Row],[Date]],'DB Money Supply'!$A:$D,4)</f>
        <v>658.1</v>
      </c>
      <c r="C602" s="31">
        <f>(Table2634[[#This Row],[M1 Money Stock, Billions of Dollars, Weekly, Seasonally Adjusted]]-B601)/B601</f>
        <v>4.8862421743778375E-3</v>
      </c>
      <c r="D602" s="35">
        <f>((1+Table2634[[#This Row],[Weekly change]])^52)-1</f>
        <v>0.28848337493852849</v>
      </c>
      <c r="E602" s="25">
        <f t="shared" si="9"/>
        <v>654.85</v>
      </c>
      <c r="F602" s="33">
        <f>(Table2634[[#This Row],[4 weeks average]]-B550)/B550</f>
        <v>0.12807924203273044</v>
      </c>
    </row>
    <row r="603" spans="1:6" x14ac:dyDescent="0.2">
      <c r="A603" s="23">
        <v>31579</v>
      </c>
      <c r="B603" s="25">
        <f>VLOOKUP(Table2634[[#This Row],[Date]],'DB Money Supply'!$A:$D,4)</f>
        <v>661</v>
      </c>
      <c r="C603" s="31">
        <f>(Table2634[[#This Row],[M1 Money Stock, Billions of Dollars, Weekly, Seasonally Adjusted]]-B602)/B602</f>
        <v>4.4066251329584818E-3</v>
      </c>
      <c r="D603" s="35">
        <f>((1+Table2634[[#This Row],[Weekly change]])^52)-1</f>
        <v>0.2568908703027124</v>
      </c>
      <c r="E603" s="25">
        <f t="shared" si="9"/>
        <v>657.05</v>
      </c>
      <c r="F603" s="33">
        <f>(Table2634[[#This Row],[4 weeks average]]-B551)/B551</f>
        <v>0.13050584996558828</v>
      </c>
    </row>
    <row r="604" spans="1:6" x14ac:dyDescent="0.2">
      <c r="A604" s="23">
        <v>31586</v>
      </c>
      <c r="B604" s="25">
        <f>VLOOKUP(Table2634[[#This Row],[Date]],'DB Money Supply'!$A:$D,4)</f>
        <v>660.8</v>
      </c>
      <c r="C604" s="31">
        <f>(Table2634[[#This Row],[M1 Money Stock, Billions of Dollars, Weekly, Seasonally Adjusted]]-B603)/B603</f>
        <v>-3.0257186081701285E-4</v>
      </c>
      <c r="D604" s="35">
        <f>((1+Table2634[[#This Row],[Weekly change]])^52)-1</f>
        <v>-1.5612951735002767E-2</v>
      </c>
      <c r="E604" s="25">
        <f t="shared" si="9"/>
        <v>658.7</v>
      </c>
      <c r="F604" s="33">
        <f>(Table2634[[#This Row],[4 weeks average]]-B552)/B552</f>
        <v>0.12868403015764227</v>
      </c>
    </row>
    <row r="605" spans="1:6" x14ac:dyDescent="0.2">
      <c r="A605" s="23">
        <v>31593</v>
      </c>
      <c r="B605" s="25">
        <f>VLOOKUP(Table2634[[#This Row],[Date]],'DB Money Supply'!$A:$D,4)</f>
        <v>664.2</v>
      </c>
      <c r="C605" s="31">
        <f>(Table2634[[#This Row],[M1 Money Stock, Billions of Dollars, Weekly, Seasonally Adjusted]]-B604)/B604</f>
        <v>5.145278450363334E-3</v>
      </c>
      <c r="D605" s="35">
        <f>((1+Table2634[[#This Row],[Weekly change]])^52)-1</f>
        <v>0.30586872670925946</v>
      </c>
      <c r="E605" s="25">
        <f t="shared" si="9"/>
        <v>661.02499999999998</v>
      </c>
      <c r="F605" s="33">
        <f>(Table2634[[#This Row],[4 weeks average]]-B553)/B553</f>
        <v>0.12553209603269203</v>
      </c>
    </row>
    <row r="606" spans="1:6" x14ac:dyDescent="0.2">
      <c r="A606" s="23">
        <v>31600</v>
      </c>
      <c r="B606" s="25">
        <f>VLOOKUP(Table2634[[#This Row],[Date]],'DB Money Supply'!$A:$D,4)</f>
        <v>665.7</v>
      </c>
      <c r="C606" s="31">
        <f>(Table2634[[#This Row],[M1 Money Stock, Billions of Dollars, Weekly, Seasonally Adjusted]]-B605)/B605</f>
        <v>2.2583559168925021E-3</v>
      </c>
      <c r="D606" s="35">
        <f>((1+Table2634[[#This Row],[Weekly change]])^52)-1</f>
        <v>0.12445908031478092</v>
      </c>
      <c r="E606" s="25">
        <f t="shared" si="9"/>
        <v>662.92499999999995</v>
      </c>
      <c r="F606" s="33">
        <f>(Table2634[[#This Row],[4 weeks average]]-B554)/B554</f>
        <v>0.13185077684821564</v>
      </c>
    </row>
    <row r="607" spans="1:6" x14ac:dyDescent="0.2">
      <c r="A607" s="23">
        <v>31607</v>
      </c>
      <c r="B607" s="25">
        <f>VLOOKUP(Table2634[[#This Row],[Date]],'DB Money Supply'!$A:$D,4)</f>
        <v>670</v>
      </c>
      <c r="C607" s="31">
        <f>(Table2634[[#This Row],[M1 Money Stock, Billions of Dollars, Weekly, Seasonally Adjusted]]-B606)/B606</f>
        <v>6.4593660808171163E-3</v>
      </c>
      <c r="D607" s="35">
        <f>((1+Table2634[[#This Row],[Weekly change]])^52)-1</f>
        <v>0.3976704361142922</v>
      </c>
      <c r="E607" s="25">
        <f t="shared" si="9"/>
        <v>665.17499999999995</v>
      </c>
      <c r="F607" s="33">
        <f>(Table2634[[#This Row],[4 weeks average]]-B555)/B555</f>
        <v>0.13009683995922516</v>
      </c>
    </row>
    <row r="608" spans="1:6" x14ac:dyDescent="0.2">
      <c r="A608" s="23">
        <v>31614</v>
      </c>
      <c r="B608" s="25">
        <f>VLOOKUP(Table2634[[#This Row],[Date]],'DB Money Supply'!$A:$D,4)</f>
        <v>671.5</v>
      </c>
      <c r="C608" s="31">
        <f>(Table2634[[#This Row],[M1 Money Stock, Billions of Dollars, Weekly, Seasonally Adjusted]]-B607)/B607</f>
        <v>2.2388059701492539E-3</v>
      </c>
      <c r="D608" s="35">
        <f>((1+Table2634[[#This Row],[Weekly change]])^52)-1</f>
        <v>0.12331910121076239</v>
      </c>
      <c r="E608" s="25">
        <f t="shared" si="9"/>
        <v>667.85</v>
      </c>
      <c r="F608" s="33">
        <f>(Table2634[[#This Row],[4 weeks average]]-B556)/B556</f>
        <v>0.13194915254237291</v>
      </c>
    </row>
    <row r="609" spans="1:6" x14ac:dyDescent="0.2">
      <c r="A609" s="23">
        <v>31621</v>
      </c>
      <c r="B609" s="25">
        <f>VLOOKUP(Table2634[[#This Row],[Date]],'DB Money Supply'!$A:$D,4)</f>
        <v>672.4</v>
      </c>
      <c r="C609" s="31">
        <f>(Table2634[[#This Row],[M1 Money Stock, Billions of Dollars, Weekly, Seasonally Adjusted]]-B608)/B608</f>
        <v>1.3402829486224531E-3</v>
      </c>
      <c r="D609" s="35">
        <f>((1+Table2634[[#This Row],[Weekly change]])^52)-1</f>
        <v>7.213077809634294E-2</v>
      </c>
      <c r="E609" s="25">
        <f t="shared" si="9"/>
        <v>669.9</v>
      </c>
      <c r="F609" s="33">
        <f>(Table2634[[#This Row],[4 weeks average]]-B557)/B557</f>
        <v>0.13350253807106596</v>
      </c>
    </row>
    <row r="610" spans="1:6" x14ac:dyDescent="0.2">
      <c r="A610" s="23">
        <v>31628</v>
      </c>
      <c r="B610" s="25">
        <f>VLOOKUP(Table2634[[#This Row],[Date]],'DB Money Supply'!$A:$D,4)</f>
        <v>674.1</v>
      </c>
      <c r="C610" s="31">
        <f>(Table2634[[#This Row],[M1 Money Stock, Billions of Dollars, Weekly, Seasonally Adjusted]]-B609)/B609</f>
        <v>2.52825698988704E-3</v>
      </c>
      <c r="D610" s="35">
        <f>((1+Table2634[[#This Row],[Weekly change]])^52)-1</f>
        <v>0.14031375576739857</v>
      </c>
      <c r="E610" s="25">
        <f t="shared" si="9"/>
        <v>672</v>
      </c>
      <c r="F610" s="33">
        <f>(Table2634[[#This Row],[4 weeks average]]-B558)/B558</f>
        <v>0.13207547169811315</v>
      </c>
    </row>
    <row r="611" spans="1:6" x14ac:dyDescent="0.2">
      <c r="A611" s="23">
        <v>31635</v>
      </c>
      <c r="B611" s="25">
        <f>VLOOKUP(Table2634[[#This Row],[Date]],'DB Money Supply'!$A:$D,4)</f>
        <v>676</v>
      </c>
      <c r="C611" s="31">
        <f>(Table2634[[#This Row],[M1 Money Stock, Billions of Dollars, Weekly, Seasonally Adjusted]]-B610)/B610</f>
        <v>2.818572912030822E-3</v>
      </c>
      <c r="D611" s="35">
        <f>((1+Table2634[[#This Row],[Weekly change]])^52)-1</f>
        <v>0.15761242020076405</v>
      </c>
      <c r="E611" s="25">
        <f t="shared" si="9"/>
        <v>673.5</v>
      </c>
      <c r="F611" s="33">
        <f>(Table2634[[#This Row],[4 weeks average]]-B559)/B559</f>
        <v>0.1321230458900656</v>
      </c>
    </row>
    <row r="612" spans="1:6" x14ac:dyDescent="0.2">
      <c r="A612" s="23">
        <v>31642</v>
      </c>
      <c r="B612" s="25">
        <f>VLOOKUP(Table2634[[#This Row],[Date]],'DB Money Supply'!$A:$D,4)</f>
        <v>677.5</v>
      </c>
      <c r="C612" s="31">
        <f>(Table2634[[#This Row],[M1 Money Stock, Billions of Dollars, Weekly, Seasonally Adjusted]]-B611)/B611</f>
        <v>2.2189349112426036E-3</v>
      </c>
      <c r="D612" s="35">
        <f>((1+Table2634[[#This Row],[Weekly change]])^52)-1</f>
        <v>0.12216155928403705</v>
      </c>
      <c r="E612" s="25">
        <f t="shared" si="9"/>
        <v>675</v>
      </c>
      <c r="F612" s="33">
        <f>(Table2634[[#This Row],[4 weeks average]]-B560)/B560</f>
        <v>0.13312069833808957</v>
      </c>
    </row>
    <row r="613" spans="1:6" x14ac:dyDescent="0.2">
      <c r="A613" s="23">
        <v>31649</v>
      </c>
      <c r="B613" s="25">
        <f>VLOOKUP(Table2634[[#This Row],[Date]],'DB Money Supply'!$A:$D,4)</f>
        <v>679.5</v>
      </c>
      <c r="C613" s="31">
        <f>(Table2634[[#This Row],[M1 Money Stock, Billions of Dollars, Weekly, Seasonally Adjusted]]-B612)/B612</f>
        <v>2.9520295202952029E-3</v>
      </c>
      <c r="D613" s="35">
        <f>((1+Table2634[[#This Row],[Weekly change]])^52)-1</f>
        <v>0.16565062035977451</v>
      </c>
      <c r="E613" s="25">
        <f t="shared" si="9"/>
        <v>676.77499999999998</v>
      </c>
      <c r="F613" s="33">
        <f>(Table2634[[#This Row],[4 weeks average]]-B561)/B561</f>
        <v>0.13078529657477023</v>
      </c>
    </row>
    <row r="614" spans="1:6" x14ac:dyDescent="0.2">
      <c r="A614" s="23">
        <v>31656</v>
      </c>
      <c r="B614" s="25">
        <f>VLOOKUP(Table2634[[#This Row],[Date]],'DB Money Supply'!$A:$D,4)</f>
        <v>685.4</v>
      </c>
      <c r="C614" s="31">
        <f>(Table2634[[#This Row],[M1 Money Stock, Billions of Dollars, Weekly, Seasonally Adjusted]]-B613)/B613</f>
        <v>8.6828550404709007E-3</v>
      </c>
      <c r="D614" s="35">
        <f>((1+Table2634[[#This Row],[Weekly change]])^52)-1</f>
        <v>0.56762156534059738</v>
      </c>
      <c r="E614" s="25">
        <f t="shared" si="9"/>
        <v>679.6</v>
      </c>
      <c r="F614" s="33">
        <f>(Table2634[[#This Row],[4 weeks average]]-B562)/B562</f>
        <v>0.13607489134068868</v>
      </c>
    </row>
    <row r="615" spans="1:6" x14ac:dyDescent="0.2">
      <c r="A615" s="23">
        <v>31663</v>
      </c>
      <c r="B615" s="25">
        <f>VLOOKUP(Table2634[[#This Row],[Date]],'DB Money Supply'!$A:$D,4)</f>
        <v>685.4</v>
      </c>
      <c r="C615" s="31">
        <f>(Table2634[[#This Row],[M1 Money Stock, Billions of Dollars, Weekly, Seasonally Adjusted]]-B614)/B614</f>
        <v>0</v>
      </c>
      <c r="D615" s="35">
        <f>((1+Table2634[[#This Row],[Weekly change]])^52)-1</f>
        <v>0</v>
      </c>
      <c r="E615" s="25">
        <f t="shared" si="9"/>
        <v>681.95</v>
      </c>
      <c r="F615" s="33">
        <f>(Table2634[[#This Row],[4 weeks average]]-B563)/B563</f>
        <v>0.13412606020289389</v>
      </c>
    </row>
    <row r="616" spans="1:6" x14ac:dyDescent="0.2">
      <c r="A616" s="23">
        <v>31670</v>
      </c>
      <c r="B616" s="25">
        <f>VLOOKUP(Table2634[[#This Row],[Date]],'DB Money Supply'!$A:$D,4)</f>
        <v>685.1</v>
      </c>
      <c r="C616" s="31">
        <f>(Table2634[[#This Row],[M1 Money Stock, Billions of Dollars, Weekly, Seasonally Adjusted]]-B615)/B615</f>
        <v>-4.3770061278079156E-4</v>
      </c>
      <c r="D616" s="35">
        <f>((1+Table2634[[#This Row],[Weekly change]])^52)-1</f>
        <v>-2.2508237673958265E-2</v>
      </c>
      <c r="E616" s="25">
        <f t="shared" si="9"/>
        <v>683.85</v>
      </c>
      <c r="F616" s="33">
        <f>(Table2634[[#This Row],[4 weeks average]]-B564)/B564</f>
        <v>0.13747504990019954</v>
      </c>
    </row>
    <row r="617" spans="1:6" x14ac:dyDescent="0.2">
      <c r="A617" s="23">
        <v>31677</v>
      </c>
      <c r="B617" s="25">
        <f>VLOOKUP(Table2634[[#This Row],[Date]],'DB Money Supply'!$A:$D,4)</f>
        <v>688.3</v>
      </c>
      <c r="C617" s="31">
        <f>(Table2634[[#This Row],[M1 Money Stock, Billions of Dollars, Weekly, Seasonally Adjusted]]-B616)/B616</f>
        <v>4.6708509706611173E-3</v>
      </c>
      <c r="D617" s="35">
        <f>((1+Table2634[[#This Row],[Weekly change]])^52)-1</f>
        <v>0.27420030818306818</v>
      </c>
      <c r="E617" s="25">
        <f t="shared" si="9"/>
        <v>686.05</v>
      </c>
      <c r="F617" s="33">
        <f>(Table2634[[#This Row],[4 weeks average]]-B565)/B565</f>
        <v>0.13961794019933546</v>
      </c>
    </row>
    <row r="618" spans="1:6" x14ac:dyDescent="0.2">
      <c r="A618" s="23">
        <v>31684</v>
      </c>
      <c r="B618" s="25">
        <f>VLOOKUP(Table2634[[#This Row],[Date]],'DB Money Supply'!$A:$D,4)</f>
        <v>690.6</v>
      </c>
      <c r="C618" s="31">
        <f>(Table2634[[#This Row],[M1 Money Stock, Billions of Dollars, Weekly, Seasonally Adjusted]]-B617)/B617</f>
        <v>3.3415661775389634E-3</v>
      </c>
      <c r="D618" s="35">
        <f>((1+Table2634[[#This Row],[Weekly change]])^52)-1</f>
        <v>0.18942710720049627</v>
      </c>
      <c r="E618" s="25">
        <f t="shared" si="9"/>
        <v>687.35</v>
      </c>
      <c r="F618" s="33">
        <f>(Table2634[[#This Row],[4 weeks average]]-B566)/B566</f>
        <v>0.12624938554809123</v>
      </c>
    </row>
    <row r="619" spans="1:6" x14ac:dyDescent="0.2">
      <c r="A619" s="23">
        <v>31691</v>
      </c>
      <c r="B619" s="25">
        <f>VLOOKUP(Table2634[[#This Row],[Date]],'DB Money Supply'!$A:$D,4)</f>
        <v>691.2</v>
      </c>
      <c r="C619" s="31">
        <f>(Table2634[[#This Row],[M1 Money Stock, Billions of Dollars, Weekly, Seasonally Adjusted]]-B618)/B618</f>
        <v>8.688097306690164E-4</v>
      </c>
      <c r="D619" s="35">
        <f>((1+Table2634[[#This Row],[Weekly change]])^52)-1</f>
        <v>4.6193659849722124E-2</v>
      </c>
      <c r="E619" s="25">
        <f t="shared" si="9"/>
        <v>688.8</v>
      </c>
      <c r="F619" s="33">
        <f>(Table2634[[#This Row],[4 weeks average]]-B567)/B567</f>
        <v>0.13625866050808297</v>
      </c>
    </row>
    <row r="620" spans="1:6" x14ac:dyDescent="0.2">
      <c r="A620" s="23">
        <v>31698</v>
      </c>
      <c r="B620" s="25">
        <f>VLOOKUP(Table2634[[#This Row],[Date]],'DB Money Supply'!$A:$D,4)</f>
        <v>691.2</v>
      </c>
      <c r="C620" s="31">
        <f>(Table2634[[#This Row],[M1 Money Stock, Billions of Dollars, Weekly, Seasonally Adjusted]]-B619)/B619</f>
        <v>0</v>
      </c>
      <c r="D620" s="35">
        <f>((1+Table2634[[#This Row],[Weekly change]])^52)-1</f>
        <v>0</v>
      </c>
      <c r="E620" s="25">
        <f t="shared" si="9"/>
        <v>690.32500000000005</v>
      </c>
      <c r="F620" s="33">
        <f>(Table2634[[#This Row],[4 weeks average]]-B568)/B568</f>
        <v>0.1395262462859031</v>
      </c>
    </row>
    <row r="621" spans="1:6" x14ac:dyDescent="0.2">
      <c r="A621" s="23">
        <v>31705</v>
      </c>
      <c r="B621" s="25">
        <f>VLOOKUP(Table2634[[#This Row],[Date]],'DB Money Supply'!$A:$D,4)</f>
        <v>695.9</v>
      </c>
      <c r="C621" s="31">
        <f>(Table2634[[#This Row],[M1 Money Stock, Billions of Dollars, Weekly, Seasonally Adjusted]]-B620)/B620</f>
        <v>6.7997685185184195E-3</v>
      </c>
      <c r="D621" s="35">
        <f>((1+Table2634[[#This Row],[Weekly change]])^52)-1</f>
        <v>0.42246492122901302</v>
      </c>
      <c r="E621" s="25">
        <f t="shared" si="9"/>
        <v>692.22500000000002</v>
      </c>
      <c r="F621" s="33">
        <f>(Table2634[[#This Row],[4 weeks average]]-B569)/B569</f>
        <v>0.13572600492206729</v>
      </c>
    </row>
    <row r="622" spans="1:6" x14ac:dyDescent="0.2">
      <c r="A622" s="23">
        <v>31712</v>
      </c>
      <c r="B622" s="25">
        <f>VLOOKUP(Table2634[[#This Row],[Date]],'DB Money Supply'!$A:$D,4)</f>
        <v>698.4</v>
      </c>
      <c r="C622" s="31">
        <f>(Table2634[[#This Row],[M1 Money Stock, Billions of Dollars, Weekly, Seasonally Adjusted]]-B621)/B621</f>
        <v>3.5924701824974854E-3</v>
      </c>
      <c r="D622" s="35">
        <f>((1+Table2634[[#This Row],[Weekly change]])^52)-1</f>
        <v>0.20499292924457513</v>
      </c>
      <c r="E622" s="25">
        <f t="shared" si="9"/>
        <v>694.17500000000007</v>
      </c>
      <c r="F622" s="33">
        <f>(Table2634[[#This Row],[4 weeks average]]-B570)/B570</f>
        <v>0.140047626868123</v>
      </c>
    </row>
    <row r="623" spans="1:6" x14ac:dyDescent="0.2">
      <c r="A623" s="23">
        <v>31719</v>
      </c>
      <c r="B623" s="25">
        <f>VLOOKUP(Table2634[[#This Row],[Date]],'DB Money Supply'!$A:$D,4)</f>
        <v>698.9</v>
      </c>
      <c r="C623" s="31">
        <f>(Table2634[[#This Row],[M1 Money Stock, Billions of Dollars, Weekly, Seasonally Adjusted]]-B622)/B622</f>
        <v>7.1592210767468505E-4</v>
      </c>
      <c r="D623" s="35">
        <f>((1+Table2634[[#This Row],[Weekly change]])^52)-1</f>
        <v>3.7915764586471612E-2</v>
      </c>
      <c r="E623" s="25">
        <f t="shared" si="9"/>
        <v>696.1</v>
      </c>
      <c r="F623" s="33">
        <f>(Table2634[[#This Row],[4 weeks average]]-B571)/B571</f>
        <v>0.14133464502377446</v>
      </c>
    </row>
    <row r="624" spans="1:6" x14ac:dyDescent="0.2">
      <c r="A624" s="23">
        <v>31726</v>
      </c>
      <c r="B624" s="25">
        <f>VLOOKUP(Table2634[[#This Row],[Date]],'DB Money Supply'!$A:$D,4)</f>
        <v>702.8</v>
      </c>
      <c r="C624" s="31">
        <f>(Table2634[[#This Row],[M1 Money Stock, Billions of Dollars, Weekly, Seasonally Adjusted]]-B623)/B623</f>
        <v>5.5801974531406173E-3</v>
      </c>
      <c r="D624" s="35">
        <f>((1+Table2634[[#This Row],[Weekly change]])^52)-1</f>
        <v>0.33557734048982613</v>
      </c>
      <c r="E624" s="25">
        <f t="shared" si="9"/>
        <v>699</v>
      </c>
      <c r="F624" s="33">
        <f>(Table2634[[#This Row],[4 weeks average]]-B572)/B572</f>
        <v>0.14721811915312663</v>
      </c>
    </row>
    <row r="625" spans="1:6" x14ac:dyDescent="0.2">
      <c r="A625" s="23">
        <v>31733</v>
      </c>
      <c r="B625" s="25">
        <f>VLOOKUP(Table2634[[#This Row],[Date]],'DB Money Supply'!$A:$D,4)</f>
        <v>704.3</v>
      </c>
      <c r="C625" s="31">
        <f>(Table2634[[#This Row],[M1 Money Stock, Billions of Dollars, Weekly, Seasonally Adjusted]]-B624)/B624</f>
        <v>2.1343198634035288E-3</v>
      </c>
      <c r="D625" s="35">
        <f>((1+Table2634[[#This Row],[Weekly change]])^52)-1</f>
        <v>0.11724559130282741</v>
      </c>
      <c r="E625" s="25">
        <f t="shared" si="9"/>
        <v>701.09999999999991</v>
      </c>
      <c r="F625" s="33">
        <f>(Table2634[[#This Row],[4 weeks average]]-B573)/B573</f>
        <v>0.14746317512274945</v>
      </c>
    </row>
    <row r="626" spans="1:6" x14ac:dyDescent="0.2">
      <c r="A626" s="23">
        <v>31740</v>
      </c>
      <c r="B626" s="25">
        <f>VLOOKUP(Table2634[[#This Row],[Date]],'DB Money Supply'!$A:$D,4)</f>
        <v>704.3</v>
      </c>
      <c r="C626" s="31">
        <f>(Table2634[[#This Row],[M1 Money Stock, Billions of Dollars, Weekly, Seasonally Adjusted]]-B625)/B625</f>
        <v>0</v>
      </c>
      <c r="D626" s="35">
        <f>((1+Table2634[[#This Row],[Weekly change]])^52)-1</f>
        <v>0</v>
      </c>
      <c r="E626" s="25">
        <f t="shared" si="9"/>
        <v>702.57500000000005</v>
      </c>
      <c r="F626" s="33">
        <f>(Table2634[[#This Row],[4 weeks average]]-B574)/B574</f>
        <v>0.14277000650618102</v>
      </c>
    </row>
    <row r="627" spans="1:6" x14ac:dyDescent="0.2">
      <c r="A627" s="23">
        <v>31747</v>
      </c>
      <c r="B627" s="25">
        <f>VLOOKUP(Table2634[[#This Row],[Date]],'DB Money Supply'!$A:$D,4)</f>
        <v>714.4</v>
      </c>
      <c r="C627" s="31">
        <f>(Table2634[[#This Row],[M1 Money Stock, Billions of Dollars, Weekly, Seasonally Adjusted]]-B626)/B626</f>
        <v>1.4340479909129665E-2</v>
      </c>
      <c r="D627" s="35">
        <f>((1+Table2634[[#This Row],[Weekly change]])^52)-1</f>
        <v>1.0967921855366489</v>
      </c>
      <c r="E627" s="25">
        <f t="shared" si="9"/>
        <v>706.44999999999993</v>
      </c>
      <c r="F627" s="33">
        <f>(Table2634[[#This Row],[4 weeks average]]-B575)/B575</f>
        <v>0.1464621876014279</v>
      </c>
    </row>
    <row r="628" spans="1:6" x14ac:dyDescent="0.2">
      <c r="A628" s="23">
        <v>31754</v>
      </c>
      <c r="B628" s="25">
        <f>VLOOKUP(Table2634[[#This Row],[Date]],'DB Money Supply'!$A:$D,4)</f>
        <v>714.6</v>
      </c>
      <c r="C628" s="31">
        <f>(Table2634[[#This Row],[M1 Money Stock, Billions of Dollars, Weekly, Seasonally Adjusted]]-B627)/B627</f>
        <v>2.7995520716691695E-4</v>
      </c>
      <c r="D628" s="35">
        <f>((1+Table2634[[#This Row],[Weekly change]])^52)-1</f>
        <v>1.4662082487821193E-2</v>
      </c>
      <c r="E628" s="25">
        <f t="shared" si="9"/>
        <v>709.4</v>
      </c>
      <c r="F628" s="33">
        <f>(Table2634[[#This Row],[4 weeks average]]-B576)/B576</f>
        <v>0.14752507279197657</v>
      </c>
    </row>
    <row r="629" spans="1:6" x14ac:dyDescent="0.2">
      <c r="A629" s="23">
        <v>31761</v>
      </c>
      <c r="B629" s="25">
        <f>VLOOKUP(Table2634[[#This Row],[Date]],'DB Money Supply'!$A:$D,4)</f>
        <v>718.6</v>
      </c>
      <c r="C629" s="31">
        <f>(Table2634[[#This Row],[M1 Money Stock, Billions of Dollars, Weekly, Seasonally Adjusted]]-B628)/B628</f>
        <v>5.597537083683179E-3</v>
      </c>
      <c r="D629" s="35">
        <f>((1+Table2634[[#This Row],[Weekly change]])^52)-1</f>
        <v>0.33677542233796642</v>
      </c>
      <c r="E629" s="25">
        <f t="shared" si="9"/>
        <v>712.97499999999991</v>
      </c>
      <c r="F629" s="33">
        <f>(Table2634[[#This Row],[4 weeks average]]-B577)/B577</f>
        <v>0.15088781275221938</v>
      </c>
    </row>
    <row r="630" spans="1:6" x14ac:dyDescent="0.2">
      <c r="A630" s="23">
        <v>31768</v>
      </c>
      <c r="B630" s="25">
        <f>VLOOKUP(Table2634[[#This Row],[Date]],'DB Money Supply'!$A:$D,4)</f>
        <v>726.6</v>
      </c>
      <c r="C630" s="31">
        <f>(Table2634[[#This Row],[M1 Money Stock, Billions of Dollars, Weekly, Seasonally Adjusted]]-B629)/B629</f>
        <v>1.1132758140829389E-2</v>
      </c>
      <c r="D630" s="35">
        <f>((1+Table2634[[#This Row],[Weekly change]])^52)-1</f>
        <v>0.77838339325683381</v>
      </c>
      <c r="E630" s="25">
        <f t="shared" si="9"/>
        <v>718.55</v>
      </c>
      <c r="F630" s="33">
        <f>(Table2634[[#This Row],[4 weeks average]]-B578)/B578</f>
        <v>0.15448264781491</v>
      </c>
    </row>
    <row r="631" spans="1:6" x14ac:dyDescent="0.2">
      <c r="A631" s="23">
        <v>31775</v>
      </c>
      <c r="B631" s="25">
        <f>VLOOKUP(Table2634[[#This Row],[Date]],'DB Money Supply'!$A:$D,4)</f>
        <v>735.2</v>
      </c>
      <c r="C631" s="31">
        <f>(Table2634[[#This Row],[M1 Money Stock, Billions of Dollars, Weekly, Seasonally Adjusted]]-B630)/B630</f>
        <v>1.1835948252133254E-2</v>
      </c>
      <c r="D631" s="35">
        <f>((1+Table2634[[#This Row],[Weekly change]])^52)-1</f>
        <v>0.8438494252797859</v>
      </c>
      <c r="E631" s="25">
        <f t="shared" si="9"/>
        <v>723.75</v>
      </c>
      <c r="F631" s="33">
        <f>(Table2634[[#This Row],[4 weeks average]]-B579)/B579</f>
        <v>0.16752702048717538</v>
      </c>
    </row>
    <row r="632" spans="1:6" x14ac:dyDescent="0.2">
      <c r="A632" s="23">
        <v>31782</v>
      </c>
      <c r="B632" s="25">
        <f>VLOOKUP(Table2634[[#This Row],[Date]],'DB Money Supply'!$A:$D,4)</f>
        <v>742.1</v>
      </c>
      <c r="C632" s="31">
        <f>(Table2634[[#This Row],[M1 Money Stock, Billions of Dollars, Weekly, Seasonally Adjusted]]-B631)/B631</f>
        <v>9.3852013057671071E-3</v>
      </c>
      <c r="D632" s="35">
        <f>((1+Table2634[[#This Row],[Weekly change]])^52)-1</f>
        <v>0.62540101630244505</v>
      </c>
      <c r="E632" s="25">
        <f t="shared" si="9"/>
        <v>730.625</v>
      </c>
      <c r="F632" s="33">
        <f>(Table2634[[#This Row],[4 weeks average]]-B580)/B580</f>
        <v>0.17463826366559485</v>
      </c>
    </row>
    <row r="633" spans="1:6" x14ac:dyDescent="0.2">
      <c r="A633" s="23">
        <v>31789</v>
      </c>
      <c r="B633" s="25">
        <f>VLOOKUP(Table2634[[#This Row],[Date]],'DB Money Supply'!$A:$D,4)</f>
        <v>727.9</v>
      </c>
      <c r="C633" s="31">
        <f>(Table2634[[#This Row],[M1 Money Stock, Billions of Dollars, Weekly, Seasonally Adjusted]]-B632)/B632</f>
        <v>-1.913488748147156E-2</v>
      </c>
      <c r="D633" s="35">
        <f>((1+Table2634[[#This Row],[Weekly change]])^52)-1</f>
        <v>-0.63382982707735969</v>
      </c>
      <c r="E633" s="25">
        <f t="shared" si="9"/>
        <v>732.95</v>
      </c>
      <c r="F633" s="33">
        <f>(Table2634[[#This Row],[4 weeks average]]-B581)/B581</f>
        <v>0.18198677632639901</v>
      </c>
    </row>
    <row r="634" spans="1:6" x14ac:dyDescent="0.2">
      <c r="A634" s="23">
        <v>31796</v>
      </c>
      <c r="B634" s="25">
        <f>VLOOKUP(Table2634[[#This Row],[Date]],'DB Money Supply'!$A:$D,4)</f>
        <v>725.3</v>
      </c>
      <c r="C634" s="31">
        <f>(Table2634[[#This Row],[M1 Money Stock, Billions of Dollars, Weekly, Seasonally Adjusted]]-B633)/B633</f>
        <v>-3.5719192196730634E-3</v>
      </c>
      <c r="D634" s="35">
        <f>((1+Table2634[[#This Row],[Weekly change]])^52)-1</f>
        <v>-0.16978644429138712</v>
      </c>
      <c r="E634" s="25">
        <f t="shared" si="9"/>
        <v>732.625</v>
      </c>
      <c r="F634" s="33">
        <f>(Table2634[[#This Row],[4 weeks average]]-B582)/B582</f>
        <v>0.17994040908358838</v>
      </c>
    </row>
    <row r="635" spans="1:6" x14ac:dyDescent="0.2">
      <c r="A635" s="23">
        <v>31803</v>
      </c>
      <c r="B635" s="25">
        <f>VLOOKUP(Table2634[[#This Row],[Date]],'DB Money Supply'!$A:$D,4)</f>
        <v>728.5</v>
      </c>
      <c r="C635" s="31">
        <f>(Table2634[[#This Row],[M1 Money Stock, Billions of Dollars, Weekly, Seasonally Adjusted]]-B634)/B634</f>
        <v>4.4119674617400326E-3</v>
      </c>
      <c r="D635" s="35">
        <f>((1+Table2634[[#This Row],[Weekly change]])^52)-1</f>
        <v>0.25723855122747774</v>
      </c>
      <c r="E635" s="25">
        <f t="shared" si="9"/>
        <v>730.95</v>
      </c>
      <c r="F635" s="33">
        <f>(Table2634[[#This Row],[4 weeks average]]-B583)/B583</f>
        <v>0.1725216554379212</v>
      </c>
    </row>
    <row r="636" spans="1:6" x14ac:dyDescent="0.2">
      <c r="A636" s="23">
        <v>31810</v>
      </c>
      <c r="B636" s="25">
        <f>VLOOKUP(Table2634[[#This Row],[Date]],'DB Money Supply'!$A:$D,4)</f>
        <v>729.9</v>
      </c>
      <c r="C636" s="31">
        <f>(Table2634[[#This Row],[M1 Money Stock, Billions of Dollars, Weekly, Seasonally Adjusted]]-B635)/B635</f>
        <v>1.9217570350034004E-3</v>
      </c>
      <c r="D636" s="35">
        <f>((1+Table2634[[#This Row],[Weekly change]])^52)-1</f>
        <v>0.10498909568317871</v>
      </c>
      <c r="E636" s="25">
        <f t="shared" si="9"/>
        <v>727.9</v>
      </c>
      <c r="F636" s="33">
        <f>(Table2634[[#This Row],[4 weeks average]]-B584)/B584</f>
        <v>0.17346445268418512</v>
      </c>
    </row>
    <row r="637" spans="1:6" x14ac:dyDescent="0.2">
      <c r="A637" s="23">
        <v>31817</v>
      </c>
      <c r="B637" s="25">
        <f>VLOOKUP(Table2634[[#This Row],[Date]],'DB Money Supply'!$A:$D,4)</f>
        <v>730.1</v>
      </c>
      <c r="C637" s="31">
        <f>(Table2634[[#This Row],[M1 Money Stock, Billions of Dollars, Weekly, Seasonally Adjusted]]-B636)/B636</f>
        <v>2.7401013837518218E-4</v>
      </c>
      <c r="D637" s="35">
        <f>((1+Table2634[[#This Row],[Weekly change]])^52)-1</f>
        <v>1.4348541534513704E-2</v>
      </c>
      <c r="E637" s="25">
        <f t="shared" si="9"/>
        <v>728.44999999999993</v>
      </c>
      <c r="F637" s="33">
        <f>(Table2634[[#This Row],[4 weeks average]]-B585)/B585</f>
        <v>0.16720076910751466</v>
      </c>
    </row>
    <row r="638" spans="1:6" x14ac:dyDescent="0.2">
      <c r="A638" s="23">
        <v>31824</v>
      </c>
      <c r="B638" s="25">
        <f>VLOOKUP(Table2634[[#This Row],[Date]],'DB Money Supply'!$A:$D,4)</f>
        <v>730</v>
      </c>
      <c r="C638" s="31">
        <f>(Table2634[[#This Row],[M1 Money Stock, Billions of Dollars, Weekly, Seasonally Adjusted]]-B637)/B637</f>
        <v>-1.3696753869336082E-4</v>
      </c>
      <c r="D638" s="35">
        <f>((1+Table2634[[#This Row],[Weekly change]])^52)-1</f>
        <v>-7.0974928019930106E-3</v>
      </c>
      <c r="E638" s="25">
        <f t="shared" si="9"/>
        <v>729.625</v>
      </c>
      <c r="F638" s="33">
        <f>(Table2634[[#This Row],[4 weeks average]]-B586)/B586</f>
        <v>0.16852178090967332</v>
      </c>
    </row>
    <row r="639" spans="1:6" x14ac:dyDescent="0.2">
      <c r="A639" s="23">
        <v>31831</v>
      </c>
      <c r="B639" s="25">
        <f>VLOOKUP(Table2634[[#This Row],[Date]],'DB Money Supply'!$A:$D,4)</f>
        <v>731.7</v>
      </c>
      <c r="C639" s="31">
        <f>(Table2634[[#This Row],[M1 Money Stock, Billions of Dollars, Weekly, Seasonally Adjusted]]-B638)/B638</f>
        <v>2.3287671232877336E-3</v>
      </c>
      <c r="D639" s="35">
        <f>((1+Table2634[[#This Row],[Weekly change]])^52)-1</f>
        <v>0.12857424600250988</v>
      </c>
      <c r="E639" s="25">
        <f t="shared" si="9"/>
        <v>730.42499999999995</v>
      </c>
      <c r="F639" s="33">
        <f>(Table2634[[#This Row],[4 weeks average]]-B587)/B587</f>
        <v>0.16365301895810086</v>
      </c>
    </row>
    <row r="640" spans="1:6" x14ac:dyDescent="0.2">
      <c r="A640" s="23">
        <v>31838</v>
      </c>
      <c r="B640" s="25">
        <f>VLOOKUP(Table2634[[#This Row],[Date]],'DB Money Supply'!$A:$D,4)</f>
        <v>731.4</v>
      </c>
      <c r="C640" s="31">
        <f>(Table2634[[#This Row],[M1 Money Stock, Billions of Dollars, Weekly, Seasonally Adjusted]]-B639)/B639</f>
        <v>-4.1000410004109363E-4</v>
      </c>
      <c r="D640" s="35">
        <f>((1+Table2634[[#This Row],[Weekly change]])^52)-1</f>
        <v>-2.1098823723523008E-2</v>
      </c>
      <c r="E640" s="25">
        <f t="shared" si="9"/>
        <v>730.80000000000007</v>
      </c>
      <c r="F640" s="33">
        <f>(Table2634[[#This Row],[4 weeks average]]-B588)/B588</f>
        <v>0.16462151394422322</v>
      </c>
    </row>
    <row r="641" spans="1:6" x14ac:dyDescent="0.2">
      <c r="A641" s="23">
        <v>31845</v>
      </c>
      <c r="B641" s="25">
        <f>VLOOKUP(Table2634[[#This Row],[Date]],'DB Money Supply'!$A:$D,4)</f>
        <v>732.2</v>
      </c>
      <c r="C641" s="31">
        <f>(Table2634[[#This Row],[M1 Money Stock, Billions of Dollars, Weekly, Seasonally Adjusted]]-B640)/B640</f>
        <v>1.0937927262784635E-3</v>
      </c>
      <c r="D641" s="35">
        <f>((1+Table2634[[#This Row],[Weekly change]])^52)-1</f>
        <v>5.8492936538411255E-2</v>
      </c>
      <c r="E641" s="25">
        <f t="shared" si="9"/>
        <v>731.32500000000005</v>
      </c>
      <c r="F641" s="33">
        <f>(Table2634[[#This Row],[4 weeks average]]-B589)/B589</f>
        <v>0.15770935570682285</v>
      </c>
    </row>
    <row r="642" spans="1:6" x14ac:dyDescent="0.2">
      <c r="A642" s="23">
        <v>31852</v>
      </c>
      <c r="B642" s="25">
        <f>VLOOKUP(Table2634[[#This Row],[Date]],'DB Money Supply'!$A:$D,4)</f>
        <v>733.9</v>
      </c>
      <c r="C642" s="31">
        <f>(Table2634[[#This Row],[M1 Money Stock, Billions of Dollars, Weekly, Seasonally Adjusted]]-B641)/B641</f>
        <v>2.3217700081943891E-3</v>
      </c>
      <c r="D642" s="35">
        <f>((1+Table2634[[#This Row],[Weekly change]])^52)-1</f>
        <v>0.12816464124311699</v>
      </c>
      <c r="E642" s="25">
        <f t="shared" si="9"/>
        <v>732.30000000000007</v>
      </c>
      <c r="F642" s="33">
        <f>(Table2634[[#This Row],[4 weeks average]]-B590)/B590</f>
        <v>0.15595895816890304</v>
      </c>
    </row>
    <row r="643" spans="1:6" x14ac:dyDescent="0.2">
      <c r="A643" s="23">
        <v>31859</v>
      </c>
      <c r="B643" s="25">
        <f>VLOOKUP(Table2634[[#This Row],[Date]],'DB Money Supply'!$A:$D,4)</f>
        <v>733.8</v>
      </c>
      <c r="C643" s="31">
        <f>(Table2634[[#This Row],[M1 Money Stock, Billions of Dollars, Weekly, Seasonally Adjusted]]-B642)/B642</f>
        <v>-1.3625834582371268E-4</v>
      </c>
      <c r="D643" s="35">
        <f>((1+Table2634[[#This Row],[Weekly change]])^52)-1</f>
        <v>-7.060870836015809E-3</v>
      </c>
      <c r="E643" s="25">
        <f t="shared" si="9"/>
        <v>732.82500000000005</v>
      </c>
      <c r="F643" s="33">
        <f>(Table2634[[#This Row],[4 weeks average]]-B591)/B591</f>
        <v>0.1536917506297229</v>
      </c>
    </row>
    <row r="644" spans="1:6" x14ac:dyDescent="0.2">
      <c r="A644" s="23">
        <v>31866</v>
      </c>
      <c r="B644" s="25">
        <f>VLOOKUP(Table2634[[#This Row],[Date]],'DB Money Supply'!$A:$D,4)</f>
        <v>735.4</v>
      </c>
      <c r="C644" s="31">
        <f>(Table2634[[#This Row],[M1 Money Stock, Billions of Dollars, Weekly, Seasonally Adjusted]]-B643)/B643</f>
        <v>2.1804306350504538E-3</v>
      </c>
      <c r="D644" s="35">
        <f>((1+Table2634[[#This Row],[Weekly change]])^52)-1</f>
        <v>0.11992191171296285</v>
      </c>
      <c r="E644" s="25">
        <f t="shared" si="9"/>
        <v>733.82499999999993</v>
      </c>
      <c r="F644" s="33">
        <f>(Table2634[[#This Row],[4 weeks average]]-B592)/B592</f>
        <v>0.15363150448042745</v>
      </c>
    </row>
    <row r="645" spans="1:6" x14ac:dyDescent="0.2">
      <c r="A645" s="23">
        <v>31873</v>
      </c>
      <c r="B645" s="25">
        <f>VLOOKUP(Table2634[[#This Row],[Date]],'DB Money Supply'!$A:$D,4)</f>
        <v>737.2</v>
      </c>
      <c r="C645" s="31">
        <f>(Table2634[[#This Row],[M1 Money Stock, Billions of Dollars, Weekly, Seasonally Adjusted]]-B644)/B644</f>
        <v>2.4476475387545122E-3</v>
      </c>
      <c r="D645" s="35">
        <f>((1+Table2634[[#This Row],[Weekly change]])^52)-1</f>
        <v>0.13555572911670466</v>
      </c>
      <c r="E645" s="25">
        <f t="shared" si="9"/>
        <v>735.07500000000005</v>
      </c>
      <c r="F645" s="33">
        <f>(Table2634[[#This Row],[4 weeks average]]-B593)/B593</f>
        <v>0.1490933249960919</v>
      </c>
    </row>
    <row r="646" spans="1:6" x14ac:dyDescent="0.2">
      <c r="A646" s="23">
        <v>31880</v>
      </c>
      <c r="B646" s="25">
        <f>VLOOKUP(Table2634[[#This Row],[Date]],'DB Money Supply'!$A:$D,4)</f>
        <v>737.8</v>
      </c>
      <c r="C646" s="31">
        <f>(Table2634[[#This Row],[M1 Money Stock, Billions of Dollars, Weekly, Seasonally Adjusted]]-B645)/B645</f>
        <v>8.1389039609320267E-4</v>
      </c>
      <c r="D646" s="35">
        <f>((1+Table2634[[#This Row],[Weekly change]])^52)-1</f>
        <v>4.3212700921424041E-2</v>
      </c>
      <c r="E646" s="25">
        <f t="shared" si="9"/>
        <v>736.05</v>
      </c>
      <c r="F646" s="33">
        <f>(Table2634[[#This Row],[4 weeks average]]-B594)/B594</f>
        <v>0.1535025858015984</v>
      </c>
    </row>
    <row r="647" spans="1:6" x14ac:dyDescent="0.2">
      <c r="A647" s="23">
        <v>31887</v>
      </c>
      <c r="B647" s="25">
        <f>VLOOKUP(Table2634[[#This Row],[Date]],'DB Money Supply'!$A:$D,4)</f>
        <v>749.4</v>
      </c>
      <c r="C647" s="31">
        <f>(Table2634[[#This Row],[M1 Money Stock, Billions of Dollars, Weekly, Seasonally Adjusted]]-B646)/B646</f>
        <v>1.572241799945788E-2</v>
      </c>
      <c r="D647" s="35">
        <f>((1+Table2634[[#This Row],[Weekly change]])^52)-1</f>
        <v>1.2506189386780622</v>
      </c>
      <c r="E647" s="25">
        <f t="shared" si="9"/>
        <v>739.94999999999993</v>
      </c>
      <c r="F647" s="33">
        <f>(Table2634[[#This Row],[4 weeks average]]-B595)/B595</f>
        <v>0.15508897908211036</v>
      </c>
    </row>
    <row r="648" spans="1:6" x14ac:dyDescent="0.2">
      <c r="A648" s="23">
        <v>31894</v>
      </c>
      <c r="B648" s="25">
        <f>VLOOKUP(Table2634[[#This Row],[Date]],'DB Money Supply'!$A:$D,4)</f>
        <v>749.9</v>
      </c>
      <c r="C648" s="31">
        <f>(Table2634[[#This Row],[M1 Money Stock, Billions of Dollars, Weekly, Seasonally Adjusted]]-B647)/B647</f>
        <v>6.6720042700827331E-4</v>
      </c>
      <c r="D648" s="35">
        <f>((1+Table2634[[#This Row],[Weekly change]])^52)-1</f>
        <v>3.5291317486143781E-2</v>
      </c>
      <c r="E648" s="25">
        <f t="shared" si="9"/>
        <v>743.57500000000005</v>
      </c>
      <c r="F648" s="33">
        <f>(Table2634[[#This Row],[4 weeks average]]-B596)/B596</f>
        <v>0.15587595212187175</v>
      </c>
    </row>
    <row r="649" spans="1:6" x14ac:dyDescent="0.2">
      <c r="A649" s="23">
        <v>31901</v>
      </c>
      <c r="B649" s="25">
        <f>VLOOKUP(Table2634[[#This Row],[Date]],'DB Money Supply'!$A:$D,4)</f>
        <v>745.1</v>
      </c>
      <c r="C649" s="31">
        <f>(Table2634[[#This Row],[M1 Money Stock, Billions of Dollars, Weekly, Seasonally Adjusted]]-B648)/B648</f>
        <v>-6.400853447126223E-3</v>
      </c>
      <c r="D649" s="35">
        <f>((1+Table2634[[#This Row],[Weekly change]])^52)-1</f>
        <v>-0.28388477119043221</v>
      </c>
      <c r="E649" s="25">
        <f t="shared" ref="E649:E712" si="10">AVERAGE(B646:B649)</f>
        <v>745.55</v>
      </c>
      <c r="F649" s="33">
        <f>(Table2634[[#This Row],[4 weeks average]]-B597)/B597</f>
        <v>0.15018512804689896</v>
      </c>
    </row>
    <row r="650" spans="1:6" x14ac:dyDescent="0.2">
      <c r="A650" s="23">
        <v>31908</v>
      </c>
      <c r="B650" s="25">
        <f>VLOOKUP(Table2634[[#This Row],[Date]],'DB Money Supply'!$A:$D,4)</f>
        <v>743.3</v>
      </c>
      <c r="C650" s="31">
        <f>(Table2634[[#This Row],[M1 Money Stock, Billions of Dollars, Weekly, Seasonally Adjusted]]-B649)/B649</f>
        <v>-2.4157831163603115E-3</v>
      </c>
      <c r="D650" s="35">
        <f>((1+Table2634[[#This Row],[Weekly change]])^52)-1</f>
        <v>-0.11818474210047314</v>
      </c>
      <c r="E650" s="25">
        <f t="shared" si="10"/>
        <v>746.92499999999995</v>
      </c>
      <c r="F650" s="33">
        <f>(Table2634[[#This Row],[4 weeks average]]-B598)/B598</f>
        <v>0.14858526833769031</v>
      </c>
    </row>
    <row r="651" spans="1:6" x14ac:dyDescent="0.2">
      <c r="A651" s="23">
        <v>31915</v>
      </c>
      <c r="B651" s="25">
        <f>VLOOKUP(Table2634[[#This Row],[Date]],'DB Money Supply'!$A:$D,4)</f>
        <v>744.6</v>
      </c>
      <c r="C651" s="31">
        <f>(Table2634[[#This Row],[M1 Money Stock, Billions of Dollars, Weekly, Seasonally Adjusted]]-B650)/B650</f>
        <v>1.7489573523477308E-3</v>
      </c>
      <c r="D651" s="35">
        <f>((1+Table2634[[#This Row],[Weekly change]])^52)-1</f>
        <v>9.5122626624438933E-2</v>
      </c>
      <c r="E651" s="25">
        <f t="shared" si="10"/>
        <v>745.72500000000002</v>
      </c>
      <c r="F651" s="33">
        <f>(Table2634[[#This Row],[4 weeks average]]-B599)/B599</f>
        <v>0.14339926402943878</v>
      </c>
    </row>
    <row r="652" spans="1:6" x14ac:dyDescent="0.2">
      <c r="A652" s="23">
        <v>31922</v>
      </c>
      <c r="B652" s="25">
        <f>VLOOKUP(Table2634[[#This Row],[Date]],'DB Money Supply'!$A:$D,4)</f>
        <v>748.2</v>
      </c>
      <c r="C652" s="31">
        <f>(Table2634[[#This Row],[M1 Money Stock, Billions of Dollars, Weekly, Seasonally Adjusted]]-B651)/B651</f>
        <v>4.8348106365834311E-3</v>
      </c>
      <c r="D652" s="35">
        <f>((1+Table2634[[#This Row],[Weekly change]])^52)-1</f>
        <v>0.28505863122960928</v>
      </c>
      <c r="E652" s="25">
        <f t="shared" si="10"/>
        <v>745.3</v>
      </c>
      <c r="F652" s="33">
        <f>(Table2634[[#This Row],[4 weeks average]]-B600)/B600</f>
        <v>0.13925405074900626</v>
      </c>
    </row>
    <row r="653" spans="1:6" x14ac:dyDescent="0.2">
      <c r="A653" s="23">
        <v>31929</v>
      </c>
      <c r="B653" s="25">
        <f>VLOOKUP(Table2634[[#This Row],[Date]],'DB Money Supply'!$A:$D,4)</f>
        <v>748.1</v>
      </c>
      <c r="C653" s="31">
        <f>(Table2634[[#This Row],[M1 Money Stock, Billions of Dollars, Weekly, Seasonally Adjusted]]-B652)/B652</f>
        <v>-1.3365410318099804E-4</v>
      </c>
      <c r="D653" s="35">
        <f>((1+Table2634[[#This Row],[Weekly change]])^52)-1</f>
        <v>-6.9263791493223703E-3</v>
      </c>
      <c r="E653" s="25">
        <f t="shared" si="10"/>
        <v>746.05000000000007</v>
      </c>
      <c r="F653" s="33">
        <f>(Table2634[[#This Row],[4 weeks average]]-B601)/B601</f>
        <v>0.13918155443579186</v>
      </c>
    </row>
    <row r="654" spans="1:6" x14ac:dyDescent="0.2">
      <c r="A654" s="23">
        <v>31936</v>
      </c>
      <c r="B654" s="25">
        <f>VLOOKUP(Table2634[[#This Row],[Date]],'DB Money Supply'!$A:$D,4)</f>
        <v>742</v>
      </c>
      <c r="C654" s="31">
        <f>(Table2634[[#This Row],[M1 Money Stock, Billions of Dollars, Weekly, Seasonally Adjusted]]-B653)/B653</f>
        <v>-8.1539901082743251E-3</v>
      </c>
      <c r="D654" s="35">
        <f>((1+Table2634[[#This Row],[Weekly change]])^52)-1</f>
        <v>-0.34671749503225191</v>
      </c>
      <c r="E654" s="25">
        <f t="shared" si="10"/>
        <v>745.72500000000002</v>
      </c>
      <c r="F654" s="33">
        <f>(Table2634[[#This Row],[4 weeks average]]-B602)/B602</f>
        <v>0.13314845768120345</v>
      </c>
    </row>
    <row r="655" spans="1:6" x14ac:dyDescent="0.2">
      <c r="A655" s="23">
        <v>31943</v>
      </c>
      <c r="B655" s="25">
        <f>VLOOKUP(Table2634[[#This Row],[Date]],'DB Money Supply'!$A:$D,4)</f>
        <v>743.4</v>
      </c>
      <c r="C655" s="31">
        <f>(Table2634[[#This Row],[M1 Money Stock, Billions of Dollars, Weekly, Seasonally Adjusted]]-B654)/B654</f>
        <v>1.8867924528301581E-3</v>
      </c>
      <c r="D655" s="35">
        <f>((1+Table2634[[#This Row],[Weekly change]])^52)-1</f>
        <v>0.10298568746419545</v>
      </c>
      <c r="E655" s="25">
        <f t="shared" si="10"/>
        <v>745.42500000000007</v>
      </c>
      <c r="F655" s="33">
        <f>(Table2634[[#This Row],[4 weeks average]]-B603)/B603</f>
        <v>0.12772314674735261</v>
      </c>
    </row>
    <row r="656" spans="1:6" x14ac:dyDescent="0.2">
      <c r="A656" s="23">
        <v>31950</v>
      </c>
      <c r="B656" s="25">
        <f>VLOOKUP(Table2634[[#This Row],[Date]],'DB Money Supply'!$A:$D,4)</f>
        <v>744</v>
      </c>
      <c r="C656" s="31">
        <f>(Table2634[[#This Row],[M1 Money Stock, Billions of Dollars, Weekly, Seasonally Adjusted]]-B655)/B655</f>
        <v>8.071025020177869E-4</v>
      </c>
      <c r="D656" s="35">
        <f>((1+Table2634[[#This Row],[Weekly change]])^52)-1</f>
        <v>4.2844840696325326E-2</v>
      </c>
      <c r="E656" s="25">
        <f t="shared" si="10"/>
        <v>744.375</v>
      </c>
      <c r="F656" s="33">
        <f>(Table2634[[#This Row],[4 weeks average]]-B604)/B604</f>
        <v>0.12647548426150129</v>
      </c>
    </row>
    <row r="657" spans="1:6" x14ac:dyDescent="0.2">
      <c r="A657" s="23">
        <v>31957</v>
      </c>
      <c r="B657" s="25">
        <f>VLOOKUP(Table2634[[#This Row],[Date]],'DB Money Supply'!$A:$D,4)</f>
        <v>742.3</v>
      </c>
      <c r="C657" s="31">
        <f>(Table2634[[#This Row],[M1 Money Stock, Billions of Dollars, Weekly, Seasonally Adjusted]]-B656)/B656</f>
        <v>-2.284946236559201E-3</v>
      </c>
      <c r="D657" s="35">
        <f>((1+Table2634[[#This Row],[Weekly change]])^52)-1</f>
        <v>-0.11215061059325071</v>
      </c>
      <c r="E657" s="25">
        <f t="shared" si="10"/>
        <v>742.92499999999995</v>
      </c>
      <c r="F657" s="33">
        <f>(Table2634[[#This Row],[4 weeks average]]-B605)/B605</f>
        <v>0.11852604637157468</v>
      </c>
    </row>
    <row r="658" spans="1:6" x14ac:dyDescent="0.2">
      <c r="A658" s="23">
        <v>31964</v>
      </c>
      <c r="B658" s="25">
        <f>VLOOKUP(Table2634[[#This Row],[Date]],'DB Money Supply'!$A:$D,4)</f>
        <v>745.4</v>
      </c>
      <c r="C658" s="31">
        <f>(Table2634[[#This Row],[M1 Money Stock, Billions of Dollars, Weekly, Seasonally Adjusted]]-B657)/B657</f>
        <v>4.176209079886869E-3</v>
      </c>
      <c r="D658" s="35">
        <f>((1+Table2634[[#This Row],[Weekly change]])^52)-1</f>
        <v>0.24198470910539172</v>
      </c>
      <c r="E658" s="25">
        <f t="shared" si="10"/>
        <v>743.77499999999998</v>
      </c>
      <c r="F658" s="33">
        <f>(Table2634[[#This Row],[4 weeks average]]-B606)/B606</f>
        <v>0.11728255971158168</v>
      </c>
    </row>
    <row r="659" spans="1:6" x14ac:dyDescent="0.2">
      <c r="A659" s="23">
        <v>31971</v>
      </c>
      <c r="B659" s="25">
        <f>VLOOKUP(Table2634[[#This Row],[Date]],'DB Money Supply'!$A:$D,4)</f>
        <v>740.6</v>
      </c>
      <c r="C659" s="31">
        <f>(Table2634[[#This Row],[M1 Money Stock, Billions of Dollars, Weekly, Seasonally Adjusted]]-B658)/B658</f>
        <v>-6.4394955728467327E-3</v>
      </c>
      <c r="D659" s="35">
        <f>((1+Table2634[[#This Row],[Weekly change]])^52)-1</f>
        <v>-0.28533156092494227</v>
      </c>
      <c r="E659" s="25">
        <f t="shared" si="10"/>
        <v>743.07499999999993</v>
      </c>
      <c r="F659" s="33">
        <f>(Table2634[[#This Row],[4 weeks average]]-B607)/B607</f>
        <v>0.10906716417910438</v>
      </c>
    </row>
    <row r="660" spans="1:6" x14ac:dyDescent="0.2">
      <c r="A660" s="23">
        <v>31978</v>
      </c>
      <c r="B660" s="25">
        <f>VLOOKUP(Table2634[[#This Row],[Date]],'DB Money Supply'!$A:$D,4)</f>
        <v>742.9</v>
      </c>
      <c r="C660" s="31">
        <f>(Table2634[[#This Row],[M1 Money Stock, Billions of Dollars, Weekly, Seasonally Adjusted]]-B659)/B659</f>
        <v>3.1055900621117399E-3</v>
      </c>
      <c r="D660" s="35">
        <f>((1+Table2634[[#This Row],[Weekly change]])^52)-1</f>
        <v>0.17496744316656909</v>
      </c>
      <c r="E660" s="25">
        <f t="shared" si="10"/>
        <v>742.8</v>
      </c>
      <c r="F660" s="33">
        <f>(Table2634[[#This Row],[4 weeks average]]-B608)/B608</f>
        <v>0.10618019359642585</v>
      </c>
    </row>
    <row r="661" spans="1:6" x14ac:dyDescent="0.2">
      <c r="A661" s="23">
        <v>31985</v>
      </c>
      <c r="B661" s="25">
        <f>VLOOKUP(Table2634[[#This Row],[Date]],'DB Money Supply'!$A:$D,4)</f>
        <v>744.5</v>
      </c>
      <c r="C661" s="31">
        <f>(Table2634[[#This Row],[M1 Money Stock, Billions of Dollars, Weekly, Seasonally Adjusted]]-B660)/B660</f>
        <v>2.153721900659608E-3</v>
      </c>
      <c r="D661" s="35">
        <f>((1+Table2634[[#This Row],[Weekly change]])^52)-1</f>
        <v>0.11837094182949515</v>
      </c>
      <c r="E661" s="25">
        <f t="shared" si="10"/>
        <v>743.35</v>
      </c>
      <c r="F661" s="33">
        <f>(Table2634[[#This Row],[4 weeks average]]-B609)/B609</f>
        <v>0.10551754907792987</v>
      </c>
    </row>
    <row r="662" spans="1:6" x14ac:dyDescent="0.2">
      <c r="A662" s="23">
        <v>31992</v>
      </c>
      <c r="B662" s="25">
        <f>VLOOKUP(Table2634[[#This Row],[Date]],'DB Money Supply'!$A:$D,4)</f>
        <v>741.4</v>
      </c>
      <c r="C662" s="31">
        <f>(Table2634[[#This Row],[M1 Money Stock, Billions of Dollars, Weekly, Seasonally Adjusted]]-B661)/B661</f>
        <v>-4.1638683680322672E-3</v>
      </c>
      <c r="D662" s="35">
        <f>((1+Table2634[[#This Row],[Weekly change]])^52)-1</f>
        <v>-0.19504845279817817</v>
      </c>
      <c r="E662" s="25">
        <f t="shared" si="10"/>
        <v>742.35</v>
      </c>
      <c r="F662" s="33">
        <f>(Table2634[[#This Row],[4 weeks average]]-B610)/B610</f>
        <v>0.10124610591900311</v>
      </c>
    </row>
    <row r="663" spans="1:6" x14ac:dyDescent="0.2">
      <c r="A663" s="23">
        <v>31999</v>
      </c>
      <c r="B663" s="25">
        <f>VLOOKUP(Table2634[[#This Row],[Date]],'DB Money Supply'!$A:$D,4)</f>
        <v>743.9</v>
      </c>
      <c r="C663" s="31">
        <f>(Table2634[[#This Row],[M1 Money Stock, Billions of Dollars, Weekly, Seasonally Adjusted]]-B662)/B662</f>
        <v>3.3719989209603455E-3</v>
      </c>
      <c r="D663" s="35">
        <f>((1+Table2634[[#This Row],[Weekly change]])^52)-1</f>
        <v>0.19130456170055687</v>
      </c>
      <c r="E663" s="25">
        <f t="shared" si="10"/>
        <v>743.17500000000007</v>
      </c>
      <c r="F663" s="33">
        <f>(Table2634[[#This Row],[4 weeks average]]-B611)/B611</f>
        <v>9.9371301775148024E-2</v>
      </c>
    </row>
    <row r="664" spans="1:6" x14ac:dyDescent="0.2">
      <c r="A664" s="23">
        <v>32006</v>
      </c>
      <c r="B664" s="25">
        <f>VLOOKUP(Table2634[[#This Row],[Date]],'DB Money Supply'!$A:$D,4)</f>
        <v>744.8</v>
      </c>
      <c r="C664" s="31">
        <f>(Table2634[[#This Row],[M1 Money Stock, Billions of Dollars, Weekly, Seasonally Adjusted]]-B663)/B663</f>
        <v>1.2098400322623703E-3</v>
      </c>
      <c r="D664" s="35">
        <f>((1+Table2634[[#This Row],[Weekly change]])^52)-1</f>
        <v>6.4892287777208679E-2</v>
      </c>
      <c r="E664" s="25">
        <f t="shared" si="10"/>
        <v>743.65000000000009</v>
      </c>
      <c r="F664" s="33">
        <f>(Table2634[[#This Row],[4 weeks average]]-B612)/B612</f>
        <v>9.7638376383763978E-2</v>
      </c>
    </row>
    <row r="665" spans="1:6" x14ac:dyDescent="0.2">
      <c r="A665" s="23">
        <v>32013</v>
      </c>
      <c r="B665" s="25">
        <f>VLOOKUP(Table2634[[#This Row],[Date]],'DB Money Supply'!$A:$D,4)</f>
        <v>746.3</v>
      </c>
      <c r="C665" s="31">
        <f>(Table2634[[#This Row],[M1 Money Stock, Billions of Dollars, Weekly, Seasonally Adjusted]]-B664)/B664</f>
        <v>2.0139634801288938E-3</v>
      </c>
      <c r="D665" s="35">
        <f>((1+Table2634[[#This Row],[Weekly change]])^52)-1</f>
        <v>0.11028949216508477</v>
      </c>
      <c r="E665" s="25">
        <f t="shared" si="10"/>
        <v>744.09999999999991</v>
      </c>
      <c r="F665" s="33">
        <f>(Table2634[[#This Row],[4 weeks average]]-B613)/B613</f>
        <v>9.5069904341427383E-2</v>
      </c>
    </row>
    <row r="666" spans="1:6" x14ac:dyDescent="0.2">
      <c r="A666" s="23">
        <v>32020</v>
      </c>
      <c r="B666" s="25">
        <f>VLOOKUP(Table2634[[#This Row],[Date]],'DB Money Supply'!$A:$D,4)</f>
        <v>746.2</v>
      </c>
      <c r="C666" s="31">
        <f>(Table2634[[#This Row],[M1 Money Stock, Billions of Dollars, Weekly, Seasonally Adjusted]]-B665)/B665</f>
        <v>-1.3399437223624421E-4</v>
      </c>
      <c r="D666" s="35">
        <f>((1+Table2634[[#This Row],[Weekly change]])^52)-1</f>
        <v>-6.9439527812109603E-3</v>
      </c>
      <c r="E666" s="25">
        <f t="shared" si="10"/>
        <v>745.3</v>
      </c>
      <c r="F666" s="33">
        <f>(Table2634[[#This Row],[4 weeks average]]-B614)/B614</f>
        <v>8.7394222351911258E-2</v>
      </c>
    </row>
    <row r="667" spans="1:6" x14ac:dyDescent="0.2">
      <c r="A667" s="23">
        <v>32027</v>
      </c>
      <c r="B667" s="25">
        <f>VLOOKUP(Table2634[[#This Row],[Date]],'DB Money Supply'!$A:$D,4)</f>
        <v>743.5</v>
      </c>
      <c r="C667" s="31">
        <f>(Table2634[[#This Row],[M1 Money Stock, Billions of Dollars, Weekly, Seasonally Adjusted]]-B666)/B666</f>
        <v>-3.6183328866256303E-3</v>
      </c>
      <c r="D667" s="35">
        <f>((1+Table2634[[#This Row],[Weekly change]])^52)-1</f>
        <v>-0.17179496970117536</v>
      </c>
      <c r="E667" s="25">
        <f t="shared" si="10"/>
        <v>745.2</v>
      </c>
      <c r="F667" s="33">
        <f>(Table2634[[#This Row],[4 weeks average]]-B615)/B615</f>
        <v>8.7248322147651103E-2</v>
      </c>
    </row>
    <row r="668" spans="1:6" x14ac:dyDescent="0.2">
      <c r="A668" s="23">
        <v>32034</v>
      </c>
      <c r="B668" s="25">
        <f>VLOOKUP(Table2634[[#This Row],[Date]],'DB Money Supply'!$A:$D,4)</f>
        <v>746.5</v>
      </c>
      <c r="C668" s="31">
        <f>(Table2634[[#This Row],[M1 Money Stock, Billions of Dollars, Weekly, Seasonally Adjusted]]-B667)/B667</f>
        <v>4.0349697377269674E-3</v>
      </c>
      <c r="D668" s="35">
        <f>((1+Table2634[[#This Row],[Weekly change]])^52)-1</f>
        <v>0.23293345916231778</v>
      </c>
      <c r="E668" s="25">
        <f t="shared" si="10"/>
        <v>745.625</v>
      </c>
      <c r="F668" s="33">
        <f>(Table2634[[#This Row],[4 weeks average]]-B616)/B616</f>
        <v>8.8344767187271897E-2</v>
      </c>
    </row>
    <row r="669" spans="1:6" x14ac:dyDescent="0.2">
      <c r="A669" s="23">
        <v>32041</v>
      </c>
      <c r="B669" s="25">
        <f>VLOOKUP(Table2634[[#This Row],[Date]],'DB Money Supply'!$A:$D,4)</f>
        <v>748.8</v>
      </c>
      <c r="C669" s="31">
        <f>(Table2634[[#This Row],[M1 Money Stock, Billions of Dollars, Weekly, Seasonally Adjusted]]-B668)/B668</f>
        <v>3.0810448760883518E-3</v>
      </c>
      <c r="D669" s="35">
        <f>((1+Table2634[[#This Row],[Weekly change]])^52)-1</f>
        <v>0.17347334925650237</v>
      </c>
      <c r="E669" s="25">
        <f t="shared" si="10"/>
        <v>746.25</v>
      </c>
      <c r="F669" s="33">
        <f>(Table2634[[#This Row],[4 weeks average]]-B617)/B617</f>
        <v>8.419293912538145E-2</v>
      </c>
    </row>
    <row r="670" spans="1:6" x14ac:dyDescent="0.2">
      <c r="A670" s="23">
        <v>32048</v>
      </c>
      <c r="B670" s="25">
        <f>VLOOKUP(Table2634[[#This Row],[Date]],'DB Money Supply'!$A:$D,4)</f>
        <v>749.8</v>
      </c>
      <c r="C670" s="31">
        <f>(Table2634[[#This Row],[M1 Money Stock, Billions of Dollars, Weekly, Seasonally Adjusted]]-B669)/B669</f>
        <v>1.3354700854700855E-3</v>
      </c>
      <c r="D670" s="35">
        <f>((1+Table2634[[#This Row],[Weekly change]])^52)-1</f>
        <v>7.186284910754126E-2</v>
      </c>
      <c r="E670" s="25">
        <f t="shared" si="10"/>
        <v>747.15000000000009</v>
      </c>
      <c r="F670" s="33">
        <f>(Table2634[[#This Row],[4 weeks average]]-B618)/B618</f>
        <v>8.1885317115551789E-2</v>
      </c>
    </row>
    <row r="671" spans="1:6" x14ac:dyDescent="0.2">
      <c r="A671" s="23">
        <v>32055</v>
      </c>
      <c r="B671" s="25">
        <f>VLOOKUP(Table2634[[#This Row],[Date]],'DB Money Supply'!$A:$D,4)</f>
        <v>753.7</v>
      </c>
      <c r="C671" s="31">
        <f>(Table2634[[#This Row],[M1 Money Stock, Billions of Dollars, Weekly, Seasonally Adjusted]]-B670)/B670</f>
        <v>5.2013870365431999E-3</v>
      </c>
      <c r="D671" s="35">
        <f>((1+Table2634[[#This Row],[Weekly change]])^52)-1</f>
        <v>0.30966468719559459</v>
      </c>
      <c r="E671" s="25">
        <f t="shared" si="10"/>
        <v>749.7</v>
      </c>
      <c r="F671" s="33">
        <f>(Table2634[[#This Row],[4 weeks average]]-B619)/B619</f>
        <v>8.4635416666666657E-2</v>
      </c>
    </row>
    <row r="672" spans="1:6" x14ac:dyDescent="0.2">
      <c r="A672" s="23">
        <v>32062</v>
      </c>
      <c r="B672" s="25">
        <f>VLOOKUP(Table2634[[#This Row],[Date]],'DB Money Supply'!$A:$D,4)</f>
        <v>748.9</v>
      </c>
      <c r="C672" s="31">
        <f>(Table2634[[#This Row],[M1 Money Stock, Billions of Dollars, Weekly, Seasonally Adjusted]]-B671)/B671</f>
        <v>-6.3685816637920499E-3</v>
      </c>
      <c r="D672" s="35">
        <f>((1+Table2634[[#This Row],[Weekly change]])^52)-1</f>
        <v>-0.28267429082125828</v>
      </c>
      <c r="E672" s="25">
        <f t="shared" si="10"/>
        <v>750.30000000000007</v>
      </c>
      <c r="F672" s="33">
        <f>(Table2634[[#This Row],[4 weeks average]]-B620)/B620</f>
        <v>8.5503472222222252E-2</v>
      </c>
    </row>
    <row r="673" spans="1:6" x14ac:dyDescent="0.2">
      <c r="A673" s="23">
        <v>32069</v>
      </c>
      <c r="B673" s="25">
        <f>VLOOKUP(Table2634[[#This Row],[Date]],'DB Money Supply'!$A:$D,4)</f>
        <v>755</v>
      </c>
      <c r="C673" s="31">
        <f>(Table2634[[#This Row],[M1 Money Stock, Billions of Dollars, Weekly, Seasonally Adjusted]]-B672)/B672</f>
        <v>8.1452797436240131E-3</v>
      </c>
      <c r="D673" s="35">
        <f>((1+Table2634[[#This Row],[Weekly change]])^52)-1</f>
        <v>0.52476282240572591</v>
      </c>
      <c r="E673" s="25">
        <f t="shared" si="10"/>
        <v>751.85</v>
      </c>
      <c r="F673" s="33">
        <f>(Table2634[[#This Row],[4 weeks average]]-B621)/B621</f>
        <v>8.0399482684293783E-2</v>
      </c>
    </row>
    <row r="674" spans="1:6" x14ac:dyDescent="0.2">
      <c r="A674" s="23">
        <v>32076</v>
      </c>
      <c r="B674" s="25">
        <f>VLOOKUP(Table2634[[#This Row],[Date]],'DB Money Supply'!$A:$D,4)</f>
        <v>765.2</v>
      </c>
      <c r="C674" s="31">
        <f>(Table2634[[#This Row],[M1 Money Stock, Billions of Dollars, Weekly, Seasonally Adjusted]]-B673)/B673</f>
        <v>1.3509933774834497E-2</v>
      </c>
      <c r="D674" s="35">
        <f>((1+Table2634[[#This Row],[Weekly change]])^52)-1</f>
        <v>1.0093542312956605</v>
      </c>
      <c r="E674" s="25">
        <f t="shared" si="10"/>
        <v>755.7</v>
      </c>
      <c r="F674" s="33">
        <f>(Table2634[[#This Row],[4 weeks average]]-B622)/B622</f>
        <v>8.2044673539518997E-2</v>
      </c>
    </row>
    <row r="675" spans="1:6" x14ac:dyDescent="0.2">
      <c r="A675" s="23">
        <v>32083</v>
      </c>
      <c r="B675" s="25">
        <f>VLOOKUP(Table2634[[#This Row],[Date]],'DB Money Supply'!$A:$D,4)</f>
        <v>758.5</v>
      </c>
      <c r="C675" s="31">
        <f>(Table2634[[#This Row],[M1 Money Stock, Billions of Dollars, Weekly, Seasonally Adjusted]]-B674)/B674</f>
        <v>-8.7558808154731375E-3</v>
      </c>
      <c r="D675" s="35">
        <f>((1+Table2634[[#This Row],[Weekly change]])^52)-1</f>
        <v>-0.36701643220883484</v>
      </c>
      <c r="E675" s="25">
        <f t="shared" si="10"/>
        <v>756.90000000000009</v>
      </c>
      <c r="F675" s="33">
        <f>(Table2634[[#This Row],[4 weeks average]]-B623)/B623</f>
        <v>8.298755186722008E-2</v>
      </c>
    </row>
    <row r="676" spans="1:6" x14ac:dyDescent="0.2">
      <c r="A676" s="23">
        <v>32090</v>
      </c>
      <c r="B676" s="25">
        <f>VLOOKUP(Table2634[[#This Row],[Date]],'DB Money Supply'!$A:$D,4)</f>
        <v>755.4</v>
      </c>
      <c r="C676" s="31">
        <f>(Table2634[[#This Row],[M1 Money Stock, Billions of Dollars, Weekly, Seasonally Adjusted]]-B675)/B675</f>
        <v>-4.0870138431114344E-3</v>
      </c>
      <c r="D676" s="35">
        <f>((1+Table2634[[#This Row],[Weekly change]])^52)-1</f>
        <v>-0.19181169957548472</v>
      </c>
      <c r="E676" s="25">
        <f t="shared" si="10"/>
        <v>758.52499999999998</v>
      </c>
      <c r="F676" s="33">
        <f>(Table2634[[#This Row],[4 weeks average]]-B624)/B624</f>
        <v>7.9289982925441135E-2</v>
      </c>
    </row>
    <row r="677" spans="1:6" x14ac:dyDescent="0.2">
      <c r="A677" s="23">
        <v>32097</v>
      </c>
      <c r="B677" s="25">
        <f>VLOOKUP(Table2634[[#This Row],[Date]],'DB Money Supply'!$A:$D,4)</f>
        <v>752.9</v>
      </c>
      <c r="C677" s="31">
        <f>(Table2634[[#This Row],[M1 Money Stock, Billions of Dollars, Weekly, Seasonally Adjusted]]-B676)/B676</f>
        <v>-3.309504898067249E-3</v>
      </c>
      <c r="D677" s="35">
        <f>((1+Table2634[[#This Row],[Weekly change]])^52)-1</f>
        <v>-0.15834043025169908</v>
      </c>
      <c r="E677" s="25">
        <f t="shared" si="10"/>
        <v>758</v>
      </c>
      <c r="F677" s="33">
        <f>(Table2634[[#This Row],[4 weeks average]]-B625)/B625</f>
        <v>7.6245917932699206E-2</v>
      </c>
    </row>
    <row r="678" spans="1:6" x14ac:dyDescent="0.2">
      <c r="A678" s="23">
        <v>32104</v>
      </c>
      <c r="B678" s="25">
        <f>VLOOKUP(Table2634[[#This Row],[Date]],'DB Money Supply'!$A:$D,4)</f>
        <v>752</v>
      </c>
      <c r="C678" s="31">
        <f>(Table2634[[#This Row],[M1 Money Stock, Billions of Dollars, Weekly, Seasonally Adjusted]]-B677)/B677</f>
        <v>-1.1953778722273573E-3</v>
      </c>
      <c r="D678" s="35">
        <f>((1+Table2634[[#This Row],[Weekly change]])^52)-1</f>
        <v>-6.03020932087307E-2</v>
      </c>
      <c r="E678" s="25">
        <f t="shared" si="10"/>
        <v>754.7</v>
      </c>
      <c r="F678" s="33">
        <f>(Table2634[[#This Row],[4 weeks average]]-B626)/B626</f>
        <v>7.1560414596052946E-2</v>
      </c>
    </row>
    <row r="679" spans="1:6" x14ac:dyDescent="0.2">
      <c r="A679" s="23">
        <v>32111</v>
      </c>
      <c r="B679" s="25">
        <f>VLOOKUP(Table2634[[#This Row],[Date]],'DB Money Supply'!$A:$D,4)</f>
        <v>751</v>
      </c>
      <c r="C679" s="31">
        <f>(Table2634[[#This Row],[M1 Money Stock, Billions of Dollars, Weekly, Seasonally Adjusted]]-B678)/B678</f>
        <v>-1.3297872340425532E-3</v>
      </c>
      <c r="D679" s="35">
        <f>((1+Table2634[[#This Row],[Weekly change]])^52)-1</f>
        <v>-6.6855257635652698E-2</v>
      </c>
      <c r="E679" s="25">
        <f t="shared" si="10"/>
        <v>752.82500000000005</v>
      </c>
      <c r="F679" s="33">
        <f>(Table2634[[#This Row],[4 weeks average]]-B627)/B627</f>
        <v>5.378639417693179E-2</v>
      </c>
    </row>
    <row r="680" spans="1:6" x14ac:dyDescent="0.2">
      <c r="A680" s="23">
        <v>32118</v>
      </c>
      <c r="B680" s="25">
        <f>VLOOKUP(Table2634[[#This Row],[Date]],'DB Money Supply'!$A:$D,4)</f>
        <v>750.5</v>
      </c>
      <c r="C680" s="31">
        <f>(Table2634[[#This Row],[M1 Money Stock, Billions of Dollars, Weekly, Seasonally Adjusted]]-B679)/B679</f>
        <v>-6.6577896138482028E-4</v>
      </c>
      <c r="D680" s="35">
        <f>((1+Table2634[[#This Row],[Weekly change]])^52)-1</f>
        <v>-3.4039210247880036E-2</v>
      </c>
      <c r="E680" s="25">
        <f t="shared" si="10"/>
        <v>751.6</v>
      </c>
      <c r="F680" s="33">
        <f>(Table2634[[#This Row],[4 weeks average]]-B628)/B628</f>
        <v>5.1777218024069406E-2</v>
      </c>
    </row>
    <row r="681" spans="1:6" x14ac:dyDescent="0.2">
      <c r="A681" s="23">
        <v>32125</v>
      </c>
      <c r="B681" s="25">
        <f>VLOOKUP(Table2634[[#This Row],[Date]],'DB Money Supply'!$A:$D,4)</f>
        <v>749.8</v>
      </c>
      <c r="C681" s="31">
        <f>(Table2634[[#This Row],[M1 Money Stock, Billions of Dollars, Weekly, Seasonally Adjusted]]-B680)/B680</f>
        <v>-9.3271152564962758E-4</v>
      </c>
      <c r="D681" s="35">
        <f>((1+Table2634[[#This Row],[Weekly change]])^52)-1</f>
        <v>-4.7365173748964873E-2</v>
      </c>
      <c r="E681" s="25">
        <f t="shared" si="10"/>
        <v>750.82500000000005</v>
      </c>
      <c r="F681" s="33">
        <f>(Table2634[[#This Row],[4 weeks average]]-B629)/B629</f>
        <v>4.4844141386028422E-2</v>
      </c>
    </row>
    <row r="682" spans="1:6" x14ac:dyDescent="0.2">
      <c r="A682" s="23">
        <v>32132</v>
      </c>
      <c r="B682" s="25">
        <f>VLOOKUP(Table2634[[#This Row],[Date]],'DB Money Supply'!$A:$D,4)</f>
        <v>749.6</v>
      </c>
      <c r="C682" s="31">
        <f>(Table2634[[#This Row],[M1 Money Stock, Billions of Dollars, Weekly, Seasonally Adjusted]]-B681)/B681</f>
        <v>-2.6673779674570795E-4</v>
      </c>
      <c r="D682" s="35">
        <f>((1+Table2634[[#This Row],[Weekly change]])^52)-1</f>
        <v>-1.3776439837508869E-2</v>
      </c>
      <c r="E682" s="25">
        <f t="shared" si="10"/>
        <v>750.22500000000002</v>
      </c>
      <c r="F682" s="33">
        <f>(Table2634[[#This Row],[4 weeks average]]-B630)/B630</f>
        <v>3.2514450867052021E-2</v>
      </c>
    </row>
    <row r="683" spans="1:6" x14ac:dyDescent="0.2">
      <c r="A683" s="23">
        <v>32139</v>
      </c>
      <c r="B683" s="25">
        <f>VLOOKUP(Table2634[[#This Row],[Date]],'DB Money Supply'!$A:$D,4)</f>
        <v>750.6</v>
      </c>
      <c r="C683" s="31">
        <f>(Table2634[[#This Row],[M1 Money Stock, Billions of Dollars, Weekly, Seasonally Adjusted]]-B682)/B682</f>
        <v>1.3340448239060833E-3</v>
      </c>
      <c r="D683" s="35">
        <f>((1+Table2634[[#This Row],[Weekly change]])^52)-1</f>
        <v>7.1783518318803807E-2</v>
      </c>
      <c r="E683" s="25">
        <f t="shared" si="10"/>
        <v>750.125</v>
      </c>
      <c r="F683" s="33">
        <f>(Table2634[[#This Row],[4 weeks average]]-B631)/B631</f>
        <v>2.0300598476604943E-2</v>
      </c>
    </row>
    <row r="684" spans="1:6" x14ac:dyDescent="0.2">
      <c r="A684" s="23">
        <v>32146</v>
      </c>
      <c r="B684" s="25">
        <f>VLOOKUP(Table2634[[#This Row],[Date]],'DB Money Supply'!$A:$D,4)</f>
        <v>751.1</v>
      </c>
      <c r="C684" s="31">
        <f>(Table2634[[#This Row],[M1 Money Stock, Billions of Dollars, Weekly, Seasonally Adjusted]]-B683)/B683</f>
        <v>6.6613375965893945E-4</v>
      </c>
      <c r="D684" s="35">
        <f>((1+Table2634[[#This Row],[Weekly change]])^52)-1</f>
        <v>3.5233933138717033E-2</v>
      </c>
      <c r="E684" s="25">
        <f t="shared" si="10"/>
        <v>750.27499999999998</v>
      </c>
      <c r="F684" s="33">
        <f>(Table2634[[#This Row],[4 weeks average]]-B632)/B632</f>
        <v>1.1016035574720327E-2</v>
      </c>
    </row>
    <row r="685" spans="1:6" x14ac:dyDescent="0.2">
      <c r="A685" s="23">
        <v>32153</v>
      </c>
      <c r="B685" s="25">
        <f>VLOOKUP(Table2634[[#This Row],[Date]],'DB Money Supply'!$A:$D,4)</f>
        <v>753.2</v>
      </c>
      <c r="C685" s="31">
        <f>(Table2634[[#This Row],[M1 Money Stock, Billions of Dollars, Weekly, Seasonally Adjusted]]-B684)/B684</f>
        <v>2.7958993476235156E-3</v>
      </c>
      <c r="D685" s="35">
        <f>((1+Table2634[[#This Row],[Weekly change]])^52)-1</f>
        <v>0.1562521863426285</v>
      </c>
      <c r="E685" s="25">
        <f t="shared" si="10"/>
        <v>751.125</v>
      </c>
      <c r="F685" s="33">
        <f>(Table2634[[#This Row],[4 weeks average]]-B633)/B633</f>
        <v>3.1906855337271632E-2</v>
      </c>
    </row>
    <row r="686" spans="1:6" x14ac:dyDescent="0.2">
      <c r="A686" s="23">
        <v>32160</v>
      </c>
      <c r="B686" s="25">
        <f>VLOOKUP(Table2634[[#This Row],[Date]],'DB Money Supply'!$A:$D,4)</f>
        <v>755.8</v>
      </c>
      <c r="C686" s="31">
        <f>(Table2634[[#This Row],[M1 Money Stock, Billions of Dollars, Weekly, Seasonally Adjusted]]-B685)/B685</f>
        <v>3.4519383961761933E-3</v>
      </c>
      <c r="D686" s="35">
        <f>((1+Table2634[[#This Row],[Weekly change]])^52)-1</f>
        <v>0.19625003720255352</v>
      </c>
      <c r="E686" s="25">
        <f t="shared" si="10"/>
        <v>752.67499999999995</v>
      </c>
      <c r="F686" s="33">
        <f>(Table2634[[#This Row],[4 weeks average]]-B634)/B634</f>
        <v>3.774300289535365E-2</v>
      </c>
    </row>
    <row r="687" spans="1:6" x14ac:dyDescent="0.2">
      <c r="A687" s="23">
        <v>32167</v>
      </c>
      <c r="B687" s="25">
        <f>VLOOKUP(Table2634[[#This Row],[Date]],'DB Money Supply'!$A:$D,4)</f>
        <v>759</v>
      </c>
      <c r="C687" s="31">
        <f>(Table2634[[#This Row],[M1 Money Stock, Billions of Dollars, Weekly, Seasonally Adjusted]]-B686)/B686</f>
        <v>4.2339243186028655E-3</v>
      </c>
      <c r="D687" s="35">
        <f>((1+Table2634[[#This Row],[Weekly change]])^52)-1</f>
        <v>0.24570208787298742</v>
      </c>
      <c r="E687" s="25">
        <f t="shared" si="10"/>
        <v>754.77500000000009</v>
      </c>
      <c r="F687" s="33">
        <f>(Table2634[[#This Row],[4 weeks average]]-B635)/B635</f>
        <v>3.6067261496225245E-2</v>
      </c>
    </row>
    <row r="688" spans="1:6" x14ac:dyDescent="0.2">
      <c r="A688" s="23">
        <v>32174</v>
      </c>
      <c r="B688" s="25">
        <f>VLOOKUP(Table2634[[#This Row],[Date]],'DB Money Supply'!$A:$D,4)</f>
        <v>760.3</v>
      </c>
      <c r="C688" s="31">
        <f>(Table2634[[#This Row],[M1 Money Stock, Billions of Dollars, Weekly, Seasonally Adjusted]]-B687)/B687</f>
        <v>1.712779973649479E-3</v>
      </c>
      <c r="D688" s="35">
        <f>((1+Table2634[[#This Row],[Weekly change]])^52)-1</f>
        <v>9.3067945638142469E-2</v>
      </c>
      <c r="E688" s="25">
        <f t="shared" si="10"/>
        <v>757.07500000000005</v>
      </c>
      <c r="F688" s="33">
        <f>(Table2634[[#This Row],[4 weeks average]]-B636)/B636</f>
        <v>3.7231127551719506E-2</v>
      </c>
    </row>
    <row r="689" spans="1:6" x14ac:dyDescent="0.2">
      <c r="A689" s="23">
        <v>32181</v>
      </c>
      <c r="B689" s="25">
        <f>VLOOKUP(Table2634[[#This Row],[Date]],'DB Money Supply'!$A:$D,4)</f>
        <v>756.6</v>
      </c>
      <c r="C689" s="31">
        <f>(Table2634[[#This Row],[M1 Money Stock, Billions of Dollars, Weekly, Seasonally Adjusted]]-B688)/B688</f>
        <v>-4.8665000657634253E-3</v>
      </c>
      <c r="D689" s="35">
        <f>((1+Table2634[[#This Row],[Weekly change]])^52)-1</f>
        <v>-0.22405664829522476</v>
      </c>
      <c r="E689" s="25">
        <f t="shared" si="10"/>
        <v>757.92499999999995</v>
      </c>
      <c r="F689" s="33">
        <f>(Table2634[[#This Row],[4 weeks average]]-B637)/B637</f>
        <v>3.8111217641418886E-2</v>
      </c>
    </row>
    <row r="690" spans="1:6" x14ac:dyDescent="0.2">
      <c r="A690" s="23">
        <v>32188</v>
      </c>
      <c r="B690" s="25">
        <f>VLOOKUP(Table2634[[#This Row],[Date]],'DB Money Supply'!$A:$D,4)</f>
        <v>757.4</v>
      </c>
      <c r="C690" s="31">
        <f>(Table2634[[#This Row],[M1 Money Stock, Billions of Dollars, Weekly, Seasonally Adjusted]]-B689)/B689</f>
        <v>1.05736188210409E-3</v>
      </c>
      <c r="D690" s="35">
        <f>((1+Table2634[[#This Row],[Weekly change]])^52)-1</f>
        <v>5.6491771906330257E-2</v>
      </c>
      <c r="E690" s="25">
        <f t="shared" si="10"/>
        <v>758.32500000000005</v>
      </c>
      <c r="F690" s="33">
        <f>(Table2634[[#This Row],[4 weeks average]]-B638)/B638</f>
        <v>3.880136986301376E-2</v>
      </c>
    </row>
    <row r="691" spans="1:6" x14ac:dyDescent="0.2">
      <c r="A691" s="23">
        <v>32195</v>
      </c>
      <c r="B691" s="25">
        <f>VLOOKUP(Table2634[[#This Row],[Date]],'DB Money Supply'!$A:$D,4)</f>
        <v>759.8</v>
      </c>
      <c r="C691" s="31">
        <f>(Table2634[[#This Row],[M1 Money Stock, Billions of Dollars, Weekly, Seasonally Adjusted]]-B690)/B690</f>
        <v>3.1687351465539706E-3</v>
      </c>
      <c r="D691" s="35">
        <f>((1+Table2634[[#This Row],[Weekly change]])^52)-1</f>
        <v>0.17881973679216467</v>
      </c>
      <c r="E691" s="25">
        <f t="shared" si="10"/>
        <v>758.52500000000009</v>
      </c>
      <c r="F691" s="33">
        <f>(Table2634[[#This Row],[4 weeks average]]-B639)/B639</f>
        <v>3.6661199945332845E-2</v>
      </c>
    </row>
    <row r="692" spans="1:6" x14ac:dyDescent="0.2">
      <c r="A692" s="23">
        <v>32202</v>
      </c>
      <c r="B692" s="25">
        <f>VLOOKUP(Table2634[[#This Row],[Date]],'DB Money Supply'!$A:$D,4)</f>
        <v>756.7</v>
      </c>
      <c r="C692" s="31">
        <f>(Table2634[[#This Row],[M1 Money Stock, Billions of Dollars, Weekly, Seasonally Adjusted]]-B691)/B691</f>
        <v>-4.0800210581730841E-3</v>
      </c>
      <c r="D692" s="35">
        <f>((1+Table2634[[#This Row],[Weekly change]])^52)-1</f>
        <v>-0.19151656340294443</v>
      </c>
      <c r="E692" s="25">
        <f t="shared" si="10"/>
        <v>757.625</v>
      </c>
      <c r="F692" s="33">
        <f>(Table2634[[#This Row],[4 weeks average]]-B640)/B640</f>
        <v>3.5855892808312854E-2</v>
      </c>
    </row>
    <row r="693" spans="1:6" x14ac:dyDescent="0.2">
      <c r="A693" s="23">
        <v>32209</v>
      </c>
      <c r="B693" s="25">
        <f>VLOOKUP(Table2634[[#This Row],[Date]],'DB Money Supply'!$A:$D,4)</f>
        <v>758.1</v>
      </c>
      <c r="C693" s="31">
        <f>(Table2634[[#This Row],[M1 Money Stock, Billions of Dollars, Weekly, Seasonally Adjusted]]-B692)/B692</f>
        <v>1.8501387604070005E-3</v>
      </c>
      <c r="D693" s="35">
        <f>((1+Table2634[[#This Row],[Weekly change]])^52)-1</f>
        <v>0.10088932101184866</v>
      </c>
      <c r="E693" s="25">
        <f t="shared" si="10"/>
        <v>757.99999999999989</v>
      </c>
      <c r="F693" s="33">
        <f>(Table2634[[#This Row],[4 weeks average]]-B641)/B641</f>
        <v>3.523627424201016E-2</v>
      </c>
    </row>
    <row r="694" spans="1:6" x14ac:dyDescent="0.2">
      <c r="A694" s="23">
        <v>32216</v>
      </c>
      <c r="B694" s="25">
        <f>VLOOKUP(Table2634[[#This Row],[Date]],'DB Money Supply'!$A:$D,4)</f>
        <v>760.6</v>
      </c>
      <c r="C694" s="31">
        <f>(Table2634[[#This Row],[M1 Money Stock, Billions of Dollars, Weekly, Seasonally Adjusted]]-B693)/B693</f>
        <v>3.2977179791584222E-3</v>
      </c>
      <c r="D694" s="35">
        <f>((1+Table2634[[#This Row],[Weekly change]])^52)-1</f>
        <v>0.18672712918573553</v>
      </c>
      <c r="E694" s="25">
        <f t="shared" si="10"/>
        <v>758.8</v>
      </c>
      <c r="F694" s="33">
        <f>(Table2634[[#This Row],[4 weeks average]]-B642)/B642</f>
        <v>3.392832811009671E-2</v>
      </c>
    </row>
    <row r="695" spans="1:6" x14ac:dyDescent="0.2">
      <c r="A695" s="23">
        <v>32223</v>
      </c>
      <c r="B695" s="25">
        <f>VLOOKUP(Table2634[[#This Row],[Date]],'DB Money Supply'!$A:$D,4)</f>
        <v>763.1</v>
      </c>
      <c r="C695" s="31">
        <f>(Table2634[[#This Row],[M1 Money Stock, Billions of Dollars, Weekly, Seasonally Adjusted]]-B694)/B694</f>
        <v>3.2868787799105966E-3</v>
      </c>
      <c r="D695" s="35">
        <f>((1+Table2634[[#This Row],[Weekly change]])^52)-1</f>
        <v>0.18606062642860399</v>
      </c>
      <c r="E695" s="25">
        <f t="shared" si="10"/>
        <v>759.625</v>
      </c>
      <c r="F695" s="33">
        <f>(Table2634[[#This Row],[4 weeks average]]-B643)/B643</f>
        <v>3.5193513218860786E-2</v>
      </c>
    </row>
    <row r="696" spans="1:6" x14ac:dyDescent="0.2">
      <c r="A696" s="23">
        <v>32230</v>
      </c>
      <c r="B696" s="25">
        <f>VLOOKUP(Table2634[[#This Row],[Date]],'DB Money Supply'!$A:$D,4)</f>
        <v>763.7</v>
      </c>
      <c r="C696" s="31">
        <f>(Table2634[[#This Row],[M1 Money Stock, Billions of Dollars, Weekly, Seasonally Adjusted]]-B695)/B695</f>
        <v>7.8626654435856732E-4</v>
      </c>
      <c r="D696" s="35">
        <f>((1+Table2634[[#This Row],[Weekly change]])^52)-1</f>
        <v>4.1716460163811364E-2</v>
      </c>
      <c r="E696" s="25">
        <f t="shared" si="10"/>
        <v>761.375</v>
      </c>
      <c r="F696" s="33">
        <f>(Table2634[[#This Row],[4 weeks average]]-B644)/B644</f>
        <v>3.5320913788414503E-2</v>
      </c>
    </row>
    <row r="697" spans="1:6" x14ac:dyDescent="0.2">
      <c r="A697" s="23">
        <v>32237</v>
      </c>
      <c r="B697" s="25">
        <f>VLOOKUP(Table2634[[#This Row],[Date]],'DB Money Supply'!$A:$D,4)</f>
        <v>765.5</v>
      </c>
      <c r="C697" s="31">
        <f>(Table2634[[#This Row],[M1 Money Stock, Billions of Dollars, Weekly, Seasonally Adjusted]]-B696)/B696</f>
        <v>2.3569464449390526E-3</v>
      </c>
      <c r="D697" s="35">
        <f>((1+Table2634[[#This Row],[Weekly change]])^52)-1</f>
        <v>0.13022531491358835</v>
      </c>
      <c r="E697" s="25">
        <f t="shared" si="10"/>
        <v>763.22500000000002</v>
      </c>
      <c r="F697" s="33">
        <f>(Table2634[[#This Row],[4 weeks average]]-B645)/B645</f>
        <v>3.5302495930547989E-2</v>
      </c>
    </row>
    <row r="698" spans="1:6" x14ac:dyDescent="0.2">
      <c r="A698" s="23">
        <v>32244</v>
      </c>
      <c r="B698" s="25">
        <f>VLOOKUP(Table2634[[#This Row],[Date]],'DB Money Supply'!$A:$D,4)</f>
        <v>765.8</v>
      </c>
      <c r="C698" s="31">
        <f>(Table2634[[#This Row],[M1 Money Stock, Billions of Dollars, Weekly, Seasonally Adjusted]]-B697)/B697</f>
        <v>3.9190071848459114E-4</v>
      </c>
      <c r="D698" s="35">
        <f>((1+Table2634[[#This Row],[Weekly change]])^52)-1</f>
        <v>2.0583829247690977E-2</v>
      </c>
      <c r="E698" s="25">
        <f t="shared" si="10"/>
        <v>764.52500000000009</v>
      </c>
      <c r="F698" s="33">
        <f>(Table2634[[#This Row],[4 weeks average]]-B646)/B646</f>
        <v>3.6222553537544236E-2</v>
      </c>
    </row>
    <row r="699" spans="1:6" x14ac:dyDescent="0.2">
      <c r="A699" s="23">
        <v>32251</v>
      </c>
      <c r="B699" s="25">
        <f>VLOOKUP(Table2634[[#This Row],[Date]],'DB Money Supply'!$A:$D,4)</f>
        <v>766.8</v>
      </c>
      <c r="C699" s="31">
        <f>(Table2634[[#This Row],[M1 Money Stock, Billions of Dollars, Weekly, Seasonally Adjusted]]-B698)/B698</f>
        <v>1.3058239749281799E-3</v>
      </c>
      <c r="D699" s="35">
        <f>((1+Table2634[[#This Row],[Weekly change]])^52)-1</f>
        <v>7.0213916731867609E-2</v>
      </c>
      <c r="E699" s="25">
        <f t="shared" si="10"/>
        <v>765.45</v>
      </c>
      <c r="F699" s="33">
        <f>(Table2634[[#This Row],[4 weeks average]]-B647)/B647</f>
        <v>2.1417133706965664E-2</v>
      </c>
    </row>
    <row r="700" spans="1:6" x14ac:dyDescent="0.2">
      <c r="A700" s="23">
        <v>32258</v>
      </c>
      <c r="B700" s="25">
        <f>VLOOKUP(Table2634[[#This Row],[Date]],'DB Money Supply'!$A:$D,4)</f>
        <v>772.2</v>
      </c>
      <c r="C700" s="31">
        <f>(Table2634[[#This Row],[M1 Money Stock, Billions of Dollars, Weekly, Seasonally Adjusted]]-B699)/B699</f>
        <v>7.0422535211268796E-3</v>
      </c>
      <c r="D700" s="35">
        <f>((1+Table2634[[#This Row],[Weekly change]])^52)-1</f>
        <v>0.44038980986437837</v>
      </c>
      <c r="E700" s="25">
        <f t="shared" si="10"/>
        <v>767.57500000000005</v>
      </c>
      <c r="F700" s="33">
        <f>(Table2634[[#This Row],[4 weeks average]]-B648)/B648</f>
        <v>2.3569809307907814E-2</v>
      </c>
    </row>
    <row r="701" spans="1:6" x14ac:dyDescent="0.2">
      <c r="A701" s="23">
        <v>32265</v>
      </c>
      <c r="B701" s="25">
        <f>VLOOKUP(Table2634[[#This Row],[Date]],'DB Money Supply'!$A:$D,4)</f>
        <v>769.6</v>
      </c>
      <c r="C701" s="31">
        <f>(Table2634[[#This Row],[M1 Money Stock, Billions of Dollars, Weekly, Seasonally Adjusted]]-B700)/B700</f>
        <v>-3.3670033670033963E-3</v>
      </c>
      <c r="D701" s="35">
        <f>((1+Table2634[[#This Row],[Weekly change]])^52)-1</f>
        <v>-0.16086157067535045</v>
      </c>
      <c r="E701" s="25">
        <f t="shared" si="10"/>
        <v>768.6</v>
      </c>
      <c r="F701" s="33">
        <f>(Table2634[[#This Row],[4 weeks average]]-B649)/B649</f>
        <v>3.1539390685813982E-2</v>
      </c>
    </row>
    <row r="702" spans="1:6" x14ac:dyDescent="0.2">
      <c r="A702" s="23">
        <v>32272</v>
      </c>
      <c r="B702" s="25">
        <f>VLOOKUP(Table2634[[#This Row],[Date]],'DB Money Supply'!$A:$D,4)</f>
        <v>769.9</v>
      </c>
      <c r="C702" s="31">
        <f>(Table2634[[#This Row],[M1 Money Stock, Billions of Dollars, Weekly, Seasonally Adjusted]]-B701)/B701</f>
        <v>3.8981288981283069E-4</v>
      </c>
      <c r="D702" s="35">
        <f>((1+Table2634[[#This Row],[Weekly change]])^52)-1</f>
        <v>2.0473076730822326E-2</v>
      </c>
      <c r="E702" s="25">
        <f t="shared" si="10"/>
        <v>769.625</v>
      </c>
      <c r="F702" s="33">
        <f>(Table2634[[#This Row],[4 weeks average]]-B650)/B650</f>
        <v>3.5416386385039751E-2</v>
      </c>
    </row>
    <row r="703" spans="1:6" x14ac:dyDescent="0.2">
      <c r="A703" s="23">
        <v>32279</v>
      </c>
      <c r="B703" s="25">
        <f>VLOOKUP(Table2634[[#This Row],[Date]],'DB Money Supply'!$A:$D,4)</f>
        <v>771.9</v>
      </c>
      <c r="C703" s="31">
        <f>(Table2634[[#This Row],[M1 Money Stock, Billions of Dollars, Weekly, Seasonally Adjusted]]-B702)/B702</f>
        <v>2.5977399662293803E-3</v>
      </c>
      <c r="D703" s="35">
        <f>((1+Table2634[[#This Row],[Weekly change]])^52)-1</f>
        <v>0.14443072153281977</v>
      </c>
      <c r="E703" s="25">
        <f t="shared" si="10"/>
        <v>770.90000000000009</v>
      </c>
      <c r="F703" s="33">
        <f>(Table2634[[#This Row],[4 weeks average]]-B651)/B651</f>
        <v>3.5320977706151044E-2</v>
      </c>
    </row>
    <row r="704" spans="1:6" x14ac:dyDescent="0.2">
      <c r="A704" s="23">
        <v>32286</v>
      </c>
      <c r="B704" s="25">
        <f>VLOOKUP(Table2634[[#This Row],[Date]],'DB Money Supply'!$A:$D,4)</f>
        <v>772.5</v>
      </c>
      <c r="C704" s="31">
        <f>(Table2634[[#This Row],[M1 Money Stock, Billions of Dollars, Weekly, Seasonally Adjusted]]-B703)/B703</f>
        <v>7.7730275942482544E-4</v>
      </c>
      <c r="D704" s="35">
        <f>((1+Table2634[[#This Row],[Weekly change]])^52)-1</f>
        <v>4.1231390881618868E-2</v>
      </c>
      <c r="E704" s="25">
        <f t="shared" si="10"/>
        <v>770.97500000000002</v>
      </c>
      <c r="F704" s="33">
        <f>(Table2634[[#This Row],[4 weeks average]]-B652)/B652</f>
        <v>3.043972199946535E-2</v>
      </c>
    </row>
    <row r="705" spans="1:6" x14ac:dyDescent="0.2">
      <c r="A705" s="23">
        <v>32293</v>
      </c>
      <c r="B705" s="25">
        <f>VLOOKUP(Table2634[[#This Row],[Date]],'DB Money Supply'!$A:$D,4)</f>
        <v>772.7</v>
      </c>
      <c r="C705" s="31">
        <f>(Table2634[[#This Row],[M1 Money Stock, Billions of Dollars, Weekly, Seasonally Adjusted]]-B704)/B704</f>
        <v>2.5889967637546338E-4</v>
      </c>
      <c r="D705" s="35">
        <f>((1+Table2634[[#This Row],[Weekly change]])^52)-1</f>
        <v>1.3552048420070406E-2</v>
      </c>
      <c r="E705" s="25">
        <f t="shared" si="10"/>
        <v>771.75</v>
      </c>
      <c r="F705" s="33">
        <f>(Table2634[[#This Row],[4 weeks average]]-B653)/B653</f>
        <v>3.1613420665686377E-2</v>
      </c>
    </row>
    <row r="706" spans="1:6" x14ac:dyDescent="0.2">
      <c r="A706" s="23">
        <v>32300</v>
      </c>
      <c r="B706" s="25">
        <f>VLOOKUP(Table2634[[#This Row],[Date]],'DB Money Supply'!$A:$D,4)</f>
        <v>776.4</v>
      </c>
      <c r="C706" s="31">
        <f>(Table2634[[#This Row],[M1 Money Stock, Billions of Dollars, Weekly, Seasonally Adjusted]]-B705)/B705</f>
        <v>4.7884042966221448E-3</v>
      </c>
      <c r="D706" s="35">
        <f>((1+Table2634[[#This Row],[Weekly change]])^52)-1</f>
        <v>0.28197617037727296</v>
      </c>
      <c r="E706" s="25">
        <f t="shared" si="10"/>
        <v>773.37500000000011</v>
      </c>
      <c r="F706" s="33">
        <f>(Table2634[[#This Row],[4 weeks average]]-B654)/B654</f>
        <v>4.2284366576819561E-2</v>
      </c>
    </row>
    <row r="707" spans="1:6" x14ac:dyDescent="0.2">
      <c r="A707" s="23">
        <v>32307</v>
      </c>
      <c r="B707" s="25">
        <f>VLOOKUP(Table2634[[#This Row],[Date]],'DB Money Supply'!$A:$D,4)</f>
        <v>776.5</v>
      </c>
      <c r="C707" s="31">
        <f>(Table2634[[#This Row],[M1 Money Stock, Billions of Dollars, Weekly, Seasonally Adjusted]]-B706)/B706</f>
        <v>1.2879958784134819E-4</v>
      </c>
      <c r="D707" s="35">
        <f>((1+Table2634[[#This Row],[Weekly change]])^52)-1</f>
        <v>6.7196233200637057E-3</v>
      </c>
      <c r="E707" s="25">
        <f t="shared" si="10"/>
        <v>774.52499999999998</v>
      </c>
      <c r="F707" s="33">
        <f>(Table2634[[#This Row],[4 weeks average]]-B655)/B655</f>
        <v>4.1868442292171106E-2</v>
      </c>
    </row>
    <row r="708" spans="1:6" x14ac:dyDescent="0.2">
      <c r="A708" s="23">
        <v>32314</v>
      </c>
      <c r="B708" s="25">
        <f>VLOOKUP(Table2634[[#This Row],[Date]],'DB Money Supply'!$A:$D,4)</f>
        <v>780.6</v>
      </c>
      <c r="C708" s="31">
        <f>(Table2634[[#This Row],[M1 Money Stock, Billions of Dollars, Weekly, Seasonally Adjusted]]-B707)/B707</f>
        <v>5.2801030264005445E-3</v>
      </c>
      <c r="D708" s="35">
        <f>((1+Table2634[[#This Row],[Weekly change]])^52)-1</f>
        <v>0.31500837207206067</v>
      </c>
      <c r="E708" s="25">
        <f t="shared" si="10"/>
        <v>776.55</v>
      </c>
      <c r="F708" s="33">
        <f>(Table2634[[#This Row],[4 weeks average]]-B656)/B656</f>
        <v>4.3749999999999942E-2</v>
      </c>
    </row>
    <row r="709" spans="1:6" x14ac:dyDescent="0.2">
      <c r="A709" s="23">
        <v>32321</v>
      </c>
      <c r="B709" s="25">
        <f>VLOOKUP(Table2634[[#This Row],[Date]],'DB Money Supply'!$A:$D,4)</f>
        <v>779.8</v>
      </c>
      <c r="C709" s="31">
        <f>(Table2634[[#This Row],[M1 Money Stock, Billions of Dollars, Weekly, Seasonally Adjusted]]-B708)/B708</f>
        <v>-1.0248526774277072E-3</v>
      </c>
      <c r="D709" s="35">
        <f>((1+Table2634[[#This Row],[Weekly change]])^52)-1</f>
        <v>-5.1923104193691283E-2</v>
      </c>
      <c r="E709" s="25">
        <f t="shared" si="10"/>
        <v>778.32500000000005</v>
      </c>
      <c r="F709" s="33">
        <f>(Table2634[[#This Row],[4 weeks average]]-B657)/B657</f>
        <v>4.853159100094314E-2</v>
      </c>
    </row>
    <row r="710" spans="1:6" x14ac:dyDescent="0.2">
      <c r="A710" s="23">
        <v>32328</v>
      </c>
      <c r="B710" s="25">
        <f>VLOOKUP(Table2634[[#This Row],[Date]],'DB Money Supply'!$A:$D,4)</f>
        <v>777.7</v>
      </c>
      <c r="C710" s="31">
        <f>(Table2634[[#This Row],[M1 Money Stock, Billions of Dollars, Weekly, Seasonally Adjusted]]-B709)/B709</f>
        <v>-2.692998204667747E-3</v>
      </c>
      <c r="D710" s="35">
        <f>((1+Table2634[[#This Row],[Weekly change]])^52)-1</f>
        <v>-0.13083717790960869</v>
      </c>
      <c r="E710" s="25">
        <f t="shared" si="10"/>
        <v>778.64999999999986</v>
      </c>
      <c r="F710" s="33">
        <f>(Table2634[[#This Row],[4 weeks average]]-B658)/B658</f>
        <v>4.4606922457740658E-2</v>
      </c>
    </row>
    <row r="711" spans="1:6" x14ac:dyDescent="0.2">
      <c r="A711" s="23">
        <v>32335</v>
      </c>
      <c r="B711" s="25">
        <f>VLOOKUP(Table2634[[#This Row],[Date]],'DB Money Supply'!$A:$D,4)</f>
        <v>781.3</v>
      </c>
      <c r="C711" s="31">
        <f>(Table2634[[#This Row],[M1 Money Stock, Billions of Dollars, Weekly, Seasonally Adjusted]]-B710)/B710</f>
        <v>4.6290343320045122E-3</v>
      </c>
      <c r="D711" s="35">
        <f>((1+Table2634[[#This Row],[Weekly change]])^52)-1</f>
        <v>0.27144541035389791</v>
      </c>
      <c r="E711" s="25">
        <f t="shared" si="10"/>
        <v>779.85000000000014</v>
      </c>
      <c r="F711" s="33">
        <f>(Table2634[[#This Row],[4 weeks average]]-B659)/B659</f>
        <v>5.2997569538212413E-2</v>
      </c>
    </row>
    <row r="712" spans="1:6" x14ac:dyDescent="0.2">
      <c r="A712" s="23">
        <v>32342</v>
      </c>
      <c r="B712" s="25">
        <f>VLOOKUP(Table2634[[#This Row],[Date]],'DB Money Supply'!$A:$D,4)</f>
        <v>780.3</v>
      </c>
      <c r="C712" s="31">
        <f>(Table2634[[#This Row],[M1 Money Stock, Billions of Dollars, Weekly, Seasonally Adjusted]]-B711)/B711</f>
        <v>-1.2799180852425445E-3</v>
      </c>
      <c r="D712" s="35">
        <f>((1+Table2634[[#This Row],[Weekly change]])^52)-1</f>
        <v>-6.4429120552443653E-2</v>
      </c>
      <c r="E712" s="25">
        <f t="shared" si="10"/>
        <v>779.77500000000009</v>
      </c>
      <c r="F712" s="33">
        <f>(Table2634[[#This Row],[4 weeks average]]-B660)/B660</f>
        <v>4.963655942926385E-2</v>
      </c>
    </row>
    <row r="713" spans="1:6" x14ac:dyDescent="0.2">
      <c r="A713" s="23">
        <v>32349</v>
      </c>
      <c r="B713" s="25">
        <f>VLOOKUP(Table2634[[#This Row],[Date]],'DB Money Supply'!$A:$D,4)</f>
        <v>782.2</v>
      </c>
      <c r="C713" s="31">
        <f>(Table2634[[#This Row],[M1 Money Stock, Billions of Dollars, Weekly, Seasonally Adjusted]]-B712)/B712</f>
        <v>2.4349609124696796E-3</v>
      </c>
      <c r="D713" s="35">
        <f>((1+Table2634[[#This Row],[Weekly change]])^52)-1</f>
        <v>0.13480866806644598</v>
      </c>
      <c r="E713" s="25">
        <f t="shared" ref="E713:E776" si="11">AVERAGE(B710:B713)</f>
        <v>780.375</v>
      </c>
      <c r="F713" s="33">
        <f>(Table2634[[#This Row],[4 weeks average]]-B661)/B661</f>
        <v>4.8186702484889189E-2</v>
      </c>
    </row>
    <row r="714" spans="1:6" x14ac:dyDescent="0.2">
      <c r="A714" s="23">
        <v>32356</v>
      </c>
      <c r="B714" s="25">
        <f>VLOOKUP(Table2634[[#This Row],[Date]],'DB Money Supply'!$A:$D,4)</f>
        <v>784.3</v>
      </c>
      <c r="C714" s="31">
        <f>(Table2634[[#This Row],[M1 Money Stock, Billions of Dollars, Weekly, Seasonally Adjusted]]-B713)/B713</f>
        <v>2.6847353617999348E-3</v>
      </c>
      <c r="D714" s="35">
        <f>((1+Table2634[[#This Row],[Weekly change]])^52)-1</f>
        <v>0.1496058800719855</v>
      </c>
      <c r="E714" s="25">
        <f t="shared" si="11"/>
        <v>782.02500000000009</v>
      </c>
      <c r="F714" s="33">
        <f>(Table2634[[#This Row],[4 weeks average]]-B662)/B662</f>
        <v>5.4794982465605768E-2</v>
      </c>
    </row>
    <row r="715" spans="1:6" x14ac:dyDescent="0.2">
      <c r="A715" s="23">
        <v>32363</v>
      </c>
      <c r="B715" s="25">
        <f>VLOOKUP(Table2634[[#This Row],[Date]],'DB Money Supply'!$A:$D,4)</f>
        <v>782.2</v>
      </c>
      <c r="C715" s="31">
        <f>(Table2634[[#This Row],[M1 Money Stock, Billions of Dollars, Weekly, Seasonally Adjusted]]-B714)/B714</f>
        <v>-2.6775468570698828E-3</v>
      </c>
      <c r="D715" s="35">
        <f>((1+Table2634[[#This Row],[Weekly change]])^52)-1</f>
        <v>-0.13013666915362077</v>
      </c>
      <c r="E715" s="25">
        <f t="shared" si="11"/>
        <v>782.25</v>
      </c>
      <c r="F715" s="33">
        <f>(Table2634[[#This Row],[4 weeks average]]-B663)/B663</f>
        <v>5.1552628041403446E-2</v>
      </c>
    </row>
    <row r="716" spans="1:6" x14ac:dyDescent="0.2">
      <c r="A716" s="23">
        <v>32370</v>
      </c>
      <c r="B716" s="25">
        <f>VLOOKUP(Table2634[[#This Row],[Date]],'DB Money Supply'!$A:$D,4)</f>
        <v>783.4</v>
      </c>
      <c r="C716" s="31">
        <f>(Table2634[[#This Row],[M1 Money Stock, Billions of Dollars, Weekly, Seasonally Adjusted]]-B715)/B715</f>
        <v>1.5341344924570848E-3</v>
      </c>
      <c r="D716" s="35">
        <f>((1+Table2634[[#This Row],[Weekly change]])^52)-1</f>
        <v>8.2977143870184733E-2</v>
      </c>
      <c r="E716" s="25">
        <f t="shared" si="11"/>
        <v>783.02499999999998</v>
      </c>
      <c r="F716" s="33">
        <f>(Table2634[[#This Row],[4 weeks average]]-B664)/B664</f>
        <v>5.1322502685284675E-2</v>
      </c>
    </row>
    <row r="717" spans="1:6" x14ac:dyDescent="0.2">
      <c r="A717" s="23">
        <v>32377</v>
      </c>
      <c r="B717" s="25">
        <f>VLOOKUP(Table2634[[#This Row],[Date]],'DB Money Supply'!$A:$D,4)</f>
        <v>783.4</v>
      </c>
      <c r="C717" s="31">
        <f>(Table2634[[#This Row],[M1 Money Stock, Billions of Dollars, Weekly, Seasonally Adjusted]]-B716)/B716</f>
        <v>0</v>
      </c>
      <c r="D717" s="35">
        <f>((1+Table2634[[#This Row],[Weekly change]])^52)-1</f>
        <v>0</v>
      </c>
      <c r="E717" s="25">
        <f t="shared" si="11"/>
        <v>783.32500000000005</v>
      </c>
      <c r="F717" s="33">
        <f>(Table2634[[#This Row],[4 weeks average]]-B665)/B665</f>
        <v>4.9611416320514662E-2</v>
      </c>
    </row>
    <row r="718" spans="1:6" x14ac:dyDescent="0.2">
      <c r="A718" s="23">
        <v>32384</v>
      </c>
      <c r="B718" s="25">
        <f>VLOOKUP(Table2634[[#This Row],[Date]],'DB Money Supply'!$A:$D,4)</f>
        <v>784</v>
      </c>
      <c r="C718" s="31">
        <f>(Table2634[[#This Row],[M1 Money Stock, Billions of Dollars, Weekly, Seasonally Adjusted]]-B717)/B717</f>
        <v>7.6589226448815773E-4</v>
      </c>
      <c r="D718" s="35">
        <f>((1+Table2634[[#This Row],[Weekly change]])^52)-1</f>
        <v>4.0614239977029509E-2</v>
      </c>
      <c r="E718" s="25">
        <f t="shared" si="11"/>
        <v>783.25</v>
      </c>
      <c r="F718" s="33">
        <f>(Table2634[[#This Row],[4 weeks average]]-B666)/B666</f>
        <v>4.965156794425081E-2</v>
      </c>
    </row>
    <row r="719" spans="1:6" x14ac:dyDescent="0.2">
      <c r="A719" s="23">
        <v>32391</v>
      </c>
      <c r="B719" s="25">
        <f>VLOOKUP(Table2634[[#This Row],[Date]],'DB Money Supply'!$A:$D,4)</f>
        <v>783.8</v>
      </c>
      <c r="C719" s="31">
        <f>(Table2634[[#This Row],[M1 Money Stock, Billions of Dollars, Weekly, Seasonally Adjusted]]-B718)/B718</f>
        <v>-2.5510204081638456E-4</v>
      </c>
      <c r="D719" s="35">
        <f>((1+Table2634[[#This Row],[Weekly change]])^52)-1</f>
        <v>-1.3179379697275784E-2</v>
      </c>
      <c r="E719" s="25">
        <f t="shared" si="11"/>
        <v>783.65000000000009</v>
      </c>
      <c r="F719" s="33">
        <f>(Table2634[[#This Row],[4 weeks average]]-B667)/B667</f>
        <v>5.40013449899127E-2</v>
      </c>
    </row>
    <row r="720" spans="1:6" x14ac:dyDescent="0.2">
      <c r="A720" s="23">
        <v>32398</v>
      </c>
      <c r="B720" s="25">
        <f>VLOOKUP(Table2634[[#This Row],[Date]],'DB Money Supply'!$A:$D,4)</f>
        <v>782.8</v>
      </c>
      <c r="C720" s="31">
        <f>(Table2634[[#This Row],[M1 Money Stock, Billions of Dollars, Weekly, Seasonally Adjusted]]-B719)/B719</f>
        <v>-1.2758356723653994E-3</v>
      </c>
      <c r="D720" s="35">
        <f>((1+Table2634[[#This Row],[Weekly change]])^52)-1</f>
        <v>-6.4230237191223671E-2</v>
      </c>
      <c r="E720" s="25">
        <f t="shared" si="11"/>
        <v>783.5</v>
      </c>
      <c r="F720" s="33">
        <f>(Table2634[[#This Row],[4 weeks average]]-B668)/B668</f>
        <v>4.9564634963161422E-2</v>
      </c>
    </row>
    <row r="721" spans="1:6" x14ac:dyDescent="0.2">
      <c r="A721" s="23">
        <v>32405</v>
      </c>
      <c r="B721" s="25">
        <f>VLOOKUP(Table2634[[#This Row],[Date]],'DB Money Supply'!$A:$D,4)</f>
        <v>784.6</v>
      </c>
      <c r="C721" s="31">
        <f>(Table2634[[#This Row],[M1 Money Stock, Billions of Dollars, Weekly, Seasonally Adjusted]]-B720)/B720</f>
        <v>2.2994379151763775E-3</v>
      </c>
      <c r="D721" s="35">
        <f>((1+Table2634[[#This Row],[Weekly change]])^52)-1</f>
        <v>0.12685831584685037</v>
      </c>
      <c r="E721" s="25">
        <f t="shared" si="11"/>
        <v>783.8</v>
      </c>
      <c r="F721" s="33">
        <f>(Table2634[[#This Row],[4 weeks average]]-B669)/B669</f>
        <v>4.6741452991452992E-2</v>
      </c>
    </row>
    <row r="722" spans="1:6" x14ac:dyDescent="0.2">
      <c r="A722" s="23">
        <v>32412</v>
      </c>
      <c r="B722" s="25">
        <f>VLOOKUP(Table2634[[#This Row],[Date]],'DB Money Supply'!$A:$D,4)</f>
        <v>785.1</v>
      </c>
      <c r="C722" s="31">
        <f>(Table2634[[#This Row],[M1 Money Stock, Billions of Dollars, Weekly, Seasonally Adjusted]]-B721)/B721</f>
        <v>6.3726739739994895E-4</v>
      </c>
      <c r="D722" s="35">
        <f>((1+Table2634[[#This Row],[Weekly change]])^52)-1</f>
        <v>3.3682170589258709E-2</v>
      </c>
      <c r="E722" s="25">
        <f t="shared" si="11"/>
        <v>784.07499999999993</v>
      </c>
      <c r="F722" s="33">
        <f>(Table2634[[#This Row],[4 weeks average]]-B670)/B670</f>
        <v>4.5712189917311255E-2</v>
      </c>
    </row>
    <row r="723" spans="1:6" x14ac:dyDescent="0.2">
      <c r="A723" s="23">
        <v>32419</v>
      </c>
      <c r="B723" s="25">
        <f>VLOOKUP(Table2634[[#This Row],[Date]],'DB Money Supply'!$A:$D,4)</f>
        <v>781.1</v>
      </c>
      <c r="C723" s="31">
        <f>(Table2634[[#This Row],[M1 Money Stock, Billions of Dollars, Weekly, Seasonally Adjusted]]-B722)/B722</f>
        <v>-5.0948923703986754E-3</v>
      </c>
      <c r="D723" s="35">
        <f>((1+Table2634[[#This Row],[Weekly change]])^52)-1</f>
        <v>-0.23326313783130082</v>
      </c>
      <c r="E723" s="25">
        <f t="shared" si="11"/>
        <v>783.4</v>
      </c>
      <c r="F723" s="33">
        <f>(Table2634[[#This Row],[4 weeks average]]-B671)/B671</f>
        <v>3.9405599044712657E-2</v>
      </c>
    </row>
    <row r="724" spans="1:6" x14ac:dyDescent="0.2">
      <c r="A724" s="23">
        <v>32426</v>
      </c>
      <c r="B724" s="25">
        <f>VLOOKUP(Table2634[[#This Row],[Date]],'DB Money Supply'!$A:$D,4)</f>
        <v>782.3</v>
      </c>
      <c r="C724" s="31">
        <f>(Table2634[[#This Row],[M1 Money Stock, Billions of Dollars, Weekly, Seasonally Adjusted]]-B723)/B723</f>
        <v>1.5362949686338904E-3</v>
      </c>
      <c r="D724" s="35">
        <f>((1+Table2634[[#This Row],[Weekly change]])^52)-1</f>
        <v>8.3098630994064449E-2</v>
      </c>
      <c r="E724" s="25">
        <f t="shared" si="11"/>
        <v>783.27500000000009</v>
      </c>
      <c r="F724" s="33">
        <f>(Table2634[[#This Row],[4 weeks average]]-B672)/B672</f>
        <v>4.5900654292963167E-2</v>
      </c>
    </row>
    <row r="725" spans="1:6" x14ac:dyDescent="0.2">
      <c r="A725" s="23">
        <v>32433</v>
      </c>
      <c r="B725" s="25">
        <f>VLOOKUP(Table2634[[#This Row],[Date]],'DB Money Supply'!$A:$D,4)</f>
        <v>784</v>
      </c>
      <c r="C725" s="31">
        <f>(Table2634[[#This Row],[M1 Money Stock, Billions of Dollars, Weekly, Seasonally Adjusted]]-B724)/B724</f>
        <v>2.1730793813115757E-3</v>
      </c>
      <c r="D725" s="35">
        <f>((1+Table2634[[#This Row],[Weekly change]])^52)-1</f>
        <v>0.11949481586579158</v>
      </c>
      <c r="E725" s="25">
        <f t="shared" si="11"/>
        <v>783.125</v>
      </c>
      <c r="F725" s="33">
        <f>(Table2634[[#This Row],[4 weeks average]]-B673)/B673</f>
        <v>3.7251655629139076E-2</v>
      </c>
    </row>
    <row r="726" spans="1:6" x14ac:dyDescent="0.2">
      <c r="A726" s="23">
        <v>32440</v>
      </c>
      <c r="B726" s="25">
        <f>VLOOKUP(Table2634[[#This Row],[Date]],'DB Money Supply'!$A:$D,4)</f>
        <v>783.1</v>
      </c>
      <c r="C726" s="31">
        <f>(Table2634[[#This Row],[M1 Money Stock, Billions of Dollars, Weekly, Seasonally Adjusted]]-B725)/B725</f>
        <v>-1.1479591836734404E-3</v>
      </c>
      <c r="D726" s="35">
        <f>((1+Table2634[[#This Row],[Weekly change]])^52)-1</f>
        <v>-5.7979428809926348E-2</v>
      </c>
      <c r="E726" s="25">
        <f t="shared" si="11"/>
        <v>782.625</v>
      </c>
      <c r="F726" s="33">
        <f>(Table2634[[#This Row],[4 weeks average]]-B674)/B674</f>
        <v>2.2771824359644477E-2</v>
      </c>
    </row>
    <row r="727" spans="1:6" x14ac:dyDescent="0.2">
      <c r="A727" s="23">
        <v>32447</v>
      </c>
      <c r="B727" s="25">
        <f>VLOOKUP(Table2634[[#This Row],[Date]],'DB Money Supply'!$A:$D,4)</f>
        <v>784.1</v>
      </c>
      <c r="C727" s="31">
        <f>(Table2634[[#This Row],[M1 Money Stock, Billions of Dollars, Weekly, Seasonally Adjusted]]-B726)/B726</f>
        <v>1.2769761205465458E-3</v>
      </c>
      <c r="D727" s="35">
        <f>((1+Table2634[[#This Row],[Weekly change]])^52)-1</f>
        <v>6.861177220873671E-2</v>
      </c>
      <c r="E727" s="25">
        <f t="shared" si="11"/>
        <v>783.375</v>
      </c>
      <c r="F727" s="33">
        <f>(Table2634[[#This Row],[4 weeks average]]-B675)/B675</f>
        <v>3.2794990112063285E-2</v>
      </c>
    </row>
    <row r="728" spans="1:6" x14ac:dyDescent="0.2">
      <c r="A728" s="23">
        <v>32454</v>
      </c>
      <c r="B728" s="25">
        <f>VLOOKUP(Table2634[[#This Row],[Date]],'DB Money Supply'!$A:$D,4)</f>
        <v>783.2</v>
      </c>
      <c r="C728" s="31">
        <f>(Table2634[[#This Row],[M1 Money Stock, Billions of Dollars, Weekly, Seasonally Adjusted]]-B727)/B727</f>
        <v>-1.1478127789822437E-3</v>
      </c>
      <c r="D728" s="35">
        <f>((1+Table2634[[#This Row],[Weekly change]])^52)-1</f>
        <v>-5.7972248896872691E-2</v>
      </c>
      <c r="E728" s="25">
        <f t="shared" si="11"/>
        <v>783.59999999999991</v>
      </c>
      <c r="F728" s="33">
        <f>(Table2634[[#This Row],[4 weeks average]]-B676)/B676</f>
        <v>3.7331215250198481E-2</v>
      </c>
    </row>
    <row r="729" spans="1:6" x14ac:dyDescent="0.2">
      <c r="A729" s="23">
        <v>32461</v>
      </c>
      <c r="B729" s="25">
        <f>VLOOKUP(Table2634[[#This Row],[Date]],'DB Money Supply'!$A:$D,4)</f>
        <v>784.2</v>
      </c>
      <c r="C729" s="31">
        <f>(Table2634[[#This Row],[M1 Money Stock, Billions of Dollars, Weekly, Seasonally Adjusted]]-B728)/B728</f>
        <v>1.2768130745658835E-3</v>
      </c>
      <c r="D729" s="35">
        <f>((1+Table2634[[#This Row],[Weekly change]])^52)-1</f>
        <v>6.8602723692682277E-2</v>
      </c>
      <c r="E729" s="25">
        <f t="shared" si="11"/>
        <v>783.65000000000009</v>
      </c>
      <c r="F729" s="33">
        <f>(Table2634[[#This Row],[4 weeks average]]-B677)/B677</f>
        <v>4.0842077301102557E-2</v>
      </c>
    </row>
    <row r="730" spans="1:6" x14ac:dyDescent="0.2">
      <c r="A730" s="23">
        <v>32468</v>
      </c>
      <c r="B730" s="25">
        <f>VLOOKUP(Table2634[[#This Row],[Date]],'DB Money Supply'!$A:$D,4)</f>
        <v>784.5</v>
      </c>
      <c r="C730" s="31">
        <f>(Table2634[[#This Row],[M1 Money Stock, Billions of Dollars, Weekly, Seasonally Adjusted]]-B729)/B729</f>
        <v>3.8255547054317075E-4</v>
      </c>
      <c r="D730" s="35">
        <f>((1+Table2634[[#This Row],[Weekly change]])^52)-1</f>
        <v>2.0088185949777904E-2</v>
      </c>
      <c r="E730" s="25">
        <f t="shared" si="11"/>
        <v>784</v>
      </c>
      <c r="F730" s="33">
        <f>(Table2634[[#This Row],[4 weeks average]]-B678)/B678</f>
        <v>4.2553191489361701E-2</v>
      </c>
    </row>
    <row r="731" spans="1:6" x14ac:dyDescent="0.2">
      <c r="A731" s="23">
        <v>32475</v>
      </c>
      <c r="B731" s="25">
        <f>VLOOKUP(Table2634[[#This Row],[Date]],'DB Money Supply'!$A:$D,4)</f>
        <v>786.9</v>
      </c>
      <c r="C731" s="31">
        <f>(Table2634[[#This Row],[M1 Money Stock, Billions of Dollars, Weekly, Seasonally Adjusted]]-B730)/B730</f>
        <v>3.0592734225621124E-3</v>
      </c>
      <c r="D731" s="35">
        <f>((1+Table2634[[#This Row],[Weekly change]])^52)-1</f>
        <v>0.17214965517089764</v>
      </c>
      <c r="E731" s="25">
        <f t="shared" si="11"/>
        <v>784.7</v>
      </c>
      <c r="F731" s="33">
        <f>(Table2634[[#This Row],[4 weeks average]]-B679)/B679</f>
        <v>4.4873501997336945E-2</v>
      </c>
    </row>
    <row r="732" spans="1:6" x14ac:dyDescent="0.2">
      <c r="A732" s="23">
        <v>32482</v>
      </c>
      <c r="B732" s="25">
        <f>VLOOKUP(Table2634[[#This Row],[Date]],'DB Money Supply'!$A:$D,4)</f>
        <v>787.5</v>
      </c>
      <c r="C732" s="31">
        <f>(Table2634[[#This Row],[M1 Money Stock, Billions of Dollars, Weekly, Seasonally Adjusted]]-B731)/B731</f>
        <v>7.6248570339309033E-4</v>
      </c>
      <c r="D732" s="35">
        <f>((1+Table2634[[#This Row],[Weekly change]])^52)-1</f>
        <v>4.0430061406331319E-2</v>
      </c>
      <c r="E732" s="25">
        <f t="shared" si="11"/>
        <v>785.77499999999998</v>
      </c>
      <c r="F732" s="33">
        <f>(Table2634[[#This Row],[4 weeks average]]-B680)/B680</f>
        <v>4.7001998667554931E-2</v>
      </c>
    </row>
    <row r="733" spans="1:6" x14ac:dyDescent="0.2">
      <c r="A733" s="23">
        <v>32489</v>
      </c>
      <c r="B733" s="25">
        <f>VLOOKUP(Table2634[[#This Row],[Date]],'DB Money Supply'!$A:$D,4)</f>
        <v>788.2</v>
      </c>
      <c r="C733" s="31">
        <f>(Table2634[[#This Row],[M1 Money Stock, Billions of Dollars, Weekly, Seasonally Adjusted]]-B732)/B732</f>
        <v>8.8888888888894661E-4</v>
      </c>
      <c r="D733" s="35">
        <f>((1+Table2634[[#This Row],[Weekly change]])^52)-1</f>
        <v>4.7285617926906998E-2</v>
      </c>
      <c r="E733" s="25">
        <f t="shared" si="11"/>
        <v>786.77500000000009</v>
      </c>
      <c r="F733" s="33">
        <f>(Table2634[[#This Row],[4 weeks average]]-B681)/B681</f>
        <v>4.9313150173379755E-2</v>
      </c>
    </row>
    <row r="734" spans="1:6" x14ac:dyDescent="0.2">
      <c r="A734" s="23">
        <v>32496</v>
      </c>
      <c r="B734" s="25">
        <f>VLOOKUP(Table2634[[#This Row],[Date]],'DB Money Supply'!$A:$D,4)</f>
        <v>786.5</v>
      </c>
      <c r="C734" s="31">
        <f>(Table2634[[#This Row],[M1 Money Stock, Billions of Dollars, Weekly, Seasonally Adjusted]]-B733)/B733</f>
        <v>-2.1568129916265484E-3</v>
      </c>
      <c r="D734" s="35">
        <f>((1+Table2634[[#This Row],[Weekly change]])^52)-1</f>
        <v>-0.10620192628967284</v>
      </c>
      <c r="E734" s="25">
        <f t="shared" si="11"/>
        <v>787.27500000000009</v>
      </c>
      <c r="F734" s="33">
        <f>(Table2634[[#This Row],[4 weeks average]]-B682)/B682</f>
        <v>5.0260138740661778E-2</v>
      </c>
    </row>
    <row r="735" spans="1:6" x14ac:dyDescent="0.2">
      <c r="A735" s="23">
        <v>32503</v>
      </c>
      <c r="B735" s="25">
        <f>VLOOKUP(Table2634[[#This Row],[Date]],'DB Money Supply'!$A:$D,4)</f>
        <v>784.6</v>
      </c>
      <c r="C735" s="31">
        <f>(Table2634[[#This Row],[M1 Money Stock, Billions of Dollars, Weekly, Seasonally Adjusted]]-B734)/B734</f>
        <v>-2.4157660521296597E-3</v>
      </c>
      <c r="D735" s="35">
        <f>((1+Table2634[[#This Row],[Weekly change]])^52)-1</f>
        <v>-0.11818395773533141</v>
      </c>
      <c r="E735" s="25">
        <f t="shared" si="11"/>
        <v>786.69999999999993</v>
      </c>
      <c r="F735" s="33">
        <f>(Table2634[[#This Row],[4 weeks average]]-B683)/B683</f>
        <v>4.8094857447375308E-2</v>
      </c>
    </row>
    <row r="736" spans="1:6" x14ac:dyDescent="0.2">
      <c r="A736" s="23">
        <v>32510</v>
      </c>
      <c r="B736" s="25">
        <f>VLOOKUP(Table2634[[#This Row],[Date]],'DB Money Supply'!$A:$D,4)</f>
        <v>787.4</v>
      </c>
      <c r="C736" s="31">
        <f>(Table2634[[#This Row],[M1 Money Stock, Billions of Dollars, Weekly, Seasonally Adjusted]]-B735)/B735</f>
        <v>3.5686974254396566E-3</v>
      </c>
      <c r="D736" s="35">
        <f>((1+Table2634[[#This Row],[Weekly change]])^52)-1</f>
        <v>0.20350956537974474</v>
      </c>
      <c r="E736" s="25">
        <f t="shared" si="11"/>
        <v>786.67500000000007</v>
      </c>
      <c r="F736" s="33">
        <f>(Table2634[[#This Row],[4 weeks average]]-B684)/B684</f>
        <v>4.7363866329383629E-2</v>
      </c>
    </row>
    <row r="737" spans="1:6" x14ac:dyDescent="0.2">
      <c r="A737" s="23">
        <v>32517</v>
      </c>
      <c r="B737" s="25">
        <f>VLOOKUP(Table2634[[#This Row],[Date]],'DB Money Supply'!$A:$D,4)</f>
        <v>786.7</v>
      </c>
      <c r="C737" s="31">
        <f>(Table2634[[#This Row],[M1 Money Stock, Billions of Dollars, Weekly, Seasonally Adjusted]]-B736)/B736</f>
        <v>-8.8900177800346942E-4</v>
      </c>
      <c r="D737" s="35">
        <f>((1+Table2634[[#This Row],[Weekly change]])^52)-1</f>
        <v>-4.5195482404125298E-2</v>
      </c>
      <c r="E737" s="25">
        <f t="shared" si="11"/>
        <v>786.3</v>
      </c>
      <c r="F737" s="33">
        <f>(Table2634[[#This Row],[4 weeks average]]-B685)/B685</f>
        <v>4.3945831120552184E-2</v>
      </c>
    </row>
    <row r="738" spans="1:6" x14ac:dyDescent="0.2">
      <c r="A738" s="23">
        <v>32524</v>
      </c>
      <c r="B738" s="25">
        <f>VLOOKUP(Table2634[[#This Row],[Date]],'DB Money Supply'!$A:$D,4)</f>
        <v>786.2</v>
      </c>
      <c r="C738" s="31">
        <f>(Table2634[[#This Row],[M1 Money Stock, Billions of Dollars, Weekly, Seasonally Adjusted]]-B737)/B737</f>
        <v>-6.3556628956400153E-4</v>
      </c>
      <c r="D738" s="35">
        <f>((1+Table2634[[#This Row],[Weekly change]])^52)-1</f>
        <v>-3.2519446543450736E-2</v>
      </c>
      <c r="E738" s="25">
        <f t="shared" si="11"/>
        <v>786.22499999999991</v>
      </c>
      <c r="F738" s="33">
        <f>(Table2634[[#This Row],[4 weeks average]]-B686)/B686</f>
        <v>4.0255358560465672E-2</v>
      </c>
    </row>
    <row r="739" spans="1:6" x14ac:dyDescent="0.2">
      <c r="A739" s="23">
        <v>32531</v>
      </c>
      <c r="B739" s="25">
        <f>VLOOKUP(Table2634[[#This Row],[Date]],'DB Money Supply'!$A:$D,4)</f>
        <v>786.5</v>
      </c>
      <c r="C739" s="31">
        <f>(Table2634[[#This Row],[M1 Money Stock, Billions of Dollars, Weekly, Seasonally Adjusted]]-B738)/B738</f>
        <v>3.8158229458147357E-4</v>
      </c>
      <c r="D739" s="35">
        <f>((1+Table2634[[#This Row],[Weekly change]])^52)-1</f>
        <v>2.0036585254760819E-2</v>
      </c>
      <c r="E739" s="25">
        <f t="shared" si="11"/>
        <v>786.7</v>
      </c>
      <c r="F739" s="33">
        <f>(Table2634[[#This Row],[4 weeks average]]-B687)/B687</f>
        <v>3.649538866930177E-2</v>
      </c>
    </row>
    <row r="740" spans="1:6" x14ac:dyDescent="0.2">
      <c r="A740" s="23">
        <v>32538</v>
      </c>
      <c r="B740" s="25">
        <f>VLOOKUP(Table2634[[#This Row],[Date]],'DB Money Supply'!$A:$D,4)</f>
        <v>783.2</v>
      </c>
      <c r="C740" s="31">
        <f>(Table2634[[#This Row],[M1 Money Stock, Billions of Dollars, Weekly, Seasonally Adjusted]]-B739)/B739</f>
        <v>-4.1958041958041377E-3</v>
      </c>
      <c r="D740" s="35">
        <f>((1+Table2634[[#This Row],[Weekly change]])^52)-1</f>
        <v>-0.19638969828365427</v>
      </c>
      <c r="E740" s="25">
        <f t="shared" si="11"/>
        <v>785.65000000000009</v>
      </c>
      <c r="F740" s="33">
        <f>(Table2634[[#This Row],[4 weeks average]]-B688)/B688</f>
        <v>3.3342101801920473E-2</v>
      </c>
    </row>
    <row r="741" spans="1:6" x14ac:dyDescent="0.2">
      <c r="A741" s="23">
        <v>32545</v>
      </c>
      <c r="B741" s="25">
        <f>VLOOKUP(Table2634[[#This Row],[Date]],'DB Money Supply'!$A:$D,4)</f>
        <v>784.4</v>
      </c>
      <c r="C741" s="31">
        <f>(Table2634[[#This Row],[M1 Money Stock, Billions of Dollars, Weekly, Seasonally Adjusted]]-B740)/B740</f>
        <v>1.532175689478973E-3</v>
      </c>
      <c r="D741" s="35">
        <f>((1+Table2634[[#This Row],[Weekly change]])^52)-1</f>
        <v>8.286700871318109E-2</v>
      </c>
      <c r="E741" s="25">
        <f t="shared" si="11"/>
        <v>785.07500000000005</v>
      </c>
      <c r="F741" s="33">
        <f>(Table2634[[#This Row],[4 weeks average]]-B689)/B689</f>
        <v>3.763547449114462E-2</v>
      </c>
    </row>
    <row r="742" spans="1:6" x14ac:dyDescent="0.2">
      <c r="A742" s="23">
        <v>32552</v>
      </c>
      <c r="B742" s="25">
        <f>VLOOKUP(Table2634[[#This Row],[Date]],'DB Money Supply'!$A:$D,4)</f>
        <v>783.5</v>
      </c>
      <c r="C742" s="31">
        <f>(Table2634[[#This Row],[M1 Money Stock, Billions of Dollars, Weekly, Seasonally Adjusted]]-B741)/B741</f>
        <v>-1.1473737888831939E-3</v>
      </c>
      <c r="D742" s="35">
        <f>((1+Table2634[[#This Row],[Weekly change]])^52)-1</f>
        <v>-5.7950719820023866E-2</v>
      </c>
      <c r="E742" s="25">
        <f t="shared" si="11"/>
        <v>784.4</v>
      </c>
      <c r="F742" s="33">
        <f>(Table2634[[#This Row],[4 weeks average]]-B690)/B690</f>
        <v>3.5648270398732508E-2</v>
      </c>
    </row>
    <row r="743" spans="1:6" x14ac:dyDescent="0.2">
      <c r="A743" s="23">
        <v>32559</v>
      </c>
      <c r="B743" s="25">
        <f>VLOOKUP(Table2634[[#This Row],[Date]],'DB Money Supply'!$A:$D,4)</f>
        <v>783.5</v>
      </c>
      <c r="C743" s="31">
        <f>(Table2634[[#This Row],[M1 Money Stock, Billions of Dollars, Weekly, Seasonally Adjusted]]-B742)/B742</f>
        <v>0</v>
      </c>
      <c r="D743" s="35">
        <f>((1+Table2634[[#This Row],[Weekly change]])^52)-1</f>
        <v>0</v>
      </c>
      <c r="E743" s="25">
        <f t="shared" si="11"/>
        <v>783.65</v>
      </c>
      <c r="F743" s="33">
        <f>(Table2634[[#This Row],[4 weeks average]]-B691)/B691</f>
        <v>3.1389839431429353E-2</v>
      </c>
    </row>
    <row r="744" spans="1:6" x14ac:dyDescent="0.2">
      <c r="A744" s="23">
        <v>32566</v>
      </c>
      <c r="B744" s="25">
        <f>VLOOKUP(Table2634[[#This Row],[Date]],'DB Money Supply'!$A:$D,4)</f>
        <v>783.4</v>
      </c>
      <c r="C744" s="31">
        <f>(Table2634[[#This Row],[M1 Money Stock, Billions of Dollars, Weekly, Seasonally Adjusted]]-B743)/B743</f>
        <v>-1.2763241863436215E-4</v>
      </c>
      <c r="D744" s="35">
        <f>((1+Table2634[[#This Row],[Weekly change]])^52)-1</f>
        <v>-6.6153310606844595E-3</v>
      </c>
      <c r="E744" s="25">
        <f t="shared" si="11"/>
        <v>783.7</v>
      </c>
      <c r="F744" s="33">
        <f>(Table2634[[#This Row],[4 weeks average]]-B692)/B692</f>
        <v>3.5681247522135584E-2</v>
      </c>
    </row>
    <row r="745" spans="1:6" x14ac:dyDescent="0.2">
      <c r="A745" s="23">
        <v>32573</v>
      </c>
      <c r="B745" s="25">
        <f>VLOOKUP(Table2634[[#This Row],[Date]],'DB Money Supply'!$A:$D,4)</f>
        <v>787.1</v>
      </c>
      <c r="C745" s="31">
        <f>(Table2634[[#This Row],[M1 Money Stock, Billions of Dollars, Weekly, Seasonally Adjusted]]-B744)/B744</f>
        <v>4.7230022976768515E-3</v>
      </c>
      <c r="D745" s="35">
        <f>((1+Table2634[[#This Row],[Weekly change]])^52)-1</f>
        <v>0.27764426417488064</v>
      </c>
      <c r="E745" s="25">
        <f t="shared" si="11"/>
        <v>784.375</v>
      </c>
      <c r="F745" s="33">
        <f>(Table2634[[#This Row],[4 weeks average]]-B693)/B693</f>
        <v>3.4659015960954991E-2</v>
      </c>
    </row>
    <row r="746" spans="1:6" x14ac:dyDescent="0.2">
      <c r="A746" s="23">
        <v>32580</v>
      </c>
      <c r="B746" s="25">
        <f>VLOOKUP(Table2634[[#This Row],[Date]],'DB Money Supply'!$A:$D,4)</f>
        <v>782.6</v>
      </c>
      <c r="C746" s="31">
        <f>(Table2634[[#This Row],[M1 Money Stock, Billions of Dollars, Weekly, Seasonally Adjusted]]-B745)/B745</f>
        <v>-5.7171896836488373E-3</v>
      </c>
      <c r="D746" s="35">
        <f>((1+Table2634[[#This Row],[Weekly change]])^52)-1</f>
        <v>-0.25780774035836629</v>
      </c>
      <c r="E746" s="25">
        <f t="shared" si="11"/>
        <v>784.15</v>
      </c>
      <c r="F746" s="33">
        <f>(Table2634[[#This Row],[4 weeks average]]-B694)/B694</f>
        <v>3.0962398106757761E-2</v>
      </c>
    </row>
    <row r="747" spans="1:6" x14ac:dyDescent="0.2">
      <c r="A747" s="23">
        <v>32587</v>
      </c>
      <c r="B747" s="25">
        <f>VLOOKUP(Table2634[[#This Row],[Date]],'DB Money Supply'!$A:$D,4)</f>
        <v>783.2</v>
      </c>
      <c r="C747" s="31">
        <f>(Table2634[[#This Row],[M1 Money Stock, Billions of Dollars, Weekly, Seasonally Adjusted]]-B746)/B746</f>
        <v>7.6667518527986543E-4</v>
      </c>
      <c r="D747" s="35">
        <f>((1+Table2634[[#This Row],[Weekly change]])^52)-1</f>
        <v>4.0656573762363868E-2</v>
      </c>
      <c r="E747" s="25">
        <f t="shared" si="11"/>
        <v>784.07500000000005</v>
      </c>
      <c r="F747" s="33">
        <f>(Table2634[[#This Row],[4 weeks average]]-B695)/B695</f>
        <v>2.7486567946533903E-2</v>
      </c>
    </row>
    <row r="748" spans="1:6" x14ac:dyDescent="0.2">
      <c r="A748" s="23">
        <v>32594</v>
      </c>
      <c r="B748" s="25">
        <f>VLOOKUP(Table2634[[#This Row],[Date]],'DB Money Supply'!$A:$D,4)</f>
        <v>783</v>
      </c>
      <c r="C748" s="31">
        <f>(Table2634[[#This Row],[M1 Money Stock, Billions of Dollars, Weekly, Seasonally Adjusted]]-B747)/B747</f>
        <v>-2.5536261491323478E-4</v>
      </c>
      <c r="D748" s="35">
        <f>((1+Table2634[[#This Row],[Weekly change]])^52)-1</f>
        <v>-1.3192754294670261E-2</v>
      </c>
      <c r="E748" s="25">
        <f t="shared" si="11"/>
        <v>783.97500000000002</v>
      </c>
      <c r="F748" s="33">
        <f>(Table2634[[#This Row],[4 weeks average]]-B696)/B696</f>
        <v>2.65483828728558E-2</v>
      </c>
    </row>
    <row r="749" spans="1:6" x14ac:dyDescent="0.2">
      <c r="A749" s="23">
        <v>32601</v>
      </c>
      <c r="B749" s="25">
        <f>VLOOKUP(Table2634[[#This Row],[Date]],'DB Money Supply'!$A:$D,4)</f>
        <v>777.4</v>
      </c>
      <c r="C749" s="31">
        <f>(Table2634[[#This Row],[M1 Money Stock, Billions of Dollars, Weekly, Seasonally Adjusted]]-B748)/B748</f>
        <v>-7.1519795657726979E-3</v>
      </c>
      <c r="D749" s="35">
        <f>((1+Table2634[[#This Row],[Weekly change]])^52)-1</f>
        <v>-0.31149949943687572</v>
      </c>
      <c r="E749" s="25">
        <f t="shared" si="11"/>
        <v>781.55000000000007</v>
      </c>
      <c r="F749" s="33">
        <f>(Table2634[[#This Row],[4 weeks average]]-B697)/B697</f>
        <v>2.0966688438928894E-2</v>
      </c>
    </row>
    <row r="750" spans="1:6" x14ac:dyDescent="0.2">
      <c r="A750" s="23">
        <v>32608</v>
      </c>
      <c r="B750" s="25">
        <f>VLOOKUP(Table2634[[#This Row],[Date]],'DB Money Supply'!$A:$D,4)</f>
        <v>776.5</v>
      </c>
      <c r="C750" s="31">
        <f>(Table2634[[#This Row],[M1 Money Stock, Billions of Dollars, Weekly, Seasonally Adjusted]]-B749)/B749</f>
        <v>-1.1577051710830683E-3</v>
      </c>
      <c r="D750" s="35">
        <f>((1+Table2634[[#This Row],[Weekly change]])^52)-1</f>
        <v>-5.8457266456888535E-2</v>
      </c>
      <c r="E750" s="25">
        <f t="shared" si="11"/>
        <v>780.02499999999998</v>
      </c>
      <c r="F750" s="33">
        <f>(Table2634[[#This Row],[4 weeks average]]-B698)/B698</f>
        <v>1.8575346043353386E-2</v>
      </c>
    </row>
    <row r="751" spans="1:6" x14ac:dyDescent="0.2">
      <c r="A751" s="23">
        <v>32615</v>
      </c>
      <c r="B751" s="25">
        <f>VLOOKUP(Table2634[[#This Row],[Date]],'DB Money Supply'!$A:$D,4)</f>
        <v>776.9</v>
      </c>
      <c r="C751" s="31">
        <f>(Table2634[[#This Row],[M1 Money Stock, Billions of Dollars, Weekly, Seasonally Adjusted]]-B750)/B750</f>
        <v>5.1513200257563075E-4</v>
      </c>
      <c r="D751" s="35">
        <f>((1+Table2634[[#This Row],[Weekly change]])^52)-1</f>
        <v>2.7141772931782437E-2</v>
      </c>
      <c r="E751" s="25">
        <f t="shared" si="11"/>
        <v>778.45</v>
      </c>
      <c r="F751" s="33">
        <f>(Table2634[[#This Row],[4 weeks average]]-B699)/B699</f>
        <v>1.519300991131989E-2</v>
      </c>
    </row>
    <row r="752" spans="1:6" x14ac:dyDescent="0.2">
      <c r="A752" s="23">
        <v>32622</v>
      </c>
      <c r="B752" s="25">
        <f>VLOOKUP(Table2634[[#This Row],[Date]],'DB Money Supply'!$A:$D,4)</f>
        <v>782.3</v>
      </c>
      <c r="C752" s="31">
        <f>(Table2634[[#This Row],[M1 Money Stock, Billions of Dollars, Weekly, Seasonally Adjusted]]-B751)/B751</f>
        <v>6.9507015059852972E-3</v>
      </c>
      <c r="D752" s="35">
        <f>((1+Table2634[[#This Row],[Weekly change]])^52)-1</f>
        <v>0.43359625395616996</v>
      </c>
      <c r="E752" s="25">
        <f t="shared" si="11"/>
        <v>778.27500000000009</v>
      </c>
      <c r="F752" s="33">
        <f>(Table2634[[#This Row],[4 weeks average]]-B700)/B700</f>
        <v>7.8671328671329251E-3</v>
      </c>
    </row>
    <row r="753" spans="1:6" x14ac:dyDescent="0.2">
      <c r="A753" s="23">
        <v>32629</v>
      </c>
      <c r="B753" s="25">
        <f>VLOOKUP(Table2634[[#This Row],[Date]],'DB Money Supply'!$A:$D,4)</f>
        <v>782.3</v>
      </c>
      <c r="C753" s="31">
        <f>(Table2634[[#This Row],[M1 Money Stock, Billions of Dollars, Weekly, Seasonally Adjusted]]-B752)/B752</f>
        <v>0</v>
      </c>
      <c r="D753" s="35">
        <f>((1+Table2634[[#This Row],[Weekly change]])^52)-1</f>
        <v>0</v>
      </c>
      <c r="E753" s="25">
        <f t="shared" si="11"/>
        <v>779.5</v>
      </c>
      <c r="F753" s="33">
        <f>(Table2634[[#This Row],[4 weeks average]]-B701)/B701</f>
        <v>1.2863825363825333E-2</v>
      </c>
    </row>
    <row r="754" spans="1:6" x14ac:dyDescent="0.2">
      <c r="A754" s="23">
        <v>32636</v>
      </c>
      <c r="B754" s="25">
        <f>VLOOKUP(Table2634[[#This Row],[Date]],'DB Money Supply'!$A:$D,4)</f>
        <v>775.1</v>
      </c>
      <c r="C754" s="31">
        <f>(Table2634[[#This Row],[M1 Money Stock, Billions of Dollars, Weekly, Seasonally Adjusted]]-B753)/B753</f>
        <v>-9.2036303208486922E-3</v>
      </c>
      <c r="D754" s="35">
        <f>((1+Table2634[[#This Row],[Weekly change]])^52)-1</f>
        <v>-0.38171438060534579</v>
      </c>
      <c r="E754" s="25">
        <f t="shared" si="11"/>
        <v>779.15</v>
      </c>
      <c r="F754" s="33">
        <f>(Table2634[[#This Row],[4 weeks average]]-B702)/B702</f>
        <v>1.2014547343810885E-2</v>
      </c>
    </row>
    <row r="755" spans="1:6" x14ac:dyDescent="0.2">
      <c r="A755" s="23">
        <v>32643</v>
      </c>
      <c r="B755" s="25">
        <f>VLOOKUP(Table2634[[#This Row],[Date]],'DB Money Supply'!$A:$D,4)</f>
        <v>775.7</v>
      </c>
      <c r="C755" s="31">
        <f>(Table2634[[#This Row],[M1 Money Stock, Billions of Dollars, Weekly, Seasonally Adjusted]]-B754)/B754</f>
        <v>7.7409366533353469E-4</v>
      </c>
      <c r="D755" s="35">
        <f>((1+Table2634[[#This Row],[Weekly change]])^52)-1</f>
        <v>4.1057786737145108E-2</v>
      </c>
      <c r="E755" s="25">
        <f t="shared" si="11"/>
        <v>778.84999999999991</v>
      </c>
      <c r="F755" s="33">
        <f>(Table2634[[#This Row],[4 weeks average]]-B703)/B703</f>
        <v>9.0037569633371322E-3</v>
      </c>
    </row>
    <row r="756" spans="1:6" x14ac:dyDescent="0.2">
      <c r="A756" s="23">
        <v>32650</v>
      </c>
      <c r="B756" s="25">
        <f>VLOOKUP(Table2634[[#This Row],[Date]],'DB Money Supply'!$A:$D,4)</f>
        <v>773.4</v>
      </c>
      <c r="C756" s="31">
        <f>(Table2634[[#This Row],[M1 Money Stock, Billions of Dollars, Weekly, Seasonally Adjusted]]-B755)/B755</f>
        <v>-2.9650638133299832E-3</v>
      </c>
      <c r="D756" s="35">
        <f>((1+Table2634[[#This Row],[Weekly change]])^52)-1</f>
        <v>-0.14308140465834362</v>
      </c>
      <c r="E756" s="25">
        <f t="shared" si="11"/>
        <v>776.62500000000011</v>
      </c>
      <c r="F756" s="33">
        <f>(Table2634[[#This Row],[4 weeks average]]-B704)/B704</f>
        <v>5.3398058252428658E-3</v>
      </c>
    </row>
    <row r="757" spans="1:6" x14ac:dyDescent="0.2">
      <c r="A757" s="23">
        <v>32657</v>
      </c>
      <c r="B757" s="25">
        <f>VLOOKUP(Table2634[[#This Row],[Date]],'DB Money Supply'!$A:$D,4)</f>
        <v>774.6</v>
      </c>
      <c r="C757" s="31">
        <f>(Table2634[[#This Row],[M1 Money Stock, Billions of Dollars, Weekly, Seasonally Adjusted]]-B756)/B756</f>
        <v>1.5515903801397019E-3</v>
      </c>
      <c r="D757" s="35">
        <f>((1+Table2634[[#This Row],[Weekly change]])^52)-1</f>
        <v>8.3959099468148723E-2</v>
      </c>
      <c r="E757" s="25">
        <f t="shared" si="11"/>
        <v>774.7</v>
      </c>
      <c r="F757" s="33">
        <f>(Table2634[[#This Row],[4 weeks average]]-B705)/B705</f>
        <v>2.588326646822829E-3</v>
      </c>
    </row>
    <row r="758" spans="1:6" x14ac:dyDescent="0.2">
      <c r="A758" s="23">
        <v>32664</v>
      </c>
      <c r="B758" s="25">
        <f>VLOOKUP(Table2634[[#This Row],[Date]],'DB Money Supply'!$A:$D,4)</f>
        <v>775.3</v>
      </c>
      <c r="C758" s="31">
        <f>(Table2634[[#This Row],[M1 Money Stock, Billions of Dollars, Weekly, Seasonally Adjusted]]-B757)/B757</f>
        <v>9.0369222824674897E-4</v>
      </c>
      <c r="D758" s="35">
        <f>((1+Table2634[[#This Row],[Weekly change]])^52)-1</f>
        <v>4.8091378687259656E-2</v>
      </c>
      <c r="E758" s="25">
        <f t="shared" si="11"/>
        <v>774.75</v>
      </c>
      <c r="F758" s="33">
        <f>(Table2634[[#This Row],[4 weeks average]]-B706)/B706</f>
        <v>-2.125193199381733E-3</v>
      </c>
    </row>
    <row r="759" spans="1:6" x14ac:dyDescent="0.2">
      <c r="A759" s="23">
        <v>32671</v>
      </c>
      <c r="B759" s="25">
        <f>VLOOKUP(Table2634[[#This Row],[Date]],'DB Money Supply'!$A:$D,4)</f>
        <v>772.5</v>
      </c>
      <c r="C759" s="31">
        <f>(Table2634[[#This Row],[M1 Money Stock, Billions of Dollars, Weekly, Seasonally Adjusted]]-B758)/B758</f>
        <v>-3.6115052237842833E-3</v>
      </c>
      <c r="D759" s="35">
        <f>((1+Table2634[[#This Row],[Weekly change]])^52)-1</f>
        <v>-0.1714998056679653</v>
      </c>
      <c r="E759" s="25">
        <f t="shared" si="11"/>
        <v>773.95</v>
      </c>
      <c r="F759" s="33">
        <f>(Table2634[[#This Row],[4 weeks average]]-B707)/B707</f>
        <v>-3.2839665164197738E-3</v>
      </c>
    </row>
    <row r="760" spans="1:6" x14ac:dyDescent="0.2">
      <c r="A760" s="23">
        <v>32678</v>
      </c>
      <c r="B760" s="25">
        <f>VLOOKUP(Table2634[[#This Row],[Date]],'DB Money Supply'!$A:$D,4)</f>
        <v>772.7</v>
      </c>
      <c r="C760" s="31">
        <f>(Table2634[[#This Row],[M1 Money Stock, Billions of Dollars, Weekly, Seasonally Adjusted]]-B759)/B759</f>
        <v>2.5889967637546338E-4</v>
      </c>
      <c r="D760" s="35">
        <f>((1+Table2634[[#This Row],[Weekly change]])^52)-1</f>
        <v>1.3552048420070406E-2</v>
      </c>
      <c r="E760" s="25">
        <f t="shared" si="11"/>
        <v>773.77500000000009</v>
      </c>
      <c r="F760" s="33">
        <f>(Table2634[[#This Row],[4 weeks average]]-B708)/B708</f>
        <v>-8.7432744043042937E-3</v>
      </c>
    </row>
    <row r="761" spans="1:6" x14ac:dyDescent="0.2">
      <c r="A761" s="23">
        <v>32685</v>
      </c>
      <c r="B761" s="25">
        <f>VLOOKUP(Table2634[[#This Row],[Date]],'DB Money Supply'!$A:$D,4)</f>
        <v>773.6</v>
      </c>
      <c r="C761" s="31">
        <f>(Table2634[[#This Row],[M1 Money Stock, Billions of Dollars, Weekly, Seasonally Adjusted]]-B760)/B760</f>
        <v>1.1647469910702436E-3</v>
      </c>
      <c r="D761" s="35">
        <f>((1+Table2634[[#This Row],[Weekly change]])^52)-1</f>
        <v>6.2401167191931339E-2</v>
      </c>
      <c r="E761" s="25">
        <f t="shared" si="11"/>
        <v>773.52499999999998</v>
      </c>
      <c r="F761" s="33">
        <f>(Table2634[[#This Row],[4 weeks average]]-B709)/B709</f>
        <v>-8.0469351115670402E-3</v>
      </c>
    </row>
    <row r="762" spans="1:6" x14ac:dyDescent="0.2">
      <c r="A762" s="23">
        <v>32692</v>
      </c>
      <c r="B762" s="25">
        <f>VLOOKUP(Table2634[[#This Row],[Date]],'DB Money Supply'!$A:$D,4)</f>
        <v>774.3</v>
      </c>
      <c r="C762" s="31">
        <f>(Table2634[[#This Row],[M1 Money Stock, Billions of Dollars, Weekly, Seasonally Adjusted]]-B761)/B761</f>
        <v>9.0486039296785385E-4</v>
      </c>
      <c r="D762" s="35">
        <f>((1+Table2634[[#This Row],[Weekly change]])^52)-1</f>
        <v>4.8154988953361899E-2</v>
      </c>
      <c r="E762" s="25">
        <f t="shared" si="11"/>
        <v>773.27500000000009</v>
      </c>
      <c r="F762" s="33">
        <f>(Table2634[[#This Row],[4 weeks average]]-B710)/B710</f>
        <v>-5.6898546997556313E-3</v>
      </c>
    </row>
    <row r="763" spans="1:6" x14ac:dyDescent="0.2">
      <c r="A763" s="23">
        <v>32699</v>
      </c>
      <c r="B763" s="25">
        <f>VLOOKUP(Table2634[[#This Row],[Date]],'DB Money Supply'!$A:$D,4)</f>
        <v>779.1</v>
      </c>
      <c r="C763" s="31">
        <f>(Table2634[[#This Row],[M1 Money Stock, Billions of Dollars, Weekly, Seasonally Adjusted]]-B762)/B762</f>
        <v>6.1991476172027233E-3</v>
      </c>
      <c r="D763" s="35">
        <f>((1+Table2634[[#This Row],[Weekly change]])^52)-1</f>
        <v>0.37900278873223603</v>
      </c>
      <c r="E763" s="25">
        <f t="shared" si="11"/>
        <v>774.92500000000007</v>
      </c>
      <c r="F763" s="33">
        <f>(Table2634[[#This Row],[4 weeks average]]-B711)/B711</f>
        <v>-8.1594777934210754E-3</v>
      </c>
    </row>
    <row r="764" spans="1:6" x14ac:dyDescent="0.2">
      <c r="A764" s="23">
        <v>32706</v>
      </c>
      <c r="B764" s="25">
        <f>VLOOKUP(Table2634[[#This Row],[Date]],'DB Money Supply'!$A:$D,4)</f>
        <v>777.9</v>
      </c>
      <c r="C764" s="31">
        <f>(Table2634[[#This Row],[M1 Money Stock, Billions of Dollars, Weekly, Seasonally Adjusted]]-B763)/B763</f>
        <v>-1.5402387370042939E-3</v>
      </c>
      <c r="D764" s="35">
        <f>((1+Table2634[[#This Row],[Weekly change]])^52)-1</f>
        <v>-7.7025948832396329E-2</v>
      </c>
      <c r="E764" s="25">
        <f t="shared" si="11"/>
        <v>776.22500000000002</v>
      </c>
      <c r="F764" s="33">
        <f>(Table2634[[#This Row],[4 weeks average]]-B712)/B712</f>
        <v>-5.2223503780596337E-3</v>
      </c>
    </row>
    <row r="765" spans="1:6" x14ac:dyDescent="0.2">
      <c r="A765" s="23">
        <v>32713</v>
      </c>
      <c r="B765" s="25">
        <f>VLOOKUP(Table2634[[#This Row],[Date]],'DB Money Supply'!$A:$D,4)</f>
        <v>778.1</v>
      </c>
      <c r="C765" s="31">
        <f>(Table2634[[#This Row],[M1 Money Stock, Billions of Dollars, Weekly, Seasonally Adjusted]]-B764)/B764</f>
        <v>2.5710245532850688E-4</v>
      </c>
      <c r="D765" s="35">
        <f>((1+Table2634[[#This Row],[Weekly change]])^52)-1</f>
        <v>1.3457355268054139E-2</v>
      </c>
      <c r="E765" s="25">
        <f t="shared" si="11"/>
        <v>777.35</v>
      </c>
      <c r="F765" s="33">
        <f>(Table2634[[#This Row],[4 weeks average]]-B713)/B713</f>
        <v>-6.2004602403477656E-3</v>
      </c>
    </row>
    <row r="766" spans="1:6" x14ac:dyDescent="0.2">
      <c r="A766" s="23">
        <v>32720</v>
      </c>
      <c r="B766" s="25">
        <f>VLOOKUP(Table2634[[#This Row],[Date]],'DB Money Supply'!$A:$D,4)</f>
        <v>777.3</v>
      </c>
      <c r="C766" s="31">
        <f>(Table2634[[#This Row],[M1 Money Stock, Billions of Dollars, Weekly, Seasonally Adjusted]]-B765)/B765</f>
        <v>-1.0281454825858734E-3</v>
      </c>
      <c r="D766" s="35">
        <f>((1+Table2634[[#This Row],[Weekly change]])^52)-1</f>
        <v>-5.2085592365795574E-2</v>
      </c>
      <c r="E766" s="25">
        <f t="shared" si="11"/>
        <v>778.09999999999991</v>
      </c>
      <c r="F766" s="33">
        <f>(Table2634[[#This Row],[4 weeks average]]-B714)/B714</f>
        <v>-7.9051383399210071E-3</v>
      </c>
    </row>
    <row r="767" spans="1:6" x14ac:dyDescent="0.2">
      <c r="A767" s="23">
        <v>32727</v>
      </c>
      <c r="B767" s="25">
        <f>VLOOKUP(Table2634[[#This Row],[Date]],'DB Money Supply'!$A:$D,4)</f>
        <v>778.4</v>
      </c>
      <c r="C767" s="31">
        <f>(Table2634[[#This Row],[M1 Money Stock, Billions of Dollars, Weekly, Seasonally Adjusted]]-B766)/B766</f>
        <v>1.4151550238003638E-3</v>
      </c>
      <c r="D767" s="35">
        <f>((1+Table2634[[#This Row],[Weekly change]])^52)-1</f>
        <v>7.6307327221545096E-2</v>
      </c>
      <c r="E767" s="25">
        <f t="shared" si="11"/>
        <v>777.92500000000007</v>
      </c>
      <c r="F767" s="33">
        <f>(Table2634[[#This Row],[4 weeks average]]-B715)/B715</f>
        <v>-5.4653541293786462E-3</v>
      </c>
    </row>
    <row r="768" spans="1:6" x14ac:dyDescent="0.2">
      <c r="A768" s="23">
        <v>32734</v>
      </c>
      <c r="B768" s="25">
        <f>VLOOKUP(Table2634[[#This Row],[Date]],'DB Money Supply'!$A:$D,4)</f>
        <v>779</v>
      </c>
      <c r="C768" s="31">
        <f>(Table2634[[#This Row],[M1 Money Stock, Billions of Dollars, Weekly, Seasonally Adjusted]]-B767)/B767</f>
        <v>7.7081192189108782E-4</v>
      </c>
      <c r="D768" s="35">
        <f>((1+Table2634[[#This Row],[Weekly change]])^52)-1</f>
        <v>4.0880281800044438E-2</v>
      </c>
      <c r="E768" s="25">
        <f t="shared" si="11"/>
        <v>778.2</v>
      </c>
      <c r="F768" s="33">
        <f>(Table2634[[#This Row],[4 weeks average]]-B716)/B716</f>
        <v>-6.6377329588970281E-3</v>
      </c>
    </row>
    <row r="769" spans="1:6" x14ac:dyDescent="0.2">
      <c r="A769" s="23">
        <v>32741</v>
      </c>
      <c r="B769" s="25">
        <f>VLOOKUP(Table2634[[#This Row],[Date]],'DB Money Supply'!$A:$D,4)</f>
        <v>780.9</v>
      </c>
      <c r="C769" s="31">
        <f>(Table2634[[#This Row],[M1 Money Stock, Billions of Dollars, Weekly, Seasonally Adjusted]]-B768)/B768</f>
        <v>2.4390243902438734E-3</v>
      </c>
      <c r="D769" s="35">
        <f>((1+Table2634[[#This Row],[Weekly change]])^52)-1</f>
        <v>0.13504789637214487</v>
      </c>
      <c r="E769" s="25">
        <f t="shared" si="11"/>
        <v>778.9</v>
      </c>
      <c r="F769" s="33">
        <f>(Table2634[[#This Row],[4 weeks average]]-B717)/B717</f>
        <v>-5.7441919836609652E-3</v>
      </c>
    </row>
    <row r="770" spans="1:6" x14ac:dyDescent="0.2">
      <c r="A770" s="23">
        <v>32748</v>
      </c>
      <c r="B770" s="25">
        <f>VLOOKUP(Table2634[[#This Row],[Date]],'DB Money Supply'!$A:$D,4)</f>
        <v>779.9</v>
      </c>
      <c r="C770" s="31">
        <f>(Table2634[[#This Row],[M1 Money Stock, Billions of Dollars, Weekly, Seasonally Adjusted]]-B769)/B769</f>
        <v>-1.2805736970162634E-3</v>
      </c>
      <c r="D770" s="35">
        <f>((1+Table2634[[#This Row],[Weekly change]])^52)-1</f>
        <v>-6.4461056200307287E-2</v>
      </c>
      <c r="E770" s="25">
        <f t="shared" si="11"/>
        <v>779.55000000000007</v>
      </c>
      <c r="F770" s="33">
        <f>(Table2634[[#This Row],[4 weeks average]]-B718)/B718</f>
        <v>-5.6760204081631781E-3</v>
      </c>
    </row>
    <row r="771" spans="1:6" x14ac:dyDescent="0.2">
      <c r="A771" s="23">
        <v>32755</v>
      </c>
      <c r="B771" s="25">
        <f>VLOOKUP(Table2634[[#This Row],[Date]],'DB Money Supply'!$A:$D,4)</f>
        <v>777.8</v>
      </c>
      <c r="C771" s="31">
        <f>(Table2634[[#This Row],[M1 Money Stock, Billions of Dollars, Weekly, Seasonally Adjusted]]-B770)/B770</f>
        <v>-2.6926529042185189E-3</v>
      </c>
      <c r="D771" s="35">
        <f>((1+Table2634[[#This Row],[Weekly change]])^52)-1</f>
        <v>-0.1308215292697863</v>
      </c>
      <c r="E771" s="25">
        <f t="shared" si="11"/>
        <v>779.40000000000009</v>
      </c>
      <c r="F771" s="33">
        <f>(Table2634[[#This Row],[4 weeks average]]-B719)/B719</f>
        <v>-5.6136769584075831E-3</v>
      </c>
    </row>
    <row r="772" spans="1:6" x14ac:dyDescent="0.2">
      <c r="A772" s="23">
        <v>32762</v>
      </c>
      <c r="B772" s="25">
        <f>VLOOKUP(Table2634[[#This Row],[Date]],'DB Money Supply'!$A:$D,4)</f>
        <v>781.9</v>
      </c>
      <c r="C772" s="31">
        <f>(Table2634[[#This Row],[M1 Money Stock, Billions of Dollars, Weekly, Seasonally Adjusted]]-B771)/B771</f>
        <v>5.2712779634867873E-3</v>
      </c>
      <c r="D772" s="35">
        <f>((1+Table2634[[#This Row],[Weekly change]])^52)-1</f>
        <v>0.31440821439184896</v>
      </c>
      <c r="E772" s="25">
        <f t="shared" si="11"/>
        <v>780.125</v>
      </c>
      <c r="F772" s="33">
        <f>(Table2634[[#This Row],[4 weeks average]]-B720)/B720</f>
        <v>-3.4172202350535958E-3</v>
      </c>
    </row>
    <row r="773" spans="1:6" x14ac:dyDescent="0.2">
      <c r="A773" s="23">
        <v>32769</v>
      </c>
      <c r="B773" s="25">
        <f>VLOOKUP(Table2634[[#This Row],[Date]],'DB Money Supply'!$A:$D,4)</f>
        <v>780.2</v>
      </c>
      <c r="C773" s="31">
        <f>(Table2634[[#This Row],[M1 Money Stock, Billions of Dollars, Weekly, Seasonally Adjusted]]-B772)/B772</f>
        <v>-2.174191073027154E-3</v>
      </c>
      <c r="D773" s="35">
        <f>((1+Table2634[[#This Row],[Weekly change]])^52)-1</f>
        <v>-0.10701100250109419</v>
      </c>
      <c r="E773" s="25">
        <f t="shared" si="11"/>
        <v>779.95</v>
      </c>
      <c r="F773" s="33">
        <f>(Table2634[[#This Row],[4 weeks average]]-B721)/B721</f>
        <v>-5.9265867958194964E-3</v>
      </c>
    </row>
    <row r="774" spans="1:6" x14ac:dyDescent="0.2">
      <c r="A774" s="23">
        <v>32776</v>
      </c>
      <c r="B774" s="25">
        <f>VLOOKUP(Table2634[[#This Row],[Date]],'DB Money Supply'!$A:$D,4)</f>
        <v>781.2</v>
      </c>
      <c r="C774" s="31">
        <f>(Table2634[[#This Row],[M1 Money Stock, Billions of Dollars, Weekly, Seasonally Adjusted]]-B773)/B773</f>
        <v>1.281722635221738E-3</v>
      </c>
      <c r="D774" s="35">
        <f>((1+Table2634[[#This Row],[Weekly change]])^52)-1</f>
        <v>6.8875221112146168E-2</v>
      </c>
      <c r="E774" s="25">
        <f t="shared" si="11"/>
        <v>780.27499999999986</v>
      </c>
      <c r="F774" s="33">
        <f>(Table2634[[#This Row],[4 weeks average]]-B722)/B722</f>
        <v>-6.1457139217936047E-3</v>
      </c>
    </row>
    <row r="775" spans="1:6" x14ac:dyDescent="0.2">
      <c r="A775" s="23">
        <v>32783</v>
      </c>
      <c r="B775" s="25">
        <f>VLOOKUP(Table2634[[#This Row],[Date]],'DB Money Supply'!$A:$D,4)</f>
        <v>783.5</v>
      </c>
      <c r="C775" s="31">
        <f>(Table2634[[#This Row],[M1 Money Stock, Billions of Dollars, Weekly, Seasonally Adjusted]]-B774)/B774</f>
        <v>2.9441884280593375E-3</v>
      </c>
      <c r="D775" s="35">
        <f>((1+Table2634[[#This Row],[Weekly change]])^52)-1</f>
        <v>0.16517683507729819</v>
      </c>
      <c r="E775" s="25">
        <f t="shared" si="11"/>
        <v>781.7</v>
      </c>
      <c r="F775" s="33">
        <f>(Table2634[[#This Row],[4 weeks average]]-B723)/B723</f>
        <v>7.6814748431701797E-4</v>
      </c>
    </row>
    <row r="776" spans="1:6" x14ac:dyDescent="0.2">
      <c r="A776" s="23">
        <v>32790</v>
      </c>
      <c r="B776" s="25">
        <f>VLOOKUP(Table2634[[#This Row],[Date]],'DB Money Supply'!$A:$D,4)</f>
        <v>785.2</v>
      </c>
      <c r="C776" s="31">
        <f>(Table2634[[#This Row],[M1 Money Stock, Billions of Dollars, Weekly, Seasonally Adjusted]]-B775)/B775</f>
        <v>2.1697511167837213E-3</v>
      </c>
      <c r="D776" s="35">
        <f>((1+Table2634[[#This Row],[Weekly change]])^52)-1</f>
        <v>0.11930150166609277</v>
      </c>
      <c r="E776" s="25">
        <f t="shared" si="11"/>
        <v>782.52500000000009</v>
      </c>
      <c r="F776" s="33">
        <f>(Table2634[[#This Row],[4 weeks average]]-B724)/B724</f>
        <v>2.8761344752669874E-4</v>
      </c>
    </row>
    <row r="777" spans="1:6" x14ac:dyDescent="0.2">
      <c r="A777" s="23">
        <v>32797</v>
      </c>
      <c r="B777" s="25">
        <f>VLOOKUP(Table2634[[#This Row],[Date]],'DB Money Supply'!$A:$D,4)</f>
        <v>788.7</v>
      </c>
      <c r="C777" s="31">
        <f>(Table2634[[#This Row],[M1 Money Stock, Billions of Dollars, Weekly, Seasonally Adjusted]]-B776)/B776</f>
        <v>4.4574630667345893E-3</v>
      </c>
      <c r="D777" s="35">
        <f>((1+Table2634[[#This Row],[Weekly change]])^52)-1</f>
        <v>0.26020324824457419</v>
      </c>
      <c r="E777" s="25">
        <f t="shared" ref="E777:E840" si="12">AVERAGE(B774:B777)</f>
        <v>784.65000000000009</v>
      </c>
      <c r="F777" s="33">
        <f>(Table2634[[#This Row],[4 weeks average]]-B725)/B725</f>
        <v>8.290816326531772E-4</v>
      </c>
    </row>
    <row r="778" spans="1:6" x14ac:dyDescent="0.2">
      <c r="A778" s="23">
        <v>32804</v>
      </c>
      <c r="B778" s="25">
        <f>VLOOKUP(Table2634[[#This Row],[Date]],'DB Money Supply'!$A:$D,4)</f>
        <v>787.4</v>
      </c>
      <c r="C778" s="31">
        <f>(Table2634[[#This Row],[M1 Money Stock, Billions of Dollars, Weekly, Seasonally Adjusted]]-B777)/B777</f>
        <v>-1.6482819830101029E-3</v>
      </c>
      <c r="D778" s="35">
        <f>((1+Table2634[[#This Row],[Weekly change]])^52)-1</f>
        <v>-8.2205141026352124E-2</v>
      </c>
      <c r="E778" s="25">
        <f t="shared" si="12"/>
        <v>786.2</v>
      </c>
      <c r="F778" s="33">
        <f>(Table2634[[#This Row],[4 weeks average]]-B726)/B726</f>
        <v>3.9586259736943208E-3</v>
      </c>
    </row>
    <row r="779" spans="1:6" x14ac:dyDescent="0.2">
      <c r="A779" s="23">
        <v>32811</v>
      </c>
      <c r="B779" s="25">
        <f>VLOOKUP(Table2634[[#This Row],[Date]],'DB Money Supply'!$A:$D,4)</f>
        <v>785.8</v>
      </c>
      <c r="C779" s="31">
        <f>(Table2634[[#This Row],[M1 Money Stock, Billions of Dollars, Weekly, Seasonally Adjusted]]-B778)/B778</f>
        <v>-2.0320040640081569E-3</v>
      </c>
      <c r="D779" s="35">
        <f>((1+Table2634[[#This Row],[Weekly change]])^52)-1</f>
        <v>-0.10037000066227786</v>
      </c>
      <c r="E779" s="25">
        <f t="shared" si="12"/>
        <v>786.77500000000009</v>
      </c>
      <c r="F779" s="33">
        <f>(Table2634[[#This Row],[4 weeks average]]-B727)/B727</f>
        <v>3.4115546486418419E-3</v>
      </c>
    </row>
    <row r="780" spans="1:6" x14ac:dyDescent="0.2">
      <c r="A780" s="23">
        <v>32818</v>
      </c>
      <c r="B780" s="25">
        <f>VLOOKUP(Table2634[[#This Row],[Date]],'DB Money Supply'!$A:$D,4)</f>
        <v>787</v>
      </c>
      <c r="C780" s="31">
        <f>(Table2634[[#This Row],[M1 Money Stock, Billions of Dollars, Weekly, Seasonally Adjusted]]-B779)/B779</f>
        <v>1.5271061338763623E-3</v>
      </c>
      <c r="D780" s="35">
        <f>((1+Table2634[[#This Row],[Weekly change]])^52)-1</f>
        <v>8.2582020174282844E-2</v>
      </c>
      <c r="E780" s="25">
        <f t="shared" si="12"/>
        <v>787.22499999999991</v>
      </c>
      <c r="F780" s="33">
        <f>(Table2634[[#This Row],[4 weeks average]]-B728)/B728</f>
        <v>5.1391726251275071E-3</v>
      </c>
    </row>
    <row r="781" spans="1:6" x14ac:dyDescent="0.2">
      <c r="A781" s="23">
        <v>32825</v>
      </c>
      <c r="B781" s="25">
        <f>VLOOKUP(Table2634[[#This Row],[Date]],'DB Money Supply'!$A:$D,4)</f>
        <v>785.9</v>
      </c>
      <c r="C781" s="31">
        <f>(Table2634[[#This Row],[M1 Money Stock, Billions of Dollars, Weekly, Seasonally Adjusted]]-B780)/B780</f>
        <v>-1.3977128335451369E-3</v>
      </c>
      <c r="D781" s="35">
        <f>((1+Table2634[[#This Row],[Weekly change]])^52)-1</f>
        <v>-7.0149918348148876E-2</v>
      </c>
      <c r="E781" s="25">
        <f t="shared" si="12"/>
        <v>786.52499999999998</v>
      </c>
      <c r="F781" s="33">
        <f>(Table2634[[#This Row],[4 weeks average]]-B729)/B729</f>
        <v>2.9648048967099356E-3</v>
      </c>
    </row>
    <row r="782" spans="1:6" x14ac:dyDescent="0.2">
      <c r="A782" s="23">
        <v>32832</v>
      </c>
      <c r="B782" s="25">
        <f>VLOOKUP(Table2634[[#This Row],[Date]],'DB Money Supply'!$A:$D,4)</f>
        <v>787.6</v>
      </c>
      <c r="C782" s="31">
        <f>(Table2634[[#This Row],[M1 Money Stock, Billions of Dollars, Weekly, Seasonally Adjusted]]-B781)/B781</f>
        <v>2.1631250795267152E-3</v>
      </c>
      <c r="D782" s="35">
        <f>((1+Table2634[[#This Row],[Weekly change]])^52)-1</f>
        <v>0.11891674177414324</v>
      </c>
      <c r="E782" s="25">
        <f t="shared" si="12"/>
        <v>786.57499999999993</v>
      </c>
      <c r="F782" s="33">
        <f>(Table2634[[#This Row],[4 weeks average]]-B730)/B730</f>
        <v>2.6449968132567646E-3</v>
      </c>
    </row>
    <row r="783" spans="1:6" x14ac:dyDescent="0.2">
      <c r="A783" s="23">
        <v>32839</v>
      </c>
      <c r="B783" s="25">
        <f>VLOOKUP(Table2634[[#This Row],[Date]],'DB Money Supply'!$A:$D,4)</f>
        <v>790.7</v>
      </c>
      <c r="C783" s="31">
        <f>(Table2634[[#This Row],[M1 Money Stock, Billions of Dollars, Weekly, Seasonally Adjusted]]-B782)/B782</f>
        <v>3.9360081259522889E-3</v>
      </c>
      <c r="D783" s="35">
        <f>((1+Table2634[[#This Row],[Weekly change]])^52)-1</f>
        <v>0.22663013303752355</v>
      </c>
      <c r="E783" s="25">
        <f t="shared" si="12"/>
        <v>787.8</v>
      </c>
      <c r="F783" s="33">
        <f>(Table2634[[#This Row],[4 weeks average]]-B731)/B731</f>
        <v>1.1437285550895632E-3</v>
      </c>
    </row>
    <row r="784" spans="1:6" x14ac:dyDescent="0.2">
      <c r="A784" s="23">
        <v>32846</v>
      </c>
      <c r="B784" s="25">
        <f>VLOOKUP(Table2634[[#This Row],[Date]],'DB Money Supply'!$A:$D,4)</f>
        <v>789</v>
      </c>
      <c r="C784" s="31">
        <f>(Table2634[[#This Row],[M1 Money Stock, Billions of Dollars, Weekly, Seasonally Adjusted]]-B783)/B783</f>
        <v>-2.1499936764892442E-3</v>
      </c>
      <c r="D784" s="35">
        <f>((1+Table2634[[#This Row],[Weekly change]])^52)-1</f>
        <v>-0.10588424114432959</v>
      </c>
      <c r="E784" s="25">
        <f t="shared" si="12"/>
        <v>788.3</v>
      </c>
      <c r="F784" s="33">
        <f>(Table2634[[#This Row],[4 weeks average]]-B732)/B732</f>
        <v>1.0158730158729581E-3</v>
      </c>
    </row>
    <row r="785" spans="1:6" x14ac:dyDescent="0.2">
      <c r="A785" s="23">
        <v>32853</v>
      </c>
      <c r="B785" s="25">
        <f>VLOOKUP(Table2634[[#This Row],[Date]],'DB Money Supply'!$A:$D,4)</f>
        <v>789.8</v>
      </c>
      <c r="C785" s="31">
        <f>(Table2634[[#This Row],[M1 Money Stock, Billions of Dollars, Weekly, Seasonally Adjusted]]-B784)/B784</f>
        <v>1.013941698352287E-3</v>
      </c>
      <c r="D785" s="35">
        <f>((1+Table2634[[#This Row],[Weekly change]])^52)-1</f>
        <v>5.4111525664173987E-2</v>
      </c>
      <c r="E785" s="25">
        <f t="shared" si="12"/>
        <v>789.27500000000009</v>
      </c>
      <c r="F785" s="33">
        <f>(Table2634[[#This Row],[4 weeks average]]-B733)/B733</f>
        <v>1.3638670388226915E-3</v>
      </c>
    </row>
    <row r="786" spans="1:6" x14ac:dyDescent="0.2">
      <c r="A786" s="23">
        <v>32860</v>
      </c>
      <c r="B786" s="25">
        <f>VLOOKUP(Table2634[[#This Row],[Date]],'DB Money Supply'!$A:$D,4)</f>
        <v>790.7</v>
      </c>
      <c r="C786" s="31">
        <f>(Table2634[[#This Row],[M1 Money Stock, Billions of Dollars, Weekly, Seasonally Adjusted]]-B785)/B785</f>
        <v>1.1395289946823132E-3</v>
      </c>
      <c r="D786" s="35">
        <f>((1+Table2634[[#This Row],[Weekly change]])^52)-1</f>
        <v>6.1010516719600671E-2</v>
      </c>
      <c r="E786" s="25">
        <f t="shared" si="12"/>
        <v>790.05</v>
      </c>
      <c r="F786" s="33">
        <f>(Table2634[[#This Row],[4 weeks average]]-B734)/B734</f>
        <v>4.5136681500317286E-3</v>
      </c>
    </row>
    <row r="787" spans="1:6" x14ac:dyDescent="0.2">
      <c r="A787" s="23">
        <v>32867</v>
      </c>
      <c r="B787" s="25">
        <f>VLOOKUP(Table2634[[#This Row],[Date]],'DB Money Supply'!$A:$D,4)</f>
        <v>794.9</v>
      </c>
      <c r="C787" s="31">
        <f>(Table2634[[#This Row],[M1 Money Stock, Billions of Dollars, Weekly, Seasonally Adjusted]]-B786)/B786</f>
        <v>5.3117490830908451E-3</v>
      </c>
      <c r="D787" s="35">
        <f>((1+Table2634[[#This Row],[Weekly change]])^52)-1</f>
        <v>0.31716270610902297</v>
      </c>
      <c r="E787" s="25">
        <f t="shared" si="12"/>
        <v>791.1</v>
      </c>
      <c r="F787" s="33">
        <f>(Table2634[[#This Row],[4 weeks average]]-B735)/B735</f>
        <v>8.2844761661993362E-3</v>
      </c>
    </row>
    <row r="788" spans="1:6" x14ac:dyDescent="0.2">
      <c r="A788" s="23">
        <v>32874</v>
      </c>
      <c r="B788" s="25">
        <f>VLOOKUP(Table2634[[#This Row],[Date]],'DB Money Supply'!$A:$D,4)</f>
        <v>798.3</v>
      </c>
      <c r="C788" s="31">
        <f>(Table2634[[#This Row],[M1 Money Stock, Billions of Dollars, Weekly, Seasonally Adjusted]]-B787)/B787</f>
        <v>4.2772675808277483E-3</v>
      </c>
      <c r="D788" s="35">
        <f>((1+Table2634[[#This Row],[Weekly change]])^52)-1</f>
        <v>0.24850095515529458</v>
      </c>
      <c r="E788" s="25">
        <f t="shared" si="12"/>
        <v>793.42499999999995</v>
      </c>
      <c r="F788" s="33">
        <f>(Table2634[[#This Row],[4 weeks average]]-B736)/B736</f>
        <v>7.6517653035305788E-3</v>
      </c>
    </row>
    <row r="789" spans="1:6" x14ac:dyDescent="0.2">
      <c r="A789" s="23">
        <v>32881</v>
      </c>
      <c r="B789" s="25">
        <f>VLOOKUP(Table2634[[#This Row],[Date]],'DB Money Supply'!$A:$D,4)</f>
        <v>793.6</v>
      </c>
      <c r="C789" s="31">
        <f>(Table2634[[#This Row],[M1 Money Stock, Billions of Dollars, Weekly, Seasonally Adjusted]]-B788)/B788</f>
        <v>-5.8875109607915976E-3</v>
      </c>
      <c r="D789" s="35">
        <f>((1+Table2634[[#This Row],[Weekly change]])^52)-1</f>
        <v>-0.26439012021121844</v>
      </c>
      <c r="E789" s="25">
        <f t="shared" si="12"/>
        <v>794.37499999999989</v>
      </c>
      <c r="F789" s="33">
        <f>(Table2634[[#This Row],[4 weeks average]]-B737)/B737</f>
        <v>9.7559425448072203E-3</v>
      </c>
    </row>
    <row r="790" spans="1:6" x14ac:dyDescent="0.2">
      <c r="A790" s="23">
        <v>32888</v>
      </c>
      <c r="B790" s="25">
        <f>VLOOKUP(Table2634[[#This Row],[Date]],'DB Money Supply'!$A:$D,4)</f>
        <v>796.5</v>
      </c>
      <c r="C790" s="31">
        <f>(Table2634[[#This Row],[M1 Money Stock, Billions of Dollars, Weekly, Seasonally Adjusted]]-B789)/B789</f>
        <v>3.6542338709677131E-3</v>
      </c>
      <c r="D790" s="35">
        <f>((1+Table2634[[#This Row],[Weekly change]])^52)-1</f>
        <v>0.20885522378384413</v>
      </c>
      <c r="E790" s="25">
        <f t="shared" si="12"/>
        <v>795.82499999999993</v>
      </c>
      <c r="F790" s="33">
        <f>(Table2634[[#This Row],[4 weeks average]]-B738)/B738</f>
        <v>1.2242431951157321E-2</v>
      </c>
    </row>
    <row r="791" spans="1:6" x14ac:dyDescent="0.2">
      <c r="A791" s="23">
        <v>32895</v>
      </c>
      <c r="B791" s="25">
        <f>VLOOKUP(Table2634[[#This Row],[Date]],'DB Money Supply'!$A:$D,4)</f>
        <v>795.1</v>
      </c>
      <c r="C791" s="31">
        <f>(Table2634[[#This Row],[M1 Money Stock, Billions of Dollars, Weekly, Seasonally Adjusted]]-B790)/B790</f>
        <v>-1.7576898932830851E-3</v>
      </c>
      <c r="D791" s="35">
        <f>((1+Table2634[[#This Row],[Weekly change]])^52)-1</f>
        <v>-8.7420701667058176E-2</v>
      </c>
      <c r="E791" s="25">
        <f t="shared" si="12"/>
        <v>795.875</v>
      </c>
      <c r="F791" s="33">
        <f>(Table2634[[#This Row],[4 weeks average]]-B739)/B739</f>
        <v>1.1919898283534647E-2</v>
      </c>
    </row>
    <row r="792" spans="1:6" x14ac:dyDescent="0.2">
      <c r="A792" s="23">
        <v>32902</v>
      </c>
      <c r="B792" s="25">
        <f>VLOOKUP(Table2634[[#This Row],[Date]],'DB Money Supply'!$A:$D,4)</f>
        <v>793.8</v>
      </c>
      <c r="C792" s="31">
        <f>(Table2634[[#This Row],[M1 Money Stock, Billions of Dollars, Weekly, Seasonally Adjusted]]-B791)/B791</f>
        <v>-1.6350144635895714E-3</v>
      </c>
      <c r="D792" s="35">
        <f>((1+Table2634[[#This Row],[Weekly change]])^52)-1</f>
        <v>-8.1570683858567472E-2</v>
      </c>
      <c r="E792" s="25">
        <f t="shared" si="12"/>
        <v>794.75</v>
      </c>
      <c r="F792" s="33">
        <f>(Table2634[[#This Row],[4 weeks average]]-B740)/B740</f>
        <v>1.4747191011235896E-2</v>
      </c>
    </row>
    <row r="793" spans="1:6" x14ac:dyDescent="0.2">
      <c r="A793" s="23">
        <v>32909</v>
      </c>
      <c r="B793" s="25">
        <f>VLOOKUP(Table2634[[#This Row],[Date]],'DB Money Supply'!$A:$D,4)</f>
        <v>797.1</v>
      </c>
      <c r="C793" s="31">
        <f>(Table2634[[#This Row],[M1 Money Stock, Billions of Dollars, Weekly, Seasonally Adjusted]]-B792)/B792</f>
        <v>4.1572184429328144E-3</v>
      </c>
      <c r="D793" s="35">
        <f>((1+Table2634[[#This Row],[Weekly change]])^52)-1</f>
        <v>0.24076392244706146</v>
      </c>
      <c r="E793" s="25">
        <f t="shared" si="12"/>
        <v>795.62499999999989</v>
      </c>
      <c r="F793" s="33">
        <f>(Table2634[[#This Row],[4 weeks average]]-B741)/B741</f>
        <v>1.4310300866904525E-2</v>
      </c>
    </row>
    <row r="794" spans="1:6" x14ac:dyDescent="0.2">
      <c r="A794" s="23">
        <v>32916</v>
      </c>
      <c r="B794" s="25">
        <f>VLOOKUP(Table2634[[#This Row],[Date]],'DB Money Supply'!$A:$D,4)</f>
        <v>796.3</v>
      </c>
      <c r="C794" s="31">
        <f>(Table2634[[#This Row],[M1 Money Stock, Billions of Dollars, Weekly, Seasonally Adjusted]]-B793)/B793</f>
        <v>-1.0036381884331554E-3</v>
      </c>
      <c r="D794" s="35">
        <f>((1+Table2634[[#This Row],[Weekly change]])^52)-1</f>
        <v>-5.0875589801411825E-2</v>
      </c>
      <c r="E794" s="25">
        <f t="shared" si="12"/>
        <v>795.57500000000005</v>
      </c>
      <c r="F794" s="33">
        <f>(Table2634[[#This Row],[4 weeks average]]-B742)/B742</f>
        <v>1.5411614550095782E-2</v>
      </c>
    </row>
    <row r="795" spans="1:6" x14ac:dyDescent="0.2">
      <c r="A795" s="23">
        <v>32923</v>
      </c>
      <c r="B795" s="25">
        <f>VLOOKUP(Table2634[[#This Row],[Date]],'DB Money Supply'!$A:$D,4)</f>
        <v>796.3</v>
      </c>
      <c r="C795" s="31">
        <f>(Table2634[[#This Row],[M1 Money Stock, Billions of Dollars, Weekly, Seasonally Adjusted]]-B794)/B794</f>
        <v>0</v>
      </c>
      <c r="D795" s="35">
        <f>((1+Table2634[[#This Row],[Weekly change]])^52)-1</f>
        <v>0</v>
      </c>
      <c r="E795" s="25">
        <f t="shared" si="12"/>
        <v>795.875</v>
      </c>
      <c r="F795" s="33">
        <f>(Table2634[[#This Row],[4 weeks average]]-B743)/B743</f>
        <v>1.5794511805998723E-2</v>
      </c>
    </row>
    <row r="796" spans="1:6" x14ac:dyDescent="0.2">
      <c r="A796" s="23">
        <v>32930</v>
      </c>
      <c r="B796" s="25">
        <f>VLOOKUP(Table2634[[#This Row],[Date]],'DB Money Supply'!$A:$D,4)</f>
        <v>799.8</v>
      </c>
      <c r="C796" s="31">
        <f>(Table2634[[#This Row],[M1 Money Stock, Billions of Dollars, Weekly, Seasonally Adjusted]]-B795)/B795</f>
        <v>4.3953283938214247E-3</v>
      </c>
      <c r="D796" s="35">
        <f>((1+Table2634[[#This Row],[Weekly change]])^52)-1</f>
        <v>0.25615598443568577</v>
      </c>
      <c r="E796" s="25">
        <f t="shared" si="12"/>
        <v>797.375</v>
      </c>
      <c r="F796" s="33">
        <f>(Table2634[[#This Row],[4 weeks average]]-B744)/B744</f>
        <v>1.7838907327036028E-2</v>
      </c>
    </row>
    <row r="797" spans="1:6" x14ac:dyDescent="0.2">
      <c r="A797" s="23">
        <v>32937</v>
      </c>
      <c r="B797" s="25">
        <f>VLOOKUP(Table2634[[#This Row],[Date]],'DB Money Supply'!$A:$D,4)</f>
        <v>801.6</v>
      </c>
      <c r="C797" s="31">
        <f>(Table2634[[#This Row],[M1 Money Stock, Billions of Dollars, Weekly, Seasonally Adjusted]]-B796)/B796</f>
        <v>2.2505626406602503E-3</v>
      </c>
      <c r="D797" s="35">
        <f>((1+Table2634[[#This Row],[Weekly change]])^52)-1</f>
        <v>0.12400450978746758</v>
      </c>
      <c r="E797" s="25">
        <f t="shared" si="12"/>
        <v>798.49999999999989</v>
      </c>
      <c r="F797" s="33">
        <f>(Table2634[[#This Row],[4 weeks average]]-B745)/B745</f>
        <v>1.4483547198576882E-2</v>
      </c>
    </row>
    <row r="798" spans="1:6" x14ac:dyDescent="0.2">
      <c r="A798" s="23">
        <v>32944</v>
      </c>
      <c r="B798" s="25">
        <f>VLOOKUP(Table2634[[#This Row],[Date]],'DB Money Supply'!$A:$D,4)</f>
        <v>799.7</v>
      </c>
      <c r="C798" s="31">
        <f>(Table2634[[#This Row],[M1 Money Stock, Billions of Dollars, Weekly, Seasonally Adjusted]]-B797)/B797</f>
        <v>-2.3702594810378957E-3</v>
      </c>
      <c r="D798" s="35">
        <f>((1+Table2634[[#This Row],[Weekly change]])^52)-1</f>
        <v>-0.11608979152192234</v>
      </c>
      <c r="E798" s="25">
        <f t="shared" si="12"/>
        <v>799.34999999999991</v>
      </c>
      <c r="F798" s="33">
        <f>(Table2634[[#This Row],[4 weeks average]]-B746)/B746</f>
        <v>2.1403015589061956E-2</v>
      </c>
    </row>
    <row r="799" spans="1:6" x14ac:dyDescent="0.2">
      <c r="A799" s="23">
        <v>32951</v>
      </c>
      <c r="B799" s="25">
        <f>VLOOKUP(Table2634[[#This Row],[Date]],'DB Money Supply'!$A:$D,4)</f>
        <v>799.6</v>
      </c>
      <c r="C799" s="31">
        <f>(Table2634[[#This Row],[M1 Money Stock, Billions of Dollars, Weekly, Seasonally Adjusted]]-B798)/B798</f>
        <v>-1.250468925847477E-4</v>
      </c>
      <c r="D799" s="35">
        <f>((1+Table2634[[#This Row],[Weekly change]])^52)-1</f>
        <v>-6.4817472631424344E-3</v>
      </c>
      <c r="E799" s="25">
        <f t="shared" si="12"/>
        <v>800.17500000000007</v>
      </c>
      <c r="F799" s="33">
        <f>(Table2634[[#This Row],[4 weeks average]]-B747)/B747</f>
        <v>2.1673901940755903E-2</v>
      </c>
    </row>
    <row r="800" spans="1:6" x14ac:dyDescent="0.2">
      <c r="A800" s="23">
        <v>32958</v>
      </c>
      <c r="B800" s="25">
        <f>VLOOKUP(Table2634[[#This Row],[Date]],'DB Money Supply'!$A:$D,4)</f>
        <v>802.5</v>
      </c>
      <c r="C800" s="31">
        <f>(Table2634[[#This Row],[M1 Money Stock, Billions of Dollars, Weekly, Seasonally Adjusted]]-B799)/B799</f>
        <v>3.6268134067033229E-3</v>
      </c>
      <c r="D800" s="35">
        <f>((1+Table2634[[#This Row],[Weekly change]])^52)-1</f>
        <v>0.20713903212166662</v>
      </c>
      <c r="E800" s="25">
        <f t="shared" si="12"/>
        <v>800.85</v>
      </c>
      <c r="F800" s="33">
        <f>(Table2634[[#This Row],[4 weeks average]]-B748)/B748</f>
        <v>2.2796934865900412E-2</v>
      </c>
    </row>
    <row r="801" spans="1:6" x14ac:dyDescent="0.2">
      <c r="A801" s="23">
        <v>32965</v>
      </c>
      <c r="B801" s="25">
        <f>VLOOKUP(Table2634[[#This Row],[Date]],'DB Money Supply'!$A:$D,4)</f>
        <v>802.4</v>
      </c>
      <c r="C801" s="31">
        <f>(Table2634[[#This Row],[M1 Money Stock, Billions of Dollars, Weekly, Seasonally Adjusted]]-B800)/B800</f>
        <v>-1.2461059190033987E-4</v>
      </c>
      <c r="D801" s="35">
        <f>((1+Table2634[[#This Row],[Weekly change]])^52)-1</f>
        <v>-6.4592036132513631E-3</v>
      </c>
      <c r="E801" s="25">
        <f t="shared" si="12"/>
        <v>801.05000000000007</v>
      </c>
      <c r="F801" s="33">
        <f>(Table2634[[#This Row],[4 weeks average]]-B749)/B749</f>
        <v>3.0421919217905959E-2</v>
      </c>
    </row>
    <row r="802" spans="1:6" x14ac:dyDescent="0.2">
      <c r="A802" s="23">
        <v>32972</v>
      </c>
      <c r="B802" s="25">
        <f>VLOOKUP(Table2634[[#This Row],[Date]],'DB Money Supply'!$A:$D,4)</f>
        <v>804.3</v>
      </c>
      <c r="C802" s="31">
        <f>(Table2634[[#This Row],[M1 Money Stock, Billions of Dollars, Weekly, Seasonally Adjusted]]-B801)/B801</f>
        <v>2.3678963110667713E-3</v>
      </c>
      <c r="D802" s="35">
        <f>((1+Table2634[[#This Row],[Weekly change]])^52)-1</f>
        <v>0.13086752299099724</v>
      </c>
      <c r="E802" s="25">
        <f t="shared" si="12"/>
        <v>802.2</v>
      </c>
      <c r="F802" s="33">
        <f>(Table2634[[#This Row],[4 weeks average]]-B750)/B750</f>
        <v>3.3097231165486213E-2</v>
      </c>
    </row>
    <row r="803" spans="1:6" x14ac:dyDescent="0.2">
      <c r="A803" s="23">
        <v>32979</v>
      </c>
      <c r="B803" s="25">
        <f>VLOOKUP(Table2634[[#This Row],[Date]],'DB Money Supply'!$A:$D,4)</f>
        <v>807</v>
      </c>
      <c r="C803" s="31">
        <f>(Table2634[[#This Row],[M1 Money Stock, Billions of Dollars, Weekly, Seasonally Adjusted]]-B802)/B802</f>
        <v>3.3569563595673823E-3</v>
      </c>
      <c r="D803" s="35">
        <f>((1+Table2634[[#This Row],[Weekly change]])^52)-1</f>
        <v>0.19037619416582863</v>
      </c>
      <c r="E803" s="25">
        <f t="shared" si="12"/>
        <v>804.05</v>
      </c>
      <c r="F803" s="33">
        <f>(Table2634[[#This Row],[4 weeks average]]-B751)/B751</f>
        <v>3.4946582571759532E-2</v>
      </c>
    </row>
    <row r="804" spans="1:6" x14ac:dyDescent="0.2">
      <c r="A804" s="23">
        <v>32986</v>
      </c>
      <c r="B804" s="25">
        <f>VLOOKUP(Table2634[[#This Row],[Date]],'DB Money Supply'!$A:$D,4)</f>
        <v>807.2</v>
      </c>
      <c r="C804" s="31">
        <f>(Table2634[[#This Row],[M1 Money Stock, Billions of Dollars, Weekly, Seasonally Adjusted]]-B803)/B803</f>
        <v>2.4783147459733019E-4</v>
      </c>
      <c r="D804" s="35">
        <f>((1+Table2634[[#This Row],[Weekly change]])^52)-1</f>
        <v>1.296901761036473E-2</v>
      </c>
      <c r="E804" s="25">
        <f t="shared" si="12"/>
        <v>805.22499999999991</v>
      </c>
      <c r="F804" s="33">
        <f>(Table2634[[#This Row],[4 weeks average]]-B752)/B752</f>
        <v>2.9304614597980259E-2</v>
      </c>
    </row>
    <row r="805" spans="1:6" x14ac:dyDescent="0.2">
      <c r="A805" s="23">
        <v>32993</v>
      </c>
      <c r="B805" s="25">
        <f>VLOOKUP(Table2634[[#This Row],[Date]],'DB Money Supply'!$A:$D,4)</f>
        <v>806.5</v>
      </c>
      <c r="C805" s="31">
        <f>(Table2634[[#This Row],[M1 Money Stock, Billions of Dollars, Weekly, Seasonally Adjusted]]-B804)/B804</f>
        <v>-8.6719524281472424E-4</v>
      </c>
      <c r="D805" s="35">
        <f>((1+Table2634[[#This Row],[Weekly change]])^52)-1</f>
        <v>-4.4111224821782424E-2</v>
      </c>
      <c r="E805" s="25">
        <f t="shared" si="12"/>
        <v>806.25</v>
      </c>
      <c r="F805" s="33">
        <f>(Table2634[[#This Row],[4 weeks average]]-B753)/B753</f>
        <v>3.0614853636712319E-2</v>
      </c>
    </row>
    <row r="806" spans="1:6" x14ac:dyDescent="0.2">
      <c r="A806" s="23">
        <v>33000</v>
      </c>
      <c r="B806" s="25">
        <f>VLOOKUP(Table2634[[#This Row],[Date]],'DB Money Supply'!$A:$D,4)</f>
        <v>803</v>
      </c>
      <c r="C806" s="31">
        <f>(Table2634[[#This Row],[M1 Money Stock, Billions of Dollars, Weekly, Seasonally Adjusted]]-B805)/B805</f>
        <v>-4.3397396156230625E-3</v>
      </c>
      <c r="D806" s="35">
        <f>((1+Table2634[[#This Row],[Weekly change]])^52)-1</f>
        <v>-0.20240756745538724</v>
      </c>
      <c r="E806" s="25">
        <f t="shared" si="12"/>
        <v>805.92499999999995</v>
      </c>
      <c r="F806" s="33">
        <f>(Table2634[[#This Row],[4 weeks average]]-B754)/B754</f>
        <v>3.976906205650875E-2</v>
      </c>
    </row>
    <row r="807" spans="1:6" x14ac:dyDescent="0.2">
      <c r="A807" s="23">
        <v>33007</v>
      </c>
      <c r="B807" s="25">
        <f>VLOOKUP(Table2634[[#This Row],[Date]],'DB Money Supply'!$A:$D,4)</f>
        <v>802.9</v>
      </c>
      <c r="C807" s="31">
        <f>(Table2634[[#This Row],[M1 Money Stock, Billions of Dollars, Weekly, Seasonally Adjusted]]-B806)/B806</f>
        <v>-1.2453300124535833E-4</v>
      </c>
      <c r="D807" s="35">
        <f>((1+Table2634[[#This Row],[Weekly change]])^52)-1</f>
        <v>-6.4551944527139193E-3</v>
      </c>
      <c r="E807" s="25">
        <f t="shared" si="12"/>
        <v>804.9</v>
      </c>
      <c r="F807" s="33">
        <f>(Table2634[[#This Row],[4 weeks average]]-B755)/B755</f>
        <v>3.7643418847492498E-2</v>
      </c>
    </row>
    <row r="808" spans="1:6" x14ac:dyDescent="0.2">
      <c r="A808" s="23">
        <v>33014</v>
      </c>
      <c r="B808" s="25">
        <f>VLOOKUP(Table2634[[#This Row],[Date]],'DB Money Supply'!$A:$D,4)</f>
        <v>806.2</v>
      </c>
      <c r="C808" s="31">
        <f>(Table2634[[#This Row],[M1 Money Stock, Billions of Dollars, Weekly, Seasonally Adjusted]]-B807)/B807</f>
        <v>4.110100884294518E-3</v>
      </c>
      <c r="D808" s="35">
        <f>((1+Table2634[[#This Row],[Weekly change]])^52)-1</f>
        <v>0.23774011579723742</v>
      </c>
      <c r="E808" s="25">
        <f t="shared" si="12"/>
        <v>804.65000000000009</v>
      </c>
      <c r="F808" s="33">
        <f>(Table2634[[#This Row],[4 weeks average]]-B756)/B756</f>
        <v>4.0405999482803358E-2</v>
      </c>
    </row>
    <row r="809" spans="1:6" x14ac:dyDescent="0.2">
      <c r="A809" s="23">
        <v>33021</v>
      </c>
      <c r="B809" s="25">
        <f>VLOOKUP(Table2634[[#This Row],[Date]],'DB Money Supply'!$A:$D,4)</f>
        <v>804.9</v>
      </c>
      <c r="C809" s="31">
        <f>(Table2634[[#This Row],[M1 Money Stock, Billions of Dollars, Weekly, Seasonally Adjusted]]-B808)/B808</f>
        <v>-1.6125031009675864E-3</v>
      </c>
      <c r="D809" s="35">
        <f>((1+Table2634[[#This Row],[Weekly change]])^52)-1</f>
        <v>-8.0493198799181265E-2</v>
      </c>
      <c r="E809" s="25">
        <f t="shared" si="12"/>
        <v>804.25000000000011</v>
      </c>
      <c r="F809" s="33">
        <f>(Table2634[[#This Row],[4 weeks average]]-B757)/B757</f>
        <v>3.8277820810741145E-2</v>
      </c>
    </row>
    <row r="810" spans="1:6" x14ac:dyDescent="0.2">
      <c r="A810" s="23">
        <v>33028</v>
      </c>
      <c r="B810" s="25">
        <f>VLOOKUP(Table2634[[#This Row],[Date]],'DB Money Supply'!$A:$D,4)</f>
        <v>807.1</v>
      </c>
      <c r="C810" s="31">
        <f>(Table2634[[#This Row],[M1 Money Stock, Billions of Dollars, Weekly, Seasonally Adjusted]]-B809)/B809</f>
        <v>2.733258789911847E-3</v>
      </c>
      <c r="D810" s="35">
        <f>((1+Table2634[[#This Row],[Weekly change]])^52)-1</f>
        <v>0.15250239271296406</v>
      </c>
      <c r="E810" s="25">
        <f t="shared" si="12"/>
        <v>805.27499999999998</v>
      </c>
      <c r="F810" s="33">
        <f>(Table2634[[#This Row],[4 weeks average]]-B758)/B758</f>
        <v>3.8662453243905617E-2</v>
      </c>
    </row>
    <row r="811" spans="1:6" x14ac:dyDescent="0.2">
      <c r="A811" s="23">
        <v>33035</v>
      </c>
      <c r="B811" s="25">
        <f>VLOOKUP(Table2634[[#This Row],[Date]],'DB Money Supply'!$A:$D,4)</f>
        <v>807.7</v>
      </c>
      <c r="C811" s="31">
        <f>(Table2634[[#This Row],[M1 Money Stock, Billions of Dollars, Weekly, Seasonally Adjusted]]-B810)/B810</f>
        <v>7.434023045471722E-4</v>
      </c>
      <c r="D811" s="35">
        <f>((1+Table2634[[#This Row],[Weekly change]])^52)-1</f>
        <v>3.9398892561303578E-2</v>
      </c>
      <c r="E811" s="25">
        <f t="shared" si="12"/>
        <v>806.47499999999991</v>
      </c>
      <c r="F811" s="33">
        <f>(Table2634[[#This Row],[4 weeks average]]-B759)/B759</f>
        <v>4.3980582524271727E-2</v>
      </c>
    </row>
    <row r="812" spans="1:6" x14ac:dyDescent="0.2">
      <c r="A812" s="23">
        <v>33042</v>
      </c>
      <c r="B812" s="25">
        <f>VLOOKUP(Table2634[[#This Row],[Date]],'DB Money Supply'!$A:$D,4)</f>
        <v>807.3</v>
      </c>
      <c r="C812" s="31">
        <f>(Table2634[[#This Row],[M1 Money Stock, Billions of Dollars, Weekly, Seasonally Adjusted]]-B811)/B811</f>
        <v>-4.9523337872983892E-4</v>
      </c>
      <c r="D812" s="35">
        <f>((1+Table2634[[#This Row],[Weekly change]])^52)-1</f>
        <v>-2.5429594143044909E-2</v>
      </c>
      <c r="E812" s="25">
        <f t="shared" si="12"/>
        <v>806.75</v>
      </c>
      <c r="F812" s="33">
        <f>(Table2634[[#This Row],[4 weeks average]]-B760)/B760</f>
        <v>4.4066261162158601E-2</v>
      </c>
    </row>
    <row r="813" spans="1:6" x14ac:dyDescent="0.2">
      <c r="A813" s="23">
        <v>33049</v>
      </c>
      <c r="B813" s="25">
        <f>VLOOKUP(Table2634[[#This Row],[Date]],'DB Money Supply'!$A:$D,4)</f>
        <v>810.3</v>
      </c>
      <c r="C813" s="31">
        <f>(Table2634[[#This Row],[M1 Money Stock, Billions of Dollars, Weekly, Seasonally Adjusted]]-B812)/B812</f>
        <v>3.716090672612412E-3</v>
      </c>
      <c r="D813" s="35">
        <f>((1+Table2634[[#This Row],[Weekly change]])^52)-1</f>
        <v>0.21273550926877305</v>
      </c>
      <c r="E813" s="25">
        <f t="shared" si="12"/>
        <v>808.10000000000014</v>
      </c>
      <c r="F813" s="33">
        <f>(Table2634[[#This Row],[4 weeks average]]-B761)/B761</f>
        <v>4.4596690796277288E-2</v>
      </c>
    </row>
    <row r="814" spans="1:6" x14ac:dyDescent="0.2">
      <c r="A814" s="23">
        <v>33056</v>
      </c>
      <c r="B814" s="25">
        <f>VLOOKUP(Table2634[[#This Row],[Date]],'DB Money Supply'!$A:$D,4)</f>
        <v>813.2</v>
      </c>
      <c r="C814" s="31">
        <f>(Table2634[[#This Row],[M1 Money Stock, Billions of Dollars, Weekly, Seasonally Adjusted]]-B813)/B813</f>
        <v>3.5789213871406777E-3</v>
      </c>
      <c r="D814" s="35">
        <f>((1+Table2634[[#This Row],[Weekly change]])^52)-1</f>
        <v>0.20414729681443489</v>
      </c>
      <c r="E814" s="25">
        <f t="shared" si="12"/>
        <v>809.625</v>
      </c>
      <c r="F814" s="33">
        <f>(Table2634[[#This Row],[4 weeks average]]-B762)/B762</f>
        <v>4.5621851995350703E-2</v>
      </c>
    </row>
    <row r="815" spans="1:6" x14ac:dyDescent="0.2">
      <c r="A815" s="23">
        <v>33063</v>
      </c>
      <c r="B815" s="25">
        <f>VLOOKUP(Table2634[[#This Row],[Date]],'DB Money Supply'!$A:$D,4)</f>
        <v>808.1</v>
      </c>
      <c r="C815" s="31">
        <f>(Table2634[[#This Row],[M1 Money Stock, Billions of Dollars, Weekly, Seasonally Adjusted]]-B814)/B814</f>
        <v>-6.2715199212986013E-3</v>
      </c>
      <c r="D815" s="35">
        <f>((1+Table2634[[#This Row],[Weekly change]])^52)-1</f>
        <v>-0.27902150067223241</v>
      </c>
      <c r="E815" s="25">
        <f t="shared" si="12"/>
        <v>809.72500000000002</v>
      </c>
      <c r="F815" s="33">
        <f>(Table2634[[#This Row],[4 weeks average]]-B763)/B763</f>
        <v>3.9308176100628929E-2</v>
      </c>
    </row>
    <row r="816" spans="1:6" x14ac:dyDescent="0.2">
      <c r="A816" s="23">
        <v>33070</v>
      </c>
      <c r="B816" s="25">
        <f>VLOOKUP(Table2634[[#This Row],[Date]],'DB Money Supply'!$A:$D,4)</f>
        <v>811.3</v>
      </c>
      <c r="C816" s="31">
        <f>(Table2634[[#This Row],[M1 Money Stock, Billions of Dollars, Weekly, Seasonally Adjusted]]-B815)/B815</f>
        <v>3.9599059522335495E-3</v>
      </c>
      <c r="D816" s="35">
        <f>((1+Table2634[[#This Row],[Weekly change]])^52)-1</f>
        <v>0.2281493961208787</v>
      </c>
      <c r="E816" s="25">
        <f t="shared" si="12"/>
        <v>810.72499999999991</v>
      </c>
      <c r="F816" s="33">
        <f>(Table2634[[#This Row],[4 weeks average]]-B764)/B764</f>
        <v>4.2196940480781507E-2</v>
      </c>
    </row>
    <row r="817" spans="1:6" x14ac:dyDescent="0.2">
      <c r="A817" s="23">
        <v>33077</v>
      </c>
      <c r="B817" s="25">
        <f>VLOOKUP(Table2634[[#This Row],[Date]],'DB Money Supply'!$A:$D,4)</f>
        <v>809.3</v>
      </c>
      <c r="C817" s="31">
        <f>(Table2634[[#This Row],[M1 Money Stock, Billions of Dollars, Weekly, Seasonally Adjusted]]-B816)/B816</f>
        <v>-2.4651793417971159E-3</v>
      </c>
      <c r="D817" s="35">
        <f>((1+Table2634[[#This Row],[Weekly change]])^52)-1</f>
        <v>-0.12045239662066309</v>
      </c>
      <c r="E817" s="25">
        <f t="shared" si="12"/>
        <v>810.47500000000014</v>
      </c>
      <c r="F817" s="33">
        <f>(Table2634[[#This Row],[4 weeks average]]-B765)/B765</f>
        <v>4.1607762498393666E-2</v>
      </c>
    </row>
    <row r="818" spans="1:6" x14ac:dyDescent="0.2">
      <c r="A818" s="23">
        <v>33084</v>
      </c>
      <c r="B818" s="25">
        <f>VLOOKUP(Table2634[[#This Row],[Date]],'DB Money Supply'!$A:$D,4)</f>
        <v>810.8</v>
      </c>
      <c r="C818" s="31">
        <f>(Table2634[[#This Row],[M1 Money Stock, Billions of Dollars, Weekly, Seasonally Adjusted]]-B817)/B817</f>
        <v>1.8534536018781664E-3</v>
      </c>
      <c r="D818" s="35">
        <f>((1+Table2634[[#This Row],[Weekly change]])^52)-1</f>
        <v>0.10107874878173062</v>
      </c>
      <c r="E818" s="25">
        <f t="shared" si="12"/>
        <v>809.875</v>
      </c>
      <c r="F818" s="33">
        <f>(Table2634[[#This Row],[4 weeks average]]-B766)/B766</f>
        <v>4.1907886272996332E-2</v>
      </c>
    </row>
    <row r="819" spans="1:6" x14ac:dyDescent="0.2">
      <c r="A819" s="23">
        <v>33091</v>
      </c>
      <c r="B819" s="25">
        <f>VLOOKUP(Table2634[[#This Row],[Date]],'DB Money Supply'!$A:$D,4)</f>
        <v>811.9</v>
      </c>
      <c r="C819" s="31">
        <f>(Table2634[[#This Row],[M1 Money Stock, Billions of Dollars, Weekly, Seasonally Adjusted]]-B818)/B818</f>
        <v>1.3566847557967721E-3</v>
      </c>
      <c r="D819" s="35">
        <f>((1+Table2634[[#This Row],[Weekly change]])^52)-1</f>
        <v>7.3044349573462508E-2</v>
      </c>
      <c r="E819" s="25">
        <f t="shared" si="12"/>
        <v>810.82499999999993</v>
      </c>
      <c r="F819" s="33">
        <f>(Table2634[[#This Row],[4 weeks average]]-B767)/B767</f>
        <v>4.1655960945529237E-2</v>
      </c>
    </row>
    <row r="820" spans="1:6" x14ac:dyDescent="0.2">
      <c r="A820" s="23">
        <v>33098</v>
      </c>
      <c r="B820" s="25">
        <f>VLOOKUP(Table2634[[#This Row],[Date]],'DB Money Supply'!$A:$D,4)</f>
        <v>816.1</v>
      </c>
      <c r="C820" s="31">
        <f>(Table2634[[#This Row],[M1 Money Stock, Billions of Dollars, Weekly, Seasonally Adjusted]]-B819)/B819</f>
        <v>5.1730508683335945E-3</v>
      </c>
      <c r="D820" s="35">
        <f>((1+Table2634[[#This Row],[Weekly change]])^52)-1</f>
        <v>0.30774628636776469</v>
      </c>
      <c r="E820" s="25">
        <f t="shared" si="12"/>
        <v>812.02499999999998</v>
      </c>
      <c r="F820" s="33">
        <f>(Table2634[[#This Row],[4 weeks average]]-B768)/B768</f>
        <v>4.2394094993581488E-2</v>
      </c>
    </row>
    <row r="821" spans="1:6" x14ac:dyDescent="0.2">
      <c r="A821" s="23">
        <v>33105</v>
      </c>
      <c r="B821" s="25">
        <f>VLOOKUP(Table2634[[#This Row],[Date]],'DB Money Supply'!$A:$D,4)</f>
        <v>817.2</v>
      </c>
      <c r="C821" s="31">
        <f>(Table2634[[#This Row],[M1 Money Stock, Billions of Dollars, Weekly, Seasonally Adjusted]]-B820)/B820</f>
        <v>1.3478740350447527E-3</v>
      </c>
      <c r="D821" s="35">
        <f>((1+Table2634[[#This Row],[Weekly change]])^52)-1</f>
        <v>7.255350249288206E-2</v>
      </c>
      <c r="E821" s="25">
        <f t="shared" si="12"/>
        <v>814</v>
      </c>
      <c r="F821" s="33">
        <f>(Table2634[[#This Row],[4 weeks average]]-B769)/B769</f>
        <v>4.2386989371238346E-2</v>
      </c>
    </row>
    <row r="822" spans="1:6" x14ac:dyDescent="0.2">
      <c r="A822" s="23">
        <v>33112</v>
      </c>
      <c r="B822" s="25">
        <f>VLOOKUP(Table2634[[#This Row],[Date]],'DB Money Supply'!$A:$D,4)</f>
        <v>816.2</v>
      </c>
      <c r="C822" s="31">
        <f>(Table2634[[#This Row],[M1 Money Stock, Billions of Dollars, Weekly, Seasonally Adjusted]]-B821)/B821</f>
        <v>-1.2236906510034262E-3</v>
      </c>
      <c r="D822" s="35">
        <f>((1+Table2634[[#This Row],[Weekly change]])^52)-1</f>
        <v>-6.1686232078100312E-2</v>
      </c>
      <c r="E822" s="25">
        <f t="shared" si="12"/>
        <v>815.34999999999991</v>
      </c>
      <c r="F822" s="33">
        <f>(Table2634[[#This Row],[4 weeks average]]-B770)/B770</f>
        <v>4.5454545454545366E-2</v>
      </c>
    </row>
    <row r="823" spans="1:6" x14ac:dyDescent="0.2">
      <c r="A823" s="23">
        <v>33119</v>
      </c>
      <c r="B823" s="25">
        <f>VLOOKUP(Table2634[[#This Row],[Date]],'DB Money Supply'!$A:$D,4)</f>
        <v>819</v>
      </c>
      <c r="C823" s="31">
        <f>(Table2634[[#This Row],[M1 Money Stock, Billions of Dollars, Weekly, Seasonally Adjusted]]-B822)/B822</f>
        <v>3.4305317324184689E-3</v>
      </c>
      <c r="D823" s="35">
        <f>((1+Table2634[[#This Row],[Weekly change]])^52)-1</f>
        <v>0.19492373806822938</v>
      </c>
      <c r="E823" s="25">
        <f t="shared" si="12"/>
        <v>817.125</v>
      </c>
      <c r="F823" s="33">
        <f>(Table2634[[#This Row],[4 weeks average]]-B771)/B771</f>
        <v>5.0559269735150486E-2</v>
      </c>
    </row>
    <row r="824" spans="1:6" x14ac:dyDescent="0.2">
      <c r="A824" s="23">
        <v>33126</v>
      </c>
      <c r="B824" s="25">
        <f>VLOOKUP(Table2634[[#This Row],[Date]],'DB Money Supply'!$A:$D,4)</f>
        <v>819.8</v>
      </c>
      <c r="C824" s="31">
        <f>(Table2634[[#This Row],[M1 Money Stock, Billions of Dollars, Weekly, Seasonally Adjusted]]-B823)/B823</f>
        <v>9.7680097680092129E-4</v>
      </c>
      <c r="D824" s="35">
        <f>((1+Table2634[[#This Row],[Weekly change]])^52)-1</f>
        <v>5.207968673391572E-2</v>
      </c>
      <c r="E824" s="25">
        <f t="shared" si="12"/>
        <v>818.05</v>
      </c>
      <c r="F824" s="33">
        <f>(Table2634[[#This Row],[4 weeks average]]-B772)/B772</f>
        <v>4.6233533699961603E-2</v>
      </c>
    </row>
    <row r="825" spans="1:6" x14ac:dyDescent="0.2">
      <c r="A825" s="23">
        <v>33133</v>
      </c>
      <c r="B825" s="25">
        <f>VLOOKUP(Table2634[[#This Row],[Date]],'DB Money Supply'!$A:$D,4)</f>
        <v>819.2</v>
      </c>
      <c r="C825" s="31">
        <f>(Table2634[[#This Row],[M1 Money Stock, Billions of Dollars, Weekly, Seasonally Adjusted]]-B824)/B824</f>
        <v>-7.3188582581106259E-4</v>
      </c>
      <c r="D825" s="35">
        <f>((1+Table2634[[#This Row],[Weekly change]])^52)-1</f>
        <v>-3.7356368883733504E-2</v>
      </c>
      <c r="E825" s="25">
        <f t="shared" si="12"/>
        <v>818.55</v>
      </c>
      <c r="F825" s="33">
        <f>(Table2634[[#This Row],[4 weeks average]]-B773)/B773</f>
        <v>4.9154063060753532E-2</v>
      </c>
    </row>
    <row r="826" spans="1:6" x14ac:dyDescent="0.2">
      <c r="A826" s="23">
        <v>33140</v>
      </c>
      <c r="B826" s="25">
        <f>VLOOKUP(Table2634[[#This Row],[Date]],'DB Money Supply'!$A:$D,4)</f>
        <v>820.5</v>
      </c>
      <c r="C826" s="31">
        <f>(Table2634[[#This Row],[M1 Money Stock, Billions of Dollars, Weekly, Seasonally Adjusted]]-B825)/B825</f>
        <v>1.5869140624999445E-3</v>
      </c>
      <c r="D826" s="35">
        <f>((1+Table2634[[#This Row],[Weekly change]])^52)-1</f>
        <v>8.5948854104779038E-2</v>
      </c>
      <c r="E826" s="25">
        <f t="shared" si="12"/>
        <v>819.625</v>
      </c>
      <c r="F826" s="33">
        <f>(Table2634[[#This Row],[4 weeks average]]-B774)/B774</f>
        <v>4.9187147977470494E-2</v>
      </c>
    </row>
    <row r="827" spans="1:6" x14ac:dyDescent="0.2">
      <c r="A827" s="23">
        <v>33147</v>
      </c>
      <c r="B827" s="25">
        <f>VLOOKUP(Table2634[[#This Row],[Date]],'DB Money Supply'!$A:$D,4)</f>
        <v>823.3</v>
      </c>
      <c r="C827" s="31">
        <f>(Table2634[[#This Row],[M1 Money Stock, Billions of Dollars, Weekly, Seasonally Adjusted]]-B826)/B826</f>
        <v>3.4125533211455876E-3</v>
      </c>
      <c r="D827" s="35">
        <f>((1+Table2634[[#This Row],[Weekly change]])^52)-1</f>
        <v>0.19381095854669761</v>
      </c>
      <c r="E827" s="25">
        <f t="shared" si="12"/>
        <v>820.7</v>
      </c>
      <c r="F827" s="33">
        <f>(Table2634[[#This Row],[4 weeks average]]-B775)/B775</f>
        <v>4.7479259731971979E-2</v>
      </c>
    </row>
    <row r="828" spans="1:6" x14ac:dyDescent="0.2">
      <c r="A828" s="23">
        <v>33154</v>
      </c>
      <c r="B828" s="25">
        <f>VLOOKUP(Table2634[[#This Row],[Date]],'DB Money Supply'!$A:$D,4)</f>
        <v>820.5</v>
      </c>
      <c r="C828" s="31">
        <f>(Table2634[[#This Row],[M1 Money Stock, Billions of Dollars, Weekly, Seasonally Adjusted]]-B827)/B827</f>
        <v>-3.4009474067775475E-3</v>
      </c>
      <c r="D828" s="35">
        <f>((1+Table2634[[#This Row],[Weekly change]])^52)-1</f>
        <v>-0.16234643949209171</v>
      </c>
      <c r="E828" s="25">
        <f t="shared" si="12"/>
        <v>820.875</v>
      </c>
      <c r="F828" s="33">
        <f>(Table2634[[#This Row],[4 weeks average]]-B776)/B776</f>
        <v>4.5434284258787511E-2</v>
      </c>
    </row>
    <row r="829" spans="1:6" x14ac:dyDescent="0.2">
      <c r="A829" s="23">
        <v>33161</v>
      </c>
      <c r="B829" s="25">
        <f>VLOOKUP(Table2634[[#This Row],[Date]],'DB Money Supply'!$A:$D,4)</f>
        <v>820.7</v>
      </c>
      <c r="C829" s="31">
        <f>(Table2634[[#This Row],[M1 Money Stock, Billions of Dollars, Weekly, Seasonally Adjusted]]-B828)/B828</f>
        <v>2.4375380865331562E-4</v>
      </c>
      <c r="D829" s="35">
        <f>((1+Table2634[[#This Row],[Weekly change]])^52)-1</f>
        <v>1.2754304587974108E-2</v>
      </c>
      <c r="E829" s="25">
        <f t="shared" si="12"/>
        <v>821.25</v>
      </c>
      <c r="F829" s="33">
        <f>(Table2634[[#This Row],[4 weeks average]]-B777)/B777</f>
        <v>4.1270445036135354E-2</v>
      </c>
    </row>
    <row r="830" spans="1:6" x14ac:dyDescent="0.2">
      <c r="A830" s="23">
        <v>33168</v>
      </c>
      <c r="B830" s="25">
        <f>VLOOKUP(Table2634[[#This Row],[Date]],'DB Money Supply'!$A:$D,4)</f>
        <v>817.2</v>
      </c>
      <c r="C830" s="31">
        <f>(Table2634[[#This Row],[M1 Money Stock, Billions of Dollars, Weekly, Seasonally Adjusted]]-B829)/B829</f>
        <v>-4.264652126233703E-3</v>
      </c>
      <c r="D830" s="35">
        <f>((1+Table2634[[#This Row],[Weekly change]])^52)-1</f>
        <v>-0.19927373187762931</v>
      </c>
      <c r="E830" s="25">
        <f t="shared" si="12"/>
        <v>820.42499999999995</v>
      </c>
      <c r="F830" s="33">
        <f>(Table2634[[#This Row],[4 weeks average]]-B778)/B778</f>
        <v>4.1941833883667741E-2</v>
      </c>
    </row>
    <row r="831" spans="1:6" x14ac:dyDescent="0.2">
      <c r="A831" s="23">
        <v>33175</v>
      </c>
      <c r="B831" s="25">
        <f>VLOOKUP(Table2634[[#This Row],[Date]],'DB Money Supply'!$A:$D,4)</f>
        <v>820</v>
      </c>
      <c r="C831" s="31">
        <f>(Table2634[[#This Row],[M1 Money Stock, Billions of Dollars, Weekly, Seasonally Adjusted]]-B830)/B830</f>
        <v>3.4263338228095381E-3</v>
      </c>
      <c r="D831" s="35">
        <f>((1+Table2634[[#This Row],[Weekly change]])^52)-1</f>
        <v>0.19466381610780581</v>
      </c>
      <c r="E831" s="25">
        <f t="shared" si="12"/>
        <v>819.6</v>
      </c>
      <c r="F831" s="33">
        <f>(Table2634[[#This Row],[4 weeks average]]-B779)/B779</f>
        <v>4.3013489437515998E-2</v>
      </c>
    </row>
    <row r="832" spans="1:6" x14ac:dyDescent="0.2">
      <c r="A832" s="23">
        <v>33182</v>
      </c>
      <c r="B832" s="25">
        <f>VLOOKUP(Table2634[[#This Row],[Date]],'DB Money Supply'!$A:$D,4)</f>
        <v>822</v>
      </c>
      <c r="C832" s="31">
        <f>(Table2634[[#This Row],[M1 Money Stock, Billions of Dollars, Weekly, Seasonally Adjusted]]-B831)/B831</f>
        <v>2.4390243902439024E-3</v>
      </c>
      <c r="D832" s="35">
        <f>((1+Table2634[[#This Row],[Weekly change]])^52)-1</f>
        <v>0.13504789637214487</v>
      </c>
      <c r="E832" s="25">
        <f t="shared" si="12"/>
        <v>819.97500000000002</v>
      </c>
      <c r="F832" s="33">
        <f>(Table2634[[#This Row],[4 weeks average]]-B780)/B780</f>
        <v>4.1899618805590878E-2</v>
      </c>
    </row>
    <row r="833" spans="1:6" x14ac:dyDescent="0.2">
      <c r="A833" s="23">
        <v>33189</v>
      </c>
      <c r="B833" s="25">
        <f>VLOOKUP(Table2634[[#This Row],[Date]],'DB Money Supply'!$A:$D,4)</f>
        <v>822</v>
      </c>
      <c r="C833" s="31">
        <f>(Table2634[[#This Row],[M1 Money Stock, Billions of Dollars, Weekly, Seasonally Adjusted]]-B832)/B832</f>
        <v>0</v>
      </c>
      <c r="D833" s="35">
        <f>((1+Table2634[[#This Row],[Weekly change]])^52)-1</f>
        <v>0</v>
      </c>
      <c r="E833" s="25">
        <f t="shared" si="12"/>
        <v>820.3</v>
      </c>
      <c r="F833" s="33">
        <f>(Table2634[[#This Row],[4 weeks average]]-B781)/B781</f>
        <v>4.3771472197480565E-2</v>
      </c>
    </row>
    <row r="834" spans="1:6" x14ac:dyDescent="0.2">
      <c r="A834" s="23">
        <v>33196</v>
      </c>
      <c r="B834" s="25">
        <f>VLOOKUP(Table2634[[#This Row],[Date]],'DB Money Supply'!$A:$D,4)</f>
        <v>823.4</v>
      </c>
      <c r="C834" s="31">
        <f>(Table2634[[#This Row],[M1 Money Stock, Billions of Dollars, Weekly, Seasonally Adjusted]]-B833)/B833</f>
        <v>1.7031630170316024E-3</v>
      </c>
      <c r="D834" s="35">
        <f>((1+Table2634[[#This Row],[Weekly change]])^52)-1</f>
        <v>9.2522390528442244E-2</v>
      </c>
      <c r="E834" s="25">
        <f t="shared" si="12"/>
        <v>821.85</v>
      </c>
      <c r="F834" s="33">
        <f>(Table2634[[#This Row],[4 weeks average]]-B782)/B782</f>
        <v>4.3486541391569322E-2</v>
      </c>
    </row>
    <row r="835" spans="1:6" x14ac:dyDescent="0.2">
      <c r="A835" s="23">
        <v>33203</v>
      </c>
      <c r="B835" s="25">
        <f>VLOOKUP(Table2634[[#This Row],[Date]],'DB Money Supply'!$A:$D,4)</f>
        <v>824.5</v>
      </c>
      <c r="C835" s="31">
        <f>(Table2634[[#This Row],[M1 Money Stock, Billions of Dollars, Weekly, Seasonally Adjusted]]-B834)/B834</f>
        <v>1.335924216662646E-3</v>
      </c>
      <c r="D835" s="35">
        <f>((1+Table2634[[#This Row],[Weekly change]])^52)-1</f>
        <v>7.1888127492145681E-2</v>
      </c>
      <c r="E835" s="25">
        <f t="shared" si="12"/>
        <v>822.97500000000002</v>
      </c>
      <c r="F835" s="33">
        <f>(Table2634[[#This Row],[4 weeks average]]-B783)/B783</f>
        <v>4.0818262299228497E-2</v>
      </c>
    </row>
    <row r="836" spans="1:6" x14ac:dyDescent="0.2">
      <c r="A836" s="23">
        <v>33210</v>
      </c>
      <c r="B836" s="25">
        <f>VLOOKUP(Table2634[[#This Row],[Date]],'DB Money Supply'!$A:$D,4)</f>
        <v>815.3</v>
      </c>
      <c r="C836" s="31">
        <f>(Table2634[[#This Row],[M1 Money Stock, Billions of Dollars, Weekly, Seasonally Adjusted]]-B835)/B835</f>
        <v>-1.1158277744087381E-2</v>
      </c>
      <c r="D836" s="35">
        <f>((1+Table2634[[#This Row],[Weekly change]])^52)-1</f>
        <v>-0.44205334035327981</v>
      </c>
      <c r="E836" s="25">
        <f t="shared" si="12"/>
        <v>821.3</v>
      </c>
      <c r="F836" s="33">
        <f>(Table2634[[#This Row],[4 weeks average]]-B784)/B784</f>
        <v>4.0937896070975859E-2</v>
      </c>
    </row>
    <row r="837" spans="1:6" x14ac:dyDescent="0.2">
      <c r="A837" s="23">
        <v>33217</v>
      </c>
      <c r="B837" s="25">
        <f>VLOOKUP(Table2634[[#This Row],[Date]],'DB Money Supply'!$A:$D,4)</f>
        <v>821.8</v>
      </c>
      <c r="C837" s="31">
        <f>(Table2634[[#This Row],[M1 Money Stock, Billions of Dollars, Weekly, Seasonally Adjusted]]-B836)/B836</f>
        <v>7.9725254507543239E-3</v>
      </c>
      <c r="D837" s="35">
        <f>((1+Table2634[[#This Row],[Weekly change]])^52)-1</f>
        <v>0.51123540386825406</v>
      </c>
      <c r="E837" s="25">
        <f t="shared" si="12"/>
        <v>821.25</v>
      </c>
      <c r="F837" s="33">
        <f>(Table2634[[#This Row],[4 weeks average]]-B785)/B785</f>
        <v>3.9820207647505761E-2</v>
      </c>
    </row>
    <row r="838" spans="1:6" x14ac:dyDescent="0.2">
      <c r="A838" s="23">
        <v>33224</v>
      </c>
      <c r="B838" s="25">
        <f>VLOOKUP(Table2634[[#This Row],[Date]],'DB Money Supply'!$A:$D,4)</f>
        <v>824.2</v>
      </c>
      <c r="C838" s="31">
        <f>(Table2634[[#This Row],[M1 Money Stock, Billions of Dollars, Weekly, Seasonally Adjusted]]-B837)/B837</f>
        <v>2.9204185933318218E-3</v>
      </c>
      <c r="D838" s="35">
        <f>((1+Table2634[[#This Row],[Weekly change]])^52)-1</f>
        <v>0.16374173516070556</v>
      </c>
      <c r="E838" s="25">
        <f t="shared" si="12"/>
        <v>821.45</v>
      </c>
      <c r="F838" s="33">
        <f>(Table2634[[#This Row],[4 weeks average]]-B786)/B786</f>
        <v>3.8889591501201463E-2</v>
      </c>
    </row>
    <row r="839" spans="1:6" x14ac:dyDescent="0.2">
      <c r="A839" s="23">
        <v>33231</v>
      </c>
      <c r="B839" s="25">
        <f>VLOOKUP(Table2634[[#This Row],[Date]],'DB Money Supply'!$A:$D,4)</f>
        <v>828.1</v>
      </c>
      <c r="C839" s="31">
        <f>(Table2634[[#This Row],[M1 Money Stock, Billions of Dollars, Weekly, Seasonally Adjusted]]-B838)/B838</f>
        <v>4.7318611987381427E-3</v>
      </c>
      <c r="D839" s="35">
        <f>((1+Table2634[[#This Row],[Weekly change]])^52)-1</f>
        <v>0.27823019244103153</v>
      </c>
      <c r="E839" s="25">
        <f t="shared" si="12"/>
        <v>822.35</v>
      </c>
      <c r="F839" s="33">
        <f>(Table2634[[#This Row],[4 weeks average]]-B787)/B787</f>
        <v>3.4532645615800786E-2</v>
      </c>
    </row>
    <row r="840" spans="1:6" x14ac:dyDescent="0.2">
      <c r="A840" s="23">
        <v>33238</v>
      </c>
      <c r="B840" s="25">
        <f>VLOOKUP(Table2634[[#This Row],[Date]],'DB Money Supply'!$A:$D,4)</f>
        <v>828.9</v>
      </c>
      <c r="C840" s="31">
        <f>(Table2634[[#This Row],[M1 Money Stock, Billions of Dollars, Weekly, Seasonally Adjusted]]-B839)/B839</f>
        <v>9.6606690013277931E-4</v>
      </c>
      <c r="D840" s="35">
        <f>((1+Table2634[[#This Row],[Weekly change]])^52)-1</f>
        <v>5.1493178780052773E-2</v>
      </c>
      <c r="E840" s="25">
        <f t="shared" si="12"/>
        <v>825.75</v>
      </c>
      <c r="F840" s="33">
        <f>(Table2634[[#This Row],[4 weeks average]]-B788)/B788</f>
        <v>3.4385569334836587E-2</v>
      </c>
    </row>
    <row r="841" spans="1:6" x14ac:dyDescent="0.2">
      <c r="A841" s="23">
        <v>33245</v>
      </c>
      <c r="B841" s="25">
        <f>VLOOKUP(Table2634[[#This Row],[Date]],'DB Money Supply'!$A:$D,4)</f>
        <v>826.6</v>
      </c>
      <c r="C841" s="31">
        <f>(Table2634[[#This Row],[M1 Money Stock, Billions of Dollars, Weekly, Seasonally Adjusted]]-B840)/B840</f>
        <v>-2.7747617324164007E-3</v>
      </c>
      <c r="D841" s="35">
        <f>((1+Table2634[[#This Row],[Weekly change]])^52)-1</f>
        <v>-0.13453484317426589</v>
      </c>
      <c r="E841" s="25">
        <f t="shared" ref="E841:E904" si="13">AVERAGE(B838:B841)</f>
        <v>826.95</v>
      </c>
      <c r="F841" s="33">
        <f>(Table2634[[#This Row],[4 weeks average]]-B789)/B789</f>
        <v>4.2023689516129059E-2</v>
      </c>
    </row>
    <row r="842" spans="1:6" x14ac:dyDescent="0.2">
      <c r="A842" s="23">
        <v>33252</v>
      </c>
      <c r="B842" s="25">
        <f>VLOOKUP(Table2634[[#This Row],[Date]],'DB Money Supply'!$A:$D,4)</f>
        <v>825.7</v>
      </c>
      <c r="C842" s="31">
        <f>(Table2634[[#This Row],[M1 Money Stock, Billions of Dollars, Weekly, Seasonally Adjusted]]-B841)/B841</f>
        <v>-1.0887974836680102E-3</v>
      </c>
      <c r="D842" s="35">
        <f>((1+Table2634[[#This Row],[Weekly change]])^52)-1</f>
        <v>-5.5073671721411532E-2</v>
      </c>
      <c r="E842" s="25">
        <f t="shared" si="13"/>
        <v>827.32500000000005</v>
      </c>
      <c r="F842" s="33">
        <f>(Table2634[[#This Row],[4 weeks average]]-B790)/B790</f>
        <v>3.8700564971751471E-2</v>
      </c>
    </row>
    <row r="843" spans="1:6" x14ac:dyDescent="0.2">
      <c r="A843" s="23">
        <v>33259</v>
      </c>
      <c r="B843" s="25">
        <f>VLOOKUP(Table2634[[#This Row],[Date]],'DB Money Supply'!$A:$D,4)</f>
        <v>826.2</v>
      </c>
      <c r="C843" s="31">
        <f>(Table2634[[#This Row],[M1 Money Stock, Billions of Dollars, Weekly, Seasonally Adjusted]]-B842)/B842</f>
        <v>6.0554680876831772E-4</v>
      </c>
      <c r="D843" s="35">
        <f>((1+Table2634[[#This Row],[Weekly change]])^52)-1</f>
        <v>3.1979604768254788E-2</v>
      </c>
      <c r="E843" s="25">
        <f t="shared" si="13"/>
        <v>826.84999999999991</v>
      </c>
      <c r="F843" s="33">
        <f>(Table2634[[#This Row],[4 weeks average]]-B791)/B791</f>
        <v>3.9932084014589218E-2</v>
      </c>
    </row>
    <row r="844" spans="1:6" x14ac:dyDescent="0.2">
      <c r="A844" s="23">
        <v>33266</v>
      </c>
      <c r="B844" s="25">
        <f>VLOOKUP(Table2634[[#This Row],[Date]],'DB Money Supply'!$A:$D,4)</f>
        <v>828.4</v>
      </c>
      <c r="C844" s="31">
        <f>(Table2634[[#This Row],[M1 Money Stock, Billions of Dollars, Weekly, Seasonally Adjusted]]-B843)/B843</f>
        <v>2.6627935124666322E-3</v>
      </c>
      <c r="D844" s="35">
        <f>((1+Table2634[[#This Row],[Weekly change]])^52)-1</f>
        <v>0.1482984489414354</v>
      </c>
      <c r="E844" s="25">
        <f t="shared" si="13"/>
        <v>826.72500000000002</v>
      </c>
      <c r="F844" s="33">
        <f>(Table2634[[#This Row],[4 weeks average]]-B792)/B792</f>
        <v>4.1477702191987993E-2</v>
      </c>
    </row>
    <row r="845" spans="1:6" x14ac:dyDescent="0.2">
      <c r="A845" s="23">
        <v>33273</v>
      </c>
      <c r="B845" s="25">
        <f>VLOOKUP(Table2634[[#This Row],[Date]],'DB Money Supply'!$A:$D,4)</f>
        <v>830.9</v>
      </c>
      <c r="C845" s="31">
        <f>(Table2634[[#This Row],[M1 Money Stock, Billions of Dollars, Weekly, Seasonally Adjusted]]-B844)/B844</f>
        <v>3.0178657653307582E-3</v>
      </c>
      <c r="D845" s="35">
        <f>((1+Table2634[[#This Row],[Weekly change]])^52)-1</f>
        <v>0.16963612922243554</v>
      </c>
      <c r="E845" s="25">
        <f t="shared" si="13"/>
        <v>827.80000000000007</v>
      </c>
      <c r="F845" s="33">
        <f>(Table2634[[#This Row],[4 weeks average]]-B793)/B793</f>
        <v>3.8514615481119112E-2</v>
      </c>
    </row>
    <row r="846" spans="1:6" x14ac:dyDescent="0.2">
      <c r="A846" s="23">
        <v>33280</v>
      </c>
      <c r="B846" s="25">
        <f>VLOOKUP(Table2634[[#This Row],[Date]],'DB Money Supply'!$A:$D,4)</f>
        <v>833.5</v>
      </c>
      <c r="C846" s="31">
        <f>(Table2634[[#This Row],[M1 Money Stock, Billions of Dollars, Weekly, Seasonally Adjusted]]-B845)/B845</f>
        <v>3.1291370802744287E-3</v>
      </c>
      <c r="D846" s="35">
        <f>((1+Table2634[[#This Row],[Weekly change]])^52)-1</f>
        <v>0.17640253083647695</v>
      </c>
      <c r="E846" s="25">
        <f t="shared" si="13"/>
        <v>829.75</v>
      </c>
      <c r="F846" s="33">
        <f>(Table2634[[#This Row],[4 weeks average]]-B794)/B794</f>
        <v>4.2006781363807671E-2</v>
      </c>
    </row>
    <row r="847" spans="1:6" x14ac:dyDescent="0.2">
      <c r="A847" s="23">
        <v>33287</v>
      </c>
      <c r="B847" s="25">
        <f>VLOOKUP(Table2634[[#This Row],[Date]],'DB Money Supply'!$A:$D,4)</f>
        <v>832.4</v>
      </c>
      <c r="C847" s="31">
        <f>(Table2634[[#This Row],[M1 Money Stock, Billions of Dollars, Weekly, Seasonally Adjusted]]-B846)/B846</f>
        <v>-1.3197360527894694E-3</v>
      </c>
      <c r="D847" s="35">
        <f>((1+Table2634[[#This Row],[Weekly change]])^52)-1</f>
        <v>-6.6366764089980212E-2</v>
      </c>
      <c r="E847" s="25">
        <f t="shared" si="13"/>
        <v>831.30000000000007</v>
      </c>
      <c r="F847" s="33">
        <f>(Table2634[[#This Row],[4 weeks average]]-B795)/B795</f>
        <v>4.3953283938214384E-2</v>
      </c>
    </row>
    <row r="848" spans="1:6" x14ac:dyDescent="0.2">
      <c r="A848" s="23">
        <v>33294</v>
      </c>
      <c r="B848" s="25">
        <f>VLOOKUP(Table2634[[#This Row],[Date]],'DB Money Supply'!$A:$D,4)</f>
        <v>832</v>
      </c>
      <c r="C848" s="31">
        <f>(Table2634[[#This Row],[M1 Money Stock, Billions of Dollars, Weekly, Seasonally Adjusted]]-B847)/B847</f>
        <v>-4.8053820278709427E-4</v>
      </c>
      <c r="D848" s="35">
        <f>((1+Table2634[[#This Row],[Weekly change]])^52)-1</f>
        <v>-2.468422859453534E-2</v>
      </c>
      <c r="E848" s="25">
        <f t="shared" si="13"/>
        <v>832.2</v>
      </c>
      <c r="F848" s="33">
        <f>(Table2634[[#This Row],[4 weeks average]]-B796)/B796</f>
        <v>4.0510127531883086E-2</v>
      </c>
    </row>
    <row r="849" spans="1:6" x14ac:dyDescent="0.2">
      <c r="A849" s="23">
        <v>33301</v>
      </c>
      <c r="B849" s="25">
        <f>VLOOKUP(Table2634[[#This Row],[Date]],'DB Money Supply'!$A:$D,4)</f>
        <v>834.6</v>
      </c>
      <c r="C849" s="31">
        <f>(Table2634[[#This Row],[M1 Money Stock, Billions of Dollars, Weekly, Seasonally Adjusted]]-B848)/B848</f>
        <v>3.1250000000000275E-3</v>
      </c>
      <c r="D849" s="35">
        <f>((1+Table2634[[#This Row],[Weekly change]])^52)-1</f>
        <v>0.17615026948159795</v>
      </c>
      <c r="E849" s="25">
        <f t="shared" si="13"/>
        <v>833.125</v>
      </c>
      <c r="F849" s="33">
        <f>(Table2634[[#This Row],[4 weeks average]]-B797)/B797</f>
        <v>3.9327594810379209E-2</v>
      </c>
    </row>
    <row r="850" spans="1:6" x14ac:dyDescent="0.2">
      <c r="A850" s="23">
        <v>33308</v>
      </c>
      <c r="B850" s="25">
        <f>VLOOKUP(Table2634[[#This Row],[Date]],'DB Money Supply'!$A:$D,4)</f>
        <v>836.5</v>
      </c>
      <c r="C850" s="31">
        <f>(Table2634[[#This Row],[M1 Money Stock, Billions of Dollars, Weekly, Seasonally Adjusted]]-B849)/B849</f>
        <v>2.2765396597172025E-3</v>
      </c>
      <c r="D850" s="35">
        <f>((1+Table2634[[#This Row],[Weekly change]])^52)-1</f>
        <v>0.12552041297965122</v>
      </c>
      <c r="E850" s="25">
        <f t="shared" si="13"/>
        <v>833.875</v>
      </c>
      <c r="F850" s="33">
        <f>(Table2634[[#This Row],[4 weeks average]]-B798)/B798</f>
        <v>4.2734775540827753E-2</v>
      </c>
    </row>
    <row r="851" spans="1:6" x14ac:dyDescent="0.2">
      <c r="A851" s="23">
        <v>33315</v>
      </c>
      <c r="B851" s="25">
        <f>VLOOKUP(Table2634[[#This Row],[Date]],'DB Money Supply'!$A:$D,4)</f>
        <v>836</v>
      </c>
      <c r="C851" s="31">
        <f>(Table2634[[#This Row],[M1 Money Stock, Billions of Dollars, Weekly, Seasonally Adjusted]]-B850)/B850</f>
        <v>-5.977286312014345E-4</v>
      </c>
      <c r="D851" s="35">
        <f>((1+Table2634[[#This Row],[Weekly change]])^52)-1</f>
        <v>-3.0612821415152647E-2</v>
      </c>
      <c r="E851" s="25">
        <f t="shared" si="13"/>
        <v>834.77499999999998</v>
      </c>
      <c r="F851" s="33">
        <f>(Table2634[[#This Row],[4 weeks average]]-B799)/B799</f>
        <v>4.3990745372686282E-2</v>
      </c>
    </row>
    <row r="852" spans="1:6" x14ac:dyDescent="0.2">
      <c r="A852" s="23">
        <v>33322</v>
      </c>
      <c r="B852" s="25">
        <f>VLOOKUP(Table2634[[#This Row],[Date]],'DB Money Supply'!$A:$D,4)</f>
        <v>840.2</v>
      </c>
      <c r="C852" s="31">
        <f>(Table2634[[#This Row],[M1 Money Stock, Billions of Dollars, Weekly, Seasonally Adjusted]]-B851)/B851</f>
        <v>5.023923444976131E-3</v>
      </c>
      <c r="D852" s="35">
        <f>((1+Table2634[[#This Row],[Weekly change]])^52)-1</f>
        <v>0.29769546723150642</v>
      </c>
      <c r="E852" s="25">
        <f t="shared" si="13"/>
        <v>836.82500000000005</v>
      </c>
      <c r="F852" s="33">
        <f>(Table2634[[#This Row],[4 weeks average]]-B800)/B800</f>
        <v>4.2772585669781989E-2</v>
      </c>
    </row>
    <row r="853" spans="1:6" x14ac:dyDescent="0.2">
      <c r="A853" s="23">
        <v>33329</v>
      </c>
      <c r="B853" s="25">
        <f>VLOOKUP(Table2634[[#This Row],[Date]],'DB Money Supply'!$A:$D,4)</f>
        <v>845.5</v>
      </c>
      <c r="C853" s="31">
        <f>(Table2634[[#This Row],[M1 Money Stock, Billions of Dollars, Weekly, Seasonally Adjusted]]-B852)/B852</f>
        <v>6.3080218995476721E-3</v>
      </c>
      <c r="D853" s="35">
        <f>((1+Table2634[[#This Row],[Weekly change]])^52)-1</f>
        <v>0.38678330933233607</v>
      </c>
      <c r="E853" s="25">
        <f t="shared" si="13"/>
        <v>839.55</v>
      </c>
      <c r="F853" s="33">
        <f>(Table2634[[#This Row],[4 weeks average]]-B801)/B801</f>
        <v>4.6298604187437663E-2</v>
      </c>
    </row>
    <row r="854" spans="1:6" x14ac:dyDescent="0.2">
      <c r="A854" s="23">
        <v>33336</v>
      </c>
      <c r="B854" s="25">
        <f>VLOOKUP(Table2634[[#This Row],[Date]],'DB Money Supply'!$A:$D,4)</f>
        <v>842.7</v>
      </c>
      <c r="C854" s="31">
        <f>(Table2634[[#This Row],[M1 Money Stock, Billions of Dollars, Weekly, Seasonally Adjusted]]-B853)/B853</f>
        <v>-3.311649911295038E-3</v>
      </c>
      <c r="D854" s="35">
        <f>((1+Table2634[[#This Row],[Weekly change]])^52)-1</f>
        <v>-0.15843461609569287</v>
      </c>
      <c r="E854" s="25">
        <f t="shared" si="13"/>
        <v>841.09999999999991</v>
      </c>
      <c r="F854" s="33">
        <f>(Table2634[[#This Row],[4 weeks average]]-B802)/B802</f>
        <v>4.5754071863732385E-2</v>
      </c>
    </row>
    <row r="855" spans="1:6" x14ac:dyDescent="0.2">
      <c r="A855" s="23">
        <v>33343</v>
      </c>
      <c r="B855" s="25">
        <f>VLOOKUP(Table2634[[#This Row],[Date]],'DB Money Supply'!$A:$D,4)</f>
        <v>845</v>
      </c>
      <c r="C855" s="31">
        <f>(Table2634[[#This Row],[M1 Money Stock, Billions of Dollars, Weekly, Seasonally Adjusted]]-B854)/B854</f>
        <v>2.7293224160436151E-3</v>
      </c>
      <c r="D855" s="35">
        <f>((1+Table2634[[#This Row],[Weekly change]])^52)-1</f>
        <v>0.15226715192493745</v>
      </c>
      <c r="E855" s="25">
        <f t="shared" si="13"/>
        <v>843.35</v>
      </c>
      <c r="F855" s="33">
        <f>(Table2634[[#This Row],[4 weeks average]]-B803)/B803</f>
        <v>4.5043370508054549E-2</v>
      </c>
    </row>
    <row r="856" spans="1:6" x14ac:dyDescent="0.2">
      <c r="A856" s="23">
        <v>33350</v>
      </c>
      <c r="B856" s="25">
        <f>VLOOKUP(Table2634[[#This Row],[Date]],'DB Money Supply'!$A:$D,4)</f>
        <v>842.6</v>
      </c>
      <c r="C856" s="31">
        <f>(Table2634[[#This Row],[M1 Money Stock, Billions of Dollars, Weekly, Seasonally Adjusted]]-B855)/B855</f>
        <v>-2.8402366863905055E-3</v>
      </c>
      <c r="D856" s="35">
        <f>((1+Table2634[[#This Row],[Weekly change]])^52)-1</f>
        <v>-0.13748474755381246</v>
      </c>
      <c r="E856" s="25">
        <f t="shared" si="13"/>
        <v>843.94999999999993</v>
      </c>
      <c r="F856" s="33">
        <f>(Table2634[[#This Row],[4 weeks average]]-B804)/B804</f>
        <v>4.5527750247769928E-2</v>
      </c>
    </row>
    <row r="857" spans="1:6" x14ac:dyDescent="0.2">
      <c r="A857" s="23">
        <v>33357</v>
      </c>
      <c r="B857" s="25">
        <f>VLOOKUP(Table2634[[#This Row],[Date]],'DB Money Supply'!$A:$D,4)</f>
        <v>841.2</v>
      </c>
      <c r="C857" s="31">
        <f>(Table2634[[#This Row],[M1 Money Stock, Billions of Dollars, Weekly, Seasonally Adjusted]]-B856)/B856</f>
        <v>-1.661523854735316E-3</v>
      </c>
      <c r="D857" s="35">
        <f>((1+Table2634[[#This Row],[Weekly change]])^52)-1</f>
        <v>-8.2837943093937993E-2</v>
      </c>
      <c r="E857" s="25">
        <f t="shared" si="13"/>
        <v>842.875</v>
      </c>
      <c r="F857" s="33">
        <f>(Table2634[[#This Row],[4 weeks average]]-B805)/B805</f>
        <v>4.5102293862368255E-2</v>
      </c>
    </row>
    <row r="858" spans="1:6" x14ac:dyDescent="0.2">
      <c r="A858" s="23">
        <v>33364</v>
      </c>
      <c r="B858" s="25">
        <f>VLOOKUP(Table2634[[#This Row],[Date]],'DB Money Supply'!$A:$D,4)</f>
        <v>846.4</v>
      </c>
      <c r="C858" s="31">
        <f>(Table2634[[#This Row],[M1 Money Stock, Billions of Dollars, Weekly, Seasonally Adjusted]]-B857)/B857</f>
        <v>6.1816452686637323E-3</v>
      </c>
      <c r="D858" s="35">
        <f>((1+Table2634[[#This Row],[Weekly change]])^52)-1</f>
        <v>0.37775601326401187</v>
      </c>
      <c r="E858" s="25">
        <f t="shared" si="13"/>
        <v>843.80000000000007</v>
      </c>
      <c r="F858" s="33">
        <f>(Table2634[[#This Row],[4 weeks average]]-B806)/B806</f>
        <v>5.0809464508094732E-2</v>
      </c>
    </row>
    <row r="859" spans="1:6" x14ac:dyDescent="0.2">
      <c r="A859" s="23">
        <v>33371</v>
      </c>
      <c r="B859" s="25">
        <f>VLOOKUP(Table2634[[#This Row],[Date]],'DB Money Supply'!$A:$D,4)</f>
        <v>848.3</v>
      </c>
      <c r="C859" s="31">
        <f>(Table2634[[#This Row],[M1 Money Stock, Billions of Dollars, Weekly, Seasonally Adjusted]]-B858)/B858</f>
        <v>2.2448015122873079E-3</v>
      </c>
      <c r="D859" s="35">
        <f>((1+Table2634[[#This Row],[Weekly change]])^52)-1</f>
        <v>0.12366858737219322</v>
      </c>
      <c r="E859" s="25">
        <f t="shared" si="13"/>
        <v>844.625</v>
      </c>
      <c r="F859" s="33">
        <f>(Table2634[[#This Row],[4 weeks average]]-B807)/B807</f>
        <v>5.1967866483995546E-2</v>
      </c>
    </row>
    <row r="860" spans="1:6" x14ac:dyDescent="0.2">
      <c r="A860" s="23">
        <v>33378</v>
      </c>
      <c r="B860" s="25">
        <f>VLOOKUP(Table2634[[#This Row],[Date]],'DB Money Supply'!$A:$D,4)</f>
        <v>850.8</v>
      </c>
      <c r="C860" s="31">
        <f>(Table2634[[#This Row],[M1 Money Stock, Billions of Dollars, Weekly, Seasonally Adjusted]]-B859)/B859</f>
        <v>2.947070611811859E-3</v>
      </c>
      <c r="D860" s="35">
        <f>((1+Table2634[[#This Row],[Weekly change]])^52)-1</f>
        <v>0.16535096439981212</v>
      </c>
      <c r="E860" s="25">
        <f t="shared" si="13"/>
        <v>846.67499999999995</v>
      </c>
      <c r="F860" s="33">
        <f>(Table2634[[#This Row],[4 weeks average]]-B808)/B808</f>
        <v>5.0204663855122685E-2</v>
      </c>
    </row>
    <row r="861" spans="1:6" x14ac:dyDescent="0.2">
      <c r="A861" s="23">
        <v>33385</v>
      </c>
      <c r="B861" s="25">
        <f>VLOOKUP(Table2634[[#This Row],[Date]],'DB Money Supply'!$A:$D,4)</f>
        <v>849.7</v>
      </c>
      <c r="C861" s="31">
        <f>(Table2634[[#This Row],[M1 Money Stock, Billions of Dollars, Weekly, Seasonally Adjusted]]-B860)/B860</f>
        <v>-1.2929007992476601E-3</v>
      </c>
      <c r="D861" s="35">
        <f>((1+Table2634[[#This Row],[Weekly change]])^52)-1</f>
        <v>-6.5061325357846589E-2</v>
      </c>
      <c r="E861" s="25">
        <f t="shared" si="13"/>
        <v>848.8</v>
      </c>
      <c r="F861" s="33">
        <f>(Table2634[[#This Row],[4 weeks average]]-B809)/B809</f>
        <v>5.4540936762330697E-2</v>
      </c>
    </row>
    <row r="862" spans="1:6" x14ac:dyDescent="0.2">
      <c r="A862" s="23">
        <v>33392</v>
      </c>
      <c r="B862" s="25">
        <f>VLOOKUP(Table2634[[#This Row],[Date]],'DB Money Supply'!$A:$D,4)</f>
        <v>848.1</v>
      </c>
      <c r="C862" s="31">
        <f>(Table2634[[#This Row],[M1 Money Stock, Billions of Dollars, Weekly, Seasonally Adjusted]]-B861)/B861</f>
        <v>-1.883017535600827E-3</v>
      </c>
      <c r="D862" s="35">
        <f>((1+Table2634[[#This Row],[Weekly change]])^52)-1</f>
        <v>-9.3359453131183656E-2</v>
      </c>
      <c r="E862" s="25">
        <f t="shared" si="13"/>
        <v>849.22500000000002</v>
      </c>
      <c r="F862" s="33">
        <f>(Table2634[[#This Row],[4 weeks average]]-B810)/B810</f>
        <v>5.2193036798414076E-2</v>
      </c>
    </row>
    <row r="863" spans="1:6" x14ac:dyDescent="0.2">
      <c r="A863" s="23">
        <v>33399</v>
      </c>
      <c r="B863" s="25">
        <f>VLOOKUP(Table2634[[#This Row],[Date]],'DB Money Supply'!$A:$D,4)</f>
        <v>855.6</v>
      </c>
      <c r="C863" s="31">
        <f>(Table2634[[#This Row],[M1 Money Stock, Billions of Dollars, Weekly, Seasonally Adjusted]]-B862)/B862</f>
        <v>8.843296781039971E-3</v>
      </c>
      <c r="D863" s="35">
        <f>((1+Table2634[[#This Row],[Weekly change]])^52)-1</f>
        <v>0.58064033414254945</v>
      </c>
      <c r="E863" s="25">
        <f t="shared" si="13"/>
        <v>851.05</v>
      </c>
      <c r="F863" s="33">
        <f>(Table2634[[#This Row],[4 weeks average]]-B811)/B811</f>
        <v>5.3670917419833979E-2</v>
      </c>
    </row>
    <row r="864" spans="1:6" x14ac:dyDescent="0.2">
      <c r="A864" s="23">
        <v>33406</v>
      </c>
      <c r="B864" s="25">
        <f>VLOOKUP(Table2634[[#This Row],[Date]],'DB Money Supply'!$A:$D,4)</f>
        <v>856.5</v>
      </c>
      <c r="C864" s="31">
        <f>(Table2634[[#This Row],[M1 Money Stock, Billions of Dollars, Weekly, Seasonally Adjusted]]-B863)/B863</f>
        <v>1.0518934081346157E-3</v>
      </c>
      <c r="D864" s="35">
        <f>((1+Table2634[[#This Row],[Weekly change]])^52)-1</f>
        <v>5.6191706346016002E-2</v>
      </c>
      <c r="E864" s="25">
        <f t="shared" si="13"/>
        <v>852.47500000000002</v>
      </c>
      <c r="F864" s="33">
        <f>(Table2634[[#This Row],[4 weeks average]]-B812)/B812</f>
        <v>5.5958132045088656E-2</v>
      </c>
    </row>
    <row r="865" spans="1:6" x14ac:dyDescent="0.2">
      <c r="A865" s="23">
        <v>33413</v>
      </c>
      <c r="B865" s="25">
        <f>VLOOKUP(Table2634[[#This Row],[Date]],'DB Money Supply'!$A:$D,4)</f>
        <v>856.1</v>
      </c>
      <c r="C865" s="31">
        <f>(Table2634[[#This Row],[M1 Money Stock, Billions of Dollars, Weekly, Seasonally Adjusted]]-B864)/B864</f>
        <v>-4.6701692936366291E-4</v>
      </c>
      <c r="D865" s="35">
        <f>((1+Table2634[[#This Row],[Weekly change]])^52)-1</f>
        <v>-2.3997911600941335E-2</v>
      </c>
      <c r="E865" s="25">
        <f t="shared" si="13"/>
        <v>854.07499999999993</v>
      </c>
      <c r="F865" s="33">
        <f>(Table2634[[#This Row],[4 weeks average]]-B813)/B813</f>
        <v>5.4023201283475229E-2</v>
      </c>
    </row>
    <row r="866" spans="1:6" x14ac:dyDescent="0.2">
      <c r="A866" s="23">
        <v>33420</v>
      </c>
      <c r="B866" s="25">
        <f>VLOOKUP(Table2634[[#This Row],[Date]],'DB Money Supply'!$A:$D,4)</f>
        <v>863.2</v>
      </c>
      <c r="C866" s="31">
        <f>(Table2634[[#This Row],[M1 Money Stock, Billions of Dollars, Weekly, Seasonally Adjusted]]-B865)/B865</f>
        <v>8.2934236654596694E-3</v>
      </c>
      <c r="D866" s="35">
        <f>((1+Table2634[[#This Row],[Weekly change]])^52)-1</f>
        <v>0.53645767243081521</v>
      </c>
      <c r="E866" s="25">
        <f t="shared" si="13"/>
        <v>857.84999999999991</v>
      </c>
      <c r="F866" s="33">
        <f>(Table2634[[#This Row],[4 weeks average]]-B814)/B814</f>
        <v>5.4906542056074599E-2</v>
      </c>
    </row>
    <row r="867" spans="1:6" x14ac:dyDescent="0.2">
      <c r="A867" s="23">
        <v>33427</v>
      </c>
      <c r="B867" s="25">
        <f>VLOOKUP(Table2634[[#This Row],[Date]],'DB Money Supply'!$A:$D,4)</f>
        <v>859.5</v>
      </c>
      <c r="C867" s="31">
        <f>(Table2634[[#This Row],[M1 Money Stock, Billions of Dollars, Weekly, Seasonally Adjusted]]-B866)/B866</f>
        <v>-4.2863762743281337E-3</v>
      </c>
      <c r="D867" s="35">
        <f>((1+Table2634[[#This Row],[Weekly change]])^52)-1</f>
        <v>-0.20018164575799602</v>
      </c>
      <c r="E867" s="25">
        <f t="shared" si="13"/>
        <v>858.82500000000005</v>
      </c>
      <c r="F867" s="33">
        <f>(Table2634[[#This Row],[4 weeks average]]-B815)/B815</f>
        <v>6.2770696695953504E-2</v>
      </c>
    </row>
    <row r="868" spans="1:6" x14ac:dyDescent="0.2">
      <c r="A868" s="23">
        <v>33434</v>
      </c>
      <c r="B868" s="25">
        <f>VLOOKUP(Table2634[[#This Row],[Date]],'DB Money Supply'!$A:$D,4)</f>
        <v>861.4</v>
      </c>
      <c r="C868" s="31">
        <f>(Table2634[[#This Row],[M1 Money Stock, Billions of Dollars, Weekly, Seasonally Adjusted]]-B867)/B867</f>
        <v>2.2105875509016606E-3</v>
      </c>
      <c r="D868" s="35">
        <f>((1+Table2634[[#This Row],[Weekly change]])^52)-1</f>
        <v>0.12167565239782063</v>
      </c>
      <c r="E868" s="25">
        <f t="shared" si="13"/>
        <v>860.05000000000007</v>
      </c>
      <c r="F868" s="33">
        <f>(Table2634[[#This Row],[4 weeks average]]-B816)/B816</f>
        <v>6.008874645630484E-2</v>
      </c>
    </row>
    <row r="869" spans="1:6" x14ac:dyDescent="0.2">
      <c r="A869" s="23">
        <v>33441</v>
      </c>
      <c r="B869" s="25">
        <f>VLOOKUP(Table2634[[#This Row],[Date]],'DB Money Supply'!$A:$D,4)</f>
        <v>861.1</v>
      </c>
      <c r="C869" s="31">
        <f>(Table2634[[#This Row],[M1 Money Stock, Billions of Dollars, Weekly, Seasonally Adjusted]]-B868)/B868</f>
        <v>-3.4827025771993792E-4</v>
      </c>
      <c r="D869" s="35">
        <f>((1+Table2634[[#This Row],[Weekly change]])^52)-1</f>
        <v>-1.7950149569527007E-2</v>
      </c>
      <c r="E869" s="25">
        <f t="shared" si="13"/>
        <v>861.3</v>
      </c>
      <c r="F869" s="33">
        <f>(Table2634[[#This Row],[4 weeks average]]-B817)/B817</f>
        <v>6.4253058198443097E-2</v>
      </c>
    </row>
    <row r="870" spans="1:6" x14ac:dyDescent="0.2">
      <c r="A870" s="23">
        <v>33448</v>
      </c>
      <c r="B870" s="25">
        <f>VLOOKUP(Table2634[[#This Row],[Date]],'DB Money Supply'!$A:$D,4)</f>
        <v>862.7</v>
      </c>
      <c r="C870" s="31">
        <f>(Table2634[[#This Row],[M1 Money Stock, Billions of Dollars, Weekly, Seasonally Adjusted]]-B869)/B869</f>
        <v>1.8580884914644324E-3</v>
      </c>
      <c r="D870" s="35">
        <f>((1+Table2634[[#This Row],[Weekly change]])^52)-1</f>
        <v>0.10134366475948897</v>
      </c>
      <c r="E870" s="25">
        <f t="shared" si="13"/>
        <v>861.17499999999995</v>
      </c>
      <c r="F870" s="33">
        <f>(Table2634[[#This Row],[4 weeks average]]-B818)/B818</f>
        <v>6.2129995066600892E-2</v>
      </c>
    </row>
    <row r="871" spans="1:6" x14ac:dyDescent="0.2">
      <c r="A871" s="23">
        <v>33455</v>
      </c>
      <c r="B871" s="25">
        <f>VLOOKUP(Table2634[[#This Row],[Date]],'DB Money Supply'!$A:$D,4)</f>
        <v>866.3</v>
      </c>
      <c r="C871" s="31">
        <f>(Table2634[[#This Row],[M1 Money Stock, Billions of Dollars, Weekly, Seasonally Adjusted]]-B870)/B870</f>
        <v>4.1729454039641928E-3</v>
      </c>
      <c r="D871" s="35">
        <f>((1+Table2634[[#This Row],[Weekly change]])^52)-1</f>
        <v>0.2417748244447524</v>
      </c>
      <c r="E871" s="25">
        <f t="shared" si="13"/>
        <v>862.875</v>
      </c>
      <c r="F871" s="33">
        <f>(Table2634[[#This Row],[4 weeks average]]-B819)/B819</f>
        <v>6.2784825717452919E-2</v>
      </c>
    </row>
    <row r="872" spans="1:6" x14ac:dyDescent="0.2">
      <c r="A872" s="23">
        <v>33462</v>
      </c>
      <c r="B872" s="25">
        <f>VLOOKUP(Table2634[[#This Row],[Date]],'DB Money Supply'!$A:$D,4)</f>
        <v>865.3</v>
      </c>
      <c r="C872" s="31">
        <f>(Table2634[[#This Row],[M1 Money Stock, Billions of Dollars, Weekly, Seasonally Adjusted]]-B871)/B871</f>
        <v>-1.1543345261456771E-3</v>
      </c>
      <c r="D872" s="35">
        <f>((1+Table2634[[#This Row],[Weekly change]])^52)-1</f>
        <v>-5.8292033439274027E-2</v>
      </c>
      <c r="E872" s="25">
        <f t="shared" si="13"/>
        <v>863.85000000000014</v>
      </c>
      <c r="F872" s="33">
        <f>(Table2634[[#This Row],[4 weeks average]]-B820)/B820</f>
        <v>5.8509986521259785E-2</v>
      </c>
    </row>
    <row r="873" spans="1:6" x14ac:dyDescent="0.2">
      <c r="A873" s="23">
        <v>33469</v>
      </c>
      <c r="B873" s="25">
        <f>VLOOKUP(Table2634[[#This Row],[Date]],'DB Money Supply'!$A:$D,4)</f>
        <v>865</v>
      </c>
      <c r="C873" s="31">
        <f>(Table2634[[#This Row],[M1 Money Stock, Billions of Dollars, Weekly, Seasonally Adjusted]]-B872)/B872</f>
        <v>-3.4670056627753905E-4</v>
      </c>
      <c r="D873" s="35">
        <f>((1+Table2634[[#This Row],[Weekly change]])^52)-1</f>
        <v>-1.7869959639225108E-2</v>
      </c>
      <c r="E873" s="25">
        <f t="shared" si="13"/>
        <v>864.82500000000005</v>
      </c>
      <c r="F873" s="33">
        <f>(Table2634[[#This Row],[4 weeks average]]-B821)/B821</f>
        <v>5.8278267254038174E-2</v>
      </c>
    </row>
    <row r="874" spans="1:6" x14ac:dyDescent="0.2">
      <c r="A874" s="23">
        <v>33476</v>
      </c>
      <c r="B874" s="25">
        <f>VLOOKUP(Table2634[[#This Row],[Date]],'DB Money Supply'!$A:$D,4)</f>
        <v>869.1</v>
      </c>
      <c r="C874" s="31">
        <f>(Table2634[[#This Row],[M1 Money Stock, Billions of Dollars, Weekly, Seasonally Adjusted]]-B873)/B873</f>
        <v>4.7398843930636101E-3</v>
      </c>
      <c r="D874" s="35">
        <f>((1+Table2634[[#This Row],[Weekly change]])^52)-1</f>
        <v>0.27876107442720777</v>
      </c>
      <c r="E874" s="25">
        <f t="shared" si="13"/>
        <v>866.42499999999995</v>
      </c>
      <c r="F874" s="33">
        <f>(Table2634[[#This Row],[4 weeks average]]-B822)/B822</f>
        <v>6.1535162950257176E-2</v>
      </c>
    </row>
    <row r="875" spans="1:6" x14ac:dyDescent="0.2">
      <c r="A875" s="23">
        <v>33483</v>
      </c>
      <c r="B875" s="25">
        <f>VLOOKUP(Table2634[[#This Row],[Date]],'DB Money Supply'!$A:$D,4)</f>
        <v>868.3</v>
      </c>
      <c r="C875" s="31">
        <f>(Table2634[[#This Row],[M1 Money Stock, Billions of Dollars, Weekly, Seasonally Adjusted]]-B874)/B874</f>
        <v>-9.2049246346803378E-4</v>
      </c>
      <c r="D875" s="35">
        <f>((1+Table2634[[#This Row],[Weekly change]])^52)-1</f>
        <v>-4.6759123845645401E-2</v>
      </c>
      <c r="E875" s="25">
        <f t="shared" si="13"/>
        <v>866.92499999999995</v>
      </c>
      <c r="F875" s="33">
        <f>(Table2634[[#This Row],[4 weeks average]]-B823)/B823</f>
        <v>5.8516483516483461E-2</v>
      </c>
    </row>
    <row r="876" spans="1:6" x14ac:dyDescent="0.2">
      <c r="A876" s="23">
        <v>33490</v>
      </c>
      <c r="B876" s="25">
        <f>VLOOKUP(Table2634[[#This Row],[Date]],'DB Money Supply'!$A:$D,4)</f>
        <v>870.5</v>
      </c>
      <c r="C876" s="31">
        <f>(Table2634[[#This Row],[M1 Money Stock, Billions of Dollars, Weekly, Seasonally Adjusted]]-B875)/B875</f>
        <v>2.5336865138777444E-3</v>
      </c>
      <c r="D876" s="35">
        <f>((1+Table2634[[#This Row],[Weekly change]])^52)-1</f>
        <v>0.14063493896681756</v>
      </c>
      <c r="E876" s="25">
        <f t="shared" si="13"/>
        <v>868.22499999999991</v>
      </c>
      <c r="F876" s="33">
        <f>(Table2634[[#This Row],[4 weeks average]]-B824)/B824</f>
        <v>5.9069285191510071E-2</v>
      </c>
    </row>
    <row r="877" spans="1:6" x14ac:dyDescent="0.2">
      <c r="A877" s="23">
        <v>33497</v>
      </c>
      <c r="B877" s="25">
        <f>VLOOKUP(Table2634[[#This Row],[Date]],'DB Money Supply'!$A:$D,4)</f>
        <v>869.8</v>
      </c>
      <c r="C877" s="31">
        <f>(Table2634[[#This Row],[M1 Money Stock, Billions of Dollars, Weekly, Seasonally Adjusted]]-B876)/B876</f>
        <v>-8.0413555427920216E-4</v>
      </c>
      <c r="D877" s="35">
        <f>((1+Table2634[[#This Row],[Weekly change]])^52)-1</f>
        <v>-4.0968991409422451E-2</v>
      </c>
      <c r="E877" s="25">
        <f t="shared" si="13"/>
        <v>869.42499999999995</v>
      </c>
      <c r="F877" s="33">
        <f>(Table2634[[#This Row],[4 weeks average]]-B825)/B825</f>
        <v>6.1309814453124889E-2</v>
      </c>
    </row>
    <row r="878" spans="1:6" x14ac:dyDescent="0.2">
      <c r="A878" s="23">
        <v>33504</v>
      </c>
      <c r="B878" s="25">
        <f>VLOOKUP(Table2634[[#This Row],[Date]],'DB Money Supply'!$A:$D,4)</f>
        <v>869.5</v>
      </c>
      <c r="C878" s="31">
        <f>(Table2634[[#This Row],[M1 Money Stock, Billions of Dollars, Weekly, Seasonally Adjusted]]-B877)/B877</f>
        <v>-3.4490687514365895E-4</v>
      </c>
      <c r="D878" s="35">
        <f>((1+Table2634[[#This Row],[Weekly change]])^52)-1</f>
        <v>-1.7778318502500445E-2</v>
      </c>
      <c r="E878" s="25">
        <f t="shared" si="13"/>
        <v>869.52499999999998</v>
      </c>
      <c r="F878" s="33">
        <f>(Table2634[[#This Row],[4 weeks average]]-B826)/B826</f>
        <v>5.9750152346130382E-2</v>
      </c>
    </row>
    <row r="879" spans="1:6" x14ac:dyDescent="0.2">
      <c r="A879" s="23">
        <v>33511</v>
      </c>
      <c r="B879" s="25">
        <f>VLOOKUP(Table2634[[#This Row],[Date]],'DB Money Supply'!$A:$D,4)</f>
        <v>871.8</v>
      </c>
      <c r="C879" s="31">
        <f>(Table2634[[#This Row],[M1 Money Stock, Billions of Dollars, Weekly, Seasonally Adjusted]]-B878)/B878</f>
        <v>2.6451983898791885E-3</v>
      </c>
      <c r="D879" s="35">
        <f>((1+Table2634[[#This Row],[Weekly change]])^52)-1</f>
        <v>0.14725107637893542</v>
      </c>
      <c r="E879" s="25">
        <f t="shared" si="13"/>
        <v>870.40000000000009</v>
      </c>
      <c r="F879" s="33">
        <f>(Table2634[[#This Row],[4 weeks average]]-B827)/B827</f>
        <v>5.7208793878294834E-2</v>
      </c>
    </row>
    <row r="880" spans="1:6" x14ac:dyDescent="0.2">
      <c r="A880" s="23">
        <v>33518</v>
      </c>
      <c r="B880" s="25">
        <f>VLOOKUP(Table2634[[#This Row],[Date]],'DB Money Supply'!$A:$D,4)</f>
        <v>874.6</v>
      </c>
      <c r="C880" s="31">
        <f>(Table2634[[#This Row],[M1 Money Stock, Billions of Dollars, Weekly, Seasonally Adjusted]]-B879)/B879</f>
        <v>3.2117458132600004E-3</v>
      </c>
      <c r="D880" s="35">
        <f>((1+Table2634[[#This Row],[Weekly change]])^52)-1</f>
        <v>0.18145077906258278</v>
      </c>
      <c r="E880" s="25">
        <f t="shared" si="13"/>
        <v>871.42499999999995</v>
      </c>
      <c r="F880" s="33">
        <f>(Table2634[[#This Row],[4 weeks average]]-B828)/B828</f>
        <v>6.2065813528336324E-2</v>
      </c>
    </row>
    <row r="881" spans="1:6" x14ac:dyDescent="0.2">
      <c r="A881" s="23">
        <v>33525</v>
      </c>
      <c r="B881" s="25">
        <f>VLOOKUP(Table2634[[#This Row],[Date]],'DB Money Supply'!$A:$D,4)</f>
        <v>875.4</v>
      </c>
      <c r="C881" s="31">
        <f>(Table2634[[#This Row],[M1 Money Stock, Billions of Dollars, Weekly, Seasonally Adjusted]]-B880)/B880</f>
        <v>9.14703864623776E-4</v>
      </c>
      <c r="D881" s="35">
        <f>((1+Table2634[[#This Row],[Weekly change]])^52)-1</f>
        <v>4.8691147537472501E-2</v>
      </c>
      <c r="E881" s="25">
        <f t="shared" si="13"/>
        <v>872.82500000000005</v>
      </c>
      <c r="F881" s="33">
        <f>(Table2634[[#This Row],[4 weeks average]]-B829)/B829</f>
        <v>6.3512854879980499E-2</v>
      </c>
    </row>
    <row r="882" spans="1:6" x14ac:dyDescent="0.2">
      <c r="A882" s="23">
        <v>33532</v>
      </c>
      <c r="B882" s="25">
        <f>VLOOKUP(Table2634[[#This Row],[Date]],'DB Money Supply'!$A:$D,4)</f>
        <v>879.5</v>
      </c>
      <c r="C882" s="31">
        <f>(Table2634[[#This Row],[M1 Money Stock, Billions of Dollars, Weekly, Seasonally Adjusted]]-B881)/B881</f>
        <v>4.6835732236692063E-3</v>
      </c>
      <c r="D882" s="35">
        <f>((1+Table2634[[#This Row],[Weekly change]])^52)-1</f>
        <v>0.27503961648744402</v>
      </c>
      <c r="E882" s="25">
        <f t="shared" si="13"/>
        <v>875.32500000000005</v>
      </c>
      <c r="F882" s="33">
        <f>(Table2634[[#This Row],[4 weeks average]]-B830)/B830</f>
        <v>7.1127019089574153E-2</v>
      </c>
    </row>
    <row r="883" spans="1:6" x14ac:dyDescent="0.2">
      <c r="A883" s="23">
        <v>33539</v>
      </c>
      <c r="B883" s="25">
        <f>VLOOKUP(Table2634[[#This Row],[Date]],'DB Money Supply'!$A:$D,4)</f>
        <v>880.8</v>
      </c>
      <c r="C883" s="31">
        <f>(Table2634[[#This Row],[M1 Money Stock, Billions of Dollars, Weekly, Seasonally Adjusted]]-B882)/B882</f>
        <v>1.4781125639567419E-3</v>
      </c>
      <c r="D883" s="35">
        <f>((1+Table2634[[#This Row],[Weekly change]])^52)-1</f>
        <v>7.9831601028092836E-2</v>
      </c>
      <c r="E883" s="25">
        <f t="shared" si="13"/>
        <v>877.57500000000005</v>
      </c>
      <c r="F883" s="33">
        <f>(Table2634[[#This Row],[4 weeks average]]-B831)/B831</f>
        <v>7.0213414634146404E-2</v>
      </c>
    </row>
    <row r="884" spans="1:6" x14ac:dyDescent="0.2">
      <c r="A884" s="23">
        <v>33546</v>
      </c>
      <c r="B884" s="25">
        <f>VLOOKUP(Table2634[[#This Row],[Date]],'DB Money Supply'!$A:$D,4)</f>
        <v>882.4</v>
      </c>
      <c r="C884" s="31">
        <f>(Table2634[[#This Row],[M1 Money Stock, Billions of Dollars, Weekly, Seasonally Adjusted]]-B883)/B883</f>
        <v>1.8165304268846763E-3</v>
      </c>
      <c r="D884" s="35">
        <f>((1+Table2634[[#This Row],[Weekly change]])^52)-1</f>
        <v>9.8970564977429953E-2</v>
      </c>
      <c r="E884" s="25">
        <f t="shared" si="13"/>
        <v>879.52499999999998</v>
      </c>
      <c r="F884" s="33">
        <f>(Table2634[[#This Row],[4 weeks average]]-B832)/B832</f>
        <v>6.9981751824817487E-2</v>
      </c>
    </row>
    <row r="885" spans="1:6" x14ac:dyDescent="0.2">
      <c r="A885" s="23">
        <v>33553</v>
      </c>
      <c r="B885" s="25">
        <f>VLOOKUP(Table2634[[#This Row],[Date]],'DB Money Supply'!$A:$D,4)</f>
        <v>885.8</v>
      </c>
      <c r="C885" s="31">
        <f>(Table2634[[#This Row],[M1 Money Stock, Billions of Dollars, Weekly, Seasonally Adjusted]]-B884)/B884</f>
        <v>3.8531278331822047E-3</v>
      </c>
      <c r="D885" s="35">
        <f>((1+Table2634[[#This Row],[Weekly change]])^52)-1</f>
        <v>0.22137542907825858</v>
      </c>
      <c r="E885" s="25">
        <f t="shared" si="13"/>
        <v>882.125</v>
      </c>
      <c r="F885" s="33">
        <f>(Table2634[[#This Row],[4 weeks average]]-B833)/B833</f>
        <v>7.3144768856447689E-2</v>
      </c>
    </row>
    <row r="886" spans="1:6" x14ac:dyDescent="0.2">
      <c r="A886" s="23">
        <v>33560</v>
      </c>
      <c r="B886" s="25">
        <f>VLOOKUP(Table2634[[#This Row],[Date]],'DB Money Supply'!$A:$D,4)</f>
        <v>886.6</v>
      </c>
      <c r="C886" s="31">
        <f>(Table2634[[#This Row],[M1 Money Stock, Billions of Dollars, Weekly, Seasonally Adjusted]]-B885)/B885</f>
        <v>9.0313840596079054E-4</v>
      </c>
      <c r="D886" s="35">
        <f>((1+Table2634[[#This Row],[Weekly change]])^52)-1</f>
        <v>4.8061222634035561E-2</v>
      </c>
      <c r="E886" s="25">
        <f t="shared" si="13"/>
        <v>883.9</v>
      </c>
      <c r="F886" s="33">
        <f>(Table2634[[#This Row],[4 weeks average]]-B834)/B834</f>
        <v>7.3475831916444009E-2</v>
      </c>
    </row>
    <row r="887" spans="1:6" x14ac:dyDescent="0.2">
      <c r="A887" s="23">
        <v>33567</v>
      </c>
      <c r="B887" s="25">
        <f>VLOOKUP(Table2634[[#This Row],[Date]],'DB Money Supply'!$A:$D,4)</f>
        <v>887.4</v>
      </c>
      <c r="C887" s="31">
        <f>(Table2634[[#This Row],[M1 Money Stock, Billions of Dollars, Weekly, Seasonally Adjusted]]-B886)/B886</f>
        <v>9.0232348296859298E-4</v>
      </c>
      <c r="D887" s="35">
        <f>((1+Table2634[[#This Row],[Weekly change]])^52)-1</f>
        <v>4.8016850992093296E-2</v>
      </c>
      <c r="E887" s="25">
        <f t="shared" si="13"/>
        <v>885.55</v>
      </c>
      <c r="F887" s="33">
        <f>(Table2634[[#This Row],[4 weeks average]]-B835)/B835</f>
        <v>7.4044875682231601E-2</v>
      </c>
    </row>
    <row r="888" spans="1:6" x14ac:dyDescent="0.2">
      <c r="A888" s="23">
        <v>33574</v>
      </c>
      <c r="B888" s="25">
        <f>VLOOKUP(Table2634[[#This Row],[Date]],'DB Money Supply'!$A:$D,4)</f>
        <v>896.1</v>
      </c>
      <c r="C888" s="31">
        <f>(Table2634[[#This Row],[M1 Money Stock, Billions of Dollars, Weekly, Seasonally Adjusted]]-B887)/B887</f>
        <v>9.8039215686275029E-3</v>
      </c>
      <c r="D888" s="35">
        <f>((1+Table2634[[#This Row],[Weekly change]])^52)-1</f>
        <v>0.66083601179837381</v>
      </c>
      <c r="E888" s="25">
        <f t="shared" si="13"/>
        <v>888.97500000000002</v>
      </c>
      <c r="F888" s="33">
        <f>(Table2634[[#This Row],[4 weeks average]]-B836)/B836</f>
        <v>9.0365509628357751E-2</v>
      </c>
    </row>
    <row r="889" spans="1:6" x14ac:dyDescent="0.2">
      <c r="A889" s="23">
        <v>33581</v>
      </c>
      <c r="B889" s="25">
        <f>VLOOKUP(Table2634[[#This Row],[Date]],'DB Money Supply'!$A:$D,4)</f>
        <v>894.6</v>
      </c>
      <c r="C889" s="31">
        <f>(Table2634[[#This Row],[M1 Money Stock, Billions of Dollars, Weekly, Seasonally Adjusted]]-B888)/B888</f>
        <v>-1.6739203213927017E-3</v>
      </c>
      <c r="D889" s="35">
        <f>((1+Table2634[[#This Row],[Weekly change]])^52)-1</f>
        <v>-8.3429957158003276E-2</v>
      </c>
      <c r="E889" s="25">
        <f t="shared" si="13"/>
        <v>891.17499999999995</v>
      </c>
      <c r="F889" s="33">
        <f>(Table2634[[#This Row],[4 weeks average]]-B837)/B837</f>
        <v>8.4418349963494774E-2</v>
      </c>
    </row>
    <row r="890" spans="1:6" x14ac:dyDescent="0.2">
      <c r="A890" s="23">
        <v>33588</v>
      </c>
      <c r="B890" s="25">
        <f>VLOOKUP(Table2634[[#This Row],[Date]],'DB Money Supply'!$A:$D,4)</f>
        <v>897.6</v>
      </c>
      <c r="C890" s="31">
        <f>(Table2634[[#This Row],[M1 Money Stock, Billions of Dollars, Weekly, Seasonally Adjusted]]-B889)/B889</f>
        <v>3.3534540576794095E-3</v>
      </c>
      <c r="D890" s="35">
        <f>((1+Table2634[[#This Row],[Weekly change]])^52)-1</f>
        <v>0.19016014776637724</v>
      </c>
      <c r="E890" s="25">
        <f t="shared" si="13"/>
        <v>893.92499999999995</v>
      </c>
      <c r="F890" s="33">
        <f>(Table2634[[#This Row],[4 weeks average]]-B838)/B838</f>
        <v>8.4597185149235504E-2</v>
      </c>
    </row>
    <row r="891" spans="1:6" x14ac:dyDescent="0.2">
      <c r="A891" s="23">
        <v>33595</v>
      </c>
      <c r="B891" s="25">
        <f>VLOOKUP(Table2634[[#This Row],[Date]],'DB Money Supply'!$A:$D,4)</f>
        <v>897.6</v>
      </c>
      <c r="C891" s="31">
        <f>(Table2634[[#This Row],[M1 Money Stock, Billions of Dollars, Weekly, Seasonally Adjusted]]-B890)/B890</f>
        <v>0</v>
      </c>
      <c r="D891" s="35">
        <f>((1+Table2634[[#This Row],[Weekly change]])^52)-1</f>
        <v>0</v>
      </c>
      <c r="E891" s="25">
        <f t="shared" si="13"/>
        <v>896.47500000000002</v>
      </c>
      <c r="F891" s="33">
        <f>(Table2634[[#This Row],[4 weeks average]]-B839)/B839</f>
        <v>8.2568530370728171E-2</v>
      </c>
    </row>
    <row r="892" spans="1:6" x14ac:dyDescent="0.2">
      <c r="A892" s="23">
        <v>33602</v>
      </c>
      <c r="B892" s="25">
        <f>VLOOKUP(Table2634[[#This Row],[Date]],'DB Money Supply'!$A:$D,4)</f>
        <v>897.5</v>
      </c>
      <c r="C892" s="31">
        <f>(Table2634[[#This Row],[M1 Money Stock, Billions of Dollars, Weekly, Seasonally Adjusted]]-B891)/B891</f>
        <v>-1.1140819964351908E-4</v>
      </c>
      <c r="D892" s="35">
        <f>((1+Table2634[[#This Row],[Weekly change]])^52)-1</f>
        <v>-5.7767988696327821E-3</v>
      </c>
      <c r="E892" s="25">
        <f t="shared" si="13"/>
        <v>896.82500000000005</v>
      </c>
      <c r="F892" s="33">
        <f>(Table2634[[#This Row],[4 weeks average]]-B840)/B840</f>
        <v>8.1945952467125188E-2</v>
      </c>
    </row>
    <row r="893" spans="1:6" x14ac:dyDescent="0.2">
      <c r="A893" s="23">
        <v>33609</v>
      </c>
      <c r="B893" s="25">
        <f>VLOOKUP(Table2634[[#This Row],[Date]],'DB Money Supply'!$A:$D,4)</f>
        <v>901.9</v>
      </c>
      <c r="C893" s="31">
        <f>(Table2634[[#This Row],[M1 Money Stock, Billions of Dollars, Weekly, Seasonally Adjusted]]-B892)/B892</f>
        <v>4.9025069637882758E-3</v>
      </c>
      <c r="D893" s="35">
        <f>((1+Table2634[[#This Row],[Weekly change]])^52)-1</f>
        <v>0.28956828307736537</v>
      </c>
      <c r="E893" s="25">
        <f t="shared" si="13"/>
        <v>898.65</v>
      </c>
      <c r="F893" s="33">
        <f>(Table2634[[#This Row],[4 weeks average]]-B841)/B841</f>
        <v>8.7164287442535626E-2</v>
      </c>
    </row>
    <row r="894" spans="1:6" x14ac:dyDescent="0.2">
      <c r="A894" s="23">
        <v>33616</v>
      </c>
      <c r="B894" s="25">
        <f>VLOOKUP(Table2634[[#This Row],[Date]],'DB Money Supply'!$A:$D,4)</f>
        <v>906.8</v>
      </c>
      <c r="C894" s="31">
        <f>(Table2634[[#This Row],[M1 Money Stock, Billions of Dollars, Weekly, Seasonally Adjusted]]-B893)/B893</f>
        <v>5.4329748309124926E-3</v>
      </c>
      <c r="D894" s="35">
        <f>((1+Table2634[[#This Row],[Weekly change]])^52)-1</f>
        <v>0.32544733265122372</v>
      </c>
      <c r="E894" s="25">
        <f t="shared" si="13"/>
        <v>900.95</v>
      </c>
      <c r="F894" s="33">
        <f>(Table2634[[#This Row],[4 weeks average]]-B842)/B842</f>
        <v>9.1134794719631818E-2</v>
      </c>
    </row>
    <row r="895" spans="1:6" x14ac:dyDescent="0.2">
      <c r="A895" s="23">
        <v>33623</v>
      </c>
      <c r="B895" s="25">
        <f>VLOOKUP(Table2634[[#This Row],[Date]],'DB Money Supply'!$A:$D,4)</f>
        <v>909.3</v>
      </c>
      <c r="C895" s="31">
        <f>(Table2634[[#This Row],[M1 Money Stock, Billions of Dollars, Weekly, Seasonally Adjusted]]-B894)/B894</f>
        <v>2.7569475077194533E-3</v>
      </c>
      <c r="D895" s="35">
        <f>((1+Table2634[[#This Row],[Weekly change]])^52)-1</f>
        <v>0.15391904401100831</v>
      </c>
      <c r="E895" s="25">
        <f t="shared" si="13"/>
        <v>903.875</v>
      </c>
      <c r="F895" s="33">
        <f>(Table2634[[#This Row],[4 weeks average]]-B843)/B843</f>
        <v>9.4014766400387251E-2</v>
      </c>
    </row>
    <row r="896" spans="1:6" x14ac:dyDescent="0.2">
      <c r="A896" s="23">
        <v>33630</v>
      </c>
      <c r="B896" s="25">
        <f>VLOOKUP(Table2634[[#This Row],[Date]],'DB Money Supply'!$A:$D,4)</f>
        <v>918.2</v>
      </c>
      <c r="C896" s="31">
        <f>(Table2634[[#This Row],[M1 Money Stock, Billions of Dollars, Weekly, Seasonally Adjusted]]-B895)/B895</f>
        <v>9.7877488177720122E-3</v>
      </c>
      <c r="D896" s="35">
        <f>((1+Table2634[[#This Row],[Weekly change]])^52)-1</f>
        <v>0.65945340214539194</v>
      </c>
      <c r="E896" s="25">
        <f t="shared" si="13"/>
        <v>909.05</v>
      </c>
      <c r="F896" s="33">
        <f>(Table2634[[#This Row],[4 weeks average]]-B844)/B844</f>
        <v>9.7356349589570235E-2</v>
      </c>
    </row>
    <row r="897" spans="1:6" x14ac:dyDescent="0.2">
      <c r="A897" s="23">
        <v>33637</v>
      </c>
      <c r="B897" s="25">
        <f>VLOOKUP(Table2634[[#This Row],[Date]],'DB Money Supply'!$A:$D,4)</f>
        <v>917.7</v>
      </c>
      <c r="C897" s="31">
        <f>(Table2634[[#This Row],[M1 Money Stock, Billions of Dollars, Weekly, Seasonally Adjusted]]-B896)/B896</f>
        <v>-5.4454367240252665E-4</v>
      </c>
      <c r="D897" s="35">
        <f>((1+Table2634[[#This Row],[Weekly change]])^52)-1</f>
        <v>-2.792661994553014E-2</v>
      </c>
      <c r="E897" s="25">
        <f t="shared" si="13"/>
        <v>913</v>
      </c>
      <c r="F897" s="33">
        <f>(Table2634[[#This Row],[4 weeks average]]-B845)/B845</f>
        <v>9.8808520880972472E-2</v>
      </c>
    </row>
    <row r="898" spans="1:6" x14ac:dyDescent="0.2">
      <c r="A898" s="23">
        <v>33644</v>
      </c>
      <c r="B898" s="25">
        <f>VLOOKUP(Table2634[[#This Row],[Date]],'DB Money Supply'!$A:$D,4)</f>
        <v>923.6</v>
      </c>
      <c r="C898" s="31">
        <f>(Table2634[[#This Row],[M1 Money Stock, Billions of Dollars, Weekly, Seasonally Adjusted]]-B897)/B897</f>
        <v>6.4291162689331773E-3</v>
      </c>
      <c r="D898" s="35">
        <f>((1+Table2634[[#This Row],[Weekly change]])^52)-1</f>
        <v>0.39548769744504941</v>
      </c>
      <c r="E898" s="25">
        <f t="shared" si="13"/>
        <v>917.19999999999993</v>
      </c>
      <c r="F898" s="33">
        <f>(Table2634[[#This Row],[4 weeks average]]-B846)/B846</f>
        <v>0.10041991601679656</v>
      </c>
    </row>
    <row r="899" spans="1:6" x14ac:dyDescent="0.2">
      <c r="A899" s="23">
        <v>33651</v>
      </c>
      <c r="B899" s="25">
        <f>VLOOKUP(Table2634[[#This Row],[Date]],'DB Money Supply'!$A:$D,4)</f>
        <v>925.4</v>
      </c>
      <c r="C899" s="31">
        <f>(Table2634[[#This Row],[M1 Money Stock, Billions of Dollars, Weekly, Seasonally Adjusted]]-B898)/B898</f>
        <v>1.9488956258119905E-3</v>
      </c>
      <c r="D899" s="35">
        <f>((1+Table2634[[#This Row],[Weekly change]])^52)-1</f>
        <v>0.1065465482297494</v>
      </c>
      <c r="E899" s="25">
        <f t="shared" si="13"/>
        <v>921.22500000000002</v>
      </c>
      <c r="F899" s="33">
        <f>(Table2634[[#This Row],[4 weeks average]]-B847)/B847</f>
        <v>0.10670951465641525</v>
      </c>
    </row>
    <row r="900" spans="1:6" x14ac:dyDescent="0.2">
      <c r="A900" s="23">
        <v>33658</v>
      </c>
      <c r="B900" s="25">
        <f>VLOOKUP(Table2634[[#This Row],[Date]],'DB Money Supply'!$A:$D,4)</f>
        <v>928.6</v>
      </c>
      <c r="C900" s="31">
        <f>(Table2634[[#This Row],[M1 Money Stock, Billions of Dollars, Weekly, Seasonally Adjusted]]-B899)/B899</f>
        <v>3.4579641236222665E-3</v>
      </c>
      <c r="D900" s="35">
        <f>((1+Table2634[[#This Row],[Weekly change]])^52)-1</f>
        <v>0.19662363535476324</v>
      </c>
      <c r="E900" s="25">
        <f t="shared" si="13"/>
        <v>923.82500000000005</v>
      </c>
      <c r="F900" s="33">
        <f>(Table2634[[#This Row],[4 weeks average]]-B848)/B848</f>
        <v>0.1103665865384616</v>
      </c>
    </row>
    <row r="901" spans="1:6" x14ac:dyDescent="0.2">
      <c r="A901" s="23">
        <v>33665</v>
      </c>
      <c r="B901" s="25">
        <f>VLOOKUP(Table2634[[#This Row],[Date]],'DB Money Supply'!$A:$D,4)</f>
        <v>926.9</v>
      </c>
      <c r="C901" s="31">
        <f>(Table2634[[#This Row],[M1 Money Stock, Billions of Dollars, Weekly, Seasonally Adjusted]]-B900)/B900</f>
        <v>-1.8307129011415522E-3</v>
      </c>
      <c r="D901" s="35">
        <f>((1+Table2634[[#This Row],[Weekly change]])^52)-1</f>
        <v>-9.0885578610008344E-2</v>
      </c>
      <c r="E901" s="25">
        <f t="shared" si="13"/>
        <v>926.125</v>
      </c>
      <c r="F901" s="33">
        <f>(Table2634[[#This Row],[4 weeks average]]-B849)/B849</f>
        <v>0.10966331176611548</v>
      </c>
    </row>
    <row r="902" spans="1:6" x14ac:dyDescent="0.2">
      <c r="A902" s="23">
        <v>33672</v>
      </c>
      <c r="B902" s="25">
        <f>VLOOKUP(Table2634[[#This Row],[Date]],'DB Money Supply'!$A:$D,4)</f>
        <v>933.1</v>
      </c>
      <c r="C902" s="31">
        <f>(Table2634[[#This Row],[M1 Money Stock, Billions of Dollars, Weekly, Seasonally Adjusted]]-B901)/B901</f>
        <v>6.6889632107023905E-3</v>
      </c>
      <c r="D902" s="35">
        <f>((1+Table2634[[#This Row],[Weekly change]])^52)-1</f>
        <v>0.4143470143501653</v>
      </c>
      <c r="E902" s="25">
        <f t="shared" si="13"/>
        <v>928.5</v>
      </c>
      <c r="F902" s="33">
        <f>(Table2634[[#This Row],[4 weeks average]]-B850)/B850</f>
        <v>0.10998206814106395</v>
      </c>
    </row>
    <row r="903" spans="1:6" x14ac:dyDescent="0.2">
      <c r="A903" s="23">
        <v>33679</v>
      </c>
      <c r="B903" s="25">
        <f>VLOOKUP(Table2634[[#This Row],[Date]],'DB Money Supply'!$A:$D,4)</f>
        <v>938.2</v>
      </c>
      <c r="C903" s="31">
        <f>(Table2634[[#This Row],[M1 Money Stock, Billions of Dollars, Weekly, Seasonally Adjusted]]-B902)/B902</f>
        <v>5.4656521273175676E-3</v>
      </c>
      <c r="D903" s="35">
        <f>((1+Table2634[[#This Row],[Weekly change]])^52)-1</f>
        <v>0.32768924581709635</v>
      </c>
      <c r="E903" s="25">
        <f t="shared" si="13"/>
        <v>931.7</v>
      </c>
      <c r="F903" s="33">
        <f>(Table2634[[#This Row],[4 weeks average]]-B851)/B851</f>
        <v>0.11447368421052637</v>
      </c>
    </row>
    <row r="904" spans="1:6" x14ac:dyDescent="0.2">
      <c r="A904" s="23">
        <v>33686</v>
      </c>
      <c r="B904" s="25">
        <f>VLOOKUP(Table2634[[#This Row],[Date]],'DB Money Supply'!$A:$D,4)</f>
        <v>937.9</v>
      </c>
      <c r="C904" s="31">
        <f>(Table2634[[#This Row],[M1 Money Stock, Billions of Dollars, Weekly, Seasonally Adjusted]]-B903)/B903</f>
        <v>-3.1976124493718631E-4</v>
      </c>
      <c r="D904" s="35">
        <f>((1+Table2634[[#This Row],[Weekly change]])^52)-1</f>
        <v>-1.6492724609684317E-2</v>
      </c>
      <c r="E904" s="25">
        <f t="shared" si="13"/>
        <v>934.02499999999998</v>
      </c>
      <c r="F904" s="33">
        <f>(Table2634[[#This Row],[4 weeks average]]-B852)/B852</f>
        <v>0.1116698405141632</v>
      </c>
    </row>
    <row r="905" spans="1:6" x14ac:dyDescent="0.2">
      <c r="A905" s="23">
        <v>33693</v>
      </c>
      <c r="B905" s="25">
        <f>VLOOKUP(Table2634[[#This Row],[Date]],'DB Money Supply'!$A:$D,4)</f>
        <v>939.7</v>
      </c>
      <c r="C905" s="31">
        <f>(Table2634[[#This Row],[M1 Money Stock, Billions of Dollars, Weekly, Seasonally Adjusted]]-B904)/B904</f>
        <v>1.9191811493763388E-3</v>
      </c>
      <c r="D905" s="35">
        <f>((1+Table2634[[#This Row],[Weekly change]])^52)-1</f>
        <v>0.10484138033157442</v>
      </c>
      <c r="E905" s="25">
        <f t="shared" ref="E905:E968" si="14">AVERAGE(B902:B905)</f>
        <v>937.22500000000014</v>
      </c>
      <c r="F905" s="33">
        <f>(Table2634[[#This Row],[4 weeks average]]-B853)/B853</f>
        <v>0.10848610289769384</v>
      </c>
    </row>
    <row r="906" spans="1:6" x14ac:dyDescent="0.2">
      <c r="A906" s="23">
        <v>33700</v>
      </c>
      <c r="B906" s="25">
        <f>VLOOKUP(Table2634[[#This Row],[Date]],'DB Money Supply'!$A:$D,4)</f>
        <v>941</v>
      </c>
      <c r="C906" s="31">
        <f>(Table2634[[#This Row],[M1 Money Stock, Billions of Dollars, Weekly, Seasonally Adjusted]]-B905)/B905</f>
        <v>1.3834202405022394E-3</v>
      </c>
      <c r="D906" s="35">
        <f>((1+Table2634[[#This Row],[Weekly change]])^52)-1</f>
        <v>7.4535137917552508E-2</v>
      </c>
      <c r="E906" s="25">
        <f t="shared" si="14"/>
        <v>939.2</v>
      </c>
      <c r="F906" s="33">
        <f>(Table2634[[#This Row],[4 weeks average]]-B854)/B854</f>
        <v>0.1145128752818322</v>
      </c>
    </row>
    <row r="907" spans="1:6" x14ac:dyDescent="0.2">
      <c r="A907" s="23">
        <v>33707</v>
      </c>
      <c r="B907" s="25">
        <f>VLOOKUP(Table2634[[#This Row],[Date]],'DB Money Supply'!$A:$D,4)</f>
        <v>941.3</v>
      </c>
      <c r="C907" s="31">
        <f>(Table2634[[#This Row],[M1 Money Stock, Billions of Dollars, Weekly, Seasonally Adjusted]]-B906)/B906</f>
        <v>3.1880977683310791E-4</v>
      </c>
      <c r="D907" s="35">
        <f>((1+Table2634[[#This Row],[Weekly change]])^52)-1</f>
        <v>1.6713601530377709E-2</v>
      </c>
      <c r="E907" s="25">
        <f t="shared" si="14"/>
        <v>939.97499999999991</v>
      </c>
      <c r="F907" s="33">
        <f>(Table2634[[#This Row],[4 weeks average]]-B855)/B855</f>
        <v>0.11239644970414191</v>
      </c>
    </row>
    <row r="908" spans="1:6" x14ac:dyDescent="0.2">
      <c r="A908" s="23">
        <v>33714</v>
      </c>
      <c r="B908" s="25">
        <f>VLOOKUP(Table2634[[#This Row],[Date]],'DB Money Supply'!$A:$D,4)</f>
        <v>945.7</v>
      </c>
      <c r="C908" s="31">
        <f>(Table2634[[#This Row],[M1 Money Stock, Billions of Dollars, Weekly, Seasonally Adjusted]]-B907)/B907</f>
        <v>4.6743864867737081E-3</v>
      </c>
      <c r="D908" s="35">
        <f>((1+Table2634[[#This Row],[Weekly change]])^52)-1</f>
        <v>0.27443349770968761</v>
      </c>
      <c r="E908" s="25">
        <f t="shared" si="14"/>
        <v>941.92499999999995</v>
      </c>
      <c r="F908" s="33">
        <f>(Table2634[[#This Row],[4 weeks average]]-B856)/B856</f>
        <v>0.11787918347970559</v>
      </c>
    </row>
    <row r="909" spans="1:6" x14ac:dyDescent="0.2">
      <c r="A909" s="23">
        <v>33721</v>
      </c>
      <c r="B909" s="25">
        <f>VLOOKUP(Table2634[[#This Row],[Date]],'DB Money Supply'!$A:$D,4)</f>
        <v>945.6</v>
      </c>
      <c r="C909" s="31">
        <f>(Table2634[[#This Row],[M1 Money Stock, Billions of Dollars, Weekly, Seasonally Adjusted]]-B908)/B908</f>
        <v>-1.057417785767397E-4</v>
      </c>
      <c r="D909" s="35">
        <f>((1+Table2634[[#This Row],[Weekly change]])^52)-1</f>
        <v>-5.4837721464622291E-3</v>
      </c>
      <c r="E909" s="25">
        <f t="shared" si="14"/>
        <v>943.4</v>
      </c>
      <c r="F909" s="33">
        <f>(Table2634[[#This Row],[4 weeks average]]-B857)/B857</f>
        <v>0.12149310508796948</v>
      </c>
    </row>
    <row r="910" spans="1:6" x14ac:dyDescent="0.2">
      <c r="A910" s="23">
        <v>33728</v>
      </c>
      <c r="B910" s="25">
        <f>VLOOKUP(Table2634[[#This Row],[Date]],'DB Money Supply'!$A:$D,4)</f>
        <v>946.5</v>
      </c>
      <c r="C910" s="31">
        <f>(Table2634[[#This Row],[M1 Money Stock, Billions of Dollars, Weekly, Seasonally Adjusted]]-B909)/B909</f>
        <v>9.5177664974616886E-4</v>
      </c>
      <c r="D910" s="35">
        <f>((1+Table2634[[#This Row],[Weekly change]])^52)-1</f>
        <v>5.0712859763779372E-2</v>
      </c>
      <c r="E910" s="25">
        <f t="shared" si="14"/>
        <v>944.77499999999998</v>
      </c>
      <c r="F910" s="33">
        <f>(Table2634[[#This Row],[4 weeks average]]-B858)/B858</f>
        <v>0.11622755198487714</v>
      </c>
    </row>
    <row r="911" spans="1:6" x14ac:dyDescent="0.2">
      <c r="A911" s="23">
        <v>33735</v>
      </c>
      <c r="B911" s="25">
        <f>VLOOKUP(Table2634[[#This Row],[Date]],'DB Money Supply'!$A:$D,4)</f>
        <v>949.4</v>
      </c>
      <c r="C911" s="31">
        <f>(Table2634[[#This Row],[M1 Money Stock, Billions of Dollars, Weekly, Seasonally Adjusted]]-B910)/B910</f>
        <v>3.0639197041732458E-3</v>
      </c>
      <c r="D911" s="35">
        <f>((1+Table2634[[#This Row],[Weekly change]])^52)-1</f>
        <v>0.1724320239256012</v>
      </c>
      <c r="E911" s="25">
        <f t="shared" si="14"/>
        <v>946.80000000000007</v>
      </c>
      <c r="F911" s="33">
        <f>(Table2634[[#This Row],[4 weeks average]]-B859)/B859</f>
        <v>0.11611458210538739</v>
      </c>
    </row>
    <row r="912" spans="1:6" x14ac:dyDescent="0.2">
      <c r="A912" s="23">
        <v>33742</v>
      </c>
      <c r="B912" s="25">
        <f>VLOOKUP(Table2634[[#This Row],[Date]],'DB Money Supply'!$A:$D,4)</f>
        <v>949.8</v>
      </c>
      <c r="C912" s="31">
        <f>(Table2634[[#This Row],[M1 Money Stock, Billions of Dollars, Weekly, Seasonally Adjusted]]-B911)/B911</f>
        <v>4.2131872761741863E-4</v>
      </c>
      <c r="D912" s="35">
        <f>((1+Table2634[[#This Row],[Weekly change]])^52)-1</f>
        <v>2.2145612774918666E-2</v>
      </c>
      <c r="E912" s="25">
        <f t="shared" si="14"/>
        <v>947.82500000000005</v>
      </c>
      <c r="F912" s="33">
        <f>(Table2634[[#This Row],[4 weeks average]]-B860)/B860</f>
        <v>0.11403972731546791</v>
      </c>
    </row>
    <row r="913" spans="1:6" x14ac:dyDescent="0.2">
      <c r="A913" s="23">
        <v>33749</v>
      </c>
      <c r="B913" s="25">
        <f>VLOOKUP(Table2634[[#This Row],[Date]],'DB Money Supply'!$A:$D,4)</f>
        <v>952.3</v>
      </c>
      <c r="C913" s="31">
        <f>(Table2634[[#This Row],[M1 Money Stock, Billions of Dollars, Weekly, Seasonally Adjusted]]-B912)/B912</f>
        <v>2.6321330806485578E-3</v>
      </c>
      <c r="D913" s="35">
        <f>((1+Table2634[[#This Row],[Weekly change]])^52)-1</f>
        <v>0.14647395308055544</v>
      </c>
      <c r="E913" s="25">
        <f t="shared" si="14"/>
        <v>949.5</v>
      </c>
      <c r="F913" s="33">
        <f>(Table2634[[#This Row],[4 weeks average]]-B861)/B861</f>
        <v>0.11745321878309986</v>
      </c>
    </row>
    <row r="914" spans="1:6" x14ac:dyDescent="0.2">
      <c r="A914" s="23">
        <v>33756</v>
      </c>
      <c r="B914" s="25">
        <f>VLOOKUP(Table2634[[#This Row],[Date]],'DB Money Supply'!$A:$D,4)</f>
        <v>953.5</v>
      </c>
      <c r="C914" s="31">
        <f>(Table2634[[#This Row],[M1 Money Stock, Billions of Dollars, Weekly, Seasonally Adjusted]]-B913)/B913</f>
        <v>1.2601071091043216E-3</v>
      </c>
      <c r="D914" s="35">
        <f>((1+Table2634[[#This Row],[Weekly change]])^52)-1</f>
        <v>6.7675995707259684E-2</v>
      </c>
      <c r="E914" s="25">
        <f t="shared" si="14"/>
        <v>951.25</v>
      </c>
      <c r="F914" s="33">
        <f>(Table2634[[#This Row],[4 weeks average]]-B862)/B862</f>
        <v>0.12162480839523639</v>
      </c>
    </row>
    <row r="915" spans="1:6" x14ac:dyDescent="0.2">
      <c r="A915" s="23">
        <v>33763</v>
      </c>
      <c r="B915" s="25">
        <f>VLOOKUP(Table2634[[#This Row],[Date]],'DB Money Supply'!$A:$D,4)</f>
        <v>951.1</v>
      </c>
      <c r="C915" s="31">
        <f>(Table2634[[#This Row],[M1 Money Stock, Billions of Dollars, Weekly, Seasonally Adjusted]]-B914)/B914</f>
        <v>-2.5170424750917434E-3</v>
      </c>
      <c r="D915" s="35">
        <f>((1+Table2634[[#This Row],[Weekly change]])^52)-1</f>
        <v>-0.12282714565026076</v>
      </c>
      <c r="E915" s="25">
        <f t="shared" si="14"/>
        <v>951.67499999999995</v>
      </c>
      <c r="F915" s="33">
        <f>(Table2634[[#This Row],[4 weeks average]]-B863)/B863</f>
        <v>0.11228962131837299</v>
      </c>
    </row>
    <row r="916" spans="1:6" x14ac:dyDescent="0.2">
      <c r="A916" s="23">
        <v>33770</v>
      </c>
      <c r="B916" s="25">
        <f>VLOOKUP(Table2634[[#This Row],[Date]],'DB Money Supply'!$A:$D,4)</f>
        <v>955.6</v>
      </c>
      <c r="C916" s="31">
        <f>(Table2634[[#This Row],[M1 Money Stock, Billions of Dollars, Weekly, Seasonally Adjusted]]-B915)/B915</f>
        <v>4.7313636841551888E-3</v>
      </c>
      <c r="D916" s="35">
        <f>((1+Table2634[[#This Row],[Weekly change]])^52)-1</f>
        <v>0.27819727981220521</v>
      </c>
      <c r="E916" s="25">
        <f t="shared" si="14"/>
        <v>953.125</v>
      </c>
      <c r="F916" s="33">
        <f>(Table2634[[#This Row],[4 weeks average]]-B864)/B864</f>
        <v>0.11281377699941623</v>
      </c>
    </row>
    <row r="917" spans="1:6" x14ac:dyDescent="0.2">
      <c r="A917" s="23">
        <v>33777</v>
      </c>
      <c r="B917" s="25">
        <f>VLOOKUP(Table2634[[#This Row],[Date]],'DB Money Supply'!$A:$D,4)</f>
        <v>954.8</v>
      </c>
      <c r="C917" s="31">
        <f>(Table2634[[#This Row],[M1 Money Stock, Billions of Dollars, Weekly, Seasonally Adjusted]]-B916)/B916</f>
        <v>-8.3717036416917977E-4</v>
      </c>
      <c r="D917" s="35">
        <f>((1+Table2634[[#This Row],[Weekly change]])^52)-1</f>
        <v>-4.261636115525913E-2</v>
      </c>
      <c r="E917" s="25">
        <f t="shared" si="14"/>
        <v>953.75</v>
      </c>
      <c r="F917" s="33">
        <f>(Table2634[[#This Row],[4 weeks average]]-B865)/B865</f>
        <v>0.11406377759607519</v>
      </c>
    </row>
    <row r="918" spans="1:6" x14ac:dyDescent="0.2">
      <c r="A918" s="23">
        <v>33784</v>
      </c>
      <c r="B918" s="25">
        <f>VLOOKUP(Table2634[[#This Row],[Date]],'DB Money Supply'!$A:$D,4)</f>
        <v>955.2</v>
      </c>
      <c r="C918" s="31">
        <f>(Table2634[[#This Row],[M1 Money Stock, Billions of Dollars, Weekly, Seasonally Adjusted]]-B917)/B917</f>
        <v>4.1893590280696585E-4</v>
      </c>
      <c r="D918" s="35">
        <f>((1+Table2634[[#This Row],[Weekly change]])^52)-1</f>
        <v>2.2019022917469711E-2</v>
      </c>
      <c r="E918" s="25">
        <f t="shared" si="14"/>
        <v>954.17499999999995</v>
      </c>
      <c r="F918" s="33">
        <f>(Table2634[[#This Row],[4 weeks average]]-B866)/B866</f>
        <v>0.10539272474513427</v>
      </c>
    </row>
    <row r="919" spans="1:6" x14ac:dyDescent="0.2">
      <c r="A919" s="23">
        <v>33791</v>
      </c>
      <c r="B919" s="25">
        <f>VLOOKUP(Table2634[[#This Row],[Date]],'DB Money Supply'!$A:$D,4)</f>
        <v>959.3</v>
      </c>
      <c r="C919" s="31">
        <f>(Table2634[[#This Row],[M1 Money Stock, Billions of Dollars, Weekly, Seasonally Adjusted]]-B918)/B918</f>
        <v>4.2922948073700886E-3</v>
      </c>
      <c r="D919" s="35">
        <f>((1+Table2634[[#This Row],[Weekly change]])^52)-1</f>
        <v>0.24947276913913541</v>
      </c>
      <c r="E919" s="25">
        <f t="shared" si="14"/>
        <v>956.22500000000014</v>
      </c>
      <c r="F919" s="33">
        <f>(Table2634[[#This Row],[4 weeks average]]-B867)/B867</f>
        <v>0.11253635834787683</v>
      </c>
    </row>
    <row r="920" spans="1:6" x14ac:dyDescent="0.2">
      <c r="A920" s="23">
        <v>33798</v>
      </c>
      <c r="B920" s="25">
        <f>VLOOKUP(Table2634[[#This Row],[Date]],'DB Money Supply'!$A:$D,4)</f>
        <v>960.4</v>
      </c>
      <c r="C920" s="31">
        <f>(Table2634[[#This Row],[M1 Money Stock, Billions of Dollars, Weekly, Seasonally Adjusted]]-B919)/B919</f>
        <v>1.1466694464714092E-3</v>
      </c>
      <c r="D920" s="35">
        <f>((1+Table2634[[#This Row],[Weekly change]])^52)-1</f>
        <v>6.140409679384673E-2</v>
      </c>
      <c r="E920" s="25">
        <f t="shared" si="14"/>
        <v>957.42500000000007</v>
      </c>
      <c r="F920" s="33">
        <f>(Table2634[[#This Row],[4 weeks average]]-B868)/B868</f>
        <v>0.11147550499187381</v>
      </c>
    </row>
    <row r="921" spans="1:6" x14ac:dyDescent="0.2">
      <c r="A921" s="23">
        <v>33805</v>
      </c>
      <c r="B921" s="25">
        <f>VLOOKUP(Table2634[[#This Row],[Date]],'DB Money Supply'!$A:$D,4)</f>
        <v>964.8</v>
      </c>
      <c r="C921" s="31">
        <f>(Table2634[[#This Row],[M1 Money Stock, Billions of Dollars, Weekly, Seasonally Adjusted]]-B920)/B920</f>
        <v>4.5814244064972696E-3</v>
      </c>
      <c r="D921" s="35">
        <f>((1+Table2634[[#This Row],[Weekly change]])^52)-1</f>
        <v>0.26831595969199618</v>
      </c>
      <c r="E921" s="25">
        <f t="shared" si="14"/>
        <v>959.92499999999995</v>
      </c>
      <c r="F921" s="33">
        <f>(Table2634[[#This Row],[4 weeks average]]-B869)/B869</f>
        <v>0.11476599698060612</v>
      </c>
    </row>
    <row r="922" spans="1:6" x14ac:dyDescent="0.2">
      <c r="A922" s="23">
        <v>33812</v>
      </c>
      <c r="B922" s="25">
        <f>VLOOKUP(Table2634[[#This Row],[Date]],'DB Money Supply'!$A:$D,4)</f>
        <v>966.8</v>
      </c>
      <c r="C922" s="31">
        <f>(Table2634[[#This Row],[M1 Money Stock, Billions of Dollars, Weekly, Seasonally Adjusted]]-B921)/B921</f>
        <v>2.0729684908789387E-3</v>
      </c>
      <c r="D922" s="35">
        <f>((1+Table2634[[#This Row],[Weekly change]])^52)-1</f>
        <v>0.11369441271057767</v>
      </c>
      <c r="E922" s="25">
        <f t="shared" si="14"/>
        <v>962.82500000000005</v>
      </c>
      <c r="F922" s="33">
        <f>(Table2634[[#This Row],[4 weeks average]]-B870)/B870</f>
        <v>0.11606004404775704</v>
      </c>
    </row>
    <row r="923" spans="1:6" x14ac:dyDescent="0.2">
      <c r="A923" s="23">
        <v>33819</v>
      </c>
      <c r="B923" s="25">
        <f>VLOOKUP(Table2634[[#This Row],[Date]],'DB Money Supply'!$A:$D,4)</f>
        <v>965.8</v>
      </c>
      <c r="C923" s="31">
        <f>(Table2634[[#This Row],[M1 Money Stock, Billions of Dollars, Weekly, Seasonally Adjusted]]-B922)/B922</f>
        <v>-1.034340091021928E-3</v>
      </c>
      <c r="D923" s="35">
        <f>((1+Table2634[[#This Row],[Weekly change]])^52)-1</f>
        <v>-5.2391200144312089E-2</v>
      </c>
      <c r="E923" s="25">
        <f t="shared" si="14"/>
        <v>964.45</v>
      </c>
      <c r="F923" s="33">
        <f>(Table2634[[#This Row],[4 weeks average]]-B871)/B871</f>
        <v>0.11329793374119831</v>
      </c>
    </row>
    <row r="924" spans="1:6" x14ac:dyDescent="0.2">
      <c r="A924" s="23">
        <v>33826</v>
      </c>
      <c r="B924" s="25">
        <f>VLOOKUP(Table2634[[#This Row],[Date]],'DB Money Supply'!$A:$D,4)</f>
        <v>972.7</v>
      </c>
      <c r="C924" s="31">
        <f>(Table2634[[#This Row],[M1 Money Stock, Billions of Dollars, Weekly, Seasonally Adjusted]]-B923)/B923</f>
        <v>7.144336301511795E-3</v>
      </c>
      <c r="D924" s="35">
        <f>((1+Table2634[[#This Row],[Weekly change]])^52)-1</f>
        <v>0.448002028223772</v>
      </c>
      <c r="E924" s="25">
        <f t="shared" si="14"/>
        <v>967.52499999999986</v>
      </c>
      <c r="F924" s="33">
        <f>(Table2634[[#This Row],[4 weeks average]]-B872)/B872</f>
        <v>0.11813821795908923</v>
      </c>
    </row>
    <row r="925" spans="1:6" x14ac:dyDescent="0.2">
      <c r="A925" s="23">
        <v>33833</v>
      </c>
      <c r="B925" s="25">
        <f>VLOOKUP(Table2634[[#This Row],[Date]],'DB Money Supply'!$A:$D,4)</f>
        <v>972.9</v>
      </c>
      <c r="C925" s="31">
        <f>(Table2634[[#This Row],[M1 Money Stock, Billions of Dollars, Weekly, Seasonally Adjusted]]-B924)/B924</f>
        <v>2.05613241492682E-4</v>
      </c>
      <c r="D925" s="35">
        <f>((1+Table2634[[#This Row],[Weekly change]])^52)-1</f>
        <v>1.074814019401571E-2</v>
      </c>
      <c r="E925" s="25">
        <f t="shared" si="14"/>
        <v>969.55000000000007</v>
      </c>
      <c r="F925" s="33">
        <f>(Table2634[[#This Row],[4 weeks average]]-B873)/B873</f>
        <v>0.12086705202312147</v>
      </c>
    </row>
    <row r="926" spans="1:6" x14ac:dyDescent="0.2">
      <c r="A926" s="23">
        <v>33840</v>
      </c>
      <c r="B926" s="25">
        <f>VLOOKUP(Table2634[[#This Row],[Date]],'DB Money Supply'!$A:$D,4)</f>
        <v>974.2</v>
      </c>
      <c r="C926" s="31">
        <f>(Table2634[[#This Row],[M1 Money Stock, Billions of Dollars, Weekly, Seasonally Adjusted]]-B925)/B925</f>
        <v>1.3362113269607032E-3</v>
      </c>
      <c r="D926" s="35">
        <f>((1+Table2634[[#This Row],[Weekly change]])^52)-1</f>
        <v>7.190410926493862E-2</v>
      </c>
      <c r="E926" s="25">
        <f t="shared" si="14"/>
        <v>971.40000000000009</v>
      </c>
      <c r="F926" s="33">
        <f>(Table2634[[#This Row],[4 weeks average]]-B874)/B874</f>
        <v>0.11770797376596487</v>
      </c>
    </row>
    <row r="927" spans="1:6" x14ac:dyDescent="0.2">
      <c r="A927" s="23">
        <v>33847</v>
      </c>
      <c r="B927" s="25">
        <f>VLOOKUP(Table2634[[#This Row],[Date]],'DB Money Supply'!$A:$D,4)</f>
        <v>978.5</v>
      </c>
      <c r="C927" s="31">
        <f>(Table2634[[#This Row],[M1 Money Stock, Billions of Dollars, Weekly, Seasonally Adjusted]]-B926)/B926</f>
        <v>4.4138780537876761E-3</v>
      </c>
      <c r="D927" s="35">
        <f>((1+Table2634[[#This Row],[Weekly change]])^52)-1</f>
        <v>0.25736291623095764</v>
      </c>
      <c r="E927" s="25">
        <f t="shared" si="14"/>
        <v>974.57500000000005</v>
      </c>
      <c r="F927" s="33">
        <f>(Table2634[[#This Row],[4 weeks average]]-B875)/B875</f>
        <v>0.12239433375561452</v>
      </c>
    </row>
    <row r="928" spans="1:6" x14ac:dyDescent="0.2">
      <c r="A928" s="23">
        <v>33854</v>
      </c>
      <c r="B928" s="25">
        <f>VLOOKUP(Table2634[[#This Row],[Date]],'DB Money Supply'!$A:$D,4)</f>
        <v>979.3</v>
      </c>
      <c r="C928" s="31">
        <f>(Table2634[[#This Row],[M1 Money Stock, Billions of Dollars, Weekly, Seasonally Adjusted]]-B927)/B927</f>
        <v>8.1757792539596786E-4</v>
      </c>
      <c r="D928" s="35">
        <f>((1+Table2634[[#This Row],[Weekly change]])^52)-1</f>
        <v>4.3412594650630743E-2</v>
      </c>
      <c r="E928" s="25">
        <f t="shared" si="14"/>
        <v>976.22499999999991</v>
      </c>
      <c r="F928" s="33">
        <f>(Table2634[[#This Row],[4 weeks average]]-B876)/B876</f>
        <v>0.12145318782309007</v>
      </c>
    </row>
    <row r="929" spans="1:6" x14ac:dyDescent="0.2">
      <c r="A929" s="23">
        <v>33861</v>
      </c>
      <c r="B929" s="25">
        <f>VLOOKUP(Table2634[[#This Row],[Date]],'DB Money Supply'!$A:$D,4)</f>
        <v>985.6</v>
      </c>
      <c r="C929" s="31">
        <f>(Table2634[[#This Row],[M1 Money Stock, Billions of Dollars, Weekly, Seasonally Adjusted]]-B928)/B928</f>
        <v>6.433166547534023E-3</v>
      </c>
      <c r="D929" s="35">
        <f>((1+Table2634[[#This Row],[Weekly change]])^52)-1</f>
        <v>0.39577975983160929</v>
      </c>
      <c r="E929" s="25">
        <f t="shared" si="14"/>
        <v>979.4</v>
      </c>
      <c r="F929" s="33">
        <f>(Table2634[[#This Row],[4 weeks average]]-B877)/B877</f>
        <v>0.12600597838583585</v>
      </c>
    </row>
    <row r="930" spans="1:6" x14ac:dyDescent="0.2">
      <c r="A930" s="23">
        <v>33868</v>
      </c>
      <c r="B930" s="25">
        <f>VLOOKUP(Table2634[[#This Row],[Date]],'DB Money Supply'!$A:$D,4)</f>
        <v>990.1</v>
      </c>
      <c r="C930" s="31">
        <f>(Table2634[[#This Row],[M1 Money Stock, Billions of Dollars, Weekly, Seasonally Adjusted]]-B929)/B929</f>
        <v>4.565746753246753E-3</v>
      </c>
      <c r="D930" s="35">
        <f>((1+Table2634[[#This Row],[Weekly change]])^52)-1</f>
        <v>0.26728710535555322</v>
      </c>
      <c r="E930" s="25">
        <f t="shared" si="14"/>
        <v>983.375</v>
      </c>
      <c r="F930" s="33">
        <f>(Table2634[[#This Row],[4 weeks average]]-B878)/B878</f>
        <v>0.13096607245543415</v>
      </c>
    </row>
    <row r="931" spans="1:6" x14ac:dyDescent="0.2">
      <c r="A931" s="23">
        <v>33875</v>
      </c>
      <c r="B931" s="25">
        <f>VLOOKUP(Table2634[[#This Row],[Date]],'DB Money Supply'!$A:$D,4)</f>
        <v>994.2</v>
      </c>
      <c r="C931" s="31">
        <f>(Table2634[[#This Row],[M1 Money Stock, Billions of Dollars, Weekly, Seasonally Adjusted]]-B930)/B930</f>
        <v>4.1409958590041636E-3</v>
      </c>
      <c r="D931" s="35">
        <f>((1+Table2634[[#This Row],[Weekly change]])^52)-1</f>
        <v>0.23972200835070212</v>
      </c>
      <c r="E931" s="25">
        <f t="shared" si="14"/>
        <v>987.3</v>
      </c>
      <c r="F931" s="33">
        <f>(Table2634[[#This Row],[4 weeks average]]-B879)/B879</f>
        <v>0.13248451479697179</v>
      </c>
    </row>
    <row r="932" spans="1:6" x14ac:dyDescent="0.2">
      <c r="A932" s="23">
        <v>33882</v>
      </c>
      <c r="B932" s="25">
        <f>VLOOKUP(Table2634[[#This Row],[Date]],'DB Money Supply'!$A:$D,4)</f>
        <v>997.6</v>
      </c>
      <c r="C932" s="31">
        <f>(Table2634[[#This Row],[M1 Money Stock, Billions of Dollars, Weekly, Seasonally Adjusted]]-B931)/B931</f>
        <v>3.4198350432508321E-3</v>
      </c>
      <c r="D932" s="35">
        <f>((1+Table2634[[#This Row],[Weekly change]])^52)-1</f>
        <v>0.19426154055365163</v>
      </c>
      <c r="E932" s="25">
        <f t="shared" si="14"/>
        <v>991.875</v>
      </c>
      <c r="F932" s="33">
        <f>(Table2634[[#This Row],[4 weeks average]]-B880)/B880</f>
        <v>0.13408986965469927</v>
      </c>
    </row>
    <row r="933" spans="1:6" x14ac:dyDescent="0.2">
      <c r="A933" s="23">
        <v>33889</v>
      </c>
      <c r="B933" s="25">
        <f>VLOOKUP(Table2634[[#This Row],[Date]],'DB Money Supply'!$A:$D,4)</f>
        <v>999.5</v>
      </c>
      <c r="C933" s="31">
        <f>(Table2634[[#This Row],[M1 Money Stock, Billions of Dollars, Weekly, Seasonally Adjusted]]-B932)/B932</f>
        <v>1.9045709703287663E-3</v>
      </c>
      <c r="D933" s="35">
        <f>((1+Table2634[[#This Row],[Weekly change]])^52)-1</f>
        <v>0.10400391923538499</v>
      </c>
      <c r="E933" s="25">
        <f t="shared" si="14"/>
        <v>995.35</v>
      </c>
      <c r="F933" s="33">
        <f>(Table2634[[#This Row],[4 weeks average]]-B881)/B881</f>
        <v>0.13702307516563861</v>
      </c>
    </row>
    <row r="934" spans="1:6" x14ac:dyDescent="0.2">
      <c r="A934" s="23">
        <v>33896</v>
      </c>
      <c r="B934" s="25">
        <f>VLOOKUP(Table2634[[#This Row],[Date]],'DB Money Supply'!$A:$D,4)</f>
        <v>1001</v>
      </c>
      <c r="C934" s="31">
        <f>(Table2634[[#This Row],[M1 Money Stock, Billions of Dollars, Weekly, Seasonally Adjusted]]-B933)/B933</f>
        <v>1.5007503751875938E-3</v>
      </c>
      <c r="D934" s="35">
        <f>((1+Table2634[[#This Row],[Weekly change]])^52)-1</f>
        <v>8.1101598052105484E-2</v>
      </c>
      <c r="E934" s="25">
        <f t="shared" si="14"/>
        <v>998.07500000000005</v>
      </c>
      <c r="F934" s="33">
        <f>(Table2634[[#This Row],[4 weeks average]]-B882)/B882</f>
        <v>0.13482092097782836</v>
      </c>
    </row>
    <row r="935" spans="1:6" x14ac:dyDescent="0.2">
      <c r="A935" s="23">
        <v>33903</v>
      </c>
      <c r="B935" s="25">
        <f>VLOOKUP(Table2634[[#This Row],[Date]],'DB Money Supply'!$A:$D,4)</f>
        <v>1009.2</v>
      </c>
      <c r="C935" s="31">
        <f>(Table2634[[#This Row],[M1 Money Stock, Billions of Dollars, Weekly, Seasonally Adjusted]]-B934)/B934</f>
        <v>8.1918081918082378E-3</v>
      </c>
      <c r="D935" s="35">
        <f>((1+Table2634[[#This Row],[Weekly change]])^52)-1</f>
        <v>0.52842645820377077</v>
      </c>
      <c r="E935" s="25">
        <f t="shared" si="14"/>
        <v>1001.825</v>
      </c>
      <c r="F935" s="33">
        <f>(Table2634[[#This Row],[4 weeks average]]-B883)/B883</f>
        <v>0.13740349682107186</v>
      </c>
    </row>
    <row r="936" spans="1:6" x14ac:dyDescent="0.2">
      <c r="A936" s="23">
        <v>33910</v>
      </c>
      <c r="B936" s="25">
        <f>VLOOKUP(Table2634[[#This Row],[Date]],'DB Money Supply'!$A:$D,4)</f>
        <v>1011.7</v>
      </c>
      <c r="C936" s="31">
        <f>(Table2634[[#This Row],[M1 Money Stock, Billions of Dollars, Weekly, Seasonally Adjusted]]-B935)/B935</f>
        <v>2.4772096710265557E-3</v>
      </c>
      <c r="D936" s="35">
        <f>((1+Table2634[[#This Row],[Weekly change]])^52)-1</f>
        <v>0.13729838836598107</v>
      </c>
      <c r="E936" s="25">
        <f t="shared" si="14"/>
        <v>1005.3499999999999</v>
      </c>
      <c r="F936" s="33">
        <f>(Table2634[[#This Row],[4 weeks average]]-B884)/B884</f>
        <v>0.13933590208522204</v>
      </c>
    </row>
    <row r="937" spans="1:6" x14ac:dyDescent="0.2">
      <c r="A937" s="23">
        <v>33917</v>
      </c>
      <c r="B937" s="25">
        <f>VLOOKUP(Table2634[[#This Row],[Date]],'DB Money Supply'!$A:$D,4)</f>
        <v>1014.8</v>
      </c>
      <c r="C937" s="31">
        <f>(Table2634[[#This Row],[M1 Money Stock, Billions of Dollars, Weekly, Seasonally Adjusted]]-B936)/B936</f>
        <v>3.0641494514183146E-3</v>
      </c>
      <c r="D937" s="35">
        <f>((1+Table2634[[#This Row],[Weekly change]])^52)-1</f>
        <v>0.17244598809973355</v>
      </c>
      <c r="E937" s="25">
        <f t="shared" si="14"/>
        <v>1009.175</v>
      </c>
      <c r="F937" s="33">
        <f>(Table2634[[#This Row],[4 weeks average]]-B885)/B885</f>
        <v>0.13928087604425379</v>
      </c>
    </row>
    <row r="938" spans="1:6" x14ac:dyDescent="0.2">
      <c r="A938" s="23">
        <v>33924</v>
      </c>
      <c r="B938" s="25">
        <f>VLOOKUP(Table2634[[#This Row],[Date]],'DB Money Supply'!$A:$D,4)</f>
        <v>1017</v>
      </c>
      <c r="C938" s="31">
        <f>(Table2634[[#This Row],[M1 Money Stock, Billions of Dollars, Weekly, Seasonally Adjusted]]-B937)/B937</f>
        <v>2.1679148600709948E-3</v>
      </c>
      <c r="D938" s="35">
        <f>((1+Table2634[[#This Row],[Weekly change]])^52)-1</f>
        <v>0.11919486114835953</v>
      </c>
      <c r="E938" s="25">
        <f t="shared" si="14"/>
        <v>1013.175</v>
      </c>
      <c r="F938" s="33">
        <f>(Table2634[[#This Row],[4 weeks average]]-B886)/B886</f>
        <v>0.14276449357094512</v>
      </c>
    </row>
    <row r="939" spans="1:6" x14ac:dyDescent="0.2">
      <c r="A939" s="23">
        <v>33931</v>
      </c>
      <c r="B939" s="25">
        <f>VLOOKUP(Table2634[[#This Row],[Date]],'DB Money Supply'!$A:$D,4)</f>
        <v>1014.4</v>
      </c>
      <c r="C939" s="31">
        <f>(Table2634[[#This Row],[M1 Money Stock, Billions of Dollars, Weekly, Seasonally Adjusted]]-B938)/B938</f>
        <v>-2.5565388397247027E-3</v>
      </c>
      <c r="D939" s="35">
        <f>((1+Table2634[[#This Row],[Weekly change]])^52)-1</f>
        <v>-0.12463141647931975</v>
      </c>
      <c r="E939" s="25">
        <f t="shared" si="14"/>
        <v>1014.475</v>
      </c>
      <c r="F939" s="33">
        <f>(Table2634[[#This Row],[4 weeks average]]-B887)/B887</f>
        <v>0.14319923371647514</v>
      </c>
    </row>
    <row r="940" spans="1:6" x14ac:dyDescent="0.2">
      <c r="A940" s="23">
        <v>33938</v>
      </c>
      <c r="B940" s="25">
        <f>VLOOKUP(Table2634[[#This Row],[Date]],'DB Money Supply'!$A:$D,4)</f>
        <v>1017.9</v>
      </c>
      <c r="C940" s="31">
        <f>(Table2634[[#This Row],[M1 Money Stock, Billions of Dollars, Weekly, Seasonally Adjusted]]-B939)/B939</f>
        <v>3.4503154574132494E-3</v>
      </c>
      <c r="D940" s="35">
        <f>((1+Table2634[[#This Row],[Weekly change]])^52)-1</f>
        <v>0.19614943373416649</v>
      </c>
      <c r="E940" s="25">
        <f t="shared" si="14"/>
        <v>1016.025</v>
      </c>
      <c r="F940" s="33">
        <f>(Table2634[[#This Row],[4 weeks average]]-B888)/B888</f>
        <v>0.13382992969534646</v>
      </c>
    </row>
    <row r="941" spans="1:6" x14ac:dyDescent="0.2">
      <c r="A941" s="23">
        <v>33945</v>
      </c>
      <c r="B941" s="25">
        <f>VLOOKUP(Table2634[[#This Row],[Date]],'DB Money Supply'!$A:$D,4)</f>
        <v>1021.4</v>
      </c>
      <c r="C941" s="31">
        <f>(Table2634[[#This Row],[M1 Money Stock, Billions of Dollars, Weekly, Seasonally Adjusted]]-B940)/B940</f>
        <v>3.4384517143137834E-3</v>
      </c>
      <c r="D941" s="35">
        <f>((1+Table2634[[#This Row],[Weekly change]])^52)-1</f>
        <v>0.19541427060894501</v>
      </c>
      <c r="E941" s="25">
        <f t="shared" si="14"/>
        <v>1017.6750000000001</v>
      </c>
      <c r="F941" s="33">
        <f>(Table2634[[#This Row],[4 weeks average]]-B889)/B889</f>
        <v>0.13757545271629784</v>
      </c>
    </row>
    <row r="942" spans="1:6" x14ac:dyDescent="0.2">
      <c r="A942" s="23">
        <v>33952</v>
      </c>
      <c r="B942" s="25">
        <f>VLOOKUP(Table2634[[#This Row],[Date]],'DB Money Supply'!$A:$D,4)</f>
        <v>1025.9000000000001</v>
      </c>
      <c r="C942" s="31">
        <f>(Table2634[[#This Row],[M1 Money Stock, Billions of Dollars, Weekly, Seasonally Adjusted]]-B941)/B941</f>
        <v>4.4057176424516483E-3</v>
      </c>
      <c r="D942" s="35">
        <f>((1+Table2634[[#This Row],[Weekly change]])^52)-1</f>
        <v>0.25683181982283609</v>
      </c>
      <c r="E942" s="25">
        <f t="shared" si="14"/>
        <v>1019.9</v>
      </c>
      <c r="F942" s="33">
        <f>(Table2634[[#This Row],[4 weeks average]]-B890)/B890</f>
        <v>0.13625222816399282</v>
      </c>
    </row>
    <row r="943" spans="1:6" x14ac:dyDescent="0.2">
      <c r="A943" s="23">
        <v>33959</v>
      </c>
      <c r="B943" s="25">
        <f>VLOOKUP(Table2634[[#This Row],[Date]],'DB Money Supply'!$A:$D,4)</f>
        <v>1022.8</v>
      </c>
      <c r="C943" s="31">
        <f>(Table2634[[#This Row],[M1 Money Stock, Billions of Dollars, Weekly, Seasonally Adjusted]]-B942)/B942</f>
        <v>-3.021737011404753E-3</v>
      </c>
      <c r="D943" s="35">
        <f>((1+Table2634[[#This Row],[Weekly change]])^52)-1</f>
        <v>-0.1456105914260698</v>
      </c>
      <c r="E943" s="25">
        <f t="shared" si="14"/>
        <v>1022</v>
      </c>
      <c r="F943" s="33">
        <f>(Table2634[[#This Row],[4 weeks average]]-B891)/B891</f>
        <v>0.1385918003565062</v>
      </c>
    </row>
    <row r="944" spans="1:6" x14ac:dyDescent="0.2">
      <c r="A944" s="23">
        <v>33966</v>
      </c>
      <c r="B944" s="25">
        <f>VLOOKUP(Table2634[[#This Row],[Date]],'DB Money Supply'!$A:$D,4)</f>
        <v>1028.4000000000001</v>
      </c>
      <c r="C944" s="31">
        <f>(Table2634[[#This Row],[M1 Money Stock, Billions of Dollars, Weekly, Seasonally Adjusted]]-B943)/B943</f>
        <v>5.4751662104029495E-3</v>
      </c>
      <c r="D944" s="35">
        <f>((1+Table2634[[#This Row],[Weekly change]])^52)-1</f>
        <v>0.32834268365133701</v>
      </c>
      <c r="E944" s="25">
        <f t="shared" si="14"/>
        <v>1024.625</v>
      </c>
      <c r="F944" s="33">
        <f>(Table2634[[#This Row],[4 weeks average]]-B892)/B892</f>
        <v>0.14164345403899722</v>
      </c>
    </row>
    <row r="945" spans="1:6" x14ac:dyDescent="0.2">
      <c r="A945" s="23">
        <v>33973</v>
      </c>
      <c r="B945" s="25">
        <f>VLOOKUP(Table2634[[#This Row],[Date]],'DB Money Supply'!$A:$D,4)</f>
        <v>1027.8</v>
      </c>
      <c r="C945" s="31">
        <f>(Table2634[[#This Row],[M1 Money Stock, Billions of Dollars, Weekly, Seasonally Adjusted]]-B944)/B944</f>
        <v>-5.8343057176209298E-4</v>
      </c>
      <c r="D945" s="35">
        <f>((1+Table2634[[#This Row],[Weekly change]])^52)-1</f>
        <v>-2.9891388706715816E-2</v>
      </c>
      <c r="E945" s="25">
        <f t="shared" si="14"/>
        <v>1026.2249999999999</v>
      </c>
      <c r="F945" s="33">
        <f>(Table2634[[#This Row],[4 weeks average]]-B893)/B893</f>
        <v>0.13784787670473439</v>
      </c>
    </row>
    <row r="946" spans="1:6" x14ac:dyDescent="0.2">
      <c r="A946" s="23">
        <v>33980</v>
      </c>
      <c r="B946" s="25">
        <f>VLOOKUP(Table2634[[#This Row],[Date]],'DB Money Supply'!$A:$D,4)</f>
        <v>1031.0999999999999</v>
      </c>
      <c r="C946" s="31">
        <f>(Table2634[[#This Row],[M1 Money Stock, Billions of Dollars, Weekly, Seasonally Adjusted]]-B945)/B945</f>
        <v>3.2107413893753206E-3</v>
      </c>
      <c r="D946" s="35">
        <f>((1+Table2634[[#This Row],[Weekly change]])^52)-1</f>
        <v>0.18138927096256641</v>
      </c>
      <c r="E946" s="25">
        <f t="shared" si="14"/>
        <v>1027.5250000000001</v>
      </c>
      <c r="F946" s="33">
        <f>(Table2634[[#This Row],[4 weeks average]]-B894)/B894</f>
        <v>0.13313299514777255</v>
      </c>
    </row>
    <row r="947" spans="1:6" x14ac:dyDescent="0.2">
      <c r="A947" s="23">
        <v>33987</v>
      </c>
      <c r="B947" s="25">
        <f>VLOOKUP(Table2634[[#This Row],[Date]],'DB Money Supply'!$A:$D,4)</f>
        <v>1029.5999999999999</v>
      </c>
      <c r="C947" s="31">
        <f>(Table2634[[#This Row],[M1 Money Stock, Billions of Dollars, Weekly, Seasonally Adjusted]]-B946)/B946</f>
        <v>-1.4547570555717196E-3</v>
      </c>
      <c r="D947" s="35">
        <f>((1+Table2634[[#This Row],[Weekly change]])^52)-1</f>
        <v>-7.2907973223938383E-2</v>
      </c>
      <c r="E947" s="25">
        <f t="shared" si="14"/>
        <v>1029.2249999999999</v>
      </c>
      <c r="F947" s="33">
        <f>(Table2634[[#This Row],[4 weeks average]]-B895)/B895</f>
        <v>0.13188716595183103</v>
      </c>
    </row>
    <row r="948" spans="1:6" x14ac:dyDescent="0.2">
      <c r="A948" s="23">
        <v>33994</v>
      </c>
      <c r="B948" s="25">
        <f>VLOOKUP(Table2634[[#This Row],[Date]],'DB Money Supply'!$A:$D,4)</f>
        <v>1030.9000000000001</v>
      </c>
      <c r="C948" s="31">
        <f>(Table2634[[#This Row],[M1 Money Stock, Billions of Dollars, Weekly, Seasonally Adjusted]]-B947)/B947</f>
        <v>1.2626262626264395E-3</v>
      </c>
      <c r="D948" s="35">
        <f>((1+Table2634[[#This Row],[Weekly change]])^52)-1</f>
        <v>6.7815689917873234E-2</v>
      </c>
      <c r="E948" s="25">
        <f t="shared" si="14"/>
        <v>1029.8499999999999</v>
      </c>
      <c r="F948" s="33">
        <f>(Table2634[[#This Row],[4 weeks average]]-B896)/B896</f>
        <v>0.12159660204748406</v>
      </c>
    </row>
    <row r="949" spans="1:6" x14ac:dyDescent="0.2">
      <c r="A949" s="23">
        <v>34001</v>
      </c>
      <c r="B949" s="25">
        <f>VLOOKUP(Table2634[[#This Row],[Date]],'DB Money Supply'!$A:$D,4)</f>
        <v>1031.4000000000001</v>
      </c>
      <c r="C949" s="31">
        <f>(Table2634[[#This Row],[M1 Money Stock, Billions of Dollars, Weekly, Seasonally Adjusted]]-B948)/B948</f>
        <v>4.850130953535745E-4</v>
      </c>
      <c r="D949" s="35">
        <f>((1+Table2634[[#This Row],[Weekly change]])^52)-1</f>
        <v>2.5535142666581301E-2</v>
      </c>
      <c r="E949" s="25">
        <f t="shared" si="14"/>
        <v>1030.75</v>
      </c>
      <c r="F949" s="33">
        <f>(Table2634[[#This Row],[4 weeks average]]-B897)/B897</f>
        <v>0.1231884057971014</v>
      </c>
    </row>
    <row r="950" spans="1:6" x14ac:dyDescent="0.2">
      <c r="A950" s="23">
        <v>34008</v>
      </c>
      <c r="B950" s="25">
        <f>VLOOKUP(Table2634[[#This Row],[Date]],'DB Money Supply'!$A:$D,4)</f>
        <v>1030</v>
      </c>
      <c r="C950" s="31">
        <f>(Table2634[[#This Row],[M1 Money Stock, Billions of Dollars, Weekly, Seasonally Adjusted]]-B949)/B949</f>
        <v>-1.3573783207291941E-3</v>
      </c>
      <c r="D950" s="35">
        <f>((1+Table2634[[#This Row],[Weekly change]])^52)-1</f>
        <v>-6.819491314620918E-2</v>
      </c>
      <c r="E950" s="25">
        <f t="shared" si="14"/>
        <v>1030.4749999999999</v>
      </c>
      <c r="F950" s="33">
        <f>(Table2634[[#This Row],[4 weeks average]]-B898)/B898</f>
        <v>0.11571567778258975</v>
      </c>
    </row>
    <row r="951" spans="1:6" x14ac:dyDescent="0.2">
      <c r="A951" s="23">
        <v>34015</v>
      </c>
      <c r="B951" s="25">
        <f>VLOOKUP(Table2634[[#This Row],[Date]],'DB Money Supply'!$A:$D,4)</f>
        <v>1034.0999999999999</v>
      </c>
      <c r="C951" s="31">
        <f>(Table2634[[#This Row],[M1 Money Stock, Billions of Dollars, Weekly, Seasonally Adjusted]]-B950)/B950</f>
        <v>3.9805825242717561E-3</v>
      </c>
      <c r="D951" s="35">
        <f>((1+Table2634[[#This Row],[Weekly change]])^52)-1</f>
        <v>0.22946536255011973</v>
      </c>
      <c r="E951" s="25">
        <f t="shared" si="14"/>
        <v>1031.5999999999999</v>
      </c>
      <c r="F951" s="33">
        <f>(Table2634[[#This Row],[4 weeks average]]-B899)/B899</f>
        <v>0.11476118435271226</v>
      </c>
    </row>
    <row r="952" spans="1:6" x14ac:dyDescent="0.2">
      <c r="A952" s="23">
        <v>34022</v>
      </c>
      <c r="B952" s="25">
        <f>VLOOKUP(Table2634[[#This Row],[Date]],'DB Money Supply'!$A:$D,4)</f>
        <v>1034.7</v>
      </c>
      <c r="C952" s="31">
        <f>(Table2634[[#This Row],[M1 Money Stock, Billions of Dollars, Weekly, Seasonally Adjusted]]-B951)/B951</f>
        <v>5.8021467943152158E-4</v>
      </c>
      <c r="D952" s="35">
        <f>((1+Table2634[[#This Row],[Weekly change]])^52)-1</f>
        <v>3.0621907621551703E-2</v>
      </c>
      <c r="E952" s="25">
        <f t="shared" si="14"/>
        <v>1032.55</v>
      </c>
      <c r="F952" s="33">
        <f>(Table2634[[#This Row],[4 weeks average]]-B900)/B900</f>
        <v>0.11194270945509362</v>
      </c>
    </row>
    <row r="953" spans="1:6" x14ac:dyDescent="0.2">
      <c r="A953" s="23">
        <v>34029</v>
      </c>
      <c r="B953" s="25">
        <f>VLOOKUP(Table2634[[#This Row],[Date]],'DB Money Supply'!$A:$D,4)</f>
        <v>1035.9000000000001</v>
      </c>
      <c r="C953" s="31">
        <f>(Table2634[[#This Row],[M1 Money Stock, Billions of Dollars, Weekly, Seasonally Adjusted]]-B952)/B952</f>
        <v>1.1597564511453035E-3</v>
      </c>
      <c r="D953" s="35">
        <f>((1+Table2634[[#This Row],[Weekly change]])^52)-1</f>
        <v>6.2125821259069403E-2</v>
      </c>
      <c r="E953" s="25">
        <f t="shared" si="14"/>
        <v>1033.6750000000002</v>
      </c>
      <c r="F953" s="33">
        <f>(Table2634[[#This Row],[4 weeks average]]-B901)/B901</f>
        <v>0.11519581400366836</v>
      </c>
    </row>
    <row r="954" spans="1:6" x14ac:dyDescent="0.2">
      <c r="A954" s="23">
        <v>34036</v>
      </c>
      <c r="B954" s="25">
        <f>VLOOKUP(Table2634[[#This Row],[Date]],'DB Money Supply'!$A:$D,4)</f>
        <v>1035.3</v>
      </c>
      <c r="C954" s="31">
        <f>(Table2634[[#This Row],[M1 Money Stock, Billions of Dollars, Weekly, Seasonally Adjusted]]-B953)/B953</f>
        <v>-5.7920648711278736E-4</v>
      </c>
      <c r="D954" s="35">
        <f>((1+Table2634[[#This Row],[Weekly change]])^52)-1</f>
        <v>-2.9678154645527588E-2</v>
      </c>
      <c r="E954" s="25">
        <f t="shared" si="14"/>
        <v>1035</v>
      </c>
      <c r="F954" s="33">
        <f>(Table2634[[#This Row],[4 weeks average]]-B902)/B902</f>
        <v>0.10920587289679561</v>
      </c>
    </row>
    <row r="955" spans="1:6" x14ac:dyDescent="0.2">
      <c r="A955" s="23">
        <v>34043</v>
      </c>
      <c r="B955" s="25">
        <f>VLOOKUP(Table2634[[#This Row],[Date]],'DB Money Supply'!$A:$D,4)</f>
        <v>1036.8</v>
      </c>
      <c r="C955" s="31">
        <f>(Table2634[[#This Row],[M1 Money Stock, Billions of Dollars, Weekly, Seasonally Adjusted]]-B954)/B954</f>
        <v>1.4488554042306578E-3</v>
      </c>
      <c r="D955" s="35">
        <f>((1+Table2634[[#This Row],[Weekly change]])^52)-1</f>
        <v>7.819242126567727E-2</v>
      </c>
      <c r="E955" s="25">
        <f t="shared" si="14"/>
        <v>1035.6750000000002</v>
      </c>
      <c r="F955" s="33">
        <f>(Table2634[[#This Row],[4 weeks average]]-B903)/B903</f>
        <v>0.10389575783415064</v>
      </c>
    </row>
    <row r="956" spans="1:6" x14ac:dyDescent="0.2">
      <c r="A956" s="23">
        <v>34050</v>
      </c>
      <c r="B956" s="25">
        <f>VLOOKUP(Table2634[[#This Row],[Date]],'DB Money Supply'!$A:$D,4)</f>
        <v>1038.5999999999999</v>
      </c>
      <c r="C956" s="31">
        <f>(Table2634[[#This Row],[M1 Money Stock, Billions of Dollars, Weekly, Seasonally Adjusted]]-B955)/B955</f>
        <v>1.7361111111110674E-3</v>
      </c>
      <c r="D956" s="35">
        <f>((1+Table2634[[#This Row],[Weekly change]])^52)-1</f>
        <v>9.4392595696249249E-2</v>
      </c>
      <c r="E956" s="25">
        <f t="shared" si="14"/>
        <v>1036.6500000000001</v>
      </c>
      <c r="F956" s="33">
        <f>(Table2634[[#This Row],[4 weeks average]]-B904)/B904</f>
        <v>0.1052884102782814</v>
      </c>
    </row>
    <row r="957" spans="1:6" x14ac:dyDescent="0.2">
      <c r="A957" s="23">
        <v>34057</v>
      </c>
      <c r="B957" s="25">
        <f>VLOOKUP(Table2634[[#This Row],[Date]],'DB Money Supply'!$A:$D,4)</f>
        <v>1040.4000000000001</v>
      </c>
      <c r="C957" s="31">
        <f>(Table2634[[#This Row],[M1 Money Stock, Billions of Dollars, Weekly, Seasonally Adjusted]]-B956)/B956</f>
        <v>1.7331022530331043E-3</v>
      </c>
      <c r="D957" s="35">
        <f>((1+Table2634[[#This Row],[Weekly change]])^52)-1</f>
        <v>9.4221676201673654E-2</v>
      </c>
      <c r="E957" s="25">
        <f t="shared" si="14"/>
        <v>1037.7750000000001</v>
      </c>
      <c r="F957" s="33">
        <f>(Table2634[[#This Row],[4 weeks average]]-B905)/B905</f>
        <v>0.10436841545173996</v>
      </c>
    </row>
    <row r="958" spans="1:6" x14ac:dyDescent="0.2">
      <c r="A958" s="23">
        <v>34064</v>
      </c>
      <c r="B958" s="25">
        <f>VLOOKUP(Table2634[[#This Row],[Date]],'DB Money Supply'!$A:$D,4)</f>
        <v>1045.4000000000001</v>
      </c>
      <c r="C958" s="31">
        <f>(Table2634[[#This Row],[M1 Money Stock, Billions of Dollars, Weekly, Seasonally Adjusted]]-B957)/B957</f>
        <v>4.8058439061899267E-3</v>
      </c>
      <c r="D958" s="35">
        <f>((1+Table2634[[#This Row],[Weekly change]])^52)-1</f>
        <v>0.28313371480139349</v>
      </c>
      <c r="E958" s="25">
        <f t="shared" si="14"/>
        <v>1040.3</v>
      </c>
      <c r="F958" s="33">
        <f>(Table2634[[#This Row],[4 weeks average]]-B906)/B906</f>
        <v>0.10552603613177466</v>
      </c>
    </row>
    <row r="959" spans="1:6" x14ac:dyDescent="0.2">
      <c r="A959" s="23">
        <v>34071</v>
      </c>
      <c r="B959" s="25">
        <f>VLOOKUP(Table2634[[#This Row],[Date]],'DB Money Supply'!$A:$D,4)</f>
        <v>1045.9000000000001</v>
      </c>
      <c r="C959" s="31">
        <f>(Table2634[[#This Row],[M1 Money Stock, Billions of Dollars, Weekly, Seasonally Adjusted]]-B958)/B958</f>
        <v>4.7828582360818822E-4</v>
      </c>
      <c r="D959" s="35">
        <f>((1+Table2634[[#This Row],[Weekly change]])^52)-1</f>
        <v>2.5176627269935192E-2</v>
      </c>
      <c r="E959" s="25">
        <f t="shared" si="14"/>
        <v>1042.575</v>
      </c>
      <c r="F959" s="33">
        <f>(Table2634[[#This Row],[4 weeks average]]-B907)/B907</f>
        <v>0.10759056623818133</v>
      </c>
    </row>
    <row r="960" spans="1:6" x14ac:dyDescent="0.2">
      <c r="A960" s="23">
        <v>34078</v>
      </c>
      <c r="B960" s="25">
        <f>VLOOKUP(Table2634[[#This Row],[Date]],'DB Money Supply'!$A:$D,4)</f>
        <v>1045.5</v>
      </c>
      <c r="C960" s="31">
        <f>(Table2634[[#This Row],[M1 Money Stock, Billions of Dollars, Weekly, Seasonally Adjusted]]-B959)/B959</f>
        <v>-3.8244574051065201E-4</v>
      </c>
      <c r="D960" s="35">
        <f>((1+Table2634[[#This Row],[Weekly change]])^52)-1</f>
        <v>-1.9694461921970441E-2</v>
      </c>
      <c r="E960" s="25">
        <f t="shared" si="14"/>
        <v>1044.3000000000002</v>
      </c>
      <c r="F960" s="33">
        <f>(Table2634[[#This Row],[4 weeks average]]-B908)/B908</f>
        <v>0.10426139367664178</v>
      </c>
    </row>
    <row r="961" spans="1:6" x14ac:dyDescent="0.2">
      <c r="A961" s="23">
        <v>34085</v>
      </c>
      <c r="B961" s="25">
        <f>VLOOKUP(Table2634[[#This Row],[Date]],'DB Money Supply'!$A:$D,4)</f>
        <v>1047.2</v>
      </c>
      <c r="C961" s="31">
        <f>(Table2634[[#This Row],[M1 Money Stock, Billions of Dollars, Weekly, Seasonally Adjusted]]-B960)/B960</f>
        <v>1.6260162601626452E-3</v>
      </c>
      <c r="D961" s="35">
        <f>((1+Table2634[[#This Row],[Weekly change]])^52)-1</f>
        <v>8.8155627084298249E-2</v>
      </c>
      <c r="E961" s="25">
        <f t="shared" si="14"/>
        <v>1046</v>
      </c>
      <c r="F961" s="33">
        <f>(Table2634[[#This Row],[4 weeks average]]-B909)/B909</f>
        <v>0.10617597292724193</v>
      </c>
    </row>
    <row r="962" spans="1:6" x14ac:dyDescent="0.2">
      <c r="A962" s="23">
        <v>34092</v>
      </c>
      <c r="B962" s="25">
        <f>VLOOKUP(Table2634[[#This Row],[Date]],'DB Money Supply'!$A:$D,4)</f>
        <v>1056.3</v>
      </c>
      <c r="C962" s="31">
        <f>(Table2634[[#This Row],[M1 Money Stock, Billions of Dollars, Weekly, Seasonally Adjusted]]-B961)/B961</f>
        <v>8.6898395721924267E-3</v>
      </c>
      <c r="D962" s="35">
        <f>((1+Table2634[[#This Row],[Weekly change]])^52)-1</f>
        <v>0.56818611729412982</v>
      </c>
      <c r="E962" s="25">
        <f t="shared" si="14"/>
        <v>1048.7250000000001</v>
      </c>
      <c r="F962" s="33">
        <f>(Table2634[[#This Row],[4 weeks average]]-B910)/B910</f>
        <v>0.10800316957210791</v>
      </c>
    </row>
    <row r="963" spans="1:6" x14ac:dyDescent="0.2">
      <c r="A963" s="23">
        <v>34099</v>
      </c>
      <c r="B963" s="25">
        <f>VLOOKUP(Table2634[[#This Row],[Date]],'DB Money Supply'!$A:$D,4)</f>
        <v>1064.0999999999999</v>
      </c>
      <c r="C963" s="31">
        <f>(Table2634[[#This Row],[M1 Money Stock, Billions of Dollars, Weekly, Seasonally Adjusted]]-B962)/B962</f>
        <v>7.3842658335699658E-3</v>
      </c>
      <c r="D963" s="35">
        <f>((1+Table2634[[#This Row],[Weekly change]])^52)-1</f>
        <v>0.46604903661596864</v>
      </c>
      <c r="E963" s="25">
        <f t="shared" si="14"/>
        <v>1053.2750000000001</v>
      </c>
      <c r="F963" s="33">
        <f>(Table2634[[#This Row],[4 weeks average]]-B911)/B911</f>
        <v>0.10941120707815474</v>
      </c>
    </row>
    <row r="964" spans="1:6" x14ac:dyDescent="0.2">
      <c r="A964" s="23">
        <v>34106</v>
      </c>
      <c r="B964" s="25">
        <f>VLOOKUP(Table2634[[#This Row],[Date]],'DB Money Supply'!$A:$D,4)</f>
        <v>1066</v>
      </c>
      <c r="C964" s="31">
        <f>(Table2634[[#This Row],[M1 Money Stock, Billions of Dollars, Weekly, Seasonally Adjusted]]-B963)/B963</f>
        <v>1.7855464711964018E-3</v>
      </c>
      <c r="D964" s="35">
        <f>((1+Table2634[[#This Row],[Weekly change]])^52)-1</f>
        <v>9.7204545028865219E-2</v>
      </c>
      <c r="E964" s="25">
        <f t="shared" si="14"/>
        <v>1058.4000000000001</v>
      </c>
      <c r="F964" s="33">
        <f>(Table2634[[#This Row],[4 weeks average]]-B912)/B912</f>
        <v>0.11433986102337348</v>
      </c>
    </row>
    <row r="965" spans="1:6" x14ac:dyDescent="0.2">
      <c r="A965" s="23">
        <v>34113</v>
      </c>
      <c r="B965" s="25">
        <f>VLOOKUP(Table2634[[#This Row],[Date]],'DB Money Supply'!$A:$D,4)</f>
        <v>1063.5999999999999</v>
      </c>
      <c r="C965" s="31">
        <f>(Table2634[[#This Row],[M1 Money Stock, Billions of Dollars, Weekly, Seasonally Adjusted]]-B964)/B964</f>
        <v>-2.2514071294559954E-3</v>
      </c>
      <c r="D965" s="35">
        <f>((1+Table2634[[#This Row],[Weekly change]])^52)-1</f>
        <v>-0.11059729413385821</v>
      </c>
      <c r="E965" s="25">
        <f t="shared" si="14"/>
        <v>1062.5</v>
      </c>
      <c r="F965" s="33">
        <f>(Table2634[[#This Row],[4 weeks average]]-B913)/B913</f>
        <v>0.11571983618607587</v>
      </c>
    </row>
    <row r="966" spans="1:6" x14ac:dyDescent="0.2">
      <c r="A966" s="23">
        <v>34120</v>
      </c>
      <c r="B966" s="25">
        <f>VLOOKUP(Table2634[[#This Row],[Date]],'DB Money Supply'!$A:$D,4)</f>
        <v>1073</v>
      </c>
      <c r="C966" s="31">
        <f>(Table2634[[#This Row],[M1 Money Stock, Billions of Dollars, Weekly, Seasonally Adjusted]]-B965)/B965</f>
        <v>8.8379089883415685E-3</v>
      </c>
      <c r="D966" s="35">
        <f>((1+Table2634[[#This Row],[Weekly change]])^52)-1</f>
        <v>0.58020143531030333</v>
      </c>
      <c r="E966" s="25">
        <f t="shared" si="14"/>
        <v>1066.675</v>
      </c>
      <c r="F966" s="33">
        <f>(Table2634[[#This Row],[4 weeks average]]-B914)/B914</f>
        <v>0.11869428421604609</v>
      </c>
    </row>
    <row r="967" spans="1:6" x14ac:dyDescent="0.2">
      <c r="A967" s="23">
        <v>34127</v>
      </c>
      <c r="B967" s="25">
        <f>VLOOKUP(Table2634[[#This Row],[Date]],'DB Money Supply'!$A:$D,4)</f>
        <v>1071.3</v>
      </c>
      <c r="C967" s="31">
        <f>(Table2634[[#This Row],[M1 Money Stock, Billions of Dollars, Weekly, Seasonally Adjusted]]-B966)/B966</f>
        <v>-1.5843429636533508E-3</v>
      </c>
      <c r="D967" s="35">
        <f>((1+Table2634[[#This Row],[Weekly change]])^52)-1</f>
        <v>-7.9143594907160275E-2</v>
      </c>
      <c r="E967" s="25">
        <f t="shared" si="14"/>
        <v>1068.4749999999999</v>
      </c>
      <c r="F967" s="33">
        <f>(Table2634[[#This Row],[4 weeks average]]-B915)/B915</f>
        <v>0.12340973609504771</v>
      </c>
    </row>
    <row r="968" spans="1:6" x14ac:dyDescent="0.2">
      <c r="A968" s="23">
        <v>34134</v>
      </c>
      <c r="B968" s="25">
        <f>VLOOKUP(Table2634[[#This Row],[Date]],'DB Money Supply'!$A:$D,4)</f>
        <v>1074.0999999999999</v>
      </c>
      <c r="C968" s="31">
        <f>(Table2634[[#This Row],[M1 Money Stock, Billions of Dollars, Weekly, Seasonally Adjusted]]-B967)/B967</f>
        <v>2.6136469709698074E-3</v>
      </c>
      <c r="D968" s="35">
        <f>((1+Table2634[[#This Row],[Weekly change]])^52)-1</f>
        <v>0.14537528307051351</v>
      </c>
      <c r="E968" s="25">
        <f t="shared" si="14"/>
        <v>1070.5</v>
      </c>
      <c r="F968" s="33">
        <f>(Table2634[[#This Row],[4 weeks average]]-B916)/B916</f>
        <v>0.12023859355378817</v>
      </c>
    </row>
    <row r="969" spans="1:6" x14ac:dyDescent="0.2">
      <c r="A969" s="23">
        <v>34141</v>
      </c>
      <c r="B969" s="25">
        <f>VLOOKUP(Table2634[[#This Row],[Date]],'DB Money Supply'!$A:$D,4)</f>
        <v>1076.4000000000001</v>
      </c>
      <c r="C969" s="31">
        <f>(Table2634[[#This Row],[M1 Money Stock, Billions of Dollars, Weekly, Seasonally Adjusted]]-B968)/B968</f>
        <v>2.141327623126508E-3</v>
      </c>
      <c r="D969" s="35">
        <f>((1+Table2634[[#This Row],[Weekly change]])^52)-1</f>
        <v>0.11765192487356124</v>
      </c>
      <c r="E969" s="25">
        <f t="shared" ref="E969:E1032" si="15">AVERAGE(B966:B969)</f>
        <v>1073.7</v>
      </c>
      <c r="F969" s="33">
        <f>(Table2634[[#This Row],[4 weeks average]]-B917)/B917</f>
        <v>0.12452869710934238</v>
      </c>
    </row>
    <row r="970" spans="1:6" x14ac:dyDescent="0.2">
      <c r="A970" s="23">
        <v>34148</v>
      </c>
      <c r="B970" s="25">
        <f>VLOOKUP(Table2634[[#This Row],[Date]],'DB Money Supply'!$A:$D,4)</f>
        <v>1077.5999999999999</v>
      </c>
      <c r="C970" s="31">
        <f>(Table2634[[#This Row],[M1 Money Stock, Billions of Dollars, Weekly, Seasonally Adjusted]]-B969)/B969</f>
        <v>1.1148272017835544E-3</v>
      </c>
      <c r="D970" s="35">
        <f>((1+Table2634[[#This Row],[Weekly change]])^52)-1</f>
        <v>5.9650063299811151E-2</v>
      </c>
      <c r="E970" s="25">
        <f t="shared" si="15"/>
        <v>1074.8499999999999</v>
      </c>
      <c r="F970" s="33">
        <f>(Table2634[[#This Row],[4 weeks average]]-B918)/B918</f>
        <v>0.12526172529313218</v>
      </c>
    </row>
    <row r="971" spans="1:6" x14ac:dyDescent="0.2">
      <c r="A971" s="23">
        <v>34155</v>
      </c>
      <c r="B971" s="25">
        <f>VLOOKUP(Table2634[[#This Row],[Date]],'DB Money Supply'!$A:$D,4)</f>
        <v>1079.3</v>
      </c>
      <c r="C971" s="31">
        <f>(Table2634[[#This Row],[M1 Money Stock, Billions of Dollars, Weekly, Seasonally Adjusted]]-B970)/B970</f>
        <v>1.5775798069785131E-3</v>
      </c>
      <c r="D971" s="35">
        <f>((1+Table2634[[#This Row],[Weekly change]])^52)-1</f>
        <v>8.5422715033508956E-2</v>
      </c>
      <c r="E971" s="25">
        <f t="shared" si="15"/>
        <v>1076.8499999999999</v>
      </c>
      <c r="F971" s="33">
        <f>(Table2634[[#This Row],[4 weeks average]]-B919)/B919</f>
        <v>0.12253726675701028</v>
      </c>
    </row>
    <row r="972" spans="1:6" x14ac:dyDescent="0.2">
      <c r="A972" s="23">
        <v>34162</v>
      </c>
      <c r="B972" s="25">
        <f>VLOOKUP(Table2634[[#This Row],[Date]],'DB Money Supply'!$A:$D,4)</f>
        <v>1083.3</v>
      </c>
      <c r="C972" s="31">
        <f>(Table2634[[#This Row],[M1 Money Stock, Billions of Dollars, Weekly, Seasonally Adjusted]]-B971)/B971</f>
        <v>3.7061058093208563E-3</v>
      </c>
      <c r="D972" s="35">
        <f>((1+Table2634[[#This Row],[Weekly change]])^52)-1</f>
        <v>0.21210833170969767</v>
      </c>
      <c r="E972" s="25">
        <f t="shared" si="15"/>
        <v>1079.1500000000001</v>
      </c>
      <c r="F972" s="33">
        <f>(Table2634[[#This Row],[4 weeks average]]-B920)/B920</f>
        <v>0.1236463973344441</v>
      </c>
    </row>
    <row r="973" spans="1:6" x14ac:dyDescent="0.2">
      <c r="A973" s="23">
        <v>34169</v>
      </c>
      <c r="B973" s="25">
        <f>VLOOKUP(Table2634[[#This Row],[Date]],'DB Money Supply'!$A:$D,4)</f>
        <v>1085.3</v>
      </c>
      <c r="C973" s="31">
        <f>(Table2634[[#This Row],[M1 Money Stock, Billions of Dollars, Weekly, Seasonally Adjusted]]-B972)/B972</f>
        <v>1.8462106526354659E-3</v>
      </c>
      <c r="D973" s="35">
        <f>((1+Table2634[[#This Row],[Weekly change]])^52)-1</f>
        <v>0.10066488930435669</v>
      </c>
      <c r="E973" s="25">
        <f t="shared" si="15"/>
        <v>1081.375</v>
      </c>
      <c r="F973" s="33">
        <f>(Table2634[[#This Row],[4 weeks average]]-B921)/B921</f>
        <v>0.12082815091210619</v>
      </c>
    </row>
    <row r="974" spans="1:6" x14ac:dyDescent="0.2">
      <c r="A974" s="23">
        <v>34176</v>
      </c>
      <c r="B974" s="25">
        <f>VLOOKUP(Table2634[[#This Row],[Date]],'DB Money Supply'!$A:$D,4)</f>
        <v>1086.5</v>
      </c>
      <c r="C974" s="31">
        <f>(Table2634[[#This Row],[M1 Money Stock, Billions of Dollars, Weekly, Seasonally Adjusted]]-B973)/B973</f>
        <v>1.1056850640376351E-3</v>
      </c>
      <c r="D974" s="35">
        <f>((1+Table2634[[#This Row],[Weekly change]])^52)-1</f>
        <v>5.9146993147802585E-2</v>
      </c>
      <c r="E974" s="25">
        <f t="shared" si="15"/>
        <v>1083.5999999999999</v>
      </c>
      <c r="F974" s="33">
        <f>(Table2634[[#This Row],[4 weeks average]]-B922)/B922</f>
        <v>0.12081092263136115</v>
      </c>
    </row>
    <row r="975" spans="1:6" x14ac:dyDescent="0.2">
      <c r="A975" s="23">
        <v>34183</v>
      </c>
      <c r="B975" s="25">
        <f>VLOOKUP(Table2634[[#This Row],[Date]],'DB Money Supply'!$A:$D,4)</f>
        <v>1088.3</v>
      </c>
      <c r="C975" s="31">
        <f>(Table2634[[#This Row],[M1 Money Stock, Billions of Dollars, Weekly, Seasonally Adjusted]]-B974)/B974</f>
        <v>1.6566958122410994E-3</v>
      </c>
      <c r="D975" s="35">
        <f>((1+Table2634[[#This Row],[Weekly change]])^52)-1</f>
        <v>8.989013794769618E-2</v>
      </c>
      <c r="E975" s="25">
        <f t="shared" si="15"/>
        <v>1085.8499999999999</v>
      </c>
      <c r="F975" s="33">
        <f>(Table2634[[#This Row],[4 weeks average]]-B923)/B923</f>
        <v>0.12430109753572165</v>
      </c>
    </row>
    <row r="976" spans="1:6" x14ac:dyDescent="0.2">
      <c r="A976" s="23">
        <v>34190</v>
      </c>
      <c r="B976" s="25">
        <f>VLOOKUP(Table2634[[#This Row],[Date]],'DB Money Supply'!$A:$D,4)</f>
        <v>1092.4000000000001</v>
      </c>
      <c r="C976" s="31">
        <f>(Table2634[[#This Row],[M1 Money Stock, Billions of Dollars, Weekly, Seasonally Adjusted]]-B975)/B975</f>
        <v>3.767343563355818E-3</v>
      </c>
      <c r="D976" s="35">
        <f>((1+Table2634[[#This Row],[Weekly change]])^52)-1</f>
        <v>0.21595986187386473</v>
      </c>
      <c r="E976" s="25">
        <f t="shared" si="15"/>
        <v>1088.125</v>
      </c>
      <c r="F976" s="33">
        <f>(Table2634[[#This Row],[4 weeks average]]-B924)/B924</f>
        <v>0.11866454199650452</v>
      </c>
    </row>
    <row r="977" spans="1:6" x14ac:dyDescent="0.2">
      <c r="A977" s="23">
        <v>34197</v>
      </c>
      <c r="B977" s="25">
        <f>VLOOKUP(Table2634[[#This Row],[Date]],'DB Money Supply'!$A:$D,4)</f>
        <v>1095.4000000000001</v>
      </c>
      <c r="C977" s="31">
        <f>(Table2634[[#This Row],[M1 Money Stock, Billions of Dollars, Weekly, Seasonally Adjusted]]-B976)/B976</f>
        <v>2.7462467960454044E-3</v>
      </c>
      <c r="D977" s="35">
        <f>((1+Table2634[[#This Row],[Weekly change]])^52)-1</f>
        <v>0.15327890028573754</v>
      </c>
      <c r="E977" s="25">
        <f t="shared" si="15"/>
        <v>1090.6500000000001</v>
      </c>
      <c r="F977" s="33">
        <f>(Table2634[[#This Row],[4 weeks average]]-B925)/B925</f>
        <v>0.1210299105766267</v>
      </c>
    </row>
    <row r="978" spans="1:6" x14ac:dyDescent="0.2">
      <c r="A978" s="23">
        <v>34204</v>
      </c>
      <c r="B978" s="25">
        <f>VLOOKUP(Table2634[[#This Row],[Date]],'DB Money Supply'!$A:$D,4)</f>
        <v>1093.0999999999999</v>
      </c>
      <c r="C978" s="31">
        <f>(Table2634[[#This Row],[M1 Money Stock, Billions of Dollars, Weekly, Seasonally Adjusted]]-B977)/B977</f>
        <v>-2.0996896111011337E-3</v>
      </c>
      <c r="D978" s="35">
        <f>((1+Table2634[[#This Row],[Weekly change]])^52)-1</f>
        <v>-0.10353734799858672</v>
      </c>
      <c r="E978" s="25">
        <f t="shared" si="15"/>
        <v>1092.3</v>
      </c>
      <c r="F978" s="33">
        <f>(Table2634[[#This Row],[4 weeks average]]-B926)/B926</f>
        <v>0.12122767398891388</v>
      </c>
    </row>
    <row r="979" spans="1:6" x14ac:dyDescent="0.2">
      <c r="A979" s="23">
        <v>34211</v>
      </c>
      <c r="B979" s="25">
        <f>VLOOKUP(Table2634[[#This Row],[Date]],'DB Money Supply'!$A:$D,4)</f>
        <v>1096.8</v>
      </c>
      <c r="C979" s="31">
        <f>(Table2634[[#This Row],[M1 Money Stock, Billions of Dollars, Weekly, Seasonally Adjusted]]-B978)/B978</f>
        <v>3.384868721983392E-3</v>
      </c>
      <c r="D979" s="35">
        <f>((1+Table2634[[#This Row],[Weekly change]])^52)-1</f>
        <v>0.19209939866980585</v>
      </c>
      <c r="E979" s="25">
        <f t="shared" si="15"/>
        <v>1094.425</v>
      </c>
      <c r="F979" s="33">
        <f>(Table2634[[#This Row],[4 weeks average]]-B927)/B927</f>
        <v>0.11847215125191615</v>
      </c>
    </row>
    <row r="980" spans="1:6" x14ac:dyDescent="0.2">
      <c r="A980" s="23">
        <v>34218</v>
      </c>
      <c r="B980" s="25">
        <f>VLOOKUP(Table2634[[#This Row],[Date]],'DB Money Supply'!$A:$D,4)</f>
        <v>1100.5999999999999</v>
      </c>
      <c r="C980" s="31">
        <f>(Table2634[[#This Row],[M1 Money Stock, Billions of Dollars, Weekly, Seasonally Adjusted]]-B979)/B979</f>
        <v>3.4646243617796816E-3</v>
      </c>
      <c r="D980" s="35">
        <f>((1+Table2634[[#This Row],[Weekly change]])^52)-1</f>
        <v>0.19703670663598571</v>
      </c>
      <c r="E980" s="25">
        <f t="shared" si="15"/>
        <v>1096.4749999999999</v>
      </c>
      <c r="F980" s="33">
        <f>(Table2634[[#This Row],[4 weeks average]]-B928)/B928</f>
        <v>0.11965179209639534</v>
      </c>
    </row>
    <row r="981" spans="1:6" x14ac:dyDescent="0.2">
      <c r="A981" s="23">
        <v>34225</v>
      </c>
      <c r="B981" s="25">
        <f>VLOOKUP(Table2634[[#This Row],[Date]],'DB Money Supply'!$A:$D,4)</f>
        <v>1103</v>
      </c>
      <c r="C981" s="31">
        <f>(Table2634[[#This Row],[M1 Money Stock, Billions of Dollars, Weekly, Seasonally Adjusted]]-B980)/B980</f>
        <v>2.1806287479557433E-3</v>
      </c>
      <c r="D981" s="35">
        <f>((1+Table2634[[#This Row],[Weekly change]])^52)-1</f>
        <v>0.11993342396061157</v>
      </c>
      <c r="E981" s="25">
        <f t="shared" si="15"/>
        <v>1098.375</v>
      </c>
      <c r="F981" s="33">
        <f>(Table2634[[#This Row],[4 weeks average]]-B929)/B929</f>
        <v>0.11442268668831167</v>
      </c>
    </row>
    <row r="982" spans="1:6" x14ac:dyDescent="0.2">
      <c r="A982" s="23">
        <v>34232</v>
      </c>
      <c r="B982" s="25">
        <f>VLOOKUP(Table2634[[#This Row],[Date]],'DB Money Supply'!$A:$D,4)</f>
        <v>1106.9000000000001</v>
      </c>
      <c r="C982" s="31">
        <f>(Table2634[[#This Row],[M1 Money Stock, Billions of Dollars, Weekly, Seasonally Adjusted]]-B981)/B981</f>
        <v>3.5358114233908348E-3</v>
      </c>
      <c r="D982" s="35">
        <f>((1+Table2634[[#This Row],[Weekly change]])^52)-1</f>
        <v>0.20146050852817221</v>
      </c>
      <c r="E982" s="25">
        <f t="shared" si="15"/>
        <v>1101.8249999999998</v>
      </c>
      <c r="F982" s="33">
        <f>(Table2634[[#This Row],[4 weeks average]]-B930)/B930</f>
        <v>0.11284213715786263</v>
      </c>
    </row>
    <row r="983" spans="1:6" x14ac:dyDescent="0.2">
      <c r="A983" s="23">
        <v>34239</v>
      </c>
      <c r="B983" s="25">
        <f>VLOOKUP(Table2634[[#This Row],[Date]],'DB Money Supply'!$A:$D,4)</f>
        <v>1103.9000000000001</v>
      </c>
      <c r="C983" s="31">
        <f>(Table2634[[#This Row],[M1 Money Stock, Billions of Dollars, Weekly, Seasonally Adjusted]]-B982)/B982</f>
        <v>-2.7102719306170385E-3</v>
      </c>
      <c r="D983" s="35">
        <f>((1+Table2634[[#This Row],[Weekly change]])^52)-1</f>
        <v>-0.1316196517739826</v>
      </c>
      <c r="E983" s="25">
        <f t="shared" si="15"/>
        <v>1103.5999999999999</v>
      </c>
      <c r="F983" s="33">
        <f>(Table2634[[#This Row],[4 weeks average]]-B931)/B931</f>
        <v>0.11003822168577737</v>
      </c>
    </row>
    <row r="984" spans="1:6" x14ac:dyDescent="0.2">
      <c r="A984" s="23">
        <v>34246</v>
      </c>
      <c r="B984" s="25">
        <f>VLOOKUP(Table2634[[#This Row],[Date]],'DB Money Supply'!$A:$D,4)</f>
        <v>1108.3</v>
      </c>
      <c r="C984" s="31">
        <f>(Table2634[[#This Row],[M1 Money Stock, Billions of Dollars, Weekly, Seasonally Adjusted]]-B983)/B983</f>
        <v>3.9858682851706346E-3</v>
      </c>
      <c r="D984" s="35">
        <f>((1+Table2634[[#This Row],[Weekly change]])^52)-1</f>
        <v>0.22980199823284164</v>
      </c>
      <c r="E984" s="25">
        <f t="shared" si="15"/>
        <v>1105.5250000000001</v>
      </c>
      <c r="F984" s="33">
        <f>(Table2634[[#This Row],[4 weeks average]]-B932)/B932</f>
        <v>0.10818464314354458</v>
      </c>
    </row>
    <row r="985" spans="1:6" x14ac:dyDescent="0.2">
      <c r="A985" s="23">
        <v>34253</v>
      </c>
      <c r="B985" s="25">
        <f>VLOOKUP(Table2634[[#This Row],[Date]],'DB Money Supply'!$A:$D,4)</f>
        <v>1110.0999999999999</v>
      </c>
      <c r="C985" s="31">
        <f>(Table2634[[#This Row],[M1 Money Stock, Billions of Dollars, Weekly, Seasonally Adjusted]]-B984)/B984</f>
        <v>1.62410899575923E-3</v>
      </c>
      <c r="D985" s="35">
        <f>((1+Table2634[[#This Row],[Weekly change]])^52)-1</f>
        <v>8.804788668637209E-2</v>
      </c>
      <c r="E985" s="25">
        <f t="shared" si="15"/>
        <v>1107.3000000000002</v>
      </c>
      <c r="F985" s="33">
        <f>(Table2634[[#This Row],[4 weeks average]]-B933)/B933</f>
        <v>0.10785392696348192</v>
      </c>
    </row>
    <row r="986" spans="1:6" x14ac:dyDescent="0.2">
      <c r="A986" s="23">
        <v>34260</v>
      </c>
      <c r="B986" s="25">
        <f>VLOOKUP(Table2634[[#This Row],[Date]],'DB Money Supply'!$A:$D,4)</f>
        <v>1112.8</v>
      </c>
      <c r="C986" s="31">
        <f>(Table2634[[#This Row],[M1 Money Stock, Billions of Dollars, Weekly, Seasonally Adjusted]]-B985)/B985</f>
        <v>2.4322133141158864E-3</v>
      </c>
      <c r="D986" s="35">
        <f>((1+Table2634[[#This Row],[Weekly change]])^52)-1</f>
        <v>0.13464693728804744</v>
      </c>
      <c r="E986" s="25">
        <f t="shared" si="15"/>
        <v>1108.7749999999999</v>
      </c>
      <c r="F986" s="33">
        <f>(Table2634[[#This Row],[4 weeks average]]-B934)/B934</f>
        <v>0.10766733266733253</v>
      </c>
    </row>
    <row r="987" spans="1:6" x14ac:dyDescent="0.2">
      <c r="A987" s="23">
        <v>34267</v>
      </c>
      <c r="B987" s="25">
        <f>VLOOKUP(Table2634[[#This Row],[Date]],'DB Money Supply'!$A:$D,4)</f>
        <v>1113</v>
      </c>
      <c r="C987" s="31">
        <f>(Table2634[[#This Row],[M1 Money Stock, Billions of Dollars, Weekly, Seasonally Adjusted]]-B986)/B986</f>
        <v>1.7972681524087481E-4</v>
      </c>
      <c r="D987" s="35">
        <f>((1+Table2634[[#This Row],[Weekly change]])^52)-1</f>
        <v>9.3887550682261178E-3</v>
      </c>
      <c r="E987" s="25">
        <f t="shared" si="15"/>
        <v>1111.05</v>
      </c>
      <c r="F987" s="33">
        <f>(Table2634[[#This Row],[4 weeks average]]-B935)/B935</f>
        <v>0.10092152199762179</v>
      </c>
    </row>
    <row r="988" spans="1:6" x14ac:dyDescent="0.2">
      <c r="A988" s="23">
        <v>34274</v>
      </c>
      <c r="B988" s="25">
        <f>VLOOKUP(Table2634[[#This Row],[Date]],'DB Money Supply'!$A:$D,4)</f>
        <v>1120.0999999999999</v>
      </c>
      <c r="C988" s="31">
        <f>(Table2634[[#This Row],[M1 Money Stock, Billions of Dollars, Weekly, Seasonally Adjusted]]-B987)/B987</f>
        <v>6.3791554357591276E-3</v>
      </c>
      <c r="D988" s="35">
        <f>((1+Table2634[[#This Row],[Weekly change]])^52)-1</f>
        <v>0.39188998718138746</v>
      </c>
      <c r="E988" s="25">
        <f t="shared" si="15"/>
        <v>1114</v>
      </c>
      <c r="F988" s="33">
        <f>(Table2634[[#This Row],[4 weeks average]]-B936)/B936</f>
        <v>0.1011169318968073</v>
      </c>
    </row>
    <row r="989" spans="1:6" x14ac:dyDescent="0.2">
      <c r="A989" s="23">
        <v>34281</v>
      </c>
      <c r="B989" s="25">
        <f>VLOOKUP(Table2634[[#This Row],[Date]],'DB Money Supply'!$A:$D,4)</f>
        <v>1121.7</v>
      </c>
      <c r="C989" s="31">
        <f>(Table2634[[#This Row],[M1 Money Stock, Billions of Dollars, Weekly, Seasonally Adjusted]]-B988)/B988</f>
        <v>1.4284438889386095E-3</v>
      </c>
      <c r="D989" s="35">
        <f>((1+Table2634[[#This Row],[Weekly change]])^52)-1</f>
        <v>7.7050278513536519E-2</v>
      </c>
      <c r="E989" s="25">
        <f t="shared" si="15"/>
        <v>1116.9000000000001</v>
      </c>
      <c r="F989" s="33">
        <f>(Table2634[[#This Row],[4 weeks average]]-B937)/B937</f>
        <v>0.10061095782420196</v>
      </c>
    </row>
    <row r="990" spans="1:6" x14ac:dyDescent="0.2">
      <c r="A990" s="23">
        <v>34288</v>
      </c>
      <c r="B990" s="25">
        <f>VLOOKUP(Table2634[[#This Row],[Date]],'DB Money Supply'!$A:$D,4)</f>
        <v>1126.8</v>
      </c>
      <c r="C990" s="31">
        <f>(Table2634[[#This Row],[M1 Money Stock, Billions of Dollars, Weekly, Seasonally Adjusted]]-B989)/B989</f>
        <v>4.5466702326824541E-3</v>
      </c>
      <c r="D990" s="35">
        <f>((1+Table2634[[#This Row],[Weekly change]])^52)-1</f>
        <v>0.26603630247808741</v>
      </c>
      <c r="E990" s="25">
        <f t="shared" si="15"/>
        <v>1120.4000000000001</v>
      </c>
      <c r="F990" s="33">
        <f>(Table2634[[#This Row],[4 weeks average]]-B938)/B938</f>
        <v>0.10167158308751238</v>
      </c>
    </row>
    <row r="991" spans="1:6" x14ac:dyDescent="0.2">
      <c r="A991" s="23">
        <v>34295</v>
      </c>
      <c r="B991" s="25">
        <f>VLOOKUP(Table2634[[#This Row],[Date]],'DB Money Supply'!$A:$D,4)</f>
        <v>1123.2</v>
      </c>
      <c r="C991" s="31">
        <f>(Table2634[[#This Row],[M1 Money Stock, Billions of Dollars, Weekly, Seasonally Adjusted]]-B990)/B990</f>
        <v>-3.1948881789136572E-3</v>
      </c>
      <c r="D991" s="35">
        <f>((1+Table2634[[#This Row],[Weekly change]])^52)-1</f>
        <v>-0.15329263677773219</v>
      </c>
      <c r="E991" s="25">
        <f t="shared" si="15"/>
        <v>1122.95</v>
      </c>
      <c r="F991" s="33">
        <f>(Table2634[[#This Row],[4 weeks average]]-B939)/B939</f>
        <v>0.10700906940063099</v>
      </c>
    </row>
    <row r="992" spans="1:6" x14ac:dyDescent="0.2">
      <c r="A992" s="23">
        <v>34302</v>
      </c>
      <c r="B992" s="25">
        <f>VLOOKUP(Table2634[[#This Row],[Date]],'DB Money Supply'!$A:$D,4)</f>
        <v>1124.7</v>
      </c>
      <c r="C992" s="31">
        <f>(Table2634[[#This Row],[M1 Money Stock, Billions of Dollars, Weekly, Seasonally Adjusted]]-B991)/B991</f>
        <v>1.3354700854700855E-3</v>
      </c>
      <c r="D992" s="35">
        <f>((1+Table2634[[#This Row],[Weekly change]])^52)-1</f>
        <v>7.186284910754126E-2</v>
      </c>
      <c r="E992" s="25">
        <f t="shared" si="15"/>
        <v>1124.0999999999999</v>
      </c>
      <c r="F992" s="33">
        <f>(Table2634[[#This Row],[4 weeks average]]-B940)/B940</f>
        <v>0.1043324491600353</v>
      </c>
    </row>
    <row r="993" spans="1:6" x14ac:dyDescent="0.2">
      <c r="A993" s="23">
        <v>34309</v>
      </c>
      <c r="B993" s="25">
        <f>VLOOKUP(Table2634[[#This Row],[Date]],'DB Money Supply'!$A:$D,4)</f>
        <v>1128.0999999999999</v>
      </c>
      <c r="C993" s="31">
        <f>(Table2634[[#This Row],[M1 Money Stock, Billions of Dollars, Weekly, Seasonally Adjusted]]-B992)/B992</f>
        <v>3.0230283631189326E-3</v>
      </c>
      <c r="D993" s="35">
        <f>((1+Table2634[[#This Row],[Weekly change]])^52)-1</f>
        <v>0.1699492203373405</v>
      </c>
      <c r="E993" s="25">
        <f t="shared" si="15"/>
        <v>1125.6999999999998</v>
      </c>
      <c r="F993" s="33">
        <f>(Table2634[[#This Row],[4 weeks average]]-B941)/B941</f>
        <v>0.10211474446837658</v>
      </c>
    </row>
    <row r="994" spans="1:6" x14ac:dyDescent="0.2">
      <c r="A994" s="23">
        <v>34316</v>
      </c>
      <c r="B994" s="25">
        <f>VLOOKUP(Table2634[[#This Row],[Date]],'DB Money Supply'!$A:$D,4)</f>
        <v>1129.5</v>
      </c>
      <c r="C994" s="31">
        <f>(Table2634[[#This Row],[M1 Money Stock, Billions of Dollars, Weekly, Seasonally Adjusted]]-B993)/B993</f>
        <v>1.2410247318500941E-3</v>
      </c>
      <c r="D994" s="35">
        <f>((1+Table2634[[#This Row],[Weekly change]])^52)-1</f>
        <v>6.6618405695505034E-2</v>
      </c>
      <c r="E994" s="25">
        <f t="shared" si="15"/>
        <v>1126.375</v>
      </c>
      <c r="F994" s="33">
        <f>(Table2634[[#This Row],[4 weeks average]]-B942)/B942</f>
        <v>9.7938395555122237E-2</v>
      </c>
    </row>
    <row r="995" spans="1:6" x14ac:dyDescent="0.2">
      <c r="A995" s="23">
        <v>34323</v>
      </c>
      <c r="B995" s="25">
        <f>VLOOKUP(Table2634[[#This Row],[Date]],'DB Money Supply'!$A:$D,4)</f>
        <v>1129.5</v>
      </c>
      <c r="C995" s="31">
        <f>(Table2634[[#This Row],[M1 Money Stock, Billions of Dollars, Weekly, Seasonally Adjusted]]-B994)/B994</f>
        <v>0</v>
      </c>
      <c r="D995" s="35">
        <f>((1+Table2634[[#This Row],[Weekly change]])^52)-1</f>
        <v>0</v>
      </c>
      <c r="E995" s="25">
        <f t="shared" si="15"/>
        <v>1127.95</v>
      </c>
      <c r="F995" s="33">
        <f>(Table2634[[#This Row],[4 weeks average]]-B943)/B943</f>
        <v>0.10280602268283154</v>
      </c>
    </row>
    <row r="996" spans="1:6" x14ac:dyDescent="0.2">
      <c r="A996" s="23">
        <v>34330</v>
      </c>
      <c r="B996" s="25">
        <f>VLOOKUP(Table2634[[#This Row],[Date]],'DB Money Supply'!$A:$D,4)</f>
        <v>1131.9000000000001</v>
      </c>
      <c r="C996" s="31">
        <f>(Table2634[[#This Row],[M1 Money Stock, Billions of Dollars, Weekly, Seasonally Adjusted]]-B995)/B995</f>
        <v>2.1248339973440381E-3</v>
      </c>
      <c r="D996" s="35">
        <f>((1+Table2634[[#This Row],[Weekly change]])^52)-1</f>
        <v>0.11669579954850451</v>
      </c>
      <c r="E996" s="25">
        <f t="shared" si="15"/>
        <v>1129.75</v>
      </c>
      <c r="F996" s="33">
        <f>(Table2634[[#This Row],[4 weeks average]]-B944)/B944</f>
        <v>9.8551147413457704E-2</v>
      </c>
    </row>
    <row r="997" spans="1:6" x14ac:dyDescent="0.2">
      <c r="A997" s="23">
        <v>34337</v>
      </c>
      <c r="B997" s="25">
        <f>VLOOKUP(Table2634[[#This Row],[Date]],'DB Money Supply'!$A:$D,4)</f>
        <v>1128.4000000000001</v>
      </c>
      <c r="C997" s="31">
        <f>(Table2634[[#This Row],[M1 Money Stock, Billions of Dollars, Weekly, Seasonally Adjusted]]-B996)/B996</f>
        <v>-3.0921459492888061E-3</v>
      </c>
      <c r="D997" s="35">
        <f>((1+Table2634[[#This Row],[Weekly change]])^52)-1</f>
        <v>-0.14874257453881934</v>
      </c>
      <c r="E997" s="25">
        <f t="shared" si="15"/>
        <v>1129.825</v>
      </c>
      <c r="F997" s="33">
        <f>(Table2634[[#This Row],[4 weeks average]]-B945)/B945</f>
        <v>9.9265421288188452E-2</v>
      </c>
    </row>
    <row r="998" spans="1:6" x14ac:dyDescent="0.2">
      <c r="A998" s="23">
        <v>34344</v>
      </c>
      <c r="B998" s="25">
        <f>VLOOKUP(Table2634[[#This Row],[Date]],'DB Money Supply'!$A:$D,4)</f>
        <v>1131</v>
      </c>
      <c r="C998" s="31">
        <f>(Table2634[[#This Row],[M1 Money Stock, Billions of Dollars, Weekly, Seasonally Adjusted]]-B997)/B997</f>
        <v>2.3041474654377074E-3</v>
      </c>
      <c r="D998" s="35">
        <f>((1+Table2634[[#This Row],[Weekly change]])^52)-1</f>
        <v>0.12713367951875054</v>
      </c>
      <c r="E998" s="25">
        <f t="shared" si="15"/>
        <v>1130.2</v>
      </c>
      <c r="F998" s="33">
        <f>(Table2634[[#This Row],[4 weeks average]]-B946)/B946</f>
        <v>9.6110949471438417E-2</v>
      </c>
    </row>
    <row r="999" spans="1:6" x14ac:dyDescent="0.2">
      <c r="A999" s="23">
        <v>34351</v>
      </c>
      <c r="B999" s="25">
        <f>VLOOKUP(Table2634[[#This Row],[Date]],'DB Money Supply'!$A:$D,4)</f>
        <v>1131.3</v>
      </c>
      <c r="C999" s="31">
        <f>(Table2634[[#This Row],[M1 Money Stock, Billions of Dollars, Weekly, Seasonally Adjusted]]-B998)/B998</f>
        <v>2.6525198938988023E-4</v>
      </c>
      <c r="D999" s="35">
        <f>((1+Table2634[[#This Row],[Weekly change]])^52)-1</f>
        <v>1.3886812766251033E-2</v>
      </c>
      <c r="E999" s="25">
        <f t="shared" si="15"/>
        <v>1130.6500000000001</v>
      </c>
      <c r="F999" s="33">
        <f>(Table2634[[#This Row],[4 weeks average]]-B947)/B947</f>
        <v>9.8144910644910835E-2</v>
      </c>
    </row>
    <row r="1000" spans="1:6" x14ac:dyDescent="0.2">
      <c r="A1000" s="23">
        <v>34358</v>
      </c>
      <c r="B1000" s="25">
        <f>VLOOKUP(Table2634[[#This Row],[Date]],'DB Money Supply'!$A:$D,4)</f>
        <v>1132.4000000000001</v>
      </c>
      <c r="C1000" s="31">
        <f>(Table2634[[#This Row],[M1 Money Stock, Billions of Dollars, Weekly, Seasonally Adjusted]]-B999)/B999</f>
        <v>9.7233271457627197E-4</v>
      </c>
      <c r="D1000" s="35">
        <f>((1+Table2634[[#This Row],[Weekly change]])^52)-1</f>
        <v>5.1835502744741691E-2</v>
      </c>
      <c r="E1000" s="25">
        <f t="shared" si="15"/>
        <v>1130.7750000000001</v>
      </c>
      <c r="F1000" s="33">
        <f>(Table2634[[#This Row],[4 weeks average]]-B948)/B948</f>
        <v>9.6881365796876506E-2</v>
      </c>
    </row>
    <row r="1001" spans="1:6" x14ac:dyDescent="0.2">
      <c r="A1001" s="23">
        <v>34365</v>
      </c>
      <c r="B1001" s="25">
        <f>VLOOKUP(Table2634[[#This Row],[Date]],'DB Money Supply'!$A:$D,4)</f>
        <v>1132.7</v>
      </c>
      <c r="C1001" s="31">
        <f>(Table2634[[#This Row],[M1 Money Stock, Billions of Dollars, Weekly, Seasonally Adjusted]]-B1000)/B1000</f>
        <v>2.649240551041633E-4</v>
      </c>
      <c r="D1001" s="35">
        <f>((1+Table2634[[#This Row],[Weekly change]])^52)-1</f>
        <v>1.3869528106697837E-2</v>
      </c>
      <c r="E1001" s="25">
        <f t="shared" si="15"/>
        <v>1131.8500000000001</v>
      </c>
      <c r="F1001" s="33">
        <f>(Table2634[[#This Row],[4 weeks average]]-B949)/B949</f>
        <v>9.7391894512313393E-2</v>
      </c>
    </row>
    <row r="1002" spans="1:6" x14ac:dyDescent="0.2">
      <c r="A1002" s="23">
        <v>34372</v>
      </c>
      <c r="B1002" s="25">
        <f>VLOOKUP(Table2634[[#This Row],[Date]],'DB Money Supply'!$A:$D,4)</f>
        <v>1134.5</v>
      </c>
      <c r="C1002" s="31">
        <f>(Table2634[[#This Row],[M1 Money Stock, Billions of Dollars, Weekly, Seasonally Adjusted]]-B1001)/B1001</f>
        <v>1.5891233336275752E-3</v>
      </c>
      <c r="D1002" s="35">
        <f>((1+Table2634[[#This Row],[Weekly change]])^52)-1</f>
        <v>8.6073419530952711E-2</v>
      </c>
      <c r="E1002" s="25">
        <f t="shared" si="15"/>
        <v>1132.7249999999999</v>
      </c>
      <c r="F1002" s="33">
        <f>(Table2634[[#This Row],[4 weeks average]]-B950)/B950</f>
        <v>9.9733009708737774E-2</v>
      </c>
    </row>
    <row r="1003" spans="1:6" x14ac:dyDescent="0.2">
      <c r="A1003" s="23">
        <v>34379</v>
      </c>
      <c r="B1003" s="25">
        <f>VLOOKUP(Table2634[[#This Row],[Date]],'DB Money Supply'!$A:$D,4)</f>
        <v>1136.7</v>
      </c>
      <c r="C1003" s="31">
        <f>(Table2634[[#This Row],[M1 Money Stock, Billions of Dollars, Weekly, Seasonally Adjusted]]-B1002)/B1002</f>
        <v>1.9391802556192556E-3</v>
      </c>
      <c r="D1003" s="35">
        <f>((1+Table2634[[#This Row],[Weekly change]])^52)-1</f>
        <v>0.10598874704234462</v>
      </c>
      <c r="E1003" s="25">
        <f t="shared" si="15"/>
        <v>1134.075</v>
      </c>
      <c r="F1003" s="33">
        <f>(Table2634[[#This Row],[4 weeks average]]-B951)/B951</f>
        <v>9.6678270960255441E-2</v>
      </c>
    </row>
    <row r="1004" spans="1:6" x14ac:dyDescent="0.2">
      <c r="A1004" s="23">
        <v>34386</v>
      </c>
      <c r="B1004" s="25">
        <f>VLOOKUP(Table2634[[#This Row],[Date]],'DB Money Supply'!$A:$D,4)</f>
        <v>1137.4000000000001</v>
      </c>
      <c r="C1004" s="31">
        <f>(Table2634[[#This Row],[M1 Money Stock, Billions of Dollars, Weekly, Seasonally Adjusted]]-B1003)/B1003</f>
        <v>6.1581771795552517E-4</v>
      </c>
      <c r="D1004" s="35">
        <f>((1+Table2634[[#This Row],[Weekly change]])^52)-1</f>
        <v>3.2530582595702739E-2</v>
      </c>
      <c r="E1004" s="25">
        <f t="shared" si="15"/>
        <v>1135.3249999999998</v>
      </c>
      <c r="F1004" s="33">
        <f>(Table2634[[#This Row],[4 weeks average]]-B952)/B952</f>
        <v>9.725041074707623E-2</v>
      </c>
    </row>
    <row r="1005" spans="1:6" x14ac:dyDescent="0.2">
      <c r="A1005" s="23">
        <v>34393</v>
      </c>
      <c r="B1005" s="25">
        <f>VLOOKUP(Table2634[[#This Row],[Date]],'DB Money Supply'!$A:$D,4)</f>
        <v>1136.5</v>
      </c>
      <c r="C1005" s="31">
        <f>(Table2634[[#This Row],[M1 Money Stock, Billions of Dollars, Weekly, Seasonally Adjusted]]-B1004)/B1004</f>
        <v>-7.9127835414110324E-4</v>
      </c>
      <c r="D1005" s="35">
        <f>((1+Table2634[[#This Row],[Weekly change]])^52)-1</f>
        <v>-4.0327081206708471E-2</v>
      </c>
      <c r="E1005" s="25">
        <f t="shared" si="15"/>
        <v>1136.2750000000001</v>
      </c>
      <c r="F1005" s="33">
        <f>(Table2634[[#This Row],[4 weeks average]]-B953)/B953</f>
        <v>9.6896418573221343E-2</v>
      </c>
    </row>
    <row r="1006" spans="1:6" x14ac:dyDescent="0.2">
      <c r="A1006" s="23">
        <v>34400</v>
      </c>
      <c r="B1006" s="25">
        <f>VLOOKUP(Table2634[[#This Row],[Date]],'DB Money Supply'!$A:$D,4)</f>
        <v>1138.3</v>
      </c>
      <c r="C1006" s="31">
        <f>(Table2634[[#This Row],[M1 Money Stock, Billions of Dollars, Weekly, Seasonally Adjusted]]-B1005)/B1005</f>
        <v>1.5838099428068231E-3</v>
      </c>
      <c r="D1006" s="35">
        <f>((1+Table2634[[#This Row],[Weekly change]])^52)-1</f>
        <v>8.5773858069006836E-2</v>
      </c>
      <c r="E1006" s="25">
        <f t="shared" si="15"/>
        <v>1137.2250000000001</v>
      </c>
      <c r="F1006" s="33">
        <f>(Table2634[[#This Row],[4 weeks average]]-B954)/B954</f>
        <v>9.8449724717473375E-2</v>
      </c>
    </row>
    <row r="1007" spans="1:6" x14ac:dyDescent="0.2">
      <c r="A1007" s="23">
        <v>34407</v>
      </c>
      <c r="B1007" s="25">
        <f>VLOOKUP(Table2634[[#This Row],[Date]],'DB Money Supply'!$A:$D,4)</f>
        <v>1139.5999999999999</v>
      </c>
      <c r="C1007" s="31">
        <f>(Table2634[[#This Row],[M1 Money Stock, Billions of Dollars, Weekly, Seasonally Adjusted]]-B1006)/B1006</f>
        <v>1.1420539400860534E-3</v>
      </c>
      <c r="D1007" s="35">
        <f>((1+Table2634[[#This Row],[Weekly change]])^52)-1</f>
        <v>6.1149674773244955E-2</v>
      </c>
      <c r="E1007" s="25">
        <f t="shared" si="15"/>
        <v>1137.9499999999998</v>
      </c>
      <c r="F1007" s="33">
        <f>(Table2634[[#This Row],[4 weeks average]]-B955)/B955</f>
        <v>9.7559799382715917E-2</v>
      </c>
    </row>
    <row r="1008" spans="1:6" x14ac:dyDescent="0.2">
      <c r="A1008" s="23">
        <v>34414</v>
      </c>
      <c r="B1008" s="25">
        <f>VLOOKUP(Table2634[[#This Row],[Date]],'DB Money Supply'!$A:$D,4)</f>
        <v>1139.2</v>
      </c>
      <c r="C1008" s="31">
        <f>(Table2634[[#This Row],[M1 Money Stock, Billions of Dollars, Weekly, Seasonally Adjusted]]-B1007)/B1007</f>
        <v>-3.5100035100023134E-4</v>
      </c>
      <c r="D1008" s="35">
        <f>((1+Table2634[[#This Row],[Weekly change]])^52)-1</f>
        <v>-1.808960498922163E-2</v>
      </c>
      <c r="E1008" s="25">
        <f t="shared" si="15"/>
        <v>1138.4000000000001</v>
      </c>
      <c r="F1008" s="33">
        <f>(Table2634[[#This Row],[4 weeks average]]-B956)/B956</f>
        <v>9.6090891584825908E-2</v>
      </c>
    </row>
    <row r="1009" spans="1:6" x14ac:dyDescent="0.2">
      <c r="A1009" s="23">
        <v>34421</v>
      </c>
      <c r="B1009" s="25">
        <f>VLOOKUP(Table2634[[#This Row],[Date]],'DB Money Supply'!$A:$D,4)</f>
        <v>1141.5</v>
      </c>
      <c r="C1009" s="31">
        <f>(Table2634[[#This Row],[M1 Money Stock, Billions of Dollars, Weekly, Seasonally Adjusted]]-B1008)/B1008</f>
        <v>2.0189606741572632E-3</v>
      </c>
      <c r="D1009" s="35">
        <f>((1+Table2634[[#This Row],[Weekly change]])^52)-1</f>
        <v>0.11057746216302133</v>
      </c>
      <c r="E1009" s="25">
        <f t="shared" si="15"/>
        <v>1139.6499999999999</v>
      </c>
      <c r="F1009" s="33">
        <f>(Table2634[[#This Row],[4 weeks average]]-B957)/B957</f>
        <v>9.5396001537869826E-2</v>
      </c>
    </row>
    <row r="1010" spans="1:6" x14ac:dyDescent="0.2">
      <c r="A1010" s="23">
        <v>34428</v>
      </c>
      <c r="B1010" s="25">
        <f>VLOOKUP(Table2634[[#This Row],[Date]],'DB Money Supply'!$A:$D,4)</f>
        <v>1144.7</v>
      </c>
      <c r="C1010" s="31">
        <f>(Table2634[[#This Row],[M1 Money Stock, Billions of Dollars, Weekly, Seasonally Adjusted]]-B1009)/B1009</f>
        <v>2.8033289531318841E-3</v>
      </c>
      <c r="D1010" s="35">
        <f>((1+Table2634[[#This Row],[Weekly change]])^52)-1</f>
        <v>0.15669773092577644</v>
      </c>
      <c r="E1010" s="25">
        <f t="shared" si="15"/>
        <v>1141.25</v>
      </c>
      <c r="F1010" s="33">
        <f>(Table2634[[#This Row],[4 weeks average]]-B958)/B958</f>
        <v>9.1687392385689598E-2</v>
      </c>
    </row>
    <row r="1011" spans="1:6" x14ac:dyDescent="0.2">
      <c r="A1011" s="23">
        <v>34435</v>
      </c>
      <c r="B1011" s="25">
        <f>VLOOKUP(Table2634[[#This Row],[Date]],'DB Money Supply'!$A:$D,4)</f>
        <v>1143.8</v>
      </c>
      <c r="C1011" s="31">
        <f>(Table2634[[#This Row],[M1 Money Stock, Billions of Dollars, Weekly, Seasonally Adjusted]]-B1010)/B1010</f>
        <v>-7.8623220057664968E-4</v>
      </c>
      <c r="D1011" s="35">
        <f>((1+Table2634[[#This Row],[Weekly change]])^52)-1</f>
        <v>-4.0075031173565034E-2</v>
      </c>
      <c r="E1011" s="25">
        <f t="shared" si="15"/>
        <v>1142.3</v>
      </c>
      <c r="F1011" s="33">
        <f>(Table2634[[#This Row],[4 weeks average]]-B959)/B959</f>
        <v>9.2169423463046046E-2</v>
      </c>
    </row>
    <row r="1012" spans="1:6" x14ac:dyDescent="0.2">
      <c r="A1012" s="23">
        <v>34442</v>
      </c>
      <c r="B1012" s="25">
        <f>VLOOKUP(Table2634[[#This Row],[Date]],'DB Money Supply'!$A:$D,4)</f>
        <v>1139</v>
      </c>
      <c r="C1012" s="31">
        <f>(Table2634[[#This Row],[M1 Money Stock, Billions of Dollars, Weekly, Seasonally Adjusted]]-B1011)/B1011</f>
        <v>-4.1965378562685389E-3</v>
      </c>
      <c r="D1012" s="35">
        <f>((1+Table2634[[#This Row],[Weekly change]])^52)-1</f>
        <v>-0.19642048489183517</v>
      </c>
      <c r="E1012" s="25">
        <f t="shared" si="15"/>
        <v>1142.25</v>
      </c>
      <c r="F1012" s="33">
        <f>(Table2634[[#This Row],[4 weeks average]]-B960)/B960</f>
        <v>9.2539454806312774E-2</v>
      </c>
    </row>
    <row r="1013" spans="1:6" x14ac:dyDescent="0.2">
      <c r="A1013" s="23">
        <v>34449</v>
      </c>
      <c r="B1013" s="25">
        <f>VLOOKUP(Table2634[[#This Row],[Date]],'DB Money Supply'!$A:$D,4)</f>
        <v>1137.9000000000001</v>
      </c>
      <c r="C1013" s="31">
        <f>(Table2634[[#This Row],[M1 Money Stock, Billions of Dollars, Weekly, Seasonally Adjusted]]-B1012)/B1012</f>
        <v>-9.6575943810351978E-4</v>
      </c>
      <c r="D1013" s="35">
        <f>((1+Table2634[[#This Row],[Weekly change]])^52)-1</f>
        <v>-4.9002415482389372E-2</v>
      </c>
      <c r="E1013" s="25">
        <f t="shared" si="15"/>
        <v>1141.3499999999999</v>
      </c>
      <c r="F1013" s="33">
        <f>(Table2634[[#This Row],[4 weeks average]]-B961)/B961</f>
        <v>8.9906417112299325E-2</v>
      </c>
    </row>
    <row r="1014" spans="1:6" x14ac:dyDescent="0.2">
      <c r="A1014" s="23">
        <v>34456</v>
      </c>
      <c r="B1014" s="25">
        <f>VLOOKUP(Table2634[[#This Row],[Date]],'DB Money Supply'!$A:$D,4)</f>
        <v>1141.8</v>
      </c>
      <c r="C1014" s="31">
        <f>(Table2634[[#This Row],[M1 Money Stock, Billions of Dollars, Weekly, Seasonally Adjusted]]-B1013)/B1013</f>
        <v>3.4273662008962678E-3</v>
      </c>
      <c r="D1014" s="35">
        <f>((1+Table2634[[#This Row],[Weekly change]])^52)-1</f>
        <v>0.19472773271752586</v>
      </c>
      <c r="E1014" s="25">
        <f t="shared" si="15"/>
        <v>1140.625</v>
      </c>
      <c r="F1014" s="33">
        <f>(Table2634[[#This Row],[4 weeks average]]-B962)/B962</f>
        <v>7.9830540566127095E-2</v>
      </c>
    </row>
    <row r="1015" spans="1:6" x14ac:dyDescent="0.2">
      <c r="A1015" s="23">
        <v>34463</v>
      </c>
      <c r="B1015" s="25">
        <f>VLOOKUP(Table2634[[#This Row],[Date]],'DB Money Supply'!$A:$D,4)</f>
        <v>1144.9000000000001</v>
      </c>
      <c r="C1015" s="31">
        <f>(Table2634[[#This Row],[M1 Money Stock, Billions of Dollars, Weekly, Seasonally Adjusted]]-B1014)/B1014</f>
        <v>2.7150113855317361E-3</v>
      </c>
      <c r="D1015" s="35">
        <f>((1+Table2634[[#This Row],[Weekly change]])^52)-1</f>
        <v>0.15141231028197955</v>
      </c>
      <c r="E1015" s="25">
        <f t="shared" si="15"/>
        <v>1140.9000000000001</v>
      </c>
      <c r="F1015" s="33">
        <f>(Table2634[[#This Row],[4 weeks average]]-B963)/B963</f>
        <v>7.2173667888356538E-2</v>
      </c>
    </row>
    <row r="1016" spans="1:6" x14ac:dyDescent="0.2">
      <c r="A1016" s="23">
        <v>34470</v>
      </c>
      <c r="B1016" s="25">
        <f>VLOOKUP(Table2634[[#This Row],[Date]],'DB Money Supply'!$A:$D,4)</f>
        <v>1145.0999999999999</v>
      </c>
      <c r="C1016" s="31">
        <f>(Table2634[[#This Row],[M1 Money Stock, Billions of Dollars, Weekly, Seasonally Adjusted]]-B1015)/B1015</f>
        <v>1.7468774565448345E-4</v>
      </c>
      <c r="D1016" s="35">
        <f>((1+Table2634[[#This Row],[Weekly change]])^52)-1</f>
        <v>9.1243447979165726E-3</v>
      </c>
      <c r="E1016" s="25">
        <f t="shared" si="15"/>
        <v>1142.425</v>
      </c>
      <c r="F1016" s="33">
        <f>(Table2634[[#This Row],[4 weeks average]]-B964)/B964</f>
        <v>7.1693245778611595E-2</v>
      </c>
    </row>
    <row r="1017" spans="1:6" x14ac:dyDescent="0.2">
      <c r="A1017" s="23">
        <v>34477</v>
      </c>
      <c r="B1017" s="25">
        <f>VLOOKUP(Table2634[[#This Row],[Date]],'DB Money Supply'!$A:$D,4)</f>
        <v>1141.2</v>
      </c>
      <c r="C1017" s="31">
        <f>(Table2634[[#This Row],[M1 Money Stock, Billions of Dollars, Weekly, Seasonally Adjusted]]-B1016)/B1016</f>
        <v>-3.4058160859312407E-3</v>
      </c>
      <c r="D1017" s="35">
        <f>((1+Table2634[[#This Row],[Weekly change]])^52)-1</f>
        <v>-0.16255920653944278</v>
      </c>
      <c r="E1017" s="25">
        <f t="shared" si="15"/>
        <v>1143.25</v>
      </c>
      <c r="F1017" s="33">
        <f>(Table2634[[#This Row],[4 weeks average]]-B965)/B965</f>
        <v>7.4887175629936159E-2</v>
      </c>
    </row>
    <row r="1018" spans="1:6" x14ac:dyDescent="0.2">
      <c r="A1018" s="23">
        <v>34484</v>
      </c>
      <c r="B1018" s="25">
        <f>VLOOKUP(Table2634[[#This Row],[Date]],'DB Money Supply'!$A:$D,4)</f>
        <v>1142.3</v>
      </c>
      <c r="C1018" s="31">
        <f>(Table2634[[#This Row],[M1 Money Stock, Billions of Dollars, Weekly, Seasonally Adjusted]]-B1017)/B1017</f>
        <v>9.6389765159473272E-4</v>
      </c>
      <c r="D1018" s="35">
        <f>((1+Table2634[[#This Row],[Weekly change]])^52)-1</f>
        <v>5.1374690400033396E-2</v>
      </c>
      <c r="E1018" s="25">
        <f t="shared" si="15"/>
        <v>1143.375</v>
      </c>
      <c r="F1018" s="33">
        <f>(Table2634[[#This Row],[4 weeks average]]-B966)/B966</f>
        <v>6.5587138863000938E-2</v>
      </c>
    </row>
    <row r="1019" spans="1:6" x14ac:dyDescent="0.2">
      <c r="A1019" s="23">
        <v>34491</v>
      </c>
      <c r="B1019" s="25">
        <f>VLOOKUP(Table2634[[#This Row],[Date]],'DB Money Supply'!$A:$D,4)</f>
        <v>1144.3</v>
      </c>
      <c r="C1019" s="31">
        <f>(Table2634[[#This Row],[M1 Money Stock, Billions of Dollars, Weekly, Seasonally Adjusted]]-B1018)/B1018</f>
        <v>1.750853541101287E-3</v>
      </c>
      <c r="D1019" s="35">
        <f>((1+Table2634[[#This Row],[Weekly change]])^52)-1</f>
        <v>9.52304243818336E-2</v>
      </c>
      <c r="E1019" s="25">
        <f t="shared" si="15"/>
        <v>1143.2250000000001</v>
      </c>
      <c r="F1019" s="33">
        <f>(Table2634[[#This Row],[4 weeks average]]-B967)/B967</f>
        <v>6.7138056566788187E-2</v>
      </c>
    </row>
    <row r="1020" spans="1:6" x14ac:dyDescent="0.2">
      <c r="A1020" s="23">
        <v>34498</v>
      </c>
      <c r="B1020" s="25">
        <f>VLOOKUP(Table2634[[#This Row],[Date]],'DB Money Supply'!$A:$D,4)</f>
        <v>1145.4000000000001</v>
      </c>
      <c r="C1020" s="31">
        <f>(Table2634[[#This Row],[M1 Money Stock, Billions of Dollars, Weekly, Seasonally Adjusted]]-B1019)/B1019</f>
        <v>9.612863759504819E-4</v>
      </c>
      <c r="D1020" s="35">
        <f>((1+Table2634[[#This Row],[Weekly change]])^52)-1</f>
        <v>5.1232075048922576E-2</v>
      </c>
      <c r="E1020" s="25">
        <f t="shared" si="15"/>
        <v>1143.3000000000002</v>
      </c>
      <c r="F1020" s="33">
        <f>(Table2634[[#This Row],[4 weeks average]]-B968)/B968</f>
        <v>6.4426031095801389E-2</v>
      </c>
    </row>
    <row r="1021" spans="1:6" x14ac:dyDescent="0.2">
      <c r="A1021" s="23">
        <v>34505</v>
      </c>
      <c r="B1021" s="25">
        <f>VLOOKUP(Table2634[[#This Row],[Date]],'DB Money Supply'!$A:$D,4)</f>
        <v>1146.4000000000001</v>
      </c>
      <c r="C1021" s="31">
        <f>(Table2634[[#This Row],[M1 Money Stock, Billions of Dollars, Weekly, Seasonally Adjusted]]-B1020)/B1020</f>
        <v>8.7305744718002435E-4</v>
      </c>
      <c r="D1021" s="35">
        <f>((1+Table2634[[#This Row],[Weekly change]])^52)-1</f>
        <v>4.6424568816439749E-2</v>
      </c>
      <c r="E1021" s="25">
        <f t="shared" si="15"/>
        <v>1144.5999999999999</v>
      </c>
      <c r="F1021" s="33">
        <f>(Table2634[[#This Row],[4 weeks average]]-B969)/B969</f>
        <v>6.335934596804145E-2</v>
      </c>
    </row>
    <row r="1022" spans="1:6" x14ac:dyDescent="0.2">
      <c r="A1022" s="23">
        <v>34512</v>
      </c>
      <c r="B1022" s="25">
        <f>VLOOKUP(Table2634[[#This Row],[Date]],'DB Money Supply'!$A:$D,4)</f>
        <v>1145.3</v>
      </c>
      <c r="C1022" s="31">
        <f>(Table2634[[#This Row],[M1 Money Stock, Billions of Dollars, Weekly, Seasonally Adjusted]]-B1021)/B1021</f>
        <v>-9.5952547103989559E-4</v>
      </c>
      <c r="D1022" s="35">
        <f>((1+Table2634[[#This Row],[Weekly change]])^52)-1</f>
        <v>-4.8693787006536593E-2</v>
      </c>
      <c r="E1022" s="25">
        <f t="shared" si="15"/>
        <v>1145.3499999999999</v>
      </c>
      <c r="F1022" s="33">
        <f>(Table2634[[#This Row],[4 weeks average]]-B970)/B970</f>
        <v>6.2871195248700829E-2</v>
      </c>
    </row>
    <row r="1023" spans="1:6" x14ac:dyDescent="0.2">
      <c r="A1023" s="23">
        <v>34519</v>
      </c>
      <c r="B1023" s="25">
        <f>VLOOKUP(Table2634[[#This Row],[Date]],'DB Money Supply'!$A:$D,4)</f>
        <v>1143.5</v>
      </c>
      <c r="C1023" s="31">
        <f>(Table2634[[#This Row],[M1 Money Stock, Billions of Dollars, Weekly, Seasonally Adjusted]]-B1022)/B1022</f>
        <v>-1.5716406181786036E-3</v>
      </c>
      <c r="D1023" s="35">
        <f>((1+Table2634[[#This Row],[Weekly change]])^52)-1</f>
        <v>-7.8534186141489881E-2</v>
      </c>
      <c r="E1023" s="25">
        <f t="shared" si="15"/>
        <v>1145.1500000000001</v>
      </c>
      <c r="F1023" s="33">
        <f>(Table2634[[#This Row],[4 weeks average]]-B971)/B971</f>
        <v>6.1011766885944722E-2</v>
      </c>
    </row>
    <row r="1024" spans="1:6" x14ac:dyDescent="0.2">
      <c r="A1024" s="23">
        <v>34526</v>
      </c>
      <c r="B1024" s="25">
        <f>VLOOKUP(Table2634[[#This Row],[Date]],'DB Money Supply'!$A:$D,4)</f>
        <v>1151.5</v>
      </c>
      <c r="C1024" s="31">
        <f>(Table2634[[#This Row],[M1 Money Stock, Billions of Dollars, Weekly, Seasonally Adjusted]]-B1023)/B1023</f>
        <v>6.996064713598601E-3</v>
      </c>
      <c r="D1024" s="35">
        <f>((1+Table2634[[#This Row],[Weekly change]])^52)-1</f>
        <v>0.43695846324468923</v>
      </c>
      <c r="E1024" s="25">
        <f t="shared" si="15"/>
        <v>1146.675</v>
      </c>
      <c r="F1024" s="33">
        <f>(Table2634[[#This Row],[4 weeks average]]-B972)/B972</f>
        <v>5.850180005538632E-2</v>
      </c>
    </row>
    <row r="1025" spans="1:6" x14ac:dyDescent="0.2">
      <c r="A1025" s="23">
        <v>34533</v>
      </c>
      <c r="B1025" s="25">
        <f>VLOOKUP(Table2634[[#This Row],[Date]],'DB Money Supply'!$A:$D,4)</f>
        <v>1151.2</v>
      </c>
      <c r="C1025" s="31">
        <f>(Table2634[[#This Row],[M1 Money Stock, Billions of Dollars, Weekly, Seasonally Adjusted]]-B1024)/B1024</f>
        <v>-2.6052974381237911E-4</v>
      </c>
      <c r="D1025" s="35">
        <f>((1+Table2634[[#This Row],[Weekly change]])^52)-1</f>
        <v>-1.3457933001719935E-2</v>
      </c>
      <c r="E1025" s="25">
        <f t="shared" si="15"/>
        <v>1147.875</v>
      </c>
      <c r="F1025" s="33">
        <f>(Table2634[[#This Row],[4 weeks average]]-B973)/B973</f>
        <v>5.7656869068460376E-2</v>
      </c>
    </row>
    <row r="1026" spans="1:6" x14ac:dyDescent="0.2">
      <c r="A1026" s="23">
        <v>34540</v>
      </c>
      <c r="B1026" s="25">
        <f>VLOOKUP(Table2634[[#This Row],[Date]],'DB Money Supply'!$A:$D,4)</f>
        <v>1151.4000000000001</v>
      </c>
      <c r="C1026" s="31">
        <f>(Table2634[[#This Row],[M1 Money Stock, Billions of Dollars, Weekly, Seasonally Adjusted]]-B1025)/B1025</f>
        <v>1.7373175816543212E-4</v>
      </c>
      <c r="D1026" s="35">
        <f>((1+Table2634[[#This Row],[Weekly change]])^52)-1</f>
        <v>9.0741898491148998E-3</v>
      </c>
      <c r="E1026" s="25">
        <f t="shared" si="15"/>
        <v>1149.4000000000001</v>
      </c>
      <c r="F1026" s="33">
        <f>(Table2634[[#This Row],[4 weeks average]]-B974)/B974</f>
        <v>5.7892314772204412E-2</v>
      </c>
    </row>
    <row r="1027" spans="1:6" x14ac:dyDescent="0.2">
      <c r="A1027" s="23">
        <v>34547</v>
      </c>
      <c r="B1027" s="25">
        <f>VLOOKUP(Table2634[[#This Row],[Date]],'DB Money Supply'!$A:$D,4)</f>
        <v>1152.9000000000001</v>
      </c>
      <c r="C1027" s="31">
        <f>(Table2634[[#This Row],[M1 Money Stock, Billions of Dollars, Weekly, Seasonally Adjusted]]-B1026)/B1026</f>
        <v>1.3027618551328815E-3</v>
      </c>
      <c r="D1027" s="35">
        <f>((1+Table2634[[#This Row],[Weekly change]])^52)-1</f>
        <v>7.0043741831216089E-2</v>
      </c>
      <c r="E1027" s="25">
        <f t="shared" si="15"/>
        <v>1151.75</v>
      </c>
      <c r="F1027" s="33">
        <f>(Table2634[[#This Row],[4 weeks average]]-B975)/B975</f>
        <v>5.8301938803638743E-2</v>
      </c>
    </row>
    <row r="1028" spans="1:6" x14ac:dyDescent="0.2">
      <c r="A1028" s="23">
        <v>34554</v>
      </c>
      <c r="B1028" s="25">
        <f>VLOOKUP(Table2634[[#This Row],[Date]],'DB Money Supply'!$A:$D,4)</f>
        <v>1148</v>
      </c>
      <c r="C1028" s="31">
        <f>(Table2634[[#This Row],[M1 Money Stock, Billions of Dollars, Weekly, Seasonally Adjusted]]-B1027)/B1027</f>
        <v>-4.2501517911354763E-3</v>
      </c>
      <c r="D1028" s="35">
        <f>((1+Table2634[[#This Row],[Weekly change]])^52)-1</f>
        <v>-0.19866715924087508</v>
      </c>
      <c r="E1028" s="25">
        <f t="shared" si="15"/>
        <v>1150.875</v>
      </c>
      <c r="F1028" s="33">
        <f>(Table2634[[#This Row],[4 weeks average]]-B976)/B976</f>
        <v>5.3528927132918257E-2</v>
      </c>
    </row>
    <row r="1029" spans="1:6" x14ac:dyDescent="0.2">
      <c r="A1029" s="23">
        <v>34561</v>
      </c>
      <c r="B1029" s="25">
        <f>VLOOKUP(Table2634[[#This Row],[Date]],'DB Money Supply'!$A:$D,4)</f>
        <v>1151.5999999999999</v>
      </c>
      <c r="C1029" s="31">
        <f>(Table2634[[#This Row],[M1 Money Stock, Billions of Dollars, Weekly, Seasonally Adjusted]]-B1028)/B1028</f>
        <v>3.1358885017420809E-3</v>
      </c>
      <c r="D1029" s="35">
        <f>((1+Table2634[[#This Row],[Weekly change]])^52)-1</f>
        <v>0.17681431743292042</v>
      </c>
      <c r="E1029" s="25">
        <f t="shared" si="15"/>
        <v>1150.9749999999999</v>
      </c>
      <c r="F1029" s="33">
        <f>(Table2634[[#This Row],[4 weeks average]]-B977)/B977</f>
        <v>5.0734891363885169E-2</v>
      </c>
    </row>
    <row r="1030" spans="1:6" x14ac:dyDescent="0.2">
      <c r="A1030" s="23">
        <v>34568</v>
      </c>
      <c r="B1030" s="25">
        <f>VLOOKUP(Table2634[[#This Row],[Date]],'DB Money Supply'!$A:$D,4)</f>
        <v>1150.2</v>
      </c>
      <c r="C1030" s="31">
        <f>(Table2634[[#This Row],[M1 Money Stock, Billions of Dollars, Weekly, Seasonally Adjusted]]-B1029)/B1029</f>
        <v>-1.2156998957970333E-3</v>
      </c>
      <c r="D1030" s="35">
        <f>((1+Table2634[[#This Row],[Weekly change]])^52)-1</f>
        <v>-6.1295787288828452E-2</v>
      </c>
      <c r="E1030" s="25">
        <f t="shared" si="15"/>
        <v>1150.675</v>
      </c>
      <c r="F1030" s="33">
        <f>(Table2634[[#This Row],[4 weeks average]]-B978)/B978</f>
        <v>5.2671301802213931E-2</v>
      </c>
    </row>
    <row r="1031" spans="1:6" x14ac:dyDescent="0.2">
      <c r="A1031" s="23">
        <v>34575</v>
      </c>
      <c r="B1031" s="25">
        <f>VLOOKUP(Table2634[[#This Row],[Date]],'DB Money Supply'!$A:$D,4)</f>
        <v>1151.5999999999999</v>
      </c>
      <c r="C1031" s="31">
        <f>(Table2634[[#This Row],[M1 Money Stock, Billions of Dollars, Weekly, Seasonally Adjusted]]-B1030)/B1030</f>
        <v>1.2171796209353709E-3</v>
      </c>
      <c r="D1031" s="35">
        <f>((1+Table2634[[#This Row],[Weekly change]])^52)-1</f>
        <v>6.5298297865082677E-2</v>
      </c>
      <c r="E1031" s="25">
        <f t="shared" si="15"/>
        <v>1150.3499999999999</v>
      </c>
      <c r="F1031" s="33">
        <f>(Table2634[[#This Row],[4 weeks average]]-B979)/B979</f>
        <v>4.8823851203501058E-2</v>
      </c>
    </row>
    <row r="1032" spans="1:6" x14ac:dyDescent="0.2">
      <c r="A1032" s="23">
        <v>34582</v>
      </c>
      <c r="B1032" s="25">
        <f>VLOOKUP(Table2634[[#This Row],[Date]],'DB Money Supply'!$A:$D,4)</f>
        <v>1153</v>
      </c>
      <c r="C1032" s="31">
        <f>(Table2634[[#This Row],[M1 Money Stock, Billions of Dollars, Weekly, Seasonally Adjusted]]-B1031)/B1031</f>
        <v>1.2156998957972309E-3</v>
      </c>
      <c r="D1032" s="35">
        <f>((1+Table2634[[#This Row],[Weekly change]])^52)-1</f>
        <v>6.5216430470666387E-2</v>
      </c>
      <c r="E1032" s="25">
        <f t="shared" si="15"/>
        <v>1151.5999999999999</v>
      </c>
      <c r="F1032" s="33">
        <f>(Table2634[[#This Row],[4 weeks average]]-B980)/B980</f>
        <v>4.6338360894057788E-2</v>
      </c>
    </row>
    <row r="1033" spans="1:6" x14ac:dyDescent="0.2">
      <c r="A1033" s="23">
        <v>34589</v>
      </c>
      <c r="B1033" s="25">
        <f>VLOOKUP(Table2634[[#This Row],[Date]],'DB Money Supply'!$A:$D,4)</f>
        <v>1152.7</v>
      </c>
      <c r="C1033" s="31">
        <f>(Table2634[[#This Row],[M1 Money Stock, Billions of Dollars, Weekly, Seasonally Adjusted]]-B1032)/B1032</f>
        <v>-2.6019080659146098E-4</v>
      </c>
      <c r="D1033" s="35">
        <f>((1+Table2634[[#This Row],[Weekly change]])^52)-1</f>
        <v>-1.3440540777226673E-2</v>
      </c>
      <c r="E1033" s="25">
        <f t="shared" ref="E1033:E1096" si="16">AVERAGE(B1030:B1033)</f>
        <v>1151.875</v>
      </c>
      <c r="F1033" s="33">
        <f>(Table2634[[#This Row],[4 weeks average]]-B981)/B981</f>
        <v>4.4310970081595645E-2</v>
      </c>
    </row>
    <row r="1034" spans="1:6" x14ac:dyDescent="0.2">
      <c r="A1034" s="23">
        <v>34596</v>
      </c>
      <c r="B1034" s="25">
        <f>VLOOKUP(Table2634[[#This Row],[Date]],'DB Money Supply'!$A:$D,4)</f>
        <v>1152.2</v>
      </c>
      <c r="C1034" s="31">
        <f>(Table2634[[#This Row],[M1 Money Stock, Billions of Dollars, Weekly, Seasonally Adjusted]]-B1033)/B1033</f>
        <v>-4.337642057777392E-4</v>
      </c>
      <c r="D1034" s="35">
        <f>((1+Table2634[[#This Row],[Weekly change]])^52)-1</f>
        <v>-2.2308044072916533E-2</v>
      </c>
      <c r="E1034" s="25">
        <f t="shared" si="16"/>
        <v>1152.375</v>
      </c>
      <c r="F1034" s="33">
        <f>(Table2634[[#This Row],[4 weeks average]]-B982)/B982</f>
        <v>4.1083205348269855E-2</v>
      </c>
    </row>
    <row r="1035" spans="1:6" x14ac:dyDescent="0.2">
      <c r="A1035" s="23">
        <v>34603</v>
      </c>
      <c r="B1035" s="25">
        <f>VLOOKUP(Table2634[[#This Row],[Date]],'DB Money Supply'!$A:$D,4)</f>
        <v>1152.3</v>
      </c>
      <c r="C1035" s="31">
        <f>(Table2634[[#This Row],[M1 Money Stock, Billions of Dollars, Weekly, Seasonally Adjusted]]-B1034)/B1034</f>
        <v>8.6790487762462284E-5</v>
      </c>
      <c r="D1035" s="35">
        <f>((1+Table2634[[#This Row],[Weekly change]])^52)-1</f>
        <v>4.5231080397518664E-3</v>
      </c>
      <c r="E1035" s="25">
        <f t="shared" si="16"/>
        <v>1152.55</v>
      </c>
      <c r="F1035" s="33">
        <f>(Table2634[[#This Row],[4 weeks average]]-B983)/B983</f>
        <v>4.407102092580837E-2</v>
      </c>
    </row>
    <row r="1036" spans="1:6" x14ac:dyDescent="0.2">
      <c r="A1036" s="23">
        <v>34610</v>
      </c>
      <c r="B1036" s="25">
        <f>VLOOKUP(Table2634[[#This Row],[Date]],'DB Money Supply'!$A:$D,4)</f>
        <v>1147.7</v>
      </c>
      <c r="C1036" s="31">
        <f>(Table2634[[#This Row],[M1 Money Stock, Billions of Dollars, Weekly, Seasonally Adjusted]]-B1035)/B1035</f>
        <v>-3.9920159680637939E-3</v>
      </c>
      <c r="D1036" s="35">
        <f>((1+Table2634[[#This Row],[Weekly change]])^52)-1</f>
        <v>-0.18779318854064941</v>
      </c>
      <c r="E1036" s="25">
        <f t="shared" si="16"/>
        <v>1151.2249999999999</v>
      </c>
      <c r="F1036" s="33">
        <f>(Table2634[[#This Row],[4 weeks average]]-B984)/B984</f>
        <v>3.8730488134981464E-2</v>
      </c>
    </row>
    <row r="1037" spans="1:6" x14ac:dyDescent="0.2">
      <c r="A1037" s="23">
        <v>34617</v>
      </c>
      <c r="B1037" s="25">
        <f>VLOOKUP(Table2634[[#This Row],[Date]],'DB Money Supply'!$A:$D,4)</f>
        <v>1152.5999999999999</v>
      </c>
      <c r="C1037" s="31">
        <f>(Table2634[[#This Row],[M1 Money Stock, Billions of Dollars, Weekly, Seasonally Adjusted]]-B1036)/B1036</f>
        <v>4.2694083819812345E-3</v>
      </c>
      <c r="D1037" s="35">
        <f>((1+Table2634[[#This Row],[Weekly change]])^52)-1</f>
        <v>0.24799299434896049</v>
      </c>
      <c r="E1037" s="25">
        <f t="shared" si="16"/>
        <v>1151.1999999999998</v>
      </c>
      <c r="F1037" s="33">
        <f>(Table2634[[#This Row],[4 weeks average]]-B985)/B985</f>
        <v>3.7023691559318901E-2</v>
      </c>
    </row>
    <row r="1038" spans="1:6" x14ac:dyDescent="0.2">
      <c r="A1038" s="23">
        <v>34624</v>
      </c>
      <c r="B1038" s="25">
        <f>VLOOKUP(Table2634[[#This Row],[Date]],'DB Money Supply'!$A:$D,4)</f>
        <v>1152.7</v>
      </c>
      <c r="C1038" s="31">
        <f>(Table2634[[#This Row],[M1 Money Stock, Billions of Dollars, Weekly, Seasonally Adjusted]]-B1037)/B1037</f>
        <v>8.676036786407811E-5</v>
      </c>
      <c r="D1038" s="35">
        <f>((1+Table2634[[#This Row],[Weekly change]])^52)-1</f>
        <v>4.5215348585350146E-3</v>
      </c>
      <c r="E1038" s="25">
        <f t="shared" si="16"/>
        <v>1151.325</v>
      </c>
      <c r="F1038" s="33">
        <f>(Table2634[[#This Row],[4 weeks average]]-B986)/B986</f>
        <v>3.4619877785765717E-2</v>
      </c>
    </row>
    <row r="1039" spans="1:6" x14ac:dyDescent="0.2">
      <c r="A1039" s="23">
        <v>34631</v>
      </c>
      <c r="B1039" s="25">
        <f>VLOOKUP(Table2634[[#This Row],[Date]],'DB Money Supply'!$A:$D,4)</f>
        <v>1148.2</v>
      </c>
      <c r="C1039" s="31">
        <f>(Table2634[[#This Row],[M1 Money Stock, Billions of Dollars, Weekly, Seasonally Adjusted]]-B1038)/B1038</f>
        <v>-3.9038778519996527E-3</v>
      </c>
      <c r="D1039" s="35">
        <f>((1+Table2634[[#This Row],[Weekly change]])^52)-1</f>
        <v>-0.18404733103394721</v>
      </c>
      <c r="E1039" s="25">
        <f t="shared" si="16"/>
        <v>1150.3</v>
      </c>
      <c r="F1039" s="33">
        <f>(Table2634[[#This Row],[4 weeks average]]-B987)/B987</f>
        <v>3.3513027852650451E-2</v>
      </c>
    </row>
    <row r="1040" spans="1:6" x14ac:dyDescent="0.2">
      <c r="A1040" s="23">
        <v>34638</v>
      </c>
      <c r="B1040" s="25">
        <f>VLOOKUP(Table2634[[#This Row],[Date]],'DB Money Supply'!$A:$D,4)</f>
        <v>1148.0999999999999</v>
      </c>
      <c r="C1040" s="31">
        <f>(Table2634[[#This Row],[M1 Money Stock, Billions of Dollars, Weekly, Seasonally Adjusted]]-B1039)/B1039</f>
        <v>-8.7092840968591205E-5</v>
      </c>
      <c r="D1040" s="35">
        <f>((1+Table2634[[#This Row],[Weekly change]])^52)-1</f>
        <v>-4.5187843882924517E-3</v>
      </c>
      <c r="E1040" s="25">
        <f t="shared" si="16"/>
        <v>1150.4000000000001</v>
      </c>
      <c r="F1040" s="33">
        <f>(Table2634[[#This Row],[4 weeks average]]-B988)/B988</f>
        <v>2.7051156146772774E-2</v>
      </c>
    </row>
    <row r="1041" spans="1:6" x14ac:dyDescent="0.2">
      <c r="A1041" s="23">
        <v>34645</v>
      </c>
      <c r="B1041" s="25">
        <f>VLOOKUP(Table2634[[#This Row],[Date]],'DB Money Supply'!$A:$D,4)</f>
        <v>1148.2</v>
      </c>
      <c r="C1041" s="31">
        <f>(Table2634[[#This Row],[M1 Money Stock, Billions of Dollars, Weekly, Seasonally Adjusted]]-B1040)/B1040</f>
        <v>8.710042679221011E-5</v>
      </c>
      <c r="D1041" s="35">
        <f>((1+Table2634[[#This Row],[Weekly change]])^52)-1</f>
        <v>4.5392964904020783E-3</v>
      </c>
      <c r="E1041" s="25">
        <f t="shared" si="16"/>
        <v>1149.3</v>
      </c>
      <c r="F1041" s="33">
        <f>(Table2634[[#This Row],[4 weeks average]]-B989)/B989</f>
        <v>2.4605509494517168E-2</v>
      </c>
    </row>
    <row r="1042" spans="1:6" x14ac:dyDescent="0.2">
      <c r="A1042" s="23">
        <v>34652</v>
      </c>
      <c r="B1042" s="25">
        <f>VLOOKUP(Table2634[[#This Row],[Date]],'DB Money Supply'!$A:$D,4)</f>
        <v>1151.8</v>
      </c>
      <c r="C1042" s="31">
        <f>(Table2634[[#This Row],[M1 Money Stock, Billions of Dollars, Weekly, Seasonally Adjusted]]-B1041)/B1041</f>
        <v>3.1353422748649266E-3</v>
      </c>
      <c r="D1042" s="35">
        <f>((1+Table2634[[#This Row],[Weekly change]])^52)-1</f>
        <v>0.17678099639241918</v>
      </c>
      <c r="E1042" s="25">
        <f t="shared" si="16"/>
        <v>1149.075</v>
      </c>
      <c r="F1042" s="33">
        <f>(Table2634[[#This Row],[4 weeks average]]-B990)/B990</f>
        <v>1.9768370607028834E-2</v>
      </c>
    </row>
    <row r="1043" spans="1:6" x14ac:dyDescent="0.2">
      <c r="A1043" s="23">
        <v>34659</v>
      </c>
      <c r="B1043" s="25">
        <f>VLOOKUP(Table2634[[#This Row],[Date]],'DB Money Supply'!$A:$D,4)</f>
        <v>1152.4000000000001</v>
      </c>
      <c r="C1043" s="31">
        <f>(Table2634[[#This Row],[M1 Money Stock, Billions of Dollars, Weekly, Seasonally Adjusted]]-B1042)/B1042</f>
        <v>5.2092377148822407E-4</v>
      </c>
      <c r="D1043" s="35">
        <f>((1+Table2634[[#This Row],[Weekly change]])^52)-1</f>
        <v>2.7451005629445691E-2</v>
      </c>
      <c r="E1043" s="25">
        <f t="shared" si="16"/>
        <v>1150.125</v>
      </c>
      <c r="F1043" s="33">
        <f>(Table2634[[#This Row],[4 weeks average]]-B991)/B991</f>
        <v>2.3971688034187994E-2</v>
      </c>
    </row>
    <row r="1044" spans="1:6" x14ac:dyDescent="0.2">
      <c r="A1044" s="23">
        <v>34666</v>
      </c>
      <c r="B1044" s="25">
        <f>VLOOKUP(Table2634[[#This Row],[Date]],'DB Money Supply'!$A:$D,4)</f>
        <v>1151.2</v>
      </c>
      <c r="C1044" s="31">
        <f>(Table2634[[#This Row],[M1 Money Stock, Billions of Dollars, Weekly, Seasonally Adjusted]]-B1043)/B1043</f>
        <v>-1.0413051023950412E-3</v>
      </c>
      <c r="D1044" s="35">
        <f>((1+Table2634[[#This Row],[Weekly change]])^52)-1</f>
        <v>-5.2734699943481345E-2</v>
      </c>
      <c r="E1044" s="25">
        <f t="shared" si="16"/>
        <v>1150.9000000000001</v>
      </c>
      <c r="F1044" s="33">
        <f>(Table2634[[#This Row],[4 weeks average]]-B992)/B992</f>
        <v>2.3295100915799807E-2</v>
      </c>
    </row>
    <row r="1045" spans="1:6" x14ac:dyDescent="0.2">
      <c r="A1045" s="23">
        <v>34673</v>
      </c>
      <c r="B1045" s="25">
        <f>VLOOKUP(Table2634[[#This Row],[Date]],'DB Money Supply'!$A:$D,4)</f>
        <v>1152.2</v>
      </c>
      <c r="C1045" s="31">
        <f>(Table2634[[#This Row],[M1 Money Stock, Billions of Dollars, Weekly, Seasonally Adjusted]]-B1044)/B1044</f>
        <v>8.6865879082696318E-4</v>
      </c>
      <c r="D1045" s="35">
        <f>((1+Table2634[[#This Row],[Weekly change]])^52)-1</f>
        <v>4.6185455569351053E-2</v>
      </c>
      <c r="E1045" s="25">
        <f t="shared" si="16"/>
        <v>1151.8999999999999</v>
      </c>
      <c r="F1045" s="33">
        <f>(Table2634[[#This Row],[4 weeks average]]-B993)/B993</f>
        <v>2.1097420441450188E-2</v>
      </c>
    </row>
    <row r="1046" spans="1:6" x14ac:dyDescent="0.2">
      <c r="A1046" s="23">
        <v>34680</v>
      </c>
      <c r="B1046" s="25">
        <f>VLOOKUP(Table2634[[#This Row],[Date]],'DB Money Supply'!$A:$D,4)</f>
        <v>1154.5</v>
      </c>
      <c r="C1046" s="31">
        <f>(Table2634[[#This Row],[M1 Money Stock, Billions of Dollars, Weekly, Seasonally Adjusted]]-B1045)/B1045</f>
        <v>1.9961812185384088E-3</v>
      </c>
      <c r="D1046" s="35">
        <f>((1+Table2634[[#This Row],[Weekly change]])^52)-1</f>
        <v>0.10926535936865522</v>
      </c>
      <c r="E1046" s="25">
        <f t="shared" si="16"/>
        <v>1152.575</v>
      </c>
      <c r="F1046" s="33">
        <f>(Table2634[[#This Row],[4 weeks average]]-B994)/B994</f>
        <v>2.0429393536963297E-2</v>
      </c>
    </row>
    <row r="1047" spans="1:6" x14ac:dyDescent="0.2">
      <c r="A1047" s="23">
        <v>34687</v>
      </c>
      <c r="B1047" s="25">
        <f>VLOOKUP(Table2634[[#This Row],[Date]],'DB Money Supply'!$A:$D,4)</f>
        <v>1150.4000000000001</v>
      </c>
      <c r="C1047" s="31">
        <f>(Table2634[[#This Row],[M1 Money Stock, Billions of Dollars, Weekly, Seasonally Adjusted]]-B1046)/B1046</f>
        <v>-3.5513209181463048E-3</v>
      </c>
      <c r="D1047" s="35">
        <f>((1+Table2634[[#This Row],[Weekly change]])^52)-1</f>
        <v>-0.16889353453276634</v>
      </c>
      <c r="E1047" s="25">
        <f t="shared" si="16"/>
        <v>1152.075</v>
      </c>
      <c r="F1047" s="33">
        <f>(Table2634[[#This Row],[4 weeks average]]-B995)/B995</f>
        <v>1.9986719787516642E-2</v>
      </c>
    </row>
    <row r="1048" spans="1:6" x14ac:dyDescent="0.2">
      <c r="A1048" s="23">
        <v>34694</v>
      </c>
      <c r="B1048" s="25">
        <f>VLOOKUP(Table2634[[#This Row],[Date]],'DB Money Supply'!$A:$D,4)</f>
        <v>1149.3</v>
      </c>
      <c r="C1048" s="31">
        <f>(Table2634[[#This Row],[M1 Money Stock, Billions of Dollars, Weekly, Seasonally Adjusted]]-B1047)/B1047</f>
        <v>-9.561891515995622E-4</v>
      </c>
      <c r="D1048" s="35">
        <f>((1+Table2634[[#This Row],[Weekly change]])^52)-1</f>
        <v>-4.8528573631359095E-2</v>
      </c>
      <c r="E1048" s="25">
        <f t="shared" si="16"/>
        <v>1151.5999999999999</v>
      </c>
      <c r="F1048" s="33">
        <f>(Table2634[[#This Row],[4 weeks average]]-B996)/B996</f>
        <v>1.7404364343139692E-2</v>
      </c>
    </row>
    <row r="1049" spans="1:6" x14ac:dyDescent="0.2">
      <c r="A1049" s="23">
        <v>34701</v>
      </c>
      <c r="B1049" s="25">
        <f>VLOOKUP(Table2634[[#This Row],[Date]],'DB Money Supply'!$A:$D,4)</f>
        <v>1145.9000000000001</v>
      </c>
      <c r="C1049" s="31">
        <f>(Table2634[[#This Row],[M1 Money Stock, Billions of Dollars, Weekly, Seasonally Adjusted]]-B1048)/B1048</f>
        <v>-2.9583224571477105E-3</v>
      </c>
      <c r="D1049" s="35">
        <f>((1+Table2634[[#This Row],[Weekly change]])^52)-1</f>
        <v>-0.14278006611147787</v>
      </c>
      <c r="E1049" s="25">
        <f t="shared" si="16"/>
        <v>1150.0250000000001</v>
      </c>
      <c r="F1049" s="33">
        <f>(Table2634[[#This Row],[4 weeks average]]-B997)/B997</f>
        <v>1.9164303438496986E-2</v>
      </c>
    </row>
    <row r="1050" spans="1:6" x14ac:dyDescent="0.2">
      <c r="A1050" s="23">
        <v>34708</v>
      </c>
      <c r="B1050" s="25">
        <f>VLOOKUP(Table2634[[#This Row],[Date]],'DB Money Supply'!$A:$D,4)</f>
        <v>1154.4000000000001</v>
      </c>
      <c r="C1050" s="31">
        <f>(Table2634[[#This Row],[M1 Money Stock, Billions of Dollars, Weekly, Seasonally Adjusted]]-B1049)/B1049</f>
        <v>7.417750239986037E-3</v>
      </c>
      <c r="D1050" s="35">
        <f>((1+Table2634[[#This Row],[Weekly change]])^52)-1</f>
        <v>0.46858514281007868</v>
      </c>
      <c r="E1050" s="25">
        <f t="shared" si="16"/>
        <v>1150</v>
      </c>
      <c r="F1050" s="33">
        <f>(Table2634[[#This Row],[4 weeks average]]-B998)/B998</f>
        <v>1.6799292661361626E-2</v>
      </c>
    </row>
    <row r="1051" spans="1:6" x14ac:dyDescent="0.2">
      <c r="A1051" s="23">
        <v>34715</v>
      </c>
      <c r="B1051" s="25">
        <f>VLOOKUP(Table2634[[#This Row],[Date]],'DB Money Supply'!$A:$D,4)</f>
        <v>1154.4000000000001</v>
      </c>
      <c r="C1051" s="31">
        <f>(Table2634[[#This Row],[M1 Money Stock, Billions of Dollars, Weekly, Seasonally Adjusted]]-B1050)/B1050</f>
        <v>0</v>
      </c>
      <c r="D1051" s="35">
        <f>((1+Table2634[[#This Row],[Weekly change]])^52)-1</f>
        <v>0</v>
      </c>
      <c r="E1051" s="25">
        <f t="shared" si="16"/>
        <v>1151</v>
      </c>
      <c r="F1051" s="33">
        <f>(Table2634[[#This Row],[4 weeks average]]-B999)/B999</f>
        <v>1.7413594979227478E-2</v>
      </c>
    </row>
    <row r="1052" spans="1:6" x14ac:dyDescent="0.2">
      <c r="A1052" s="23">
        <v>34722</v>
      </c>
      <c r="B1052" s="25">
        <f>VLOOKUP(Table2634[[#This Row],[Date]],'DB Money Supply'!$A:$D,4)</f>
        <v>1150.4000000000001</v>
      </c>
      <c r="C1052" s="31">
        <f>(Table2634[[#This Row],[M1 Money Stock, Billions of Dollars, Weekly, Seasonally Adjusted]]-B1051)/B1051</f>
        <v>-3.4650034650034649E-3</v>
      </c>
      <c r="D1052" s="35">
        <f>((1+Table2634[[#This Row],[Weekly change]])^52)-1</f>
        <v>-0.16514153010535204</v>
      </c>
      <c r="E1052" s="25">
        <f t="shared" si="16"/>
        <v>1151.2750000000001</v>
      </c>
      <c r="F1052" s="33">
        <f>(Table2634[[#This Row],[4 weeks average]]-B1000)/B1000</f>
        <v>1.66681384669728E-2</v>
      </c>
    </row>
    <row r="1053" spans="1:6" x14ac:dyDescent="0.2">
      <c r="A1053" s="23">
        <v>34729</v>
      </c>
      <c r="B1053" s="25">
        <f>VLOOKUP(Table2634[[#This Row],[Date]],'DB Money Supply'!$A:$D,4)</f>
        <v>1148</v>
      </c>
      <c r="C1053" s="31">
        <f>(Table2634[[#This Row],[M1 Money Stock, Billions of Dollars, Weekly, Seasonally Adjusted]]-B1052)/B1052</f>
        <v>-2.086230876217047E-3</v>
      </c>
      <c r="D1053" s="35">
        <f>((1+Table2634[[#This Row],[Weekly change]])^52)-1</f>
        <v>-0.1029084184556035</v>
      </c>
      <c r="E1053" s="25">
        <f t="shared" si="16"/>
        <v>1151.8000000000002</v>
      </c>
      <c r="F1053" s="33">
        <f>(Table2634[[#This Row],[4 weeks average]]-B1001)/B1001</f>
        <v>1.6862364262382037E-2</v>
      </c>
    </row>
    <row r="1054" spans="1:6" x14ac:dyDescent="0.2">
      <c r="A1054" s="23">
        <v>34736</v>
      </c>
      <c r="B1054" s="25">
        <f>VLOOKUP(Table2634[[#This Row],[Date]],'DB Money Supply'!$A:$D,4)</f>
        <v>1150.5</v>
      </c>
      <c r="C1054" s="31">
        <f>(Table2634[[#This Row],[M1 Money Stock, Billions of Dollars, Weekly, Seasonally Adjusted]]-B1053)/B1053</f>
        <v>2.1777003484320556E-3</v>
      </c>
      <c r="D1054" s="35">
        <f>((1+Table2634[[#This Row],[Weekly change]])^52)-1</f>
        <v>0.11976326786421021</v>
      </c>
      <c r="E1054" s="25">
        <f t="shared" si="16"/>
        <v>1150.825</v>
      </c>
      <c r="F1054" s="33">
        <f>(Table2634[[#This Row],[4 weeks average]]-B1002)/B1002</f>
        <v>1.4389598942265356E-2</v>
      </c>
    </row>
    <row r="1055" spans="1:6" x14ac:dyDescent="0.2">
      <c r="A1055" s="23">
        <v>34743</v>
      </c>
      <c r="B1055" s="25">
        <f>VLOOKUP(Table2634[[#This Row],[Date]],'DB Money Supply'!$A:$D,4)</f>
        <v>1148</v>
      </c>
      <c r="C1055" s="31">
        <f>(Table2634[[#This Row],[M1 Money Stock, Billions of Dollars, Weekly, Seasonally Adjusted]]-B1054)/B1054</f>
        <v>-2.1729682746631897E-3</v>
      </c>
      <c r="D1055" s="35">
        <f>((1+Table2634[[#This Row],[Weekly change]])^52)-1</f>
        <v>-0.1069540958354892</v>
      </c>
      <c r="E1055" s="25">
        <f t="shared" si="16"/>
        <v>1149.2249999999999</v>
      </c>
      <c r="F1055" s="33">
        <f>(Table2634[[#This Row],[4 weeks average]]-B1003)/B1003</f>
        <v>1.1018738453417668E-2</v>
      </c>
    </row>
    <row r="1056" spans="1:6" x14ac:dyDescent="0.2">
      <c r="A1056" s="23">
        <v>34750</v>
      </c>
      <c r="B1056" s="25">
        <f>VLOOKUP(Table2634[[#This Row],[Date]],'DB Money Supply'!$A:$D,4)</f>
        <v>1145.3</v>
      </c>
      <c r="C1056" s="31">
        <f>(Table2634[[#This Row],[M1 Money Stock, Billions of Dollars, Weekly, Seasonally Adjusted]]-B1055)/B1055</f>
        <v>-2.3519163763066598E-3</v>
      </c>
      <c r="D1056" s="35">
        <f>((1+Table2634[[#This Row],[Weekly change]])^52)-1</f>
        <v>-0.11524428183092661</v>
      </c>
      <c r="E1056" s="25">
        <f t="shared" si="16"/>
        <v>1147.95</v>
      </c>
      <c r="F1056" s="33">
        <f>(Table2634[[#This Row],[4 weeks average]]-B1004)/B1004</f>
        <v>9.2755407068752897E-3</v>
      </c>
    </row>
    <row r="1057" spans="1:6" x14ac:dyDescent="0.2">
      <c r="A1057" s="23">
        <v>34757</v>
      </c>
      <c r="B1057" s="25">
        <f>VLOOKUP(Table2634[[#This Row],[Date]],'DB Money Supply'!$A:$D,4)</f>
        <v>1146.2</v>
      </c>
      <c r="C1057" s="31">
        <f>(Table2634[[#This Row],[M1 Money Stock, Billions of Dollars, Weekly, Seasonally Adjusted]]-B1056)/B1056</f>
        <v>7.85820309089401E-4</v>
      </c>
      <c r="D1057" s="35">
        <f>((1+Table2634[[#This Row],[Weekly change]])^52)-1</f>
        <v>4.1692307196824041E-2</v>
      </c>
      <c r="E1057" s="25">
        <f t="shared" si="16"/>
        <v>1147.5</v>
      </c>
      <c r="F1057" s="33">
        <f>(Table2634[[#This Row],[4 weeks average]]-B1005)/B1005</f>
        <v>9.6788385393752757E-3</v>
      </c>
    </row>
    <row r="1058" spans="1:6" x14ac:dyDescent="0.2">
      <c r="A1058" s="23">
        <v>34764</v>
      </c>
      <c r="B1058" s="25">
        <f>VLOOKUP(Table2634[[#This Row],[Date]],'DB Money Supply'!$A:$D,4)</f>
        <v>1147.2</v>
      </c>
      <c r="C1058" s="31">
        <f>(Table2634[[#This Row],[M1 Money Stock, Billions of Dollars, Weekly, Seasonally Adjusted]]-B1057)/B1057</f>
        <v>8.724480893386843E-4</v>
      </c>
      <c r="D1058" s="35">
        <f>((1+Table2634[[#This Row],[Weekly change]])^52)-1</f>
        <v>4.6391440609182322E-2</v>
      </c>
      <c r="E1058" s="25">
        <f t="shared" si="16"/>
        <v>1146.675</v>
      </c>
      <c r="F1058" s="33">
        <f>(Table2634[[#This Row],[4 weeks average]]-B1006)/B1006</f>
        <v>7.3574628832469473E-3</v>
      </c>
    </row>
    <row r="1059" spans="1:6" x14ac:dyDescent="0.2">
      <c r="A1059" s="23">
        <v>34771</v>
      </c>
      <c r="B1059" s="25">
        <f>VLOOKUP(Table2634[[#This Row],[Date]],'DB Money Supply'!$A:$D,4)</f>
        <v>1148.3</v>
      </c>
      <c r="C1059" s="31">
        <f>(Table2634[[#This Row],[M1 Money Stock, Billions of Dollars, Weekly, Seasonally Adjusted]]-B1058)/B1058</f>
        <v>9.5885634588555523E-4</v>
      </c>
      <c r="D1059" s="35">
        <f>((1+Table2634[[#This Row],[Weekly change]])^52)-1</f>
        <v>5.1099375505709643E-2</v>
      </c>
      <c r="E1059" s="25">
        <f t="shared" si="16"/>
        <v>1146.75</v>
      </c>
      <c r="F1059" s="33">
        <f>(Table2634[[#This Row],[4 weeks average]]-B1007)/B1007</f>
        <v>6.2741312741313544E-3</v>
      </c>
    </row>
    <row r="1060" spans="1:6" x14ac:dyDescent="0.2">
      <c r="A1060" s="23">
        <v>34778</v>
      </c>
      <c r="B1060" s="25">
        <f>VLOOKUP(Table2634[[#This Row],[Date]],'DB Money Supply'!$A:$D,4)</f>
        <v>1147.2</v>
      </c>
      <c r="C1060" s="31">
        <f>(Table2634[[#This Row],[M1 Money Stock, Billions of Dollars, Weekly, Seasonally Adjusted]]-B1059)/B1059</f>
        <v>-9.579378211268041E-4</v>
      </c>
      <c r="D1060" s="35">
        <f>((1+Table2634[[#This Row],[Weekly change]])^52)-1</f>
        <v>-4.8615170645621153E-2</v>
      </c>
      <c r="E1060" s="25">
        <f t="shared" si="16"/>
        <v>1147.2249999999999</v>
      </c>
      <c r="F1060" s="33">
        <f>(Table2634[[#This Row],[4 weeks average]]-B1008)/B1008</f>
        <v>7.0444171348313404E-3</v>
      </c>
    </row>
    <row r="1061" spans="1:6" x14ac:dyDescent="0.2">
      <c r="A1061" s="23">
        <v>34785</v>
      </c>
      <c r="B1061" s="25">
        <f>VLOOKUP(Table2634[[#This Row],[Date]],'DB Money Supply'!$A:$D,4)</f>
        <v>1147.2</v>
      </c>
      <c r="C1061" s="31">
        <f>(Table2634[[#This Row],[M1 Money Stock, Billions of Dollars, Weekly, Seasonally Adjusted]]-B1060)/B1060</f>
        <v>0</v>
      </c>
      <c r="D1061" s="35">
        <f>((1+Table2634[[#This Row],[Weekly change]])^52)-1</f>
        <v>0</v>
      </c>
      <c r="E1061" s="25">
        <f t="shared" si="16"/>
        <v>1147.4749999999999</v>
      </c>
      <c r="F1061" s="33">
        <f>(Table2634[[#This Row],[4 weeks average]]-B1009)/B1009</f>
        <v>5.2343407796757854E-3</v>
      </c>
    </row>
    <row r="1062" spans="1:6" x14ac:dyDescent="0.2">
      <c r="A1062" s="23">
        <v>34792</v>
      </c>
      <c r="B1062" s="25">
        <f>VLOOKUP(Table2634[[#This Row],[Date]],'DB Money Supply'!$A:$D,4)</f>
        <v>1141.5</v>
      </c>
      <c r="C1062" s="31">
        <f>(Table2634[[#This Row],[M1 Money Stock, Billions of Dollars, Weekly, Seasonally Adjusted]]-B1061)/B1061</f>
        <v>-4.9686192468619645E-3</v>
      </c>
      <c r="D1062" s="35">
        <f>((1+Table2634[[#This Row],[Weekly change]])^52)-1</f>
        <v>-0.22818639431775711</v>
      </c>
      <c r="E1062" s="25">
        <f t="shared" si="16"/>
        <v>1146.05</v>
      </c>
      <c r="F1062" s="33">
        <f>(Table2634[[#This Row],[4 weeks average]]-B1010)/B1010</f>
        <v>1.179348300864776E-3</v>
      </c>
    </row>
    <row r="1063" spans="1:6" x14ac:dyDescent="0.2">
      <c r="A1063" s="23">
        <v>34799</v>
      </c>
      <c r="B1063" s="25">
        <f>VLOOKUP(Table2634[[#This Row],[Date]],'DB Money Supply'!$A:$D,4)</f>
        <v>1151.4000000000001</v>
      </c>
      <c r="C1063" s="31">
        <f>(Table2634[[#This Row],[M1 Money Stock, Billions of Dollars, Weekly, Seasonally Adjusted]]-B1062)/B1062</f>
        <v>8.6727989487517219E-3</v>
      </c>
      <c r="D1063" s="35">
        <f>((1+Table2634[[#This Row],[Weekly change]])^52)-1</f>
        <v>0.56680909267932567</v>
      </c>
      <c r="E1063" s="25">
        <f t="shared" si="16"/>
        <v>1146.825</v>
      </c>
      <c r="F1063" s="33">
        <f>(Table2634[[#This Row],[4 weeks average]]-B1011)/B1011</f>
        <v>2.6446931281693398E-3</v>
      </c>
    </row>
    <row r="1064" spans="1:6" x14ac:dyDescent="0.2">
      <c r="A1064" s="23">
        <v>34806</v>
      </c>
      <c r="B1064" s="25">
        <f>VLOOKUP(Table2634[[#This Row],[Date]],'DB Money Supply'!$A:$D,4)</f>
        <v>1149.0999999999999</v>
      </c>
      <c r="C1064" s="31">
        <f>(Table2634[[#This Row],[M1 Money Stock, Billions of Dollars, Weekly, Seasonally Adjusted]]-B1063)/B1063</f>
        <v>-1.9975681778705763E-3</v>
      </c>
      <c r="D1064" s="35">
        <f>((1+Table2634[[#This Row],[Weekly change]])^52)-1</f>
        <v>-9.8754362471440094E-2</v>
      </c>
      <c r="E1064" s="25">
        <f t="shared" si="16"/>
        <v>1147.3</v>
      </c>
      <c r="F1064" s="33">
        <f>(Table2634[[#This Row],[4 weeks average]]-B1012)/B1012</f>
        <v>7.2870939420543934E-3</v>
      </c>
    </row>
    <row r="1065" spans="1:6" x14ac:dyDescent="0.2">
      <c r="A1065" s="23">
        <v>34813</v>
      </c>
      <c r="B1065" s="25">
        <f>VLOOKUP(Table2634[[#This Row],[Date]],'DB Money Supply'!$A:$D,4)</f>
        <v>1149.8</v>
      </c>
      <c r="C1065" s="31">
        <f>(Table2634[[#This Row],[M1 Money Stock, Billions of Dollars, Weekly, Seasonally Adjusted]]-B1064)/B1064</f>
        <v>6.0917239578804768E-4</v>
      </c>
      <c r="D1065" s="35">
        <f>((1+Table2634[[#This Row],[Weekly change]])^52)-1</f>
        <v>3.2174064648112566E-2</v>
      </c>
      <c r="E1065" s="25">
        <f t="shared" si="16"/>
        <v>1147.95</v>
      </c>
      <c r="F1065" s="33">
        <f>(Table2634[[#This Row],[4 weeks average]]-B1013)/B1013</f>
        <v>8.8320590561560362E-3</v>
      </c>
    </row>
    <row r="1066" spans="1:6" x14ac:dyDescent="0.2">
      <c r="A1066" s="23">
        <v>34820</v>
      </c>
      <c r="B1066" s="25">
        <f>VLOOKUP(Table2634[[#This Row],[Date]],'DB Money Supply'!$A:$D,4)</f>
        <v>1150.4000000000001</v>
      </c>
      <c r="C1066" s="31">
        <f>(Table2634[[#This Row],[M1 Money Stock, Billions of Dollars, Weekly, Seasonally Adjusted]]-B1065)/B1065</f>
        <v>5.2182988345811138E-4</v>
      </c>
      <c r="D1066" s="35">
        <f>((1+Table2634[[#This Row],[Weekly change]])^52)-1</f>
        <v>2.7499392795481414E-2</v>
      </c>
      <c r="E1066" s="25">
        <f t="shared" si="16"/>
        <v>1150.1750000000002</v>
      </c>
      <c r="F1066" s="33">
        <f>(Table2634[[#This Row],[4 weeks average]]-B1014)/B1014</f>
        <v>7.3349097915573896E-3</v>
      </c>
    </row>
    <row r="1067" spans="1:6" x14ac:dyDescent="0.2">
      <c r="A1067" s="23">
        <v>34827</v>
      </c>
      <c r="B1067" s="25">
        <f>VLOOKUP(Table2634[[#This Row],[Date]],'DB Money Supply'!$A:$D,4)</f>
        <v>1144.8</v>
      </c>
      <c r="C1067" s="31">
        <f>(Table2634[[#This Row],[M1 Money Stock, Billions of Dollars, Weekly, Seasonally Adjusted]]-B1066)/B1066</f>
        <v>-4.8678720445063765E-3</v>
      </c>
      <c r="D1067" s="35">
        <f>((1+Table2634[[#This Row],[Weekly change]])^52)-1</f>
        <v>-0.22411227510171194</v>
      </c>
      <c r="E1067" s="25">
        <f t="shared" si="16"/>
        <v>1148.5249999999999</v>
      </c>
      <c r="F1067" s="33">
        <f>(Table2634[[#This Row],[4 weeks average]]-B1015)/B1015</f>
        <v>3.1662153899901934E-3</v>
      </c>
    </row>
    <row r="1068" spans="1:6" x14ac:dyDescent="0.2">
      <c r="A1068" s="23">
        <v>34834</v>
      </c>
      <c r="B1068" s="25">
        <f>VLOOKUP(Table2634[[#This Row],[Date]],'DB Money Supply'!$A:$D,4)</f>
        <v>1146.7</v>
      </c>
      <c r="C1068" s="31">
        <f>(Table2634[[#This Row],[M1 Money Stock, Billions of Dollars, Weekly, Seasonally Adjusted]]-B1067)/B1067</f>
        <v>1.6596785464710788E-3</v>
      </c>
      <c r="D1068" s="35">
        <f>((1+Table2634[[#This Row],[Weekly change]])^52)-1</f>
        <v>9.0058915507773785E-2</v>
      </c>
      <c r="E1068" s="25">
        <f t="shared" si="16"/>
        <v>1147.925</v>
      </c>
      <c r="F1068" s="33">
        <f>(Table2634[[#This Row],[4 weeks average]]-B1016)/B1016</f>
        <v>2.4670334468605763E-3</v>
      </c>
    </row>
    <row r="1069" spans="1:6" x14ac:dyDescent="0.2">
      <c r="A1069" s="23">
        <v>34841</v>
      </c>
      <c r="B1069" s="25">
        <f>VLOOKUP(Table2634[[#This Row],[Date]],'DB Money Supply'!$A:$D,4)</f>
        <v>1146</v>
      </c>
      <c r="C1069" s="31">
        <f>(Table2634[[#This Row],[M1 Money Stock, Billions of Dollars, Weekly, Seasonally Adjusted]]-B1068)/B1068</f>
        <v>-6.1044737071600723E-4</v>
      </c>
      <c r="D1069" s="35">
        <f>((1+Table2634[[#This Row],[Weekly change]])^52)-1</f>
        <v>-3.1254124641254877E-2</v>
      </c>
      <c r="E1069" s="25">
        <f t="shared" si="16"/>
        <v>1146.9749999999999</v>
      </c>
      <c r="F1069" s="33">
        <f>(Table2634[[#This Row],[4 weeks average]]-B1017)/B1017</f>
        <v>5.0604626708726456E-3</v>
      </c>
    </row>
    <row r="1070" spans="1:6" x14ac:dyDescent="0.2">
      <c r="A1070" s="23">
        <v>34848</v>
      </c>
      <c r="B1070" s="25">
        <f>VLOOKUP(Table2634[[#This Row],[Date]],'DB Money Supply'!$A:$D,4)</f>
        <v>1142.8</v>
      </c>
      <c r="C1070" s="31">
        <f>(Table2634[[#This Row],[M1 Money Stock, Billions of Dollars, Weekly, Seasonally Adjusted]]-B1069)/B1069</f>
        <v>-2.7923211169284864E-3</v>
      </c>
      <c r="D1070" s="35">
        <f>((1+Table2634[[#This Row],[Weekly change]])^52)-1</f>
        <v>-0.13532693215258063</v>
      </c>
      <c r="E1070" s="25">
        <f t="shared" si="16"/>
        <v>1145.075</v>
      </c>
      <c r="F1070" s="33">
        <f>(Table2634[[#This Row],[4 weeks average]]-B1018)/B1018</f>
        <v>2.4293092882781151E-3</v>
      </c>
    </row>
    <row r="1071" spans="1:6" x14ac:dyDescent="0.2">
      <c r="A1071" s="23">
        <v>34855</v>
      </c>
      <c r="B1071" s="25">
        <f>VLOOKUP(Table2634[[#This Row],[Date]],'DB Money Supply'!$A:$D,4)</f>
        <v>1145.5</v>
      </c>
      <c r="C1071" s="31">
        <f>(Table2634[[#This Row],[M1 Money Stock, Billions of Dollars, Weekly, Seasonally Adjusted]]-B1070)/B1070</f>
        <v>2.3626181309065854E-3</v>
      </c>
      <c r="D1071" s="35">
        <f>((1+Table2634[[#This Row],[Weekly change]])^52)-1</f>
        <v>0.13055791381554815</v>
      </c>
      <c r="E1071" s="25">
        <f t="shared" si="16"/>
        <v>1145.25</v>
      </c>
      <c r="F1071" s="33">
        <f>(Table2634[[#This Row],[4 weeks average]]-B1019)/B1019</f>
        <v>8.3020187013898932E-4</v>
      </c>
    </row>
    <row r="1072" spans="1:6" x14ac:dyDescent="0.2">
      <c r="A1072" s="23">
        <v>34862</v>
      </c>
      <c r="B1072" s="25">
        <f>VLOOKUP(Table2634[[#This Row],[Date]],'DB Money Supply'!$A:$D,4)</f>
        <v>1146.3</v>
      </c>
      <c r="C1072" s="31">
        <f>(Table2634[[#This Row],[M1 Money Stock, Billions of Dollars, Weekly, Seasonally Adjusted]]-B1071)/B1071</f>
        <v>6.983849847227888E-4</v>
      </c>
      <c r="D1072" s="35">
        <f>((1+Table2634[[#This Row],[Weekly change]])^52)-1</f>
        <v>3.6970357341193028E-2</v>
      </c>
      <c r="E1072" s="25">
        <f t="shared" si="16"/>
        <v>1145.1500000000001</v>
      </c>
      <c r="F1072" s="33">
        <f>(Table2634[[#This Row],[4 weeks average]]-B1020)/B1020</f>
        <v>-2.1826436179500609E-4</v>
      </c>
    </row>
    <row r="1073" spans="1:6" x14ac:dyDescent="0.2">
      <c r="A1073" s="23">
        <v>34869</v>
      </c>
      <c r="B1073" s="25">
        <f>VLOOKUP(Table2634[[#This Row],[Date]],'DB Money Supply'!$A:$D,4)</f>
        <v>1143.4000000000001</v>
      </c>
      <c r="C1073" s="31">
        <f>(Table2634[[#This Row],[M1 Money Stock, Billions of Dollars, Weekly, Seasonally Adjusted]]-B1072)/B1072</f>
        <v>-2.5298787402947428E-3</v>
      </c>
      <c r="D1073" s="35">
        <f>((1+Table2634[[#This Row],[Weekly change]])^52)-1</f>
        <v>-0.12341393093870512</v>
      </c>
      <c r="E1073" s="25">
        <f t="shared" si="16"/>
        <v>1144.5</v>
      </c>
      <c r="F1073" s="33">
        <f>(Table2634[[#This Row],[4 weeks average]]-B1021)/B1021</f>
        <v>-1.6573621772506025E-3</v>
      </c>
    </row>
    <row r="1074" spans="1:6" x14ac:dyDescent="0.2">
      <c r="A1074" s="23">
        <v>34876</v>
      </c>
      <c r="B1074" s="25">
        <f>VLOOKUP(Table2634[[#This Row],[Date]],'DB Money Supply'!$A:$D,4)</f>
        <v>1143.8</v>
      </c>
      <c r="C1074" s="31">
        <f>(Table2634[[#This Row],[M1 Money Stock, Billions of Dollars, Weekly, Seasonally Adjusted]]-B1073)/B1073</f>
        <v>3.4983382893113833E-4</v>
      </c>
      <c r="D1074" s="35">
        <f>((1+Table2634[[#This Row],[Weekly change]])^52)-1</f>
        <v>1.8354590158102146E-2</v>
      </c>
      <c r="E1074" s="25">
        <f t="shared" si="16"/>
        <v>1144.75</v>
      </c>
      <c r="F1074" s="33">
        <f>(Table2634[[#This Row],[4 weeks average]]-B1022)/B1022</f>
        <v>-4.802235222212124E-4</v>
      </c>
    </row>
    <row r="1075" spans="1:6" x14ac:dyDescent="0.2">
      <c r="A1075" s="23">
        <v>34883</v>
      </c>
      <c r="B1075" s="25">
        <f>VLOOKUP(Table2634[[#This Row],[Date]],'DB Money Supply'!$A:$D,4)</f>
        <v>1141</v>
      </c>
      <c r="C1075" s="31">
        <f>(Table2634[[#This Row],[M1 Money Stock, Billions of Dollars, Weekly, Seasonally Adjusted]]-B1074)/B1074</f>
        <v>-2.4479804161566311E-3</v>
      </c>
      <c r="D1075" s="35">
        <f>((1+Table2634[[#This Row],[Weekly change]])^52)-1</f>
        <v>-0.11966348763832246</v>
      </c>
      <c r="E1075" s="25">
        <f t="shared" si="16"/>
        <v>1143.625</v>
      </c>
      <c r="F1075" s="33">
        <f>(Table2634[[#This Row],[4 weeks average]]-B1023)/B1023</f>
        <v>1.0931351114997814E-4</v>
      </c>
    </row>
    <row r="1076" spans="1:6" x14ac:dyDescent="0.2">
      <c r="A1076" s="23">
        <v>34890</v>
      </c>
      <c r="B1076" s="25">
        <f>VLOOKUP(Table2634[[#This Row],[Date]],'DB Money Supply'!$A:$D,4)</f>
        <v>1149</v>
      </c>
      <c r="C1076" s="31">
        <f>(Table2634[[#This Row],[M1 Money Stock, Billions of Dollars, Weekly, Seasonally Adjusted]]-B1075)/B1075</f>
        <v>7.0113935144609993E-3</v>
      </c>
      <c r="D1076" s="35">
        <f>((1+Table2634[[#This Row],[Weekly change]])^52)-1</f>
        <v>0.43809634348750737</v>
      </c>
      <c r="E1076" s="25">
        <f t="shared" si="16"/>
        <v>1144.3</v>
      </c>
      <c r="F1076" s="33">
        <f>(Table2634[[#This Row],[4 weeks average]]-B1024)/B1024</f>
        <v>-6.2527138514980856E-3</v>
      </c>
    </row>
    <row r="1077" spans="1:6" x14ac:dyDescent="0.2">
      <c r="A1077" s="23">
        <v>34897</v>
      </c>
      <c r="B1077" s="25">
        <f>VLOOKUP(Table2634[[#This Row],[Date]],'DB Money Supply'!$A:$D,4)</f>
        <v>1145.5</v>
      </c>
      <c r="C1077" s="31">
        <f>(Table2634[[#This Row],[M1 Money Stock, Billions of Dollars, Weekly, Seasonally Adjusted]]-B1076)/B1076</f>
        <v>-3.0461270670147957E-3</v>
      </c>
      <c r="D1077" s="35">
        <f>((1+Table2634[[#This Row],[Weekly change]])^52)-1</f>
        <v>-0.14669680543600672</v>
      </c>
      <c r="E1077" s="25">
        <f t="shared" si="16"/>
        <v>1144.825</v>
      </c>
      <c r="F1077" s="33">
        <f>(Table2634[[#This Row],[4 weeks average]]-B1025)/B1025</f>
        <v>-5.5376997915218898E-3</v>
      </c>
    </row>
    <row r="1078" spans="1:6" x14ac:dyDescent="0.2">
      <c r="A1078" s="23">
        <v>34904</v>
      </c>
      <c r="B1078" s="25">
        <f>VLOOKUP(Table2634[[#This Row],[Date]],'DB Money Supply'!$A:$D,4)</f>
        <v>1143</v>
      </c>
      <c r="C1078" s="31">
        <f>(Table2634[[#This Row],[M1 Money Stock, Billions of Dollars, Weekly, Seasonally Adjusted]]-B1077)/B1077</f>
        <v>-2.1824530772588391E-3</v>
      </c>
      <c r="D1078" s="35">
        <f>((1+Table2634[[#This Row],[Weekly change]])^52)-1</f>
        <v>-0.10739540697875016</v>
      </c>
      <c r="E1078" s="25">
        <f t="shared" si="16"/>
        <v>1144.625</v>
      </c>
      <c r="F1078" s="33">
        <f>(Table2634[[#This Row],[4 weeks average]]-B1026)/B1026</f>
        <v>-5.8841410456835939E-3</v>
      </c>
    </row>
    <row r="1079" spans="1:6" x14ac:dyDescent="0.2">
      <c r="A1079" s="23">
        <v>34911</v>
      </c>
      <c r="B1079" s="25">
        <f>VLOOKUP(Table2634[[#This Row],[Date]],'DB Money Supply'!$A:$D,4)</f>
        <v>1146.2</v>
      </c>
      <c r="C1079" s="31">
        <f>(Table2634[[#This Row],[M1 Money Stock, Billions of Dollars, Weekly, Seasonally Adjusted]]-B1078)/B1078</f>
        <v>2.7996500437445716E-3</v>
      </c>
      <c r="D1079" s="35">
        <f>((1+Table2634[[#This Row],[Weekly change]])^52)-1</f>
        <v>0.15647709007482047</v>
      </c>
      <c r="E1079" s="25">
        <f t="shared" si="16"/>
        <v>1145.925</v>
      </c>
      <c r="F1079" s="33">
        <f>(Table2634[[#This Row],[4 weeks average]]-B1027)/B1027</f>
        <v>-6.0499609679938726E-3</v>
      </c>
    </row>
    <row r="1080" spans="1:6" x14ac:dyDescent="0.2">
      <c r="A1080" s="23">
        <v>34918</v>
      </c>
      <c r="B1080" s="25">
        <f>VLOOKUP(Table2634[[#This Row],[Date]],'DB Money Supply'!$A:$D,4)</f>
        <v>1146</v>
      </c>
      <c r="C1080" s="31">
        <f>(Table2634[[#This Row],[M1 Money Stock, Billions of Dollars, Weekly, Seasonally Adjusted]]-B1079)/B1079</f>
        <v>-1.7448961786777653E-4</v>
      </c>
      <c r="D1080" s="35">
        <f>((1+Table2634[[#This Row],[Weekly change]])^52)-1</f>
        <v>-9.0332050604299274E-3</v>
      </c>
      <c r="E1080" s="25">
        <f t="shared" si="16"/>
        <v>1145.175</v>
      </c>
      <c r="F1080" s="33">
        <f>(Table2634[[#This Row],[4 weeks average]]-B1028)/B1028</f>
        <v>-2.4608013937282625E-3</v>
      </c>
    </row>
    <row r="1081" spans="1:6" x14ac:dyDescent="0.2">
      <c r="A1081" s="23">
        <v>34925</v>
      </c>
      <c r="B1081" s="25">
        <f>VLOOKUP(Table2634[[#This Row],[Date]],'DB Money Supply'!$A:$D,4)</f>
        <v>1147.4000000000001</v>
      </c>
      <c r="C1081" s="31">
        <f>(Table2634[[#This Row],[M1 Money Stock, Billions of Dollars, Weekly, Seasonally Adjusted]]-B1080)/B1080</f>
        <v>1.2216404886562749E-3</v>
      </c>
      <c r="D1081" s="35">
        <f>((1+Table2634[[#This Row],[Weekly change]])^52)-1</f>
        <v>6.5545137543373544E-2</v>
      </c>
      <c r="E1081" s="25">
        <f t="shared" si="16"/>
        <v>1145.6500000000001</v>
      </c>
      <c r="F1081" s="33">
        <f>(Table2634[[#This Row],[4 weeks average]]-B1029)/B1029</f>
        <v>-5.1667245571377371E-3</v>
      </c>
    </row>
    <row r="1082" spans="1:6" x14ac:dyDescent="0.2">
      <c r="A1082" s="23">
        <v>34932</v>
      </c>
      <c r="B1082" s="25">
        <f>VLOOKUP(Table2634[[#This Row],[Date]],'DB Money Supply'!$A:$D,4)</f>
        <v>1146.3</v>
      </c>
      <c r="C1082" s="31">
        <f>(Table2634[[#This Row],[M1 Money Stock, Billions of Dollars, Weekly, Seasonally Adjusted]]-B1081)/B1081</f>
        <v>-9.5868921038882375E-4</v>
      </c>
      <c r="D1082" s="35">
        <f>((1+Table2634[[#This Row],[Weekly change]])^52)-1</f>
        <v>-4.865237831325897E-2</v>
      </c>
      <c r="E1082" s="25">
        <f t="shared" si="16"/>
        <v>1146.4749999999999</v>
      </c>
      <c r="F1082" s="33">
        <f>(Table2634[[#This Row],[4 weeks average]]-B1030)/B1030</f>
        <v>-3.2385672057034746E-3</v>
      </c>
    </row>
    <row r="1083" spans="1:6" x14ac:dyDescent="0.2">
      <c r="A1083" s="23">
        <v>34939</v>
      </c>
      <c r="B1083" s="25">
        <f>VLOOKUP(Table2634[[#This Row],[Date]],'DB Money Supply'!$A:$D,4)</f>
        <v>1143.4000000000001</v>
      </c>
      <c r="C1083" s="31">
        <f>(Table2634[[#This Row],[M1 Money Stock, Billions of Dollars, Weekly, Seasonally Adjusted]]-B1082)/B1082</f>
        <v>-2.5298787402947428E-3</v>
      </c>
      <c r="D1083" s="35">
        <f>((1+Table2634[[#This Row],[Weekly change]])^52)-1</f>
        <v>-0.12341393093870512</v>
      </c>
      <c r="E1083" s="25">
        <f t="shared" si="16"/>
        <v>1145.7750000000001</v>
      </c>
      <c r="F1083" s="33">
        <f>(Table2634[[#This Row],[4 weeks average]]-B1031)/B1031</f>
        <v>-5.0581799235844202E-3</v>
      </c>
    </row>
    <row r="1084" spans="1:6" x14ac:dyDescent="0.2">
      <c r="A1084" s="23">
        <v>34946</v>
      </c>
      <c r="B1084" s="25">
        <f>VLOOKUP(Table2634[[#This Row],[Date]],'DB Money Supply'!$A:$D,4)</f>
        <v>1142.7</v>
      </c>
      <c r="C1084" s="31">
        <f>(Table2634[[#This Row],[M1 Money Stock, Billions of Dollars, Weekly, Seasonally Adjusted]]-B1083)/B1083</f>
        <v>-6.1220920062974064E-4</v>
      </c>
      <c r="D1084" s="35">
        <f>((1+Table2634[[#This Row],[Weekly change]])^52)-1</f>
        <v>-3.1342926664601478E-2</v>
      </c>
      <c r="E1084" s="25">
        <f t="shared" si="16"/>
        <v>1144.95</v>
      </c>
      <c r="F1084" s="33">
        <f>(Table2634[[#This Row],[4 weeks average]]-B1032)/B1032</f>
        <v>-6.9817866435385552E-3</v>
      </c>
    </row>
    <row r="1085" spans="1:6" x14ac:dyDescent="0.2">
      <c r="A1085" s="23">
        <v>34953</v>
      </c>
      <c r="B1085" s="25">
        <f>VLOOKUP(Table2634[[#This Row],[Date]],'DB Money Supply'!$A:$D,4)</f>
        <v>1148.5999999999999</v>
      </c>
      <c r="C1085" s="31">
        <f>(Table2634[[#This Row],[M1 Money Stock, Billions of Dollars, Weekly, Seasonally Adjusted]]-B1084)/B1084</f>
        <v>5.163209941366818E-3</v>
      </c>
      <c r="D1085" s="35">
        <f>((1+Table2634[[#This Row],[Weekly change]])^52)-1</f>
        <v>0.30708068593912108</v>
      </c>
      <c r="E1085" s="25">
        <f t="shared" si="16"/>
        <v>1145.25</v>
      </c>
      <c r="F1085" s="33">
        <f>(Table2634[[#This Row],[4 weeks average]]-B1033)/B1033</f>
        <v>-6.4630866660883536E-3</v>
      </c>
    </row>
    <row r="1086" spans="1:6" x14ac:dyDescent="0.2">
      <c r="A1086" s="23">
        <v>34960</v>
      </c>
      <c r="B1086" s="25">
        <f>VLOOKUP(Table2634[[#This Row],[Date]],'DB Money Supply'!$A:$D,4)</f>
        <v>1142.0999999999999</v>
      </c>
      <c r="C1086" s="31">
        <f>(Table2634[[#This Row],[M1 Money Stock, Billions of Dollars, Weekly, Seasonally Adjusted]]-B1085)/B1085</f>
        <v>-5.6590632073829014E-3</v>
      </c>
      <c r="D1086" s="35">
        <f>((1+Table2634[[#This Row],[Weekly change]])^52)-1</f>
        <v>-0.25554814121652802</v>
      </c>
      <c r="E1086" s="25">
        <f t="shared" si="16"/>
        <v>1144.2</v>
      </c>
      <c r="F1086" s="33">
        <f>(Table2634[[#This Row],[4 weeks average]]-B1034)/B1034</f>
        <v>-6.9432390210032975E-3</v>
      </c>
    </row>
    <row r="1087" spans="1:6" x14ac:dyDescent="0.2">
      <c r="A1087" s="23">
        <v>34967</v>
      </c>
      <c r="B1087" s="25">
        <f>VLOOKUP(Table2634[[#This Row],[Date]],'DB Money Supply'!$A:$D,4)</f>
        <v>1140</v>
      </c>
      <c r="C1087" s="31">
        <f>(Table2634[[#This Row],[M1 Money Stock, Billions of Dollars, Weekly, Seasonally Adjusted]]-B1086)/B1086</f>
        <v>-1.8387181507748089E-3</v>
      </c>
      <c r="D1087" s="35">
        <f>((1+Table2634[[#This Row],[Weekly change]])^52)-1</f>
        <v>-9.1264634939805966E-2</v>
      </c>
      <c r="E1087" s="25">
        <f t="shared" si="16"/>
        <v>1143.3499999999999</v>
      </c>
      <c r="F1087" s="33">
        <f>(Table2634[[#This Row],[4 weeks average]]-B1035)/B1035</f>
        <v>-7.7670745465590954E-3</v>
      </c>
    </row>
    <row r="1088" spans="1:6" x14ac:dyDescent="0.2">
      <c r="A1088" s="23">
        <v>34974</v>
      </c>
      <c r="B1088" s="25">
        <f>VLOOKUP(Table2634[[#This Row],[Date]],'DB Money Supply'!$A:$D,4)</f>
        <v>1133.8</v>
      </c>
      <c r="C1088" s="31">
        <f>(Table2634[[#This Row],[M1 Money Stock, Billions of Dollars, Weekly, Seasonally Adjusted]]-B1087)/B1087</f>
        <v>-5.4385964912281098E-3</v>
      </c>
      <c r="D1088" s="35">
        <f>((1+Table2634[[#This Row],[Weekly change]])^52)-1</f>
        <v>-0.24691626380115694</v>
      </c>
      <c r="E1088" s="25">
        <f t="shared" si="16"/>
        <v>1141.125</v>
      </c>
      <c r="F1088" s="33">
        <f>(Table2634[[#This Row],[4 weeks average]]-B1036)/B1036</f>
        <v>-5.7288490023525707E-3</v>
      </c>
    </row>
    <row r="1089" spans="1:6" x14ac:dyDescent="0.2">
      <c r="A1089" s="23">
        <v>34981</v>
      </c>
      <c r="B1089" s="25">
        <f>VLOOKUP(Table2634[[#This Row],[Date]],'DB Money Supply'!$A:$D,4)</f>
        <v>1137.3</v>
      </c>
      <c r="C1089" s="31">
        <f>(Table2634[[#This Row],[M1 Money Stock, Billions of Dollars, Weekly, Seasonally Adjusted]]-B1088)/B1088</f>
        <v>3.0869641912153818E-3</v>
      </c>
      <c r="D1089" s="35">
        <f>((1+Table2634[[#This Row],[Weekly change]])^52)-1</f>
        <v>0.17383349423649319</v>
      </c>
      <c r="E1089" s="25">
        <f t="shared" si="16"/>
        <v>1138.3</v>
      </c>
      <c r="F1089" s="33">
        <f>(Table2634[[#This Row],[4 weeks average]]-B1037)/B1037</f>
        <v>-1.2406732604546205E-2</v>
      </c>
    </row>
    <row r="1090" spans="1:6" x14ac:dyDescent="0.2">
      <c r="A1090" s="23">
        <v>34988</v>
      </c>
      <c r="B1090" s="25">
        <f>VLOOKUP(Table2634[[#This Row],[Date]],'DB Money Supply'!$A:$D,4)</f>
        <v>1141.2</v>
      </c>
      <c r="C1090" s="31">
        <f>(Table2634[[#This Row],[M1 Money Stock, Billions of Dollars, Weekly, Seasonally Adjusted]]-B1089)/B1089</f>
        <v>3.4291743603271706E-3</v>
      </c>
      <c r="D1090" s="35">
        <f>((1+Table2634[[#This Row],[Weekly change]])^52)-1</f>
        <v>0.19483968759638959</v>
      </c>
      <c r="E1090" s="25">
        <f t="shared" si="16"/>
        <v>1138.075</v>
      </c>
      <c r="F1090" s="33">
        <f>(Table2634[[#This Row],[4 weeks average]]-B1038)/B1038</f>
        <v>-1.2687603018998872E-2</v>
      </c>
    </row>
    <row r="1091" spans="1:6" x14ac:dyDescent="0.2">
      <c r="A1091" s="23">
        <v>34995</v>
      </c>
      <c r="B1091" s="25">
        <f>VLOOKUP(Table2634[[#This Row],[Date]],'DB Money Supply'!$A:$D,4)</f>
        <v>1136.0999999999999</v>
      </c>
      <c r="C1091" s="31">
        <f>(Table2634[[#This Row],[M1 Money Stock, Billions of Dollars, Weekly, Seasonally Adjusted]]-B1090)/B1090</f>
        <v>-4.4689800210306139E-3</v>
      </c>
      <c r="D1091" s="35">
        <f>((1+Table2634[[#This Row],[Weekly change]])^52)-1</f>
        <v>-0.20777337046793187</v>
      </c>
      <c r="E1091" s="25">
        <f t="shared" si="16"/>
        <v>1137.0999999999999</v>
      </c>
      <c r="F1091" s="33">
        <f>(Table2634[[#This Row],[4 weeks average]]-B1039)/B1039</f>
        <v>-9.6673053475005537E-3</v>
      </c>
    </row>
    <row r="1092" spans="1:6" x14ac:dyDescent="0.2">
      <c r="A1092" s="23">
        <v>35002</v>
      </c>
      <c r="B1092" s="25">
        <f>VLOOKUP(Table2634[[#This Row],[Date]],'DB Money Supply'!$A:$D,4)</f>
        <v>1135.2</v>
      </c>
      <c r="C1092" s="31">
        <f>(Table2634[[#This Row],[M1 Money Stock, Billions of Dollars, Weekly, Seasonally Adjusted]]-B1091)/B1091</f>
        <v>-7.921837866383801E-4</v>
      </c>
      <c r="D1092" s="35">
        <f>((1+Table2634[[#This Row],[Weekly change]])^52)-1</f>
        <v>-4.0372299733579031E-2</v>
      </c>
      <c r="E1092" s="25">
        <f t="shared" si="16"/>
        <v>1137.45</v>
      </c>
      <c r="F1092" s="33">
        <f>(Table2634[[#This Row],[4 weeks average]]-B1040)/B1040</f>
        <v>-9.2761954533576042E-3</v>
      </c>
    </row>
    <row r="1093" spans="1:6" x14ac:dyDescent="0.2">
      <c r="A1093" s="23">
        <v>35009</v>
      </c>
      <c r="B1093" s="25">
        <f>VLOOKUP(Table2634[[#This Row],[Date]],'DB Money Supply'!$A:$D,4)</f>
        <v>1137.9000000000001</v>
      </c>
      <c r="C1093" s="31">
        <f>(Table2634[[#This Row],[M1 Money Stock, Billions of Dollars, Weekly, Seasonally Adjusted]]-B1092)/B1092</f>
        <v>2.3784355179704416E-3</v>
      </c>
      <c r="D1093" s="35">
        <f>((1+Table2634[[#This Row],[Weekly change]])^52)-1</f>
        <v>0.13148598396922351</v>
      </c>
      <c r="E1093" s="25">
        <f t="shared" si="16"/>
        <v>1137.5999999999999</v>
      </c>
      <c r="F1093" s="33">
        <f>(Table2634[[#This Row],[4 weeks average]]-B1041)/B1041</f>
        <v>-9.2318411426581919E-3</v>
      </c>
    </row>
    <row r="1094" spans="1:6" x14ac:dyDescent="0.2">
      <c r="A1094" s="23">
        <v>35016</v>
      </c>
      <c r="B1094" s="25">
        <f>VLOOKUP(Table2634[[#This Row],[Date]],'DB Money Supply'!$A:$D,4)</f>
        <v>1134.3</v>
      </c>
      <c r="C1094" s="31">
        <f>(Table2634[[#This Row],[M1 Money Stock, Billions of Dollars, Weekly, Seasonally Adjusted]]-B1093)/B1093</f>
        <v>-3.1637226469814011E-3</v>
      </c>
      <c r="D1094" s="35">
        <f>((1+Table2634[[#This Row],[Weekly change]])^52)-1</f>
        <v>-0.15191496025007423</v>
      </c>
      <c r="E1094" s="25">
        <f t="shared" si="16"/>
        <v>1135.875</v>
      </c>
      <c r="F1094" s="33">
        <f>(Table2634[[#This Row],[4 weeks average]]-B1042)/B1042</f>
        <v>-1.3826185101580096E-2</v>
      </c>
    </row>
    <row r="1095" spans="1:6" x14ac:dyDescent="0.2">
      <c r="A1095" s="23">
        <v>35023</v>
      </c>
      <c r="B1095" s="25">
        <f>VLOOKUP(Table2634[[#This Row],[Date]],'DB Money Supply'!$A:$D,4)</f>
        <v>1134.5999999999999</v>
      </c>
      <c r="C1095" s="31">
        <f>(Table2634[[#This Row],[M1 Money Stock, Billions of Dollars, Weekly, Seasonally Adjusted]]-B1094)/B1094</f>
        <v>2.6448029621789168E-4</v>
      </c>
      <c r="D1095" s="35">
        <f>((1+Table2634[[#This Row],[Weekly change]])^52)-1</f>
        <v>1.3846139059829454E-2</v>
      </c>
      <c r="E1095" s="25">
        <f t="shared" si="16"/>
        <v>1135.5</v>
      </c>
      <c r="F1095" s="33">
        <f>(Table2634[[#This Row],[4 weeks average]]-B1043)/B1043</f>
        <v>-1.4665046858729686E-2</v>
      </c>
    </row>
    <row r="1096" spans="1:6" x14ac:dyDescent="0.2">
      <c r="A1096" s="23">
        <v>35030</v>
      </c>
      <c r="B1096" s="25">
        <f>VLOOKUP(Table2634[[#This Row],[Date]],'DB Money Supply'!$A:$D,4)</f>
        <v>1133.8</v>
      </c>
      <c r="C1096" s="31">
        <f>(Table2634[[#This Row],[M1 Money Stock, Billions of Dollars, Weekly, Seasonally Adjusted]]-B1095)/B1095</f>
        <v>-7.0509430636343611E-4</v>
      </c>
      <c r="D1096" s="35">
        <f>((1+Table2634[[#This Row],[Weekly change]])^52)-1</f>
        <v>-3.6013352990767244E-2</v>
      </c>
      <c r="E1096" s="25">
        <f t="shared" si="16"/>
        <v>1135.1499999999999</v>
      </c>
      <c r="F1096" s="33">
        <f>(Table2634[[#This Row],[4 weeks average]]-B1044)/B1044</f>
        <v>-1.3941973592772916E-2</v>
      </c>
    </row>
    <row r="1097" spans="1:6" x14ac:dyDescent="0.2">
      <c r="A1097" s="23">
        <v>35037</v>
      </c>
      <c r="B1097" s="25">
        <f>VLOOKUP(Table2634[[#This Row],[Date]],'DB Money Supply'!$A:$D,4)</f>
        <v>1125.5</v>
      </c>
      <c r="C1097" s="31">
        <f>(Table2634[[#This Row],[M1 Money Stock, Billions of Dollars, Weekly, Seasonally Adjusted]]-B1096)/B1096</f>
        <v>-7.3205150820250088E-3</v>
      </c>
      <c r="D1097" s="35">
        <f>((1+Table2634[[#This Row],[Weekly change]])^52)-1</f>
        <v>-0.31755064530920873</v>
      </c>
      <c r="E1097" s="25">
        <f t="shared" ref="E1097:E1160" si="17">AVERAGE(B1094:B1097)</f>
        <v>1132.05</v>
      </c>
      <c r="F1097" s="33">
        <f>(Table2634[[#This Row],[4 weeks average]]-B1045)/B1045</f>
        <v>-1.7488283284152136E-2</v>
      </c>
    </row>
    <row r="1098" spans="1:6" x14ac:dyDescent="0.2">
      <c r="A1098" s="23">
        <v>35044</v>
      </c>
      <c r="B1098" s="25">
        <f>VLOOKUP(Table2634[[#This Row],[Date]],'DB Money Supply'!$A:$D,4)</f>
        <v>1131</v>
      </c>
      <c r="C1098" s="31">
        <f>(Table2634[[#This Row],[M1 Money Stock, Billions of Dollars, Weekly, Seasonally Adjusted]]-B1097)/B1097</f>
        <v>4.8867170146601512E-3</v>
      </c>
      <c r="D1098" s="35">
        <f>((1+Table2634[[#This Row],[Weekly change]])^52)-1</f>
        <v>0.28851503545901358</v>
      </c>
      <c r="E1098" s="25">
        <f t="shared" si="17"/>
        <v>1131.2249999999999</v>
      </c>
      <c r="F1098" s="33">
        <f>(Table2634[[#This Row],[4 weeks average]]-B1046)/B1046</f>
        <v>-2.0160242529233513E-2</v>
      </c>
    </row>
    <row r="1099" spans="1:6" x14ac:dyDescent="0.2">
      <c r="A1099" s="23">
        <v>35051</v>
      </c>
      <c r="B1099" s="25">
        <f>VLOOKUP(Table2634[[#This Row],[Date]],'DB Money Supply'!$A:$D,4)</f>
        <v>1122.7</v>
      </c>
      <c r="C1099" s="31">
        <f>(Table2634[[#This Row],[M1 Money Stock, Billions of Dollars, Weekly, Seasonally Adjusted]]-B1098)/B1098</f>
        <v>-7.3386383731210919E-3</v>
      </c>
      <c r="D1099" s="35">
        <f>((1+Table2634[[#This Row],[Weekly change]])^52)-1</f>
        <v>-0.31819823454054852</v>
      </c>
      <c r="E1099" s="25">
        <f t="shared" si="17"/>
        <v>1128.25</v>
      </c>
      <c r="F1099" s="33">
        <f>(Table2634[[#This Row],[4 weeks average]]-B1047)/B1047</f>
        <v>-1.9254172461752511E-2</v>
      </c>
    </row>
    <row r="1100" spans="1:6" x14ac:dyDescent="0.2">
      <c r="A1100" s="23">
        <v>35058</v>
      </c>
      <c r="B1100" s="25">
        <f>VLOOKUP(Table2634[[#This Row],[Date]],'DB Money Supply'!$A:$D,4)</f>
        <v>1127</v>
      </c>
      <c r="C1100" s="31">
        <f>(Table2634[[#This Row],[M1 Money Stock, Billions of Dollars, Weekly, Seasonally Adjusted]]-B1099)/B1099</f>
        <v>3.8300525518838108E-3</v>
      </c>
      <c r="D1100" s="35">
        <f>((1+Table2634[[#This Row],[Weekly change]])^52)-1</f>
        <v>0.21991636351854971</v>
      </c>
      <c r="E1100" s="25">
        <f t="shared" si="17"/>
        <v>1126.55</v>
      </c>
      <c r="F1100" s="33">
        <f>(Table2634[[#This Row],[4 weeks average]]-B1048)/B1048</f>
        <v>-1.9794657617680327E-2</v>
      </c>
    </row>
    <row r="1101" spans="1:6" x14ac:dyDescent="0.2">
      <c r="A1101" s="23">
        <v>35065</v>
      </c>
      <c r="B1101" s="25">
        <f>VLOOKUP(Table2634[[#This Row],[Date]],'DB Money Supply'!$A:$D,4)</f>
        <v>1130.5</v>
      </c>
      <c r="C1101" s="31">
        <f>(Table2634[[#This Row],[M1 Money Stock, Billions of Dollars, Weekly, Seasonally Adjusted]]-B1100)/B1100</f>
        <v>3.105590062111801E-3</v>
      </c>
      <c r="D1101" s="35">
        <f>((1+Table2634[[#This Row],[Weekly change]])^52)-1</f>
        <v>0.17496744316656909</v>
      </c>
      <c r="E1101" s="25">
        <f t="shared" si="17"/>
        <v>1127.8</v>
      </c>
      <c r="F1101" s="33">
        <f>(Table2634[[#This Row],[4 weeks average]]-B1049)/B1049</f>
        <v>-1.5795444628676266E-2</v>
      </c>
    </row>
    <row r="1102" spans="1:6" x14ac:dyDescent="0.2">
      <c r="A1102" s="23">
        <v>35072</v>
      </c>
      <c r="B1102" s="25">
        <f>VLOOKUP(Table2634[[#This Row],[Date]],'DB Money Supply'!$A:$D,4)</f>
        <v>1124.9000000000001</v>
      </c>
      <c r="C1102" s="31">
        <f>(Table2634[[#This Row],[M1 Money Stock, Billions of Dollars, Weekly, Seasonally Adjusted]]-B1101)/B1101</f>
        <v>-4.9535603715169475E-3</v>
      </c>
      <c r="D1102" s="35">
        <f>((1+Table2634[[#This Row],[Weekly change]])^52)-1</f>
        <v>-0.22757876440293612</v>
      </c>
      <c r="E1102" s="25">
        <f t="shared" si="17"/>
        <v>1126.2750000000001</v>
      </c>
      <c r="F1102" s="33">
        <f>(Table2634[[#This Row],[4 weeks average]]-B1050)/B1050</f>
        <v>-2.4363305613305613E-2</v>
      </c>
    </row>
    <row r="1103" spans="1:6" x14ac:dyDescent="0.2">
      <c r="A1103" s="23">
        <v>35079</v>
      </c>
      <c r="B1103" s="25">
        <f>VLOOKUP(Table2634[[#This Row],[Date]],'DB Money Supply'!$A:$D,4)</f>
        <v>1129.4000000000001</v>
      </c>
      <c r="C1103" s="31">
        <f>(Table2634[[#This Row],[M1 Money Stock, Billions of Dollars, Weekly, Seasonally Adjusted]]-B1102)/B1102</f>
        <v>4.0003555871633029E-3</v>
      </c>
      <c r="D1103" s="35">
        <f>((1+Table2634[[#This Row],[Weekly change]])^52)-1</f>
        <v>0.23072511845142762</v>
      </c>
      <c r="E1103" s="25">
        <f t="shared" si="17"/>
        <v>1127.95</v>
      </c>
      <c r="F1103" s="33">
        <f>(Table2634[[#This Row],[4 weeks average]]-B1051)/B1051</f>
        <v>-2.2912335412335449E-2</v>
      </c>
    </row>
    <row r="1104" spans="1:6" x14ac:dyDescent="0.2">
      <c r="A1104" s="23">
        <v>35086</v>
      </c>
      <c r="B1104" s="25">
        <f>VLOOKUP(Table2634[[#This Row],[Date]],'DB Money Supply'!$A:$D,4)</f>
        <v>1120.8</v>
      </c>
      <c r="C1104" s="31">
        <f>(Table2634[[#This Row],[M1 Money Stock, Billions of Dollars, Weekly, Seasonally Adjusted]]-B1103)/B1103</f>
        <v>-7.614662652736086E-3</v>
      </c>
      <c r="D1104" s="35">
        <f>((1+Table2634[[#This Row],[Weekly change]])^52)-1</f>
        <v>-0.32798708186517755</v>
      </c>
      <c r="E1104" s="25">
        <f t="shared" si="17"/>
        <v>1126.4000000000001</v>
      </c>
      <c r="F1104" s="33">
        <f>(Table2634[[#This Row],[4 weeks average]]-B1052)/B1052</f>
        <v>-2.0862308762169678E-2</v>
      </c>
    </row>
    <row r="1105" spans="1:6" x14ac:dyDescent="0.2">
      <c r="A1105" s="23">
        <v>35093</v>
      </c>
      <c r="B1105" s="25">
        <f>VLOOKUP(Table2634[[#This Row],[Date]],'DB Money Supply'!$A:$D,4)</f>
        <v>1117.9000000000001</v>
      </c>
      <c r="C1105" s="31">
        <f>(Table2634[[#This Row],[M1 Money Stock, Billions of Dollars, Weekly, Seasonally Adjusted]]-B1104)/B1104</f>
        <v>-2.5874375446108704E-3</v>
      </c>
      <c r="D1105" s="35">
        <f>((1+Table2634[[#This Row],[Weekly change]])^52)-1</f>
        <v>-0.12604039140689749</v>
      </c>
      <c r="E1105" s="25">
        <f t="shared" si="17"/>
        <v>1123.25</v>
      </c>
      <c r="F1105" s="33">
        <f>(Table2634[[#This Row],[4 weeks average]]-B1053)/B1053</f>
        <v>-2.1559233449477352E-2</v>
      </c>
    </row>
    <row r="1106" spans="1:6" x14ac:dyDescent="0.2">
      <c r="A1106" s="23">
        <v>35100</v>
      </c>
      <c r="B1106" s="25">
        <f>VLOOKUP(Table2634[[#This Row],[Date]],'DB Money Supply'!$A:$D,4)</f>
        <v>1121.5</v>
      </c>
      <c r="C1106" s="31">
        <f>(Table2634[[#This Row],[M1 Money Stock, Billions of Dollars, Weekly, Seasonally Adjusted]]-B1105)/B1105</f>
        <v>3.2203238214508533E-3</v>
      </c>
      <c r="D1106" s="35">
        <f>((1+Table2634[[#This Row],[Weekly change]])^52)-1</f>
        <v>0.18197620017695271</v>
      </c>
      <c r="E1106" s="25">
        <f t="shared" si="17"/>
        <v>1122.4000000000001</v>
      </c>
      <c r="F1106" s="33">
        <f>(Table2634[[#This Row],[4 weeks average]]-B1054)/B1054</f>
        <v>-2.4424163407214174E-2</v>
      </c>
    </row>
    <row r="1107" spans="1:6" x14ac:dyDescent="0.2">
      <c r="A1107" s="23">
        <v>35107</v>
      </c>
      <c r="B1107" s="25">
        <f>VLOOKUP(Table2634[[#This Row],[Date]],'DB Money Supply'!$A:$D,4)</f>
        <v>1118.5999999999999</v>
      </c>
      <c r="C1107" s="31">
        <f>(Table2634[[#This Row],[M1 Money Stock, Billions of Dollars, Weekly, Seasonally Adjusted]]-B1106)/B1106</f>
        <v>-2.5858225590727518E-3</v>
      </c>
      <c r="D1107" s="35">
        <f>((1+Table2634[[#This Row],[Weekly change]])^52)-1</f>
        <v>-0.12596680350162914</v>
      </c>
      <c r="E1107" s="25">
        <f t="shared" si="17"/>
        <v>1119.6999999999998</v>
      </c>
      <c r="F1107" s="33">
        <f>(Table2634[[#This Row],[4 weeks average]]-B1055)/B1055</f>
        <v>-2.4651567944251031E-2</v>
      </c>
    </row>
    <row r="1108" spans="1:6" x14ac:dyDescent="0.2">
      <c r="A1108" s="23">
        <v>35114</v>
      </c>
      <c r="B1108" s="25">
        <f>VLOOKUP(Table2634[[#This Row],[Date]],'DB Money Supply'!$A:$D,4)</f>
        <v>1115.7</v>
      </c>
      <c r="C1108" s="31">
        <f>(Table2634[[#This Row],[M1 Money Stock, Billions of Dollars, Weekly, Seasonally Adjusted]]-B1107)/B1107</f>
        <v>-2.5925263722509063E-3</v>
      </c>
      <c r="D1108" s="35">
        <f>((1+Table2634[[#This Row],[Weekly change]])^52)-1</f>
        <v>-0.1262722275330489</v>
      </c>
      <c r="E1108" s="25">
        <f t="shared" si="17"/>
        <v>1118.425</v>
      </c>
      <c r="F1108" s="33">
        <f>(Table2634[[#This Row],[4 weeks average]]-B1056)/B1056</f>
        <v>-2.346546756308391E-2</v>
      </c>
    </row>
    <row r="1109" spans="1:6" x14ac:dyDescent="0.2">
      <c r="A1109" s="23">
        <v>35121</v>
      </c>
      <c r="B1109" s="25">
        <f>VLOOKUP(Table2634[[#This Row],[Date]],'DB Money Supply'!$A:$D,4)</f>
        <v>1116.9000000000001</v>
      </c>
      <c r="C1109" s="31">
        <f>(Table2634[[#This Row],[M1 Money Stock, Billions of Dollars, Weekly, Seasonally Adjusted]]-B1108)/B1108</f>
        <v>1.0755579456843644E-3</v>
      </c>
      <c r="D1109" s="35">
        <f>((1+Table2634[[#This Row],[Weekly change]])^52)-1</f>
        <v>5.749082658613669E-2</v>
      </c>
      <c r="E1109" s="25">
        <f t="shared" si="17"/>
        <v>1118.1750000000002</v>
      </c>
      <c r="F1109" s="33">
        <f>(Table2634[[#This Row],[4 weeks average]]-B1057)/B1057</f>
        <v>-2.4450357703716508E-2</v>
      </c>
    </row>
    <row r="1110" spans="1:6" x14ac:dyDescent="0.2">
      <c r="A1110" s="23">
        <v>35128</v>
      </c>
      <c r="B1110" s="25">
        <f>VLOOKUP(Table2634[[#This Row],[Date]],'DB Money Supply'!$A:$D,4)</f>
        <v>1123</v>
      </c>
      <c r="C1110" s="31">
        <f>(Table2634[[#This Row],[M1 Money Stock, Billions of Dollars, Weekly, Seasonally Adjusted]]-B1109)/B1109</f>
        <v>5.461545348733019E-3</v>
      </c>
      <c r="D1110" s="35">
        <f>((1+Table2634[[#This Row],[Weekly change]])^52)-1</f>
        <v>0.32740728510545081</v>
      </c>
      <c r="E1110" s="25">
        <f t="shared" si="17"/>
        <v>1118.5500000000002</v>
      </c>
      <c r="F1110" s="33">
        <f>(Table2634[[#This Row],[4 weeks average]]-B1058)/B1058</f>
        <v>-2.4973849372384817E-2</v>
      </c>
    </row>
    <row r="1111" spans="1:6" x14ac:dyDescent="0.2">
      <c r="A1111" s="23">
        <v>35135</v>
      </c>
      <c r="B1111" s="25">
        <f>VLOOKUP(Table2634[[#This Row],[Date]],'DB Money Supply'!$A:$D,4)</f>
        <v>1118.7</v>
      </c>
      <c r="C1111" s="31">
        <f>(Table2634[[#This Row],[M1 Money Stock, Billions of Dollars, Weekly, Seasonally Adjusted]]-B1110)/B1110</f>
        <v>-3.8290293855743141E-3</v>
      </c>
      <c r="D1111" s="35">
        <f>((1+Table2634[[#This Row],[Weekly change]])^52)-1</f>
        <v>-0.18085298197348609</v>
      </c>
      <c r="E1111" s="25">
        <f t="shared" si="17"/>
        <v>1118.575</v>
      </c>
      <c r="F1111" s="33">
        <f>(Table2634[[#This Row],[4 weeks average]]-B1059)/B1059</f>
        <v>-2.5886092484542288E-2</v>
      </c>
    </row>
    <row r="1112" spans="1:6" x14ac:dyDescent="0.2">
      <c r="A1112" s="23">
        <v>35142</v>
      </c>
      <c r="B1112" s="25">
        <f>VLOOKUP(Table2634[[#This Row],[Date]],'DB Money Supply'!$A:$D,4)</f>
        <v>1120.8</v>
      </c>
      <c r="C1112" s="31">
        <f>(Table2634[[#This Row],[M1 Money Stock, Billions of Dollars, Weekly, Seasonally Adjusted]]-B1111)/B1111</f>
        <v>1.8771788683292294E-3</v>
      </c>
      <c r="D1112" s="35">
        <f>((1+Table2634[[#This Row],[Weekly change]])^52)-1</f>
        <v>0.10243547090598271</v>
      </c>
      <c r="E1112" s="25">
        <f t="shared" si="17"/>
        <v>1119.8500000000001</v>
      </c>
      <c r="F1112" s="33">
        <f>(Table2634[[#This Row],[4 weeks average]]-B1060)/B1060</f>
        <v>-2.3840655509065469E-2</v>
      </c>
    </row>
    <row r="1113" spans="1:6" x14ac:dyDescent="0.2">
      <c r="A1113" s="23">
        <v>35149</v>
      </c>
      <c r="B1113" s="25">
        <f>VLOOKUP(Table2634[[#This Row],[Date]],'DB Money Supply'!$A:$D,4)</f>
        <v>1123.2</v>
      </c>
      <c r="C1113" s="31">
        <f>(Table2634[[#This Row],[M1 Money Stock, Billions of Dollars, Weekly, Seasonally Adjusted]]-B1112)/B1112</f>
        <v>2.1413276231264195E-3</v>
      </c>
      <c r="D1113" s="35">
        <f>((1+Table2634[[#This Row],[Weekly change]])^52)-1</f>
        <v>0.11765192487354881</v>
      </c>
      <c r="E1113" s="25">
        <f t="shared" si="17"/>
        <v>1121.425</v>
      </c>
      <c r="F1113" s="33">
        <f>(Table2634[[#This Row],[4 weeks average]]-B1061)/B1061</f>
        <v>-2.2467747559274834E-2</v>
      </c>
    </row>
    <row r="1114" spans="1:6" x14ac:dyDescent="0.2">
      <c r="A1114" s="23">
        <v>35156</v>
      </c>
      <c r="B1114" s="25">
        <f>VLOOKUP(Table2634[[#This Row],[Date]],'DB Money Supply'!$A:$D,4)</f>
        <v>1128.8</v>
      </c>
      <c r="C1114" s="31">
        <f>(Table2634[[#This Row],[M1 Money Stock, Billions of Dollars, Weekly, Seasonally Adjusted]]-B1113)/B1113</f>
        <v>4.9857549857549041E-3</v>
      </c>
      <c r="D1114" s="35">
        <f>((1+Table2634[[#This Row],[Weekly change]])^52)-1</f>
        <v>0.29513520860040177</v>
      </c>
      <c r="E1114" s="25">
        <f t="shared" si="17"/>
        <v>1122.875</v>
      </c>
      <c r="F1114" s="33">
        <f>(Table2634[[#This Row],[4 weeks average]]-B1062)/B1062</f>
        <v>-1.6316250547525186E-2</v>
      </c>
    </row>
    <row r="1115" spans="1:6" x14ac:dyDescent="0.2">
      <c r="A1115" s="23">
        <v>35163</v>
      </c>
      <c r="B1115" s="25">
        <f>VLOOKUP(Table2634[[#This Row],[Date]],'DB Money Supply'!$A:$D,4)</f>
        <v>1124.0999999999999</v>
      </c>
      <c r="C1115" s="31">
        <f>(Table2634[[#This Row],[M1 Money Stock, Billions of Dollars, Weekly, Seasonally Adjusted]]-B1114)/B1114</f>
        <v>-4.1637136782424217E-3</v>
      </c>
      <c r="D1115" s="35">
        <f>((1+Table2634[[#This Row],[Weekly change]])^52)-1</f>
        <v>-0.19504195077410214</v>
      </c>
      <c r="E1115" s="25">
        <f t="shared" si="17"/>
        <v>1124.2249999999999</v>
      </c>
      <c r="F1115" s="33">
        <f>(Table2634[[#This Row],[4 weeks average]]-B1063)/B1063</f>
        <v>-2.3601702275490861E-2</v>
      </c>
    </row>
    <row r="1116" spans="1:6" x14ac:dyDescent="0.2">
      <c r="A1116" s="23">
        <v>35170</v>
      </c>
      <c r="B1116" s="25">
        <f>VLOOKUP(Table2634[[#This Row],[Date]],'DB Money Supply'!$A:$D,4)</f>
        <v>1130.4000000000001</v>
      </c>
      <c r="C1116" s="31">
        <f>(Table2634[[#This Row],[M1 Money Stock, Billions of Dollars, Weekly, Seasonally Adjusted]]-B1115)/B1115</f>
        <v>5.6044835868696583E-3</v>
      </c>
      <c r="D1116" s="35">
        <f>((1+Table2634[[#This Row],[Weekly change]])^52)-1</f>
        <v>0.33725568667337336</v>
      </c>
      <c r="E1116" s="25">
        <f t="shared" si="17"/>
        <v>1126.625</v>
      </c>
      <c r="F1116" s="33">
        <f>(Table2634[[#This Row],[4 weeks average]]-B1064)/B1064</f>
        <v>-1.9558785136193465E-2</v>
      </c>
    </row>
    <row r="1117" spans="1:6" x14ac:dyDescent="0.2">
      <c r="A1117" s="23">
        <v>35177</v>
      </c>
      <c r="B1117" s="25">
        <f>VLOOKUP(Table2634[[#This Row],[Date]],'DB Money Supply'!$A:$D,4)</f>
        <v>1125</v>
      </c>
      <c r="C1117" s="31">
        <f>(Table2634[[#This Row],[M1 Money Stock, Billions of Dollars, Weekly, Seasonally Adjusted]]-B1116)/B1116</f>
        <v>-4.777070063694348E-3</v>
      </c>
      <c r="D1117" s="35">
        <f>((1+Table2634[[#This Row],[Weekly change]])^52)-1</f>
        <v>-0.22042226404828591</v>
      </c>
      <c r="E1117" s="25">
        <f t="shared" si="17"/>
        <v>1127.0749999999998</v>
      </c>
      <c r="F1117" s="33">
        <f>(Table2634[[#This Row],[4 weeks average]]-B1065)/B1065</f>
        <v>-1.9764306835971593E-2</v>
      </c>
    </row>
    <row r="1118" spans="1:6" x14ac:dyDescent="0.2">
      <c r="A1118" s="23">
        <v>35184</v>
      </c>
      <c r="B1118" s="25">
        <f>VLOOKUP(Table2634[[#This Row],[Date]],'DB Money Supply'!$A:$D,4)</f>
        <v>1118.5999999999999</v>
      </c>
      <c r="C1118" s="31">
        <f>(Table2634[[#This Row],[M1 Money Stock, Billions of Dollars, Weekly, Seasonally Adjusted]]-B1117)/B1117</f>
        <v>-5.6888888888889698E-3</v>
      </c>
      <c r="D1118" s="35">
        <f>((1+Table2634[[#This Row],[Weekly change]])^52)-1</f>
        <v>-0.25670842139473404</v>
      </c>
      <c r="E1118" s="25">
        <f t="shared" si="17"/>
        <v>1124.5250000000001</v>
      </c>
      <c r="F1118" s="33">
        <f>(Table2634[[#This Row],[4 weeks average]]-B1066)/B1066</f>
        <v>-2.2492176634214184E-2</v>
      </c>
    </row>
    <row r="1119" spans="1:6" x14ac:dyDescent="0.2">
      <c r="A1119" s="23">
        <v>35191</v>
      </c>
      <c r="B1119" s="25">
        <f>VLOOKUP(Table2634[[#This Row],[Date]],'DB Money Supply'!$A:$D,4)</f>
        <v>1123</v>
      </c>
      <c r="C1119" s="31">
        <f>(Table2634[[#This Row],[M1 Money Stock, Billions of Dollars, Weekly, Seasonally Adjusted]]-B1118)/B1118</f>
        <v>3.9334882889326761E-3</v>
      </c>
      <c r="D1119" s="35">
        <f>((1+Table2634[[#This Row],[Weekly change]])^52)-1</f>
        <v>0.22647004621034506</v>
      </c>
      <c r="E1119" s="25">
        <f t="shared" si="17"/>
        <v>1124.25</v>
      </c>
      <c r="F1119" s="33">
        <f>(Table2634[[#This Row],[4 weeks average]]-B1067)/B1067</f>
        <v>-1.7950733752620508E-2</v>
      </c>
    </row>
    <row r="1120" spans="1:6" x14ac:dyDescent="0.2">
      <c r="A1120" s="23">
        <v>35198</v>
      </c>
      <c r="B1120" s="25">
        <f>VLOOKUP(Table2634[[#This Row],[Date]],'DB Money Supply'!$A:$D,4)</f>
        <v>1117.5999999999999</v>
      </c>
      <c r="C1120" s="31">
        <f>(Table2634[[#This Row],[M1 Money Stock, Billions of Dollars, Weekly, Seasonally Adjusted]]-B1119)/B1119</f>
        <v>-4.8085485307213629E-3</v>
      </c>
      <c r="D1120" s="35">
        <f>((1+Table2634[[#This Row],[Weekly change]])^52)-1</f>
        <v>-0.22170343101836132</v>
      </c>
      <c r="E1120" s="25">
        <f t="shared" si="17"/>
        <v>1121.05</v>
      </c>
      <c r="F1120" s="33">
        <f>(Table2634[[#This Row],[4 weeks average]]-B1068)/B1068</f>
        <v>-2.2368535798378032E-2</v>
      </c>
    </row>
    <row r="1121" spans="1:6" x14ac:dyDescent="0.2">
      <c r="A1121" s="23">
        <v>35205</v>
      </c>
      <c r="B1121" s="25">
        <f>VLOOKUP(Table2634[[#This Row],[Date]],'DB Money Supply'!$A:$D,4)</f>
        <v>1117.3</v>
      </c>
      <c r="C1121" s="31">
        <f>(Table2634[[#This Row],[M1 Money Stock, Billions of Dollars, Weekly, Seasonally Adjusted]]-B1120)/B1120</f>
        <v>-2.6843235504648763E-4</v>
      </c>
      <c r="D1121" s="35">
        <f>((1+Table2634[[#This Row],[Weekly change]])^52)-1</f>
        <v>-1.3863362359600839E-2</v>
      </c>
      <c r="E1121" s="25">
        <f t="shared" si="17"/>
        <v>1119.125</v>
      </c>
      <c r="F1121" s="33">
        <f>(Table2634[[#This Row],[4 weeks average]]-B1069)/B1069</f>
        <v>-2.3451134380453754E-2</v>
      </c>
    </row>
    <row r="1122" spans="1:6" x14ac:dyDescent="0.2">
      <c r="A1122" s="23">
        <v>35212</v>
      </c>
      <c r="B1122" s="25">
        <f>VLOOKUP(Table2634[[#This Row],[Date]],'DB Money Supply'!$A:$D,4)</f>
        <v>1110.8</v>
      </c>
      <c r="C1122" s="31">
        <f>(Table2634[[#This Row],[M1 Money Stock, Billions of Dollars, Weekly, Seasonally Adjusted]]-B1121)/B1121</f>
        <v>-5.817595990333841E-3</v>
      </c>
      <c r="D1122" s="35">
        <f>((1+Table2634[[#This Row],[Weekly change]])^52)-1</f>
        <v>-0.2616950839072586</v>
      </c>
      <c r="E1122" s="25">
        <f t="shared" si="17"/>
        <v>1117.175</v>
      </c>
      <c r="F1122" s="33">
        <f>(Table2634[[#This Row],[4 weeks average]]-B1070)/B1070</f>
        <v>-2.242299614980749E-2</v>
      </c>
    </row>
    <row r="1123" spans="1:6" x14ac:dyDescent="0.2">
      <c r="A1123" s="23">
        <v>35219</v>
      </c>
      <c r="B1123" s="25">
        <f>VLOOKUP(Table2634[[#This Row],[Date]],'DB Money Supply'!$A:$D,4)</f>
        <v>1114.2</v>
      </c>
      <c r="C1123" s="31">
        <f>(Table2634[[#This Row],[M1 Money Stock, Billions of Dollars, Weekly, Seasonally Adjusted]]-B1122)/B1122</f>
        <v>3.0608570399712738E-3</v>
      </c>
      <c r="D1123" s="35">
        <f>((1+Table2634[[#This Row],[Weekly change]])^52)-1</f>
        <v>0.17224588895473314</v>
      </c>
      <c r="E1123" s="25">
        <f t="shared" si="17"/>
        <v>1114.9749999999999</v>
      </c>
      <c r="F1123" s="33">
        <f>(Table2634[[#This Row],[4 weeks average]]-B1071)/B1071</f>
        <v>-2.6647752073330502E-2</v>
      </c>
    </row>
    <row r="1124" spans="1:6" x14ac:dyDescent="0.2">
      <c r="A1124" s="23">
        <v>35226</v>
      </c>
      <c r="B1124" s="25">
        <f>VLOOKUP(Table2634[[#This Row],[Date]],'DB Money Supply'!$A:$D,4)</f>
        <v>1114.9000000000001</v>
      </c>
      <c r="C1124" s="31">
        <f>(Table2634[[#This Row],[M1 Money Stock, Billions of Dollars, Weekly, Seasonally Adjusted]]-B1123)/B1123</f>
        <v>6.2825345539404545E-4</v>
      </c>
      <c r="D1124" s="35">
        <f>((1+Table2634[[#This Row],[Weekly change]])^52)-1</f>
        <v>3.3198077706959594E-2</v>
      </c>
      <c r="E1124" s="25">
        <f t="shared" si="17"/>
        <v>1114.3000000000002</v>
      </c>
      <c r="F1124" s="33">
        <f>(Table2634[[#This Row],[4 weeks average]]-B1072)/B1072</f>
        <v>-2.7915903341184482E-2</v>
      </c>
    </row>
    <row r="1125" spans="1:6" x14ac:dyDescent="0.2">
      <c r="A1125" s="23">
        <v>35233</v>
      </c>
      <c r="B1125" s="25">
        <f>VLOOKUP(Table2634[[#This Row],[Date]],'DB Money Supply'!$A:$D,4)</f>
        <v>1114.5</v>
      </c>
      <c r="C1125" s="31">
        <f>(Table2634[[#This Row],[M1 Money Stock, Billions of Dollars, Weekly, Seasonally Adjusted]]-B1124)/B1124</f>
        <v>-3.5877657188993715E-4</v>
      </c>
      <c r="D1125" s="35">
        <f>((1+Table2634[[#This Row],[Weekly change]])^52)-1</f>
        <v>-1.848671433560678E-2</v>
      </c>
      <c r="E1125" s="25">
        <f t="shared" si="17"/>
        <v>1113.5999999999999</v>
      </c>
      <c r="F1125" s="33">
        <f>(Table2634[[#This Row],[4 weeks average]]-B1073)/B1073</f>
        <v>-2.6062620255378852E-2</v>
      </c>
    </row>
    <row r="1126" spans="1:6" x14ac:dyDescent="0.2">
      <c r="A1126" s="23">
        <v>35240</v>
      </c>
      <c r="B1126" s="25">
        <f>VLOOKUP(Table2634[[#This Row],[Date]],'DB Money Supply'!$A:$D,4)</f>
        <v>1113</v>
      </c>
      <c r="C1126" s="31">
        <f>(Table2634[[#This Row],[M1 Money Stock, Billions of Dollars, Weekly, Seasonally Adjusted]]-B1125)/B1125</f>
        <v>-1.3458950201884253E-3</v>
      </c>
      <c r="D1126" s="35">
        <f>((1+Table2634[[#This Row],[Weekly change]])^52)-1</f>
        <v>-6.76375831668653E-2</v>
      </c>
      <c r="E1126" s="25">
        <f t="shared" si="17"/>
        <v>1114.1500000000001</v>
      </c>
      <c r="F1126" s="33">
        <f>(Table2634[[#This Row],[4 weeks average]]-B1074)/B1074</f>
        <v>-2.5922364049658912E-2</v>
      </c>
    </row>
    <row r="1127" spans="1:6" x14ac:dyDescent="0.2">
      <c r="A1127" s="23">
        <v>35247</v>
      </c>
      <c r="B1127" s="25">
        <f>VLOOKUP(Table2634[[#This Row],[Date]],'DB Money Supply'!$A:$D,4)</f>
        <v>1119.2</v>
      </c>
      <c r="C1127" s="31">
        <f>(Table2634[[#This Row],[M1 Money Stock, Billions of Dollars, Weekly, Seasonally Adjusted]]-B1126)/B1126</f>
        <v>5.5705300988320265E-3</v>
      </c>
      <c r="D1127" s="35">
        <f>((1+Table2634[[#This Row],[Weekly change]])^52)-1</f>
        <v>0.33490983191942281</v>
      </c>
      <c r="E1127" s="25">
        <f t="shared" si="17"/>
        <v>1115.4000000000001</v>
      </c>
      <c r="F1127" s="33">
        <f>(Table2634[[#This Row],[4 weeks average]]-B1075)/B1075</f>
        <v>-2.2436459246275117E-2</v>
      </c>
    </row>
    <row r="1128" spans="1:6" x14ac:dyDescent="0.2">
      <c r="A1128" s="23">
        <v>35254</v>
      </c>
      <c r="B1128" s="25">
        <f>VLOOKUP(Table2634[[#This Row],[Date]],'DB Money Supply'!$A:$D,4)</f>
        <v>1109</v>
      </c>
      <c r="C1128" s="31">
        <f>(Table2634[[#This Row],[M1 Money Stock, Billions of Dollars, Weekly, Seasonally Adjusted]]-B1127)/B1127</f>
        <v>-9.1136526090064736E-3</v>
      </c>
      <c r="D1128" s="35">
        <f>((1+Table2634[[#This Row],[Weekly change]])^52)-1</f>
        <v>-0.37878787675335257</v>
      </c>
      <c r="E1128" s="25">
        <f t="shared" si="17"/>
        <v>1113.925</v>
      </c>
      <c r="F1128" s="33">
        <f>(Table2634[[#This Row],[4 weeks average]]-B1076)/B1076</f>
        <v>-3.0526544821584026E-2</v>
      </c>
    </row>
    <row r="1129" spans="1:6" x14ac:dyDescent="0.2">
      <c r="A1129" s="23">
        <v>35261</v>
      </c>
      <c r="B1129" s="25">
        <f>VLOOKUP(Table2634[[#This Row],[Date]],'DB Money Supply'!$A:$D,4)</f>
        <v>1115.0999999999999</v>
      </c>
      <c r="C1129" s="31">
        <f>(Table2634[[#This Row],[M1 Money Stock, Billions of Dollars, Weekly, Seasonally Adjusted]]-B1128)/B1128</f>
        <v>5.5004508566275107E-3</v>
      </c>
      <c r="D1129" s="35">
        <f>((1+Table2634[[#This Row],[Weekly change]])^52)-1</f>
        <v>0.33008079470801777</v>
      </c>
      <c r="E1129" s="25">
        <f t="shared" si="17"/>
        <v>1114.0749999999998</v>
      </c>
      <c r="F1129" s="33">
        <f>(Table2634[[#This Row],[4 weeks average]]-B1077)/B1077</f>
        <v>-2.7433435181143766E-2</v>
      </c>
    </row>
    <row r="1130" spans="1:6" x14ac:dyDescent="0.2">
      <c r="A1130" s="23">
        <v>35268</v>
      </c>
      <c r="B1130" s="25">
        <f>VLOOKUP(Table2634[[#This Row],[Date]],'DB Money Supply'!$A:$D,4)</f>
        <v>1113.0999999999999</v>
      </c>
      <c r="C1130" s="31">
        <f>(Table2634[[#This Row],[M1 Money Stock, Billions of Dollars, Weekly, Seasonally Adjusted]]-B1129)/B1129</f>
        <v>-1.793561115595014E-3</v>
      </c>
      <c r="D1130" s="35">
        <f>((1+Table2634[[#This Row],[Weekly change]])^52)-1</f>
        <v>-8.9124374738187129E-2</v>
      </c>
      <c r="E1130" s="25">
        <f t="shared" si="17"/>
        <v>1114.0999999999999</v>
      </c>
      <c r="F1130" s="33">
        <f>(Table2634[[#This Row],[4 weeks average]]-B1078)/B1078</f>
        <v>-2.5284339457567882E-2</v>
      </c>
    </row>
    <row r="1131" spans="1:6" x14ac:dyDescent="0.2">
      <c r="A1131" s="23">
        <v>35275</v>
      </c>
      <c r="B1131" s="25">
        <f>VLOOKUP(Table2634[[#This Row],[Date]],'DB Money Supply'!$A:$D,4)</f>
        <v>1112.0999999999999</v>
      </c>
      <c r="C1131" s="31">
        <f>(Table2634[[#This Row],[M1 Money Stock, Billions of Dollars, Weekly, Seasonally Adjusted]]-B1130)/B1130</f>
        <v>-8.9839187853741806E-4</v>
      </c>
      <c r="D1131" s="35">
        <f>((1+Table2634[[#This Row],[Weekly change]])^52)-1</f>
        <v>-4.566200236620821E-2</v>
      </c>
      <c r="E1131" s="25">
        <f t="shared" si="17"/>
        <v>1112.3249999999998</v>
      </c>
      <c r="F1131" s="33">
        <f>(Table2634[[#This Row],[4 weeks average]]-B1079)/B1079</f>
        <v>-2.9554179026348128E-2</v>
      </c>
    </row>
    <row r="1132" spans="1:6" x14ac:dyDescent="0.2">
      <c r="A1132" s="23">
        <v>35282</v>
      </c>
      <c r="B1132" s="25">
        <f>VLOOKUP(Table2634[[#This Row],[Date]],'DB Money Supply'!$A:$D,4)</f>
        <v>1108.5</v>
      </c>
      <c r="C1132" s="31">
        <f>(Table2634[[#This Row],[M1 Money Stock, Billions of Dollars, Weekly, Seasonally Adjusted]]-B1131)/B1131</f>
        <v>-3.2371189641218498E-3</v>
      </c>
      <c r="D1132" s="35">
        <f>((1+Table2634[[#This Row],[Weekly change]])^52)-1</f>
        <v>-0.15515595260869686</v>
      </c>
      <c r="E1132" s="25">
        <f t="shared" si="17"/>
        <v>1112.1999999999998</v>
      </c>
      <c r="F1132" s="33">
        <f>(Table2634[[#This Row],[4 weeks average]]-B1080)/B1080</f>
        <v>-2.9493891797556879E-2</v>
      </c>
    </row>
    <row r="1133" spans="1:6" x14ac:dyDescent="0.2">
      <c r="A1133" s="23">
        <v>35289</v>
      </c>
      <c r="B1133" s="25">
        <f>VLOOKUP(Table2634[[#This Row],[Date]],'DB Money Supply'!$A:$D,4)</f>
        <v>1106.0999999999999</v>
      </c>
      <c r="C1133" s="31">
        <f>(Table2634[[#This Row],[M1 Money Stock, Billions of Dollars, Weekly, Seasonally Adjusted]]-B1132)/B1132</f>
        <v>-2.165087956698323E-3</v>
      </c>
      <c r="D1133" s="35">
        <f>((1+Table2634[[#This Row],[Weekly change]])^52)-1</f>
        <v>-0.10658727578503879</v>
      </c>
      <c r="E1133" s="25">
        <f t="shared" si="17"/>
        <v>1109.9499999999998</v>
      </c>
      <c r="F1133" s="33">
        <f>(Table2634[[#This Row],[4 weeks average]]-B1081)/B1081</f>
        <v>-3.2639009935506599E-2</v>
      </c>
    </row>
    <row r="1134" spans="1:6" x14ac:dyDescent="0.2">
      <c r="A1134" s="23">
        <v>35296</v>
      </c>
      <c r="B1134" s="25">
        <f>VLOOKUP(Table2634[[#This Row],[Date]],'DB Money Supply'!$A:$D,4)</f>
        <v>1098.0999999999999</v>
      </c>
      <c r="C1134" s="31">
        <f>(Table2634[[#This Row],[M1 Money Stock, Billions of Dollars, Weekly, Seasonally Adjusted]]-B1133)/B1133</f>
        <v>-7.2326191121960043E-3</v>
      </c>
      <c r="D1134" s="35">
        <f>((1+Table2634[[#This Row],[Weekly change]])^52)-1</f>
        <v>-0.3144013411266009</v>
      </c>
      <c r="E1134" s="25">
        <f t="shared" si="17"/>
        <v>1106.1999999999998</v>
      </c>
      <c r="F1134" s="33">
        <f>(Table2634[[#This Row],[4 weeks average]]-B1082)/B1082</f>
        <v>-3.4982116374422174E-2</v>
      </c>
    </row>
    <row r="1135" spans="1:6" x14ac:dyDescent="0.2">
      <c r="A1135" s="23">
        <v>35303</v>
      </c>
      <c r="B1135" s="25">
        <f>VLOOKUP(Table2634[[#This Row],[Date]],'DB Money Supply'!$A:$D,4)</f>
        <v>1098.5999999999999</v>
      </c>
      <c r="C1135" s="31">
        <f>(Table2634[[#This Row],[M1 Money Stock, Billions of Dollars, Weekly, Seasonally Adjusted]]-B1134)/B1134</f>
        <v>4.5533193698205998E-4</v>
      </c>
      <c r="D1135" s="35">
        <f>((1+Table2634[[#This Row],[Weekly change]])^52)-1</f>
        <v>2.3954274541583498E-2</v>
      </c>
      <c r="E1135" s="25">
        <f t="shared" si="17"/>
        <v>1102.8249999999998</v>
      </c>
      <c r="F1135" s="33">
        <f>(Table2634[[#This Row],[4 weeks average]]-B1083)/B1083</f>
        <v>-3.5486269022214682E-2</v>
      </c>
    </row>
    <row r="1136" spans="1:6" x14ac:dyDescent="0.2">
      <c r="A1136" s="23">
        <v>35310</v>
      </c>
      <c r="B1136" s="25">
        <f>VLOOKUP(Table2634[[#This Row],[Date]],'DB Money Supply'!$A:$D,4)</f>
        <v>1097.9000000000001</v>
      </c>
      <c r="C1136" s="31">
        <f>(Table2634[[#This Row],[M1 Money Stock, Billions of Dollars, Weekly, Seasonally Adjusted]]-B1135)/B1135</f>
        <v>-6.3717458583635372E-4</v>
      </c>
      <c r="D1136" s="35">
        <f>((1+Table2634[[#This Row],[Weekly change]])^52)-1</f>
        <v>-3.2600406437614415E-2</v>
      </c>
      <c r="E1136" s="25">
        <f t="shared" si="17"/>
        <v>1100.175</v>
      </c>
      <c r="F1136" s="33">
        <f>(Table2634[[#This Row],[4 weeks average]]-B1084)/B1084</f>
        <v>-3.7214491992649069E-2</v>
      </c>
    </row>
    <row r="1137" spans="1:6" x14ac:dyDescent="0.2">
      <c r="A1137" s="23">
        <v>35317</v>
      </c>
      <c r="B1137" s="25">
        <f>VLOOKUP(Table2634[[#This Row],[Date]],'DB Money Supply'!$A:$D,4)</f>
        <v>1103.8</v>
      </c>
      <c r="C1137" s="31">
        <f>(Table2634[[#This Row],[M1 Money Stock, Billions of Dollars, Weekly, Seasonally Adjusted]]-B1136)/B1136</f>
        <v>5.3738956189087013E-3</v>
      </c>
      <c r="D1137" s="35">
        <f>((1+Table2634[[#This Row],[Weekly change]])^52)-1</f>
        <v>0.32140346623691274</v>
      </c>
      <c r="E1137" s="25">
        <f t="shared" si="17"/>
        <v>1099.5999999999999</v>
      </c>
      <c r="F1137" s="33">
        <f>(Table2634[[#This Row],[4 weeks average]]-B1085)/B1085</f>
        <v>-4.2660630332578796E-2</v>
      </c>
    </row>
    <row r="1138" spans="1:6" x14ac:dyDescent="0.2">
      <c r="A1138" s="23">
        <v>35324</v>
      </c>
      <c r="B1138" s="25">
        <f>VLOOKUP(Table2634[[#This Row],[Date]],'DB Money Supply'!$A:$D,4)</f>
        <v>1096.7</v>
      </c>
      <c r="C1138" s="31">
        <f>(Table2634[[#This Row],[M1 Money Stock, Billions of Dollars, Weekly, Seasonally Adjusted]]-B1137)/B1137</f>
        <v>-6.4323246965029071E-3</v>
      </c>
      <c r="D1138" s="35">
        <f>((1+Table2634[[#This Row],[Weekly change]])^52)-1</f>
        <v>-0.28506329482711479</v>
      </c>
      <c r="E1138" s="25">
        <f t="shared" si="17"/>
        <v>1099.25</v>
      </c>
      <c r="F1138" s="33">
        <f>(Table2634[[#This Row],[4 weeks average]]-B1086)/B1086</f>
        <v>-3.7518606076525622E-2</v>
      </c>
    </row>
    <row r="1139" spans="1:6" x14ac:dyDescent="0.2">
      <c r="A1139" s="23">
        <v>35331</v>
      </c>
      <c r="B1139" s="25">
        <f>VLOOKUP(Table2634[[#This Row],[Date]],'DB Money Supply'!$A:$D,4)</f>
        <v>1091.7</v>
      </c>
      <c r="C1139" s="31">
        <f>(Table2634[[#This Row],[M1 Money Stock, Billions of Dollars, Weekly, Seasonally Adjusted]]-B1138)/B1138</f>
        <v>-4.55913194127838E-3</v>
      </c>
      <c r="D1139" s="35">
        <f>((1+Table2634[[#This Row],[Weekly change]])^52)-1</f>
        <v>-0.21149531974800562</v>
      </c>
      <c r="E1139" s="25">
        <f t="shared" si="17"/>
        <v>1097.5249999999999</v>
      </c>
      <c r="F1139" s="33">
        <f>(Table2634[[#This Row],[4 weeks average]]-B1087)/B1087</f>
        <v>-3.7258771929824679E-2</v>
      </c>
    </row>
    <row r="1140" spans="1:6" x14ac:dyDescent="0.2">
      <c r="A1140" s="23">
        <v>35338</v>
      </c>
      <c r="B1140" s="25">
        <f>VLOOKUP(Table2634[[#This Row],[Date]],'DB Money Supply'!$A:$D,4)</f>
        <v>1091.8</v>
      </c>
      <c r="C1140" s="31">
        <f>(Table2634[[#This Row],[M1 Money Stock, Billions of Dollars, Weekly, Seasonally Adjusted]]-B1139)/B1139</f>
        <v>9.160025648063483E-5</v>
      </c>
      <c r="D1140" s="35">
        <f>((1+Table2634[[#This Row],[Weekly change]])^52)-1</f>
        <v>4.774356286591841E-3</v>
      </c>
      <c r="E1140" s="25">
        <f t="shared" si="17"/>
        <v>1096</v>
      </c>
      <c r="F1140" s="33">
        <f>(Table2634[[#This Row],[4 weeks average]]-B1088)/B1088</f>
        <v>-3.3339213265126087E-2</v>
      </c>
    </row>
    <row r="1141" spans="1:6" x14ac:dyDescent="0.2">
      <c r="A1141" s="23">
        <v>35345</v>
      </c>
      <c r="B1141" s="25">
        <f>VLOOKUP(Table2634[[#This Row],[Date]],'DB Money Supply'!$A:$D,4)</f>
        <v>1088.5</v>
      </c>
      <c r="C1141" s="31">
        <f>(Table2634[[#This Row],[M1 Money Stock, Billions of Dollars, Weekly, Seasonally Adjusted]]-B1140)/B1140</f>
        <v>-3.0225315991939498E-3</v>
      </c>
      <c r="D1141" s="35">
        <f>((1+Table2634[[#This Row],[Weekly change]])^52)-1</f>
        <v>-0.1456459998479066</v>
      </c>
      <c r="E1141" s="25">
        <f t="shared" si="17"/>
        <v>1092.175</v>
      </c>
      <c r="F1141" s="33">
        <f>(Table2634[[#This Row],[4 weeks average]]-B1089)/B1089</f>
        <v>-3.9677305899938453E-2</v>
      </c>
    </row>
    <row r="1142" spans="1:6" x14ac:dyDescent="0.2">
      <c r="A1142" s="23">
        <v>35352</v>
      </c>
      <c r="B1142" s="25">
        <f>VLOOKUP(Table2634[[#This Row],[Date]],'DB Money Supply'!$A:$D,4)</f>
        <v>1091.5999999999999</v>
      </c>
      <c r="C1142" s="31">
        <f>(Table2634[[#This Row],[M1 Money Stock, Billions of Dollars, Weekly, Seasonally Adjusted]]-B1141)/B1141</f>
        <v>2.8479559026181986E-3</v>
      </c>
      <c r="D1142" s="35">
        <f>((1+Table2634[[#This Row],[Weekly change]])^52)-1</f>
        <v>0.15937750133635786</v>
      </c>
      <c r="E1142" s="25">
        <f t="shared" si="17"/>
        <v>1090.9000000000001</v>
      </c>
      <c r="F1142" s="33">
        <f>(Table2634[[#This Row],[4 weeks average]]-B1090)/B1090</f>
        <v>-4.4076410795653657E-2</v>
      </c>
    </row>
    <row r="1143" spans="1:6" x14ac:dyDescent="0.2">
      <c r="A1143" s="23">
        <v>35359</v>
      </c>
      <c r="B1143" s="25">
        <f>VLOOKUP(Table2634[[#This Row],[Date]],'DB Money Supply'!$A:$D,4)</f>
        <v>1086.7</v>
      </c>
      <c r="C1143" s="31">
        <f>(Table2634[[#This Row],[M1 Money Stock, Billions of Dollars, Weekly, Seasonally Adjusted]]-B1142)/B1142</f>
        <v>-4.4888237449614002E-3</v>
      </c>
      <c r="D1143" s="35">
        <f>((1+Table2634[[#This Row],[Weekly change]])^52)-1</f>
        <v>-0.20859410069944972</v>
      </c>
      <c r="E1143" s="25">
        <f t="shared" si="17"/>
        <v>1089.6500000000001</v>
      </c>
      <c r="F1143" s="33">
        <f>(Table2634[[#This Row],[4 weeks average]]-B1091)/B1091</f>
        <v>-4.088548543262021E-2</v>
      </c>
    </row>
    <row r="1144" spans="1:6" x14ac:dyDescent="0.2">
      <c r="A1144" s="23">
        <v>35366</v>
      </c>
      <c r="B1144" s="25">
        <f>VLOOKUP(Table2634[[#This Row],[Date]],'DB Money Supply'!$A:$D,4)</f>
        <v>1077.8</v>
      </c>
      <c r="C1144" s="31">
        <f>(Table2634[[#This Row],[M1 Money Stock, Billions of Dollars, Weekly, Seasonally Adjusted]]-B1143)/B1143</f>
        <v>-8.1899328241465813E-3</v>
      </c>
      <c r="D1144" s="35">
        <f>((1+Table2634[[#This Row],[Weekly change]])^52)-1</f>
        <v>-0.34794739487904258</v>
      </c>
      <c r="E1144" s="25">
        <f t="shared" si="17"/>
        <v>1086.1500000000001</v>
      </c>
      <c r="F1144" s="33">
        <f>(Table2634[[#This Row],[4 weeks average]]-B1092)/B1092</f>
        <v>-4.3208245243128919E-2</v>
      </c>
    </row>
    <row r="1145" spans="1:6" x14ac:dyDescent="0.2">
      <c r="A1145" s="23">
        <v>35373</v>
      </c>
      <c r="B1145" s="25">
        <f>VLOOKUP(Table2634[[#This Row],[Date]],'DB Money Supply'!$A:$D,4)</f>
        <v>1081.2</v>
      </c>
      <c r="C1145" s="31">
        <f>(Table2634[[#This Row],[M1 Money Stock, Billions of Dollars, Weekly, Seasonally Adjusted]]-B1144)/B1144</f>
        <v>3.154574132492198E-3</v>
      </c>
      <c r="D1145" s="35">
        <f>((1+Table2634[[#This Row],[Weekly change]])^52)-1</f>
        <v>0.17795473942509532</v>
      </c>
      <c r="E1145" s="25">
        <f t="shared" si="17"/>
        <v>1084.325</v>
      </c>
      <c r="F1145" s="33">
        <f>(Table2634[[#This Row],[4 weeks average]]-B1093)/B1093</f>
        <v>-4.7082344670006188E-2</v>
      </c>
    </row>
    <row r="1146" spans="1:6" x14ac:dyDescent="0.2">
      <c r="A1146" s="23">
        <v>35380</v>
      </c>
      <c r="B1146" s="25">
        <f>VLOOKUP(Table2634[[#This Row],[Date]],'DB Money Supply'!$A:$D,4)</f>
        <v>1088.0999999999999</v>
      </c>
      <c r="C1146" s="31">
        <f>(Table2634[[#This Row],[M1 Money Stock, Billions of Dollars, Weekly, Seasonally Adjusted]]-B1145)/B1145</f>
        <v>6.3817980022196292E-3</v>
      </c>
      <c r="D1146" s="35">
        <f>((1+Table2634[[#This Row],[Weekly change]])^52)-1</f>
        <v>0.3920800519494303</v>
      </c>
      <c r="E1146" s="25">
        <f t="shared" si="17"/>
        <v>1083.4499999999998</v>
      </c>
      <c r="F1146" s="33">
        <f>(Table2634[[#This Row],[4 weeks average]]-B1094)/B1094</f>
        <v>-4.4829410208939553E-2</v>
      </c>
    </row>
    <row r="1147" spans="1:6" x14ac:dyDescent="0.2">
      <c r="A1147" s="23">
        <v>35387</v>
      </c>
      <c r="B1147" s="25">
        <f>VLOOKUP(Table2634[[#This Row],[Date]],'DB Money Supply'!$A:$D,4)</f>
        <v>1087.7</v>
      </c>
      <c r="C1147" s="31">
        <f>(Table2634[[#This Row],[M1 Money Stock, Billions of Dollars, Weekly, Seasonally Adjusted]]-B1146)/B1146</f>
        <v>-3.6761327083895194E-4</v>
      </c>
      <c r="D1147" s="35">
        <f>((1+Table2634[[#This Row],[Weekly change]])^52)-1</f>
        <v>-1.8937788065117589E-2</v>
      </c>
      <c r="E1147" s="25">
        <f t="shared" si="17"/>
        <v>1083.7</v>
      </c>
      <c r="F1147" s="33">
        <f>(Table2634[[#This Row],[4 weeks average]]-B1095)/B1095</f>
        <v>-4.4861625242376052E-2</v>
      </c>
    </row>
    <row r="1148" spans="1:6" x14ac:dyDescent="0.2">
      <c r="A1148" s="23">
        <v>35394</v>
      </c>
      <c r="B1148" s="25">
        <f>VLOOKUP(Table2634[[#This Row],[Date]],'DB Money Supply'!$A:$D,4)</f>
        <v>1078.0999999999999</v>
      </c>
      <c r="C1148" s="31">
        <f>(Table2634[[#This Row],[M1 Money Stock, Billions of Dollars, Weekly, Seasonally Adjusted]]-B1147)/B1147</f>
        <v>-8.8259630412798901E-3</v>
      </c>
      <c r="D1148" s="35">
        <f>((1+Table2634[[#This Row],[Weekly change]])^52)-1</f>
        <v>-0.36933938442967307</v>
      </c>
      <c r="E1148" s="25">
        <f t="shared" si="17"/>
        <v>1083.7750000000001</v>
      </c>
      <c r="F1148" s="33">
        <f>(Table2634[[#This Row],[4 weeks average]]-B1096)/B1096</f>
        <v>-4.4121538190156878E-2</v>
      </c>
    </row>
    <row r="1149" spans="1:6" x14ac:dyDescent="0.2">
      <c r="A1149" s="23">
        <v>35401</v>
      </c>
      <c r="B1149" s="25">
        <f>VLOOKUP(Table2634[[#This Row],[Date]],'DB Money Supply'!$A:$D,4)</f>
        <v>1081</v>
      </c>
      <c r="C1149" s="31">
        <f>(Table2634[[#This Row],[M1 Money Stock, Billions of Dollars, Weekly, Seasonally Adjusted]]-B1148)/B1148</f>
        <v>2.6899174473611828E-3</v>
      </c>
      <c r="D1149" s="35">
        <f>((1+Table2634[[#This Row],[Weekly change]])^52)-1</f>
        <v>0.14991487384869528</v>
      </c>
      <c r="E1149" s="25">
        <f t="shared" si="17"/>
        <v>1083.7249999999999</v>
      </c>
      <c r="F1149" s="33">
        <f>(Table2634[[#This Row],[4 weeks average]]-B1097)/B1097</f>
        <v>-3.711683696135059E-2</v>
      </c>
    </row>
    <row r="1150" spans="1:6" x14ac:dyDescent="0.2">
      <c r="A1150" s="23">
        <v>35408</v>
      </c>
      <c r="B1150" s="25">
        <f>VLOOKUP(Table2634[[#This Row],[Date]],'DB Money Supply'!$A:$D,4)</f>
        <v>1091.0999999999999</v>
      </c>
      <c r="C1150" s="31">
        <f>(Table2634[[#This Row],[M1 Money Stock, Billions of Dollars, Weekly, Seasonally Adjusted]]-B1149)/B1149</f>
        <v>9.3432007400554209E-3</v>
      </c>
      <c r="D1150" s="35">
        <f>((1+Table2634[[#This Row],[Weekly change]])^52)-1</f>
        <v>0.62188782869890424</v>
      </c>
      <c r="E1150" s="25">
        <f t="shared" si="17"/>
        <v>1084.4749999999999</v>
      </c>
      <c r="F1150" s="33">
        <f>(Table2634[[#This Row],[4 weeks average]]-B1098)/B1098</f>
        <v>-4.1136162687886904E-2</v>
      </c>
    </row>
    <row r="1151" spans="1:6" x14ac:dyDescent="0.2">
      <c r="A1151" s="23">
        <v>35415</v>
      </c>
      <c r="B1151" s="25">
        <f>VLOOKUP(Table2634[[#This Row],[Date]],'DB Money Supply'!$A:$D,4)</f>
        <v>1083.9000000000001</v>
      </c>
      <c r="C1151" s="31">
        <f>(Table2634[[#This Row],[M1 Money Stock, Billions of Dollars, Weekly, Seasonally Adjusted]]-B1150)/B1150</f>
        <v>-6.5988452020894683E-3</v>
      </c>
      <c r="D1151" s="35">
        <f>((1+Table2634[[#This Row],[Weekly change]])^52)-1</f>
        <v>-0.29126750286546876</v>
      </c>
      <c r="E1151" s="25">
        <f t="shared" si="17"/>
        <v>1083.5250000000001</v>
      </c>
      <c r="F1151" s="33">
        <f>(Table2634[[#This Row],[4 weeks average]]-B1099)/B1099</f>
        <v>-3.4893560167453416E-2</v>
      </c>
    </row>
    <row r="1152" spans="1:6" x14ac:dyDescent="0.2">
      <c r="A1152" s="23">
        <v>35422</v>
      </c>
      <c r="B1152" s="25">
        <f>VLOOKUP(Table2634[[#This Row],[Date]],'DB Money Supply'!$A:$D,4)</f>
        <v>1080.2</v>
      </c>
      <c r="C1152" s="31">
        <f>(Table2634[[#This Row],[M1 Money Stock, Billions of Dollars, Weekly, Seasonally Adjusted]]-B1151)/B1151</f>
        <v>-3.4135990405019328E-3</v>
      </c>
      <c r="D1152" s="35">
        <f>((1+Table2634[[#This Row],[Weekly change]])^52)-1</f>
        <v>-0.16289922078960606</v>
      </c>
      <c r="E1152" s="25">
        <f t="shared" si="17"/>
        <v>1084.05</v>
      </c>
      <c r="F1152" s="33">
        <f>(Table2634[[#This Row],[4 weeks average]]-B1100)/B1100</f>
        <v>-3.8110026619343429E-2</v>
      </c>
    </row>
    <row r="1153" spans="1:6" x14ac:dyDescent="0.2">
      <c r="A1153" s="23">
        <v>35429</v>
      </c>
      <c r="B1153" s="25">
        <f>VLOOKUP(Table2634[[#This Row],[Date]],'DB Money Supply'!$A:$D,4)</f>
        <v>1070.7</v>
      </c>
      <c r="C1153" s="31">
        <f>(Table2634[[#This Row],[M1 Money Stock, Billions of Dollars, Weekly, Seasonally Adjusted]]-B1152)/B1152</f>
        <v>-8.7946676541381229E-3</v>
      </c>
      <c r="D1153" s="35">
        <f>((1+Table2634[[#This Row],[Weekly change]])^52)-1</f>
        <v>-0.36830309951686535</v>
      </c>
      <c r="E1153" s="25">
        <f t="shared" si="17"/>
        <v>1081.4749999999999</v>
      </c>
      <c r="F1153" s="33">
        <f>(Table2634[[#This Row],[4 weeks average]]-B1101)/B1101</f>
        <v>-4.3365767359575487E-2</v>
      </c>
    </row>
    <row r="1154" spans="1:6" x14ac:dyDescent="0.2">
      <c r="A1154" s="23">
        <v>35436</v>
      </c>
      <c r="B1154" s="25">
        <f>VLOOKUP(Table2634[[#This Row],[Date]],'DB Money Supply'!$A:$D,4)</f>
        <v>1079.5999999999999</v>
      </c>
      <c r="C1154" s="31">
        <f>(Table2634[[#This Row],[M1 Money Stock, Billions of Dollars, Weekly, Seasonally Adjusted]]-B1153)/B1153</f>
        <v>8.3123190436161978E-3</v>
      </c>
      <c r="D1154" s="35">
        <f>((1+Table2634[[#This Row],[Weekly change]])^52)-1</f>
        <v>0.53795563219612363</v>
      </c>
      <c r="E1154" s="25">
        <f t="shared" si="17"/>
        <v>1078.5999999999999</v>
      </c>
      <c r="F1154" s="33">
        <f>(Table2634[[#This Row],[4 weeks average]]-B1102)/B1102</f>
        <v>-4.1159214152369256E-2</v>
      </c>
    </row>
    <row r="1155" spans="1:6" x14ac:dyDescent="0.2">
      <c r="A1155" s="23">
        <v>35443</v>
      </c>
      <c r="B1155" s="25">
        <f>VLOOKUP(Table2634[[#This Row],[Date]],'DB Money Supply'!$A:$D,4)</f>
        <v>1089.9000000000001</v>
      </c>
      <c r="C1155" s="31">
        <f>(Table2634[[#This Row],[M1 Money Stock, Billions of Dollars, Weekly, Seasonally Adjusted]]-B1154)/B1154</f>
        <v>9.5405705816970932E-3</v>
      </c>
      <c r="D1155" s="35">
        <f>((1+Table2634[[#This Row],[Weekly change]])^52)-1</f>
        <v>0.63846205592024163</v>
      </c>
      <c r="E1155" s="25">
        <f t="shared" si="17"/>
        <v>1080.0999999999999</v>
      </c>
      <c r="F1155" s="33">
        <f>(Table2634[[#This Row],[4 weeks average]]-B1103)/B1103</f>
        <v>-4.365149636975401E-2</v>
      </c>
    </row>
    <row r="1156" spans="1:6" x14ac:dyDescent="0.2">
      <c r="A1156" s="23">
        <v>35450</v>
      </c>
      <c r="B1156" s="25">
        <f>VLOOKUP(Table2634[[#This Row],[Date]],'DB Money Supply'!$A:$D,4)</f>
        <v>1081.7</v>
      </c>
      <c r="C1156" s="31">
        <f>(Table2634[[#This Row],[M1 Money Stock, Billions of Dollars, Weekly, Seasonally Adjusted]]-B1155)/B1155</f>
        <v>-7.5236260207358881E-3</v>
      </c>
      <c r="D1156" s="35">
        <f>((1+Table2634[[#This Row],[Weekly change]])^52)-1</f>
        <v>-0.32477391636406028</v>
      </c>
      <c r="E1156" s="25">
        <f t="shared" si="17"/>
        <v>1080.4750000000001</v>
      </c>
      <c r="F1156" s="33">
        <f>(Table2634[[#This Row],[4 weeks average]]-B1104)/B1104</f>
        <v>-3.5978765167737167E-2</v>
      </c>
    </row>
    <row r="1157" spans="1:6" x14ac:dyDescent="0.2">
      <c r="A1157" s="23">
        <v>35457</v>
      </c>
      <c r="B1157" s="25">
        <f>VLOOKUP(Table2634[[#This Row],[Date]],'DB Money Supply'!$A:$D,4)</f>
        <v>1075.8</v>
      </c>
      <c r="C1157" s="31">
        <f>(Table2634[[#This Row],[M1 Money Stock, Billions of Dollars, Weekly, Seasonally Adjusted]]-B1156)/B1156</f>
        <v>-5.4543773689563566E-3</v>
      </c>
      <c r="D1157" s="35">
        <f>((1+Table2634[[#This Row],[Weekly change]])^52)-1</f>
        <v>-0.24753737656709096</v>
      </c>
      <c r="E1157" s="25">
        <f t="shared" si="17"/>
        <v>1081.75</v>
      </c>
      <c r="F1157" s="33">
        <f>(Table2634[[#This Row],[4 weeks average]]-B1105)/B1105</f>
        <v>-3.2337418373736548E-2</v>
      </c>
    </row>
    <row r="1158" spans="1:6" x14ac:dyDescent="0.2">
      <c r="A1158" s="23">
        <v>35464</v>
      </c>
      <c r="B1158" s="25">
        <f>VLOOKUP(Table2634[[#This Row],[Date]],'DB Money Supply'!$A:$D,4)</f>
        <v>1077.2</v>
      </c>
      <c r="C1158" s="31">
        <f>(Table2634[[#This Row],[M1 Money Stock, Billions of Dollars, Weekly, Seasonally Adjusted]]-B1157)/B1157</f>
        <v>1.301357129578073E-3</v>
      </c>
      <c r="D1158" s="35">
        <f>((1+Table2634[[#This Row],[Weekly change]])^52)-1</f>
        <v>6.9965684192806243E-2</v>
      </c>
      <c r="E1158" s="25">
        <f t="shared" si="17"/>
        <v>1081.1500000000001</v>
      </c>
      <c r="F1158" s="33">
        <f>(Table2634[[#This Row],[4 weeks average]]-B1106)/B1106</f>
        <v>-3.5978600089166216E-2</v>
      </c>
    </row>
    <row r="1159" spans="1:6" x14ac:dyDescent="0.2">
      <c r="A1159" s="23">
        <v>35471</v>
      </c>
      <c r="B1159" s="25">
        <f>VLOOKUP(Table2634[[#This Row],[Date]],'DB Money Supply'!$A:$D,4)</f>
        <v>1086.5</v>
      </c>
      <c r="C1159" s="31">
        <f>(Table2634[[#This Row],[M1 Money Stock, Billions of Dollars, Weekly, Seasonally Adjusted]]-B1158)/B1158</f>
        <v>8.6334942443371272E-3</v>
      </c>
      <c r="D1159" s="35">
        <f>((1+Table2634[[#This Row],[Weekly change]])^52)-1</f>
        <v>0.56363746513892554</v>
      </c>
      <c r="E1159" s="25">
        <f t="shared" si="17"/>
        <v>1080.3</v>
      </c>
      <c r="F1159" s="33">
        <f>(Table2634[[#This Row],[4 weeks average]]-B1107)/B1107</f>
        <v>-3.4239227605935951E-2</v>
      </c>
    </row>
    <row r="1160" spans="1:6" x14ac:dyDescent="0.2">
      <c r="A1160" s="23">
        <v>35478</v>
      </c>
      <c r="B1160" s="25">
        <f>VLOOKUP(Table2634[[#This Row],[Date]],'DB Money Supply'!$A:$D,4)</f>
        <v>1078.2</v>
      </c>
      <c r="C1160" s="31">
        <f>(Table2634[[#This Row],[M1 Money Stock, Billions of Dollars, Weekly, Seasonally Adjusted]]-B1159)/B1159</f>
        <v>-7.639208467556332E-3</v>
      </c>
      <c r="D1160" s="35">
        <f>((1+Table2634[[#This Row],[Weekly change]])^52)-1</f>
        <v>-0.3288508639407266</v>
      </c>
      <c r="E1160" s="25">
        <f t="shared" si="17"/>
        <v>1079.425</v>
      </c>
      <c r="F1160" s="33">
        <f>(Table2634[[#This Row],[4 weeks average]]-B1108)/B1108</f>
        <v>-3.2513220399749118E-2</v>
      </c>
    </row>
    <row r="1161" spans="1:6" x14ac:dyDescent="0.2">
      <c r="A1161" s="23">
        <v>35485</v>
      </c>
      <c r="B1161" s="25">
        <f>VLOOKUP(Table2634[[#This Row],[Date]],'DB Money Supply'!$A:$D,4)</f>
        <v>1075.3</v>
      </c>
      <c r="C1161" s="31">
        <f>(Table2634[[#This Row],[M1 Money Stock, Billions of Dollars, Weekly, Seasonally Adjusted]]-B1160)/B1160</f>
        <v>-2.6896679651271477E-3</v>
      </c>
      <c r="D1161" s="35">
        <f>((1+Table2634[[#This Row],[Weekly change]])^52)-1</f>
        <v>-0.13068624356589742</v>
      </c>
      <c r="E1161" s="25">
        <f t="shared" ref="E1161:E1224" si="18">AVERAGE(B1158:B1161)</f>
        <v>1079.3</v>
      </c>
      <c r="F1161" s="33">
        <f>(Table2634[[#This Row],[4 weeks average]]-B1109)/B1109</f>
        <v>-3.3664607395469726E-2</v>
      </c>
    </row>
    <row r="1162" spans="1:6" x14ac:dyDescent="0.2">
      <c r="A1162" s="23">
        <v>35492</v>
      </c>
      <c r="B1162" s="25">
        <f>VLOOKUP(Table2634[[#This Row],[Date]],'DB Money Supply'!$A:$D,4)</f>
        <v>1073.5999999999999</v>
      </c>
      <c r="C1162" s="31">
        <f>(Table2634[[#This Row],[M1 Money Stock, Billions of Dollars, Weekly, Seasonally Adjusted]]-B1161)/B1161</f>
        <v>-1.5809541523296247E-3</v>
      </c>
      <c r="D1162" s="35">
        <f>((1+Table2634[[#This Row],[Weekly change]])^52)-1</f>
        <v>-7.8981051689373527E-2</v>
      </c>
      <c r="E1162" s="25">
        <f t="shared" si="18"/>
        <v>1078.4000000000001</v>
      </c>
      <c r="F1162" s="33">
        <f>(Table2634[[#This Row],[4 weeks average]]-B1110)/B1110</f>
        <v>-3.9715048975957179E-2</v>
      </c>
    </row>
    <row r="1163" spans="1:6" x14ac:dyDescent="0.2">
      <c r="A1163" s="23">
        <v>35499</v>
      </c>
      <c r="B1163" s="25">
        <f>VLOOKUP(Table2634[[#This Row],[Date]],'DB Money Supply'!$A:$D,4)</f>
        <v>1081.3</v>
      </c>
      <c r="C1163" s="31">
        <f>(Table2634[[#This Row],[M1 Money Stock, Billions of Dollars, Weekly, Seasonally Adjusted]]-B1162)/B1162</f>
        <v>7.1721311475410263E-3</v>
      </c>
      <c r="D1163" s="35">
        <f>((1+Table2634[[#This Row],[Weekly change]])^52)-1</f>
        <v>0.4500814890118161</v>
      </c>
      <c r="E1163" s="25">
        <f t="shared" si="18"/>
        <v>1077.0999999999999</v>
      </c>
      <c r="F1163" s="33">
        <f>(Table2634[[#This Row],[4 weeks average]]-B1111)/B1111</f>
        <v>-3.7186019486904566E-2</v>
      </c>
    </row>
    <row r="1164" spans="1:6" x14ac:dyDescent="0.2">
      <c r="A1164" s="23">
        <v>35506</v>
      </c>
      <c r="B1164" s="25">
        <f>VLOOKUP(Table2634[[#This Row],[Date]],'DB Money Supply'!$A:$D,4)</f>
        <v>1075.2</v>
      </c>
      <c r="C1164" s="31">
        <f>(Table2634[[#This Row],[M1 Money Stock, Billions of Dollars, Weekly, Seasonally Adjusted]]-B1163)/B1163</f>
        <v>-5.6413576250808374E-3</v>
      </c>
      <c r="D1164" s="35">
        <f>((1+Table2634[[#This Row],[Weekly change]])^52)-1</f>
        <v>-0.2548585176925553</v>
      </c>
      <c r="E1164" s="25">
        <f t="shared" si="18"/>
        <v>1076.3499999999999</v>
      </c>
      <c r="F1164" s="33">
        <f>(Table2634[[#This Row],[4 weeks average]]-B1112)/B1112</f>
        <v>-3.9659172019985769E-2</v>
      </c>
    </row>
    <row r="1165" spans="1:6" x14ac:dyDescent="0.2">
      <c r="A1165" s="23">
        <v>35513</v>
      </c>
      <c r="B1165" s="25">
        <f>VLOOKUP(Table2634[[#This Row],[Date]],'DB Money Supply'!$A:$D,4)</f>
        <v>1069.4000000000001</v>
      </c>
      <c r="C1165" s="31">
        <f>(Table2634[[#This Row],[M1 Money Stock, Billions of Dollars, Weekly, Seasonally Adjusted]]-B1164)/B1164</f>
        <v>-5.3943452380951955E-3</v>
      </c>
      <c r="D1165" s="35">
        <f>((1+Table2634[[#This Row],[Weekly change]])^52)-1</f>
        <v>-0.24517191467791544</v>
      </c>
      <c r="E1165" s="25">
        <f t="shared" si="18"/>
        <v>1074.875</v>
      </c>
      <c r="F1165" s="33">
        <f>(Table2634[[#This Row],[4 weeks average]]-B1113)/B1113</f>
        <v>-4.3024394586894624E-2</v>
      </c>
    </row>
    <row r="1166" spans="1:6" x14ac:dyDescent="0.2">
      <c r="A1166" s="23">
        <v>35520</v>
      </c>
      <c r="B1166" s="25">
        <f>VLOOKUP(Table2634[[#This Row],[Date]],'DB Money Supply'!$A:$D,4)</f>
        <v>1063.5999999999999</v>
      </c>
      <c r="C1166" s="31">
        <f>(Table2634[[#This Row],[M1 Money Stock, Billions of Dollars, Weekly, Seasonally Adjusted]]-B1165)/B1165</f>
        <v>-5.42360201982437E-3</v>
      </c>
      <c r="D1166" s="35">
        <f>((1+Table2634[[#This Row],[Weekly change]])^52)-1</f>
        <v>-0.24632563700648791</v>
      </c>
      <c r="E1166" s="25">
        <f t="shared" si="18"/>
        <v>1072.375</v>
      </c>
      <c r="F1166" s="33">
        <f>(Table2634[[#This Row],[4 weeks average]]-B1114)/B1114</f>
        <v>-4.9986711552090675E-2</v>
      </c>
    </row>
    <row r="1167" spans="1:6" x14ac:dyDescent="0.2">
      <c r="A1167" s="23">
        <v>35527</v>
      </c>
      <c r="B1167" s="25">
        <f>VLOOKUP(Table2634[[#This Row],[Date]],'DB Money Supply'!$A:$D,4)</f>
        <v>1069.7</v>
      </c>
      <c r="C1167" s="31">
        <f>(Table2634[[#This Row],[M1 Money Stock, Billions of Dollars, Weekly, Seasonally Adjusted]]-B1166)/B1166</f>
        <v>5.7352388115834308E-3</v>
      </c>
      <c r="D1167" s="35">
        <f>((1+Table2634[[#This Row],[Weekly change]])^52)-1</f>
        <v>0.34632742177746101</v>
      </c>
      <c r="E1167" s="25">
        <f t="shared" si="18"/>
        <v>1069.4750000000001</v>
      </c>
      <c r="F1167" s="33">
        <f>(Table2634[[#This Row],[4 weeks average]]-B1115)/B1115</f>
        <v>-4.8594431100435709E-2</v>
      </c>
    </row>
    <row r="1168" spans="1:6" x14ac:dyDescent="0.2">
      <c r="A1168" s="23">
        <v>35534</v>
      </c>
      <c r="B1168" s="25">
        <f>VLOOKUP(Table2634[[#This Row],[Date]],'DB Money Supply'!$A:$D,4)</f>
        <v>1066.5999999999999</v>
      </c>
      <c r="C1168" s="31">
        <f>(Table2634[[#This Row],[M1 Money Stock, Billions of Dollars, Weekly, Seasonally Adjusted]]-B1167)/B1167</f>
        <v>-2.8980087875106445E-3</v>
      </c>
      <c r="D1168" s="35">
        <f>((1+Table2634[[#This Row],[Weekly change]])^52)-1</f>
        <v>-0.14007941719161221</v>
      </c>
      <c r="E1168" s="25">
        <f t="shared" si="18"/>
        <v>1067.3249999999998</v>
      </c>
      <c r="F1168" s="33">
        <f>(Table2634[[#This Row],[4 weeks average]]-B1116)/B1116</f>
        <v>-5.5798832271762445E-2</v>
      </c>
    </row>
    <row r="1169" spans="1:6" x14ac:dyDescent="0.2">
      <c r="A1169" s="23">
        <v>35541</v>
      </c>
      <c r="B1169" s="25">
        <f>VLOOKUP(Table2634[[#This Row],[Date]],'DB Money Supply'!$A:$D,4)</f>
        <v>1064.0999999999999</v>
      </c>
      <c r="C1169" s="31">
        <f>(Table2634[[#This Row],[M1 Money Stock, Billions of Dollars, Weekly, Seasonally Adjusted]]-B1168)/B1168</f>
        <v>-2.3438964935308458E-3</v>
      </c>
      <c r="D1169" s="35">
        <f>((1+Table2634[[#This Row],[Weekly change]])^52)-1</f>
        <v>-0.11487436303570187</v>
      </c>
      <c r="E1169" s="25">
        <f t="shared" si="18"/>
        <v>1066</v>
      </c>
      <c r="F1169" s="33">
        <f>(Table2634[[#This Row],[4 weeks average]]-B1117)/B1117</f>
        <v>-5.2444444444444446E-2</v>
      </c>
    </row>
    <row r="1170" spans="1:6" x14ac:dyDescent="0.2">
      <c r="A1170" s="23">
        <v>35548</v>
      </c>
      <c r="B1170" s="25">
        <f>VLOOKUP(Table2634[[#This Row],[Date]],'DB Money Supply'!$A:$D,4)</f>
        <v>1055.5</v>
      </c>
      <c r="C1170" s="31">
        <f>(Table2634[[#This Row],[M1 Money Stock, Billions of Dollars, Weekly, Seasonally Adjusted]]-B1169)/B1169</f>
        <v>-8.0819471854148197E-3</v>
      </c>
      <c r="D1170" s="35">
        <f>((1+Table2634[[#This Row],[Weekly change]])^52)-1</f>
        <v>-0.34424545173435039</v>
      </c>
      <c r="E1170" s="25">
        <f t="shared" si="18"/>
        <v>1063.9749999999999</v>
      </c>
      <c r="F1170" s="33">
        <f>(Table2634[[#This Row],[4 weeks average]]-B1118)/B1118</f>
        <v>-4.883336313248704E-2</v>
      </c>
    </row>
    <row r="1171" spans="1:6" x14ac:dyDescent="0.2">
      <c r="A1171" s="23">
        <v>35555</v>
      </c>
      <c r="B1171" s="25">
        <f>VLOOKUP(Table2634[[#This Row],[Date]],'DB Money Supply'!$A:$D,4)</f>
        <v>1062.7</v>
      </c>
      <c r="C1171" s="31">
        <f>(Table2634[[#This Row],[M1 Money Stock, Billions of Dollars, Weekly, Seasonally Adjusted]]-B1170)/B1170</f>
        <v>6.8214116532449506E-3</v>
      </c>
      <c r="D1171" s="35">
        <f>((1+Table2634[[#This Row],[Weekly change]])^52)-1</f>
        <v>0.42405588413172191</v>
      </c>
      <c r="E1171" s="25">
        <f t="shared" si="18"/>
        <v>1062.2249999999999</v>
      </c>
      <c r="F1171" s="33">
        <f>(Table2634[[#This Row],[4 weeks average]]-B1119)/B1119</f>
        <v>-5.4118432769367848E-2</v>
      </c>
    </row>
    <row r="1172" spans="1:6" x14ac:dyDescent="0.2">
      <c r="A1172" s="23">
        <v>35562</v>
      </c>
      <c r="B1172" s="25">
        <f>VLOOKUP(Table2634[[#This Row],[Date]],'DB Money Supply'!$A:$D,4)</f>
        <v>1067.3</v>
      </c>
      <c r="C1172" s="31">
        <f>(Table2634[[#This Row],[M1 Money Stock, Billions of Dollars, Weekly, Seasonally Adjusted]]-B1171)/B1171</f>
        <v>4.3285969699820353E-3</v>
      </c>
      <c r="D1172" s="35">
        <f>((1+Table2634[[#This Row],[Weekly change]])^52)-1</f>
        <v>0.25182349980827334</v>
      </c>
      <c r="E1172" s="25">
        <f t="shared" si="18"/>
        <v>1062.4000000000001</v>
      </c>
      <c r="F1172" s="33">
        <f>(Table2634[[#This Row],[4 weeks average]]-B1120)/B1120</f>
        <v>-4.9391553328561044E-2</v>
      </c>
    </row>
    <row r="1173" spans="1:6" x14ac:dyDescent="0.2">
      <c r="A1173" s="23">
        <v>35569</v>
      </c>
      <c r="B1173" s="25">
        <f>VLOOKUP(Table2634[[#This Row],[Date]],'DB Money Supply'!$A:$D,4)</f>
        <v>1063.3</v>
      </c>
      <c r="C1173" s="31">
        <f>(Table2634[[#This Row],[M1 Money Stock, Billions of Dollars, Weekly, Seasonally Adjusted]]-B1172)/B1172</f>
        <v>-3.747774758737E-3</v>
      </c>
      <c r="D1173" s="35">
        <f>((1+Table2634[[#This Row],[Weekly change]])^52)-1</f>
        <v>-0.17737134874109106</v>
      </c>
      <c r="E1173" s="25">
        <f t="shared" si="18"/>
        <v>1062.2</v>
      </c>
      <c r="F1173" s="33">
        <f>(Table2634[[#This Row],[4 weeks average]]-B1121)/B1121</f>
        <v>-4.9315313702676014E-2</v>
      </c>
    </row>
    <row r="1174" spans="1:6" x14ac:dyDescent="0.2">
      <c r="A1174" s="23">
        <v>35576</v>
      </c>
      <c r="B1174" s="25">
        <f>VLOOKUP(Table2634[[#This Row],[Date]],'DB Money Supply'!$A:$D,4)</f>
        <v>1060.5999999999999</v>
      </c>
      <c r="C1174" s="31">
        <f>(Table2634[[#This Row],[M1 Money Stock, Billions of Dollars, Weekly, Seasonally Adjusted]]-B1173)/B1173</f>
        <v>-2.5392645537478092E-3</v>
      </c>
      <c r="D1174" s="35">
        <f>((1+Table2634[[#This Row],[Weekly change]])^52)-1</f>
        <v>-0.1238427417513327</v>
      </c>
      <c r="E1174" s="25">
        <f t="shared" si="18"/>
        <v>1063.4749999999999</v>
      </c>
      <c r="F1174" s="33">
        <f>(Table2634[[#This Row],[4 weeks average]]-B1122)/B1122</f>
        <v>-4.2604429240187293E-2</v>
      </c>
    </row>
    <row r="1175" spans="1:6" x14ac:dyDescent="0.2">
      <c r="A1175" s="23">
        <v>35583</v>
      </c>
      <c r="B1175" s="25">
        <f>VLOOKUP(Table2634[[#This Row],[Date]],'DB Money Supply'!$A:$D,4)</f>
        <v>1065.0999999999999</v>
      </c>
      <c r="C1175" s="31">
        <f>(Table2634[[#This Row],[M1 Money Stock, Billions of Dollars, Weekly, Seasonally Adjusted]]-B1174)/B1174</f>
        <v>4.2428813878936456E-3</v>
      </c>
      <c r="D1175" s="35">
        <f>((1+Table2634[[#This Row],[Weekly change]])^52)-1</f>
        <v>0.24627998077722024</v>
      </c>
      <c r="E1175" s="25">
        <f t="shared" si="18"/>
        <v>1064.0749999999998</v>
      </c>
      <c r="F1175" s="33">
        <f>(Table2634[[#This Row],[4 weeks average]]-B1123)/B1123</f>
        <v>-4.4987434930892321E-2</v>
      </c>
    </row>
    <row r="1176" spans="1:6" x14ac:dyDescent="0.2">
      <c r="A1176" s="23">
        <v>35590</v>
      </c>
      <c r="B1176" s="25">
        <f>VLOOKUP(Table2634[[#This Row],[Date]],'DB Money Supply'!$A:$D,4)</f>
        <v>1072.3</v>
      </c>
      <c r="C1176" s="31">
        <f>(Table2634[[#This Row],[M1 Money Stock, Billions of Dollars, Weekly, Seasonally Adjusted]]-B1175)/B1175</f>
        <v>6.7599286451976775E-3</v>
      </c>
      <c r="D1176" s="35">
        <f>((1+Table2634[[#This Row],[Weekly change]])^52)-1</f>
        <v>0.41954089279560569</v>
      </c>
      <c r="E1176" s="25">
        <f t="shared" si="18"/>
        <v>1065.3249999999998</v>
      </c>
      <c r="F1176" s="33">
        <f>(Table2634[[#This Row],[4 weeks average]]-B1124)/B1124</f>
        <v>-4.4465871378599219E-2</v>
      </c>
    </row>
    <row r="1177" spans="1:6" x14ac:dyDescent="0.2">
      <c r="A1177" s="23">
        <v>35597</v>
      </c>
      <c r="B1177" s="25">
        <f>VLOOKUP(Table2634[[#This Row],[Date]],'DB Money Supply'!$A:$D,4)</f>
        <v>1068.5999999999999</v>
      </c>
      <c r="C1177" s="31">
        <f>(Table2634[[#This Row],[M1 Money Stock, Billions of Dollars, Weekly, Seasonally Adjusted]]-B1176)/B1176</f>
        <v>-3.4505269047841514E-3</v>
      </c>
      <c r="D1177" s="35">
        <f>((1+Table2634[[#This Row],[Weekly change]])^52)-1</f>
        <v>-0.16451064552195538</v>
      </c>
      <c r="E1177" s="25">
        <f t="shared" si="18"/>
        <v>1066.6500000000001</v>
      </c>
      <c r="F1177" s="33">
        <f>(Table2634[[#This Row],[4 weeks average]]-B1125)/B1125</f>
        <v>-4.2934051144010686E-2</v>
      </c>
    </row>
    <row r="1178" spans="1:6" x14ac:dyDescent="0.2">
      <c r="A1178" s="23">
        <v>35604</v>
      </c>
      <c r="B1178" s="25">
        <f>VLOOKUP(Table2634[[#This Row],[Date]],'DB Money Supply'!$A:$D,4)</f>
        <v>1061.7</v>
      </c>
      <c r="C1178" s="31">
        <f>(Table2634[[#This Row],[M1 Money Stock, Billions of Dollars, Weekly, Seasonally Adjusted]]-B1177)/B1177</f>
        <v>-6.4570466030318772E-3</v>
      </c>
      <c r="D1178" s="35">
        <f>((1+Table2634[[#This Row],[Weekly change]])^52)-1</f>
        <v>-0.28598773735375604</v>
      </c>
      <c r="E1178" s="25">
        <f t="shared" si="18"/>
        <v>1066.925</v>
      </c>
      <c r="F1178" s="33">
        <f>(Table2634[[#This Row],[4 weeks average]]-B1126)/B1126</f>
        <v>-4.1397124887690963E-2</v>
      </c>
    </row>
    <row r="1179" spans="1:6" x14ac:dyDescent="0.2">
      <c r="A1179" s="23">
        <v>35611</v>
      </c>
      <c r="B1179" s="25">
        <f>VLOOKUP(Table2634[[#This Row],[Date]],'DB Money Supply'!$A:$D,4)</f>
        <v>1062.0999999999999</v>
      </c>
      <c r="C1179" s="31">
        <f>(Table2634[[#This Row],[M1 Money Stock, Billions of Dollars, Weekly, Seasonally Adjusted]]-B1178)/B1178</f>
        <v>3.7675426203246076E-4</v>
      </c>
      <c r="D1179" s="35">
        <f>((1+Table2634[[#This Row],[Weekly change]])^52)-1</f>
        <v>1.9780626406399104E-2</v>
      </c>
      <c r="E1179" s="25">
        <f t="shared" si="18"/>
        <v>1066.1749999999997</v>
      </c>
      <c r="F1179" s="33">
        <f>(Table2634[[#This Row],[4 weeks average]]-B1127)/B1127</f>
        <v>-4.737759113652637E-2</v>
      </c>
    </row>
    <row r="1180" spans="1:6" x14ac:dyDescent="0.2">
      <c r="A1180" s="23">
        <v>35618</v>
      </c>
      <c r="B1180" s="25">
        <f>VLOOKUP(Table2634[[#This Row],[Date]],'DB Money Supply'!$A:$D,4)</f>
        <v>1065.5999999999999</v>
      </c>
      <c r="C1180" s="31">
        <f>(Table2634[[#This Row],[M1 Money Stock, Billions of Dollars, Weekly, Seasonally Adjusted]]-B1179)/B1179</f>
        <v>3.2953582525185954E-3</v>
      </c>
      <c r="D1180" s="35">
        <f>((1+Table2634[[#This Row],[Weekly change]])^52)-1</f>
        <v>0.18658199823553878</v>
      </c>
      <c r="E1180" s="25">
        <f t="shared" si="18"/>
        <v>1064.5</v>
      </c>
      <c r="F1180" s="33">
        <f>(Table2634[[#This Row],[4 weeks average]]-B1128)/B1128</f>
        <v>-4.012623985572588E-2</v>
      </c>
    </row>
    <row r="1181" spans="1:6" x14ac:dyDescent="0.2">
      <c r="A1181" s="23">
        <v>35625</v>
      </c>
      <c r="B1181" s="25">
        <f>VLOOKUP(Table2634[[#This Row],[Date]],'DB Money Supply'!$A:$D,4)</f>
        <v>1069.3</v>
      </c>
      <c r="C1181" s="31">
        <f>(Table2634[[#This Row],[M1 Money Stock, Billions of Dollars, Weekly, Seasonally Adjusted]]-B1180)/B1180</f>
        <v>3.4722222222222654E-3</v>
      </c>
      <c r="D1181" s="35">
        <f>((1+Table2634[[#This Row],[Weekly change]])^52)-1</f>
        <v>0.19750810048543577</v>
      </c>
      <c r="E1181" s="25">
        <f t="shared" si="18"/>
        <v>1064.675</v>
      </c>
      <c r="F1181" s="33">
        <f>(Table2634[[#This Row],[4 weeks average]]-B1129)/B1129</f>
        <v>-4.5220159626939253E-2</v>
      </c>
    </row>
    <row r="1182" spans="1:6" x14ac:dyDescent="0.2">
      <c r="A1182" s="23">
        <v>35632</v>
      </c>
      <c r="B1182" s="25">
        <f>VLOOKUP(Table2634[[#This Row],[Date]],'DB Money Supply'!$A:$D,4)</f>
        <v>1064</v>
      </c>
      <c r="C1182" s="31">
        <f>(Table2634[[#This Row],[M1 Money Stock, Billions of Dollars, Weekly, Seasonally Adjusted]]-B1181)/B1181</f>
        <v>-4.9565136070325961E-3</v>
      </c>
      <c r="D1182" s="35">
        <f>((1+Table2634[[#This Row],[Weekly change]])^52)-1</f>
        <v>-0.22769796526962349</v>
      </c>
      <c r="E1182" s="25">
        <f t="shared" si="18"/>
        <v>1065.25</v>
      </c>
      <c r="F1182" s="33">
        <f>(Table2634[[#This Row],[4 weeks average]]-B1130)/B1130</f>
        <v>-4.2988051388015376E-2</v>
      </c>
    </row>
    <row r="1183" spans="1:6" x14ac:dyDescent="0.2">
      <c r="A1183" s="23">
        <v>35639</v>
      </c>
      <c r="B1183" s="25">
        <f>VLOOKUP(Table2634[[#This Row],[Date]],'DB Money Supply'!$A:$D,4)</f>
        <v>1060.5999999999999</v>
      </c>
      <c r="C1183" s="31">
        <f>(Table2634[[#This Row],[M1 Money Stock, Billions of Dollars, Weekly, Seasonally Adjusted]]-B1182)/B1182</f>
        <v>-3.1954887218045968E-3</v>
      </c>
      <c r="D1183" s="35">
        <f>((1+Table2634[[#This Row],[Weekly change]])^52)-1</f>
        <v>-0.15331916229012776</v>
      </c>
      <c r="E1183" s="25">
        <f t="shared" si="18"/>
        <v>1064.875</v>
      </c>
      <c r="F1183" s="33">
        <f>(Table2634[[#This Row],[4 weeks average]]-B1131)/B1131</f>
        <v>-4.2464706411293872E-2</v>
      </c>
    </row>
    <row r="1184" spans="1:6" x14ac:dyDescent="0.2">
      <c r="A1184" s="23">
        <v>35646</v>
      </c>
      <c r="B1184" s="25">
        <f>VLOOKUP(Table2634[[#This Row],[Date]],'DB Money Supply'!$A:$D,4)</f>
        <v>1071</v>
      </c>
      <c r="C1184" s="31">
        <f>(Table2634[[#This Row],[M1 Money Stock, Billions of Dollars, Weekly, Seasonally Adjusted]]-B1183)/B1183</f>
        <v>9.8057703186876215E-3</v>
      </c>
      <c r="D1184" s="35">
        <f>((1+Table2634[[#This Row],[Weekly change]])^52)-1</f>
        <v>0.660994133514893</v>
      </c>
      <c r="E1184" s="25">
        <f t="shared" si="18"/>
        <v>1066.2249999999999</v>
      </c>
      <c r="F1184" s="33">
        <f>(Table2634[[#This Row],[4 weeks average]]-B1132)/B1132</f>
        <v>-3.813712223725764E-2</v>
      </c>
    </row>
    <row r="1185" spans="1:6" x14ac:dyDescent="0.2">
      <c r="A1185" s="23">
        <v>35653</v>
      </c>
      <c r="B1185" s="25">
        <f>VLOOKUP(Table2634[[#This Row],[Date]],'DB Money Supply'!$A:$D,4)</f>
        <v>1080.2</v>
      </c>
      <c r="C1185" s="31">
        <f>(Table2634[[#This Row],[M1 Money Stock, Billions of Dollars, Weekly, Seasonally Adjusted]]-B1184)/B1184</f>
        <v>8.5901027077498089E-3</v>
      </c>
      <c r="D1185" s="35">
        <f>((1+Table2634[[#This Row],[Weekly change]])^52)-1</f>
        <v>0.56014337013960791</v>
      </c>
      <c r="E1185" s="25">
        <f t="shared" si="18"/>
        <v>1068.95</v>
      </c>
      <c r="F1185" s="33">
        <f>(Table2634[[#This Row],[4 weeks average]]-B1133)/B1133</f>
        <v>-3.3586475002260072E-2</v>
      </c>
    </row>
    <row r="1186" spans="1:6" x14ac:dyDescent="0.2">
      <c r="A1186" s="23">
        <v>35660</v>
      </c>
      <c r="B1186" s="25">
        <f>VLOOKUP(Table2634[[#This Row],[Date]],'DB Money Supply'!$A:$D,4)</f>
        <v>1076.4000000000001</v>
      </c>
      <c r="C1186" s="31">
        <f>(Table2634[[#This Row],[M1 Money Stock, Billions of Dollars, Weekly, Seasonally Adjusted]]-B1185)/B1185</f>
        <v>-3.5178670616552066E-3</v>
      </c>
      <c r="D1186" s="35">
        <f>((1+Table2634[[#This Row],[Weekly change]])^52)-1</f>
        <v>-0.16744134563362545</v>
      </c>
      <c r="E1186" s="25">
        <f t="shared" si="18"/>
        <v>1072.0500000000002</v>
      </c>
      <c r="F1186" s="33">
        <f>(Table2634[[#This Row],[4 weeks average]]-B1134)/B1134</f>
        <v>-2.3722793916765076E-2</v>
      </c>
    </row>
    <row r="1187" spans="1:6" x14ac:dyDescent="0.2">
      <c r="A1187" s="23">
        <v>35667</v>
      </c>
      <c r="B1187" s="25">
        <f>VLOOKUP(Table2634[[#This Row],[Date]],'DB Money Supply'!$A:$D,4)</f>
        <v>1074.5</v>
      </c>
      <c r="C1187" s="31">
        <f>(Table2634[[#This Row],[M1 Money Stock, Billions of Dollars, Weekly, Seasonally Adjusted]]-B1186)/B1186</f>
        <v>-1.7651430694909799E-3</v>
      </c>
      <c r="D1187" s="35">
        <f>((1+Table2634[[#This Row],[Weekly change]])^52)-1</f>
        <v>-8.7774940924422395E-2</v>
      </c>
      <c r="E1187" s="25">
        <f t="shared" si="18"/>
        <v>1075.5250000000001</v>
      </c>
      <c r="F1187" s="33">
        <f>(Table2634[[#This Row],[4 weeks average]]-B1135)/B1135</f>
        <v>-2.1004005097396524E-2</v>
      </c>
    </row>
    <row r="1188" spans="1:6" x14ac:dyDescent="0.2">
      <c r="A1188" s="23">
        <v>35674</v>
      </c>
      <c r="B1188" s="25">
        <f>VLOOKUP(Table2634[[#This Row],[Date]],'DB Money Supply'!$A:$D,4)</f>
        <v>1071.9000000000001</v>
      </c>
      <c r="C1188" s="31">
        <f>(Table2634[[#This Row],[M1 Money Stock, Billions of Dollars, Weekly, Seasonally Adjusted]]-B1187)/B1187</f>
        <v>-2.4197301070264395E-3</v>
      </c>
      <c r="D1188" s="35">
        <f>((1+Table2634[[#This Row],[Weekly change]])^52)-1</f>
        <v>-0.11836614894393815</v>
      </c>
      <c r="E1188" s="25">
        <f t="shared" si="18"/>
        <v>1075.75</v>
      </c>
      <c r="F1188" s="33">
        <f>(Table2634[[#This Row],[4 weeks average]]-B1136)/B1136</f>
        <v>-2.0174879315056096E-2</v>
      </c>
    </row>
    <row r="1189" spans="1:6" x14ac:dyDescent="0.2">
      <c r="A1189" s="23">
        <v>35681</v>
      </c>
      <c r="B1189" s="25">
        <f>VLOOKUP(Table2634[[#This Row],[Date]],'DB Money Supply'!$A:$D,4)</f>
        <v>1077.5999999999999</v>
      </c>
      <c r="C1189" s="31">
        <f>(Table2634[[#This Row],[M1 Money Stock, Billions of Dollars, Weekly, Seasonally Adjusted]]-B1188)/B1188</f>
        <v>5.3176602294988506E-3</v>
      </c>
      <c r="D1189" s="35">
        <f>((1+Table2634[[#This Row],[Weekly change]])^52)-1</f>
        <v>0.31756549626304831</v>
      </c>
      <c r="E1189" s="25">
        <f t="shared" si="18"/>
        <v>1075.0999999999999</v>
      </c>
      <c r="F1189" s="33">
        <f>(Table2634[[#This Row],[4 weeks average]]-B1137)/B1137</f>
        <v>-2.6001087153469875E-2</v>
      </c>
    </row>
    <row r="1190" spans="1:6" x14ac:dyDescent="0.2">
      <c r="A1190" s="23">
        <v>35688</v>
      </c>
      <c r="B1190" s="25">
        <f>VLOOKUP(Table2634[[#This Row],[Date]],'DB Money Supply'!$A:$D,4)</f>
        <v>1066.5</v>
      </c>
      <c r="C1190" s="31">
        <f>(Table2634[[#This Row],[M1 Money Stock, Billions of Dollars, Weekly, Seasonally Adjusted]]-B1189)/B1189</f>
        <v>-1.0300668151447577E-2</v>
      </c>
      <c r="D1190" s="35">
        <f>((1+Table2634[[#This Row],[Weekly change]])^52)-1</f>
        <v>-0.41632591969381727</v>
      </c>
      <c r="E1190" s="25">
        <f t="shared" si="18"/>
        <v>1072.625</v>
      </c>
      <c r="F1190" s="33">
        <f>(Table2634[[#This Row],[4 weeks average]]-B1138)/B1138</f>
        <v>-2.1952220297255444E-2</v>
      </c>
    </row>
    <row r="1191" spans="1:6" x14ac:dyDescent="0.2">
      <c r="A1191" s="23">
        <v>35695</v>
      </c>
      <c r="B1191" s="25">
        <f>VLOOKUP(Table2634[[#This Row],[Date]],'DB Money Supply'!$A:$D,4)</f>
        <v>1062.2</v>
      </c>
      <c r="C1191" s="31">
        <f>(Table2634[[#This Row],[M1 Money Stock, Billions of Dollars, Weekly, Seasonally Adjusted]]-B1190)/B1190</f>
        <v>-4.0318799812470276E-3</v>
      </c>
      <c r="D1191" s="35">
        <f>((1+Table2634[[#This Row],[Weekly change]])^52)-1</f>
        <v>-0.18948185934414041</v>
      </c>
      <c r="E1191" s="25">
        <f t="shared" si="18"/>
        <v>1069.55</v>
      </c>
      <c r="F1191" s="33">
        <f>(Table2634[[#This Row],[4 weeks average]]-B1139)/B1139</f>
        <v>-2.0289456810479153E-2</v>
      </c>
    </row>
    <row r="1192" spans="1:6" x14ac:dyDescent="0.2">
      <c r="A1192" s="23">
        <v>35702</v>
      </c>
      <c r="B1192" s="25">
        <f>VLOOKUP(Table2634[[#This Row],[Date]],'DB Money Supply'!$A:$D,4)</f>
        <v>1060.0999999999999</v>
      </c>
      <c r="C1192" s="31">
        <f>(Table2634[[#This Row],[M1 Money Stock, Billions of Dollars, Weekly, Seasonally Adjusted]]-B1191)/B1191</f>
        <v>-1.9770288081341898E-3</v>
      </c>
      <c r="D1192" s="35">
        <f>((1+Table2634[[#This Row],[Weekly change]])^52)-1</f>
        <v>-9.7789356569238706E-2</v>
      </c>
      <c r="E1192" s="25">
        <f t="shared" si="18"/>
        <v>1066.5999999999999</v>
      </c>
      <c r="F1192" s="33">
        <f>(Table2634[[#This Row],[4 weeks average]]-B1140)/B1140</f>
        <v>-2.3081150393845069E-2</v>
      </c>
    </row>
    <row r="1193" spans="1:6" x14ac:dyDescent="0.2">
      <c r="A1193" s="23">
        <v>35709</v>
      </c>
      <c r="B1193" s="25">
        <f>VLOOKUP(Table2634[[#This Row],[Date]],'DB Money Supply'!$A:$D,4)</f>
        <v>1068.8</v>
      </c>
      <c r="C1193" s="31">
        <f>(Table2634[[#This Row],[M1 Money Stock, Billions of Dollars, Weekly, Seasonally Adjusted]]-B1192)/B1192</f>
        <v>8.2067729459485393E-3</v>
      </c>
      <c r="D1193" s="35">
        <f>((1+Table2634[[#This Row],[Weekly change]])^52)-1</f>
        <v>0.5296066122580747</v>
      </c>
      <c r="E1193" s="25">
        <f t="shared" si="18"/>
        <v>1064.3999999999999</v>
      </c>
      <c r="F1193" s="33">
        <f>(Table2634[[#This Row],[4 weeks average]]-B1141)/B1141</f>
        <v>-2.2140560404226125E-2</v>
      </c>
    </row>
    <row r="1194" spans="1:6" x14ac:dyDescent="0.2">
      <c r="A1194" s="23">
        <v>35716</v>
      </c>
      <c r="B1194" s="25">
        <f>VLOOKUP(Table2634[[#This Row],[Date]],'DB Money Supply'!$A:$D,4)</f>
        <v>1066.3</v>
      </c>
      <c r="C1194" s="31">
        <f>(Table2634[[#This Row],[M1 Money Stock, Billions of Dollars, Weekly, Seasonally Adjusted]]-B1193)/B1193</f>
        <v>-2.3390718562874254E-3</v>
      </c>
      <c r="D1194" s="35">
        <f>((1+Table2634[[#This Row],[Weekly change]])^52)-1</f>
        <v>-0.11465175254766635</v>
      </c>
      <c r="E1194" s="25">
        <f t="shared" si="18"/>
        <v>1064.3500000000001</v>
      </c>
      <c r="F1194" s="33">
        <f>(Table2634[[#This Row],[4 weeks average]]-B1142)/B1142</f>
        <v>-2.496335654085725E-2</v>
      </c>
    </row>
    <row r="1195" spans="1:6" x14ac:dyDescent="0.2">
      <c r="A1195" s="23">
        <v>35723</v>
      </c>
      <c r="B1195" s="25">
        <f>VLOOKUP(Table2634[[#This Row],[Date]],'DB Money Supply'!$A:$D,4)</f>
        <v>1064.5</v>
      </c>
      <c r="C1195" s="31">
        <f>(Table2634[[#This Row],[M1 Money Stock, Billions of Dollars, Weekly, Seasonally Adjusted]]-B1194)/B1194</f>
        <v>-1.6880802775953809E-3</v>
      </c>
      <c r="D1195" s="35">
        <f>((1+Table2634[[#This Row],[Weekly change]])^52)-1</f>
        <v>-8.4105731077930512E-2</v>
      </c>
      <c r="E1195" s="25">
        <f t="shared" si="18"/>
        <v>1064.925</v>
      </c>
      <c r="F1195" s="33">
        <f>(Table2634[[#This Row],[4 weeks average]]-B1143)/B1143</f>
        <v>-2.0037728904021432E-2</v>
      </c>
    </row>
    <row r="1196" spans="1:6" x14ac:dyDescent="0.2">
      <c r="A1196" s="23">
        <v>35730</v>
      </c>
      <c r="B1196" s="25">
        <f>VLOOKUP(Table2634[[#This Row],[Date]],'DB Money Supply'!$A:$D,4)</f>
        <v>1058.7</v>
      </c>
      <c r="C1196" s="31">
        <f>(Table2634[[#This Row],[M1 Money Stock, Billions of Dollars, Weekly, Seasonally Adjusted]]-B1195)/B1195</f>
        <v>-5.4485674025363589E-3</v>
      </c>
      <c r="D1196" s="35">
        <f>((1+Table2634[[#This Row],[Weekly change]])^52)-1</f>
        <v>-0.24730876306059302</v>
      </c>
      <c r="E1196" s="25">
        <f t="shared" si="18"/>
        <v>1064.575</v>
      </c>
      <c r="F1196" s="33">
        <f>(Table2634[[#This Row],[4 weeks average]]-B1144)/B1144</f>
        <v>-1.2270365559472916E-2</v>
      </c>
    </row>
    <row r="1197" spans="1:6" x14ac:dyDescent="0.2">
      <c r="A1197" s="23">
        <v>35737</v>
      </c>
      <c r="B1197" s="25">
        <f>VLOOKUP(Table2634[[#This Row],[Date]],'DB Money Supply'!$A:$D,4)</f>
        <v>1073.0999999999999</v>
      </c>
      <c r="C1197" s="31">
        <f>(Table2634[[#This Row],[M1 Money Stock, Billions of Dollars, Weekly, Seasonally Adjusted]]-B1196)/B1196</f>
        <v>1.3601586851799246E-2</v>
      </c>
      <c r="D1197" s="35">
        <f>((1+Table2634[[#This Row],[Weekly change]])^52)-1</f>
        <v>1.0188249017909703</v>
      </c>
      <c r="E1197" s="25">
        <f t="shared" si="18"/>
        <v>1065.6500000000001</v>
      </c>
      <c r="F1197" s="33">
        <f>(Table2634[[#This Row],[4 weeks average]]-B1145)/B1145</f>
        <v>-1.438216796152419E-2</v>
      </c>
    </row>
    <row r="1198" spans="1:6" x14ac:dyDescent="0.2">
      <c r="A1198" s="23">
        <v>35744</v>
      </c>
      <c r="B1198" s="25">
        <f>VLOOKUP(Table2634[[#This Row],[Date]],'DB Money Supply'!$A:$D,4)</f>
        <v>1075.4000000000001</v>
      </c>
      <c r="C1198" s="31">
        <f>(Table2634[[#This Row],[M1 Money Stock, Billions of Dollars, Weekly, Seasonally Adjusted]]-B1197)/B1197</f>
        <v>2.1433230826578904E-3</v>
      </c>
      <c r="D1198" s="35">
        <f>((1+Table2634[[#This Row],[Weekly change]])^52)-1</f>
        <v>0.11776765486414487</v>
      </c>
      <c r="E1198" s="25">
        <f t="shared" si="18"/>
        <v>1067.925</v>
      </c>
      <c r="F1198" s="33">
        <f>(Table2634[[#This Row],[4 weeks average]]-B1146)/B1146</f>
        <v>-1.8541494347945921E-2</v>
      </c>
    </row>
    <row r="1199" spans="1:6" x14ac:dyDescent="0.2">
      <c r="A1199" s="23">
        <v>35751</v>
      </c>
      <c r="B1199" s="25">
        <f>VLOOKUP(Table2634[[#This Row],[Date]],'DB Money Supply'!$A:$D,4)</f>
        <v>1070.4000000000001</v>
      </c>
      <c r="C1199" s="31">
        <f>(Table2634[[#This Row],[M1 Money Stock, Billions of Dollars, Weekly, Seasonally Adjusted]]-B1198)/B1198</f>
        <v>-4.649432769202157E-3</v>
      </c>
      <c r="D1199" s="35">
        <f>((1+Table2634[[#This Row],[Weekly change]])^52)-1</f>
        <v>-0.21520622293150682</v>
      </c>
      <c r="E1199" s="25">
        <f t="shared" si="18"/>
        <v>1069.4000000000001</v>
      </c>
      <c r="F1199" s="33">
        <f>(Table2634[[#This Row],[4 weeks average]]-B1147)/B1147</f>
        <v>-1.6824492047439507E-2</v>
      </c>
    </row>
    <row r="1200" spans="1:6" x14ac:dyDescent="0.2">
      <c r="A1200" s="23">
        <v>35758</v>
      </c>
      <c r="B1200" s="25">
        <f>VLOOKUP(Table2634[[#This Row],[Date]],'DB Money Supply'!$A:$D,4)</f>
        <v>1066.4000000000001</v>
      </c>
      <c r="C1200" s="31">
        <f>(Table2634[[#This Row],[M1 Money Stock, Billions of Dollars, Weekly, Seasonally Adjusted]]-B1199)/B1199</f>
        <v>-3.7369207772795215E-3</v>
      </c>
      <c r="D1200" s="35">
        <f>((1+Table2634[[#This Row],[Weekly change]])^52)-1</f>
        <v>-0.17690517521563454</v>
      </c>
      <c r="E1200" s="25">
        <f t="shared" si="18"/>
        <v>1071.325</v>
      </c>
      <c r="F1200" s="33">
        <f>(Table2634[[#This Row],[4 weeks average]]-B1148)/B1148</f>
        <v>-6.2842036916796809E-3</v>
      </c>
    </row>
    <row r="1201" spans="1:6" x14ac:dyDescent="0.2">
      <c r="A1201" s="23">
        <v>35765</v>
      </c>
      <c r="B1201" s="25">
        <f>VLOOKUP(Table2634[[#This Row],[Date]],'DB Money Supply'!$A:$D,4)</f>
        <v>1070.4000000000001</v>
      </c>
      <c r="C1201" s="31">
        <f>(Table2634[[#This Row],[M1 Money Stock, Billions of Dollars, Weekly, Seasonally Adjusted]]-B1200)/B1200</f>
        <v>3.7509377344336079E-3</v>
      </c>
      <c r="D1201" s="35">
        <f>((1+Table2634[[#This Row],[Weekly change]])^52)-1</f>
        <v>0.21492684668741147</v>
      </c>
      <c r="E1201" s="25">
        <f t="shared" si="18"/>
        <v>1070.6500000000001</v>
      </c>
      <c r="F1201" s="33">
        <f>(Table2634[[#This Row],[4 weeks average]]-B1149)/B1149</f>
        <v>-9.5744680851062997E-3</v>
      </c>
    </row>
    <row r="1202" spans="1:6" x14ac:dyDescent="0.2">
      <c r="A1202" s="23">
        <v>35772</v>
      </c>
      <c r="B1202" s="25">
        <f>VLOOKUP(Table2634[[#This Row],[Date]],'DB Money Supply'!$A:$D,4)</f>
        <v>1072.2</v>
      </c>
      <c r="C1202" s="31">
        <f>(Table2634[[#This Row],[M1 Money Stock, Billions of Dollars, Weekly, Seasonally Adjusted]]-B1201)/B1201</f>
        <v>1.6816143497757421E-3</v>
      </c>
      <c r="D1202" s="35">
        <f>((1+Table2634[[#This Row],[Weekly change]])^52)-1</f>
        <v>9.1300937291461493E-2</v>
      </c>
      <c r="E1202" s="25">
        <f t="shared" si="18"/>
        <v>1069.8500000000001</v>
      </c>
      <c r="F1202" s="33">
        <f>(Table2634[[#This Row],[4 weeks average]]-B1150)/B1150</f>
        <v>-1.9475758408944895E-2</v>
      </c>
    </row>
    <row r="1203" spans="1:6" x14ac:dyDescent="0.2">
      <c r="A1203" s="23">
        <v>35779</v>
      </c>
      <c r="B1203" s="25">
        <f>VLOOKUP(Table2634[[#This Row],[Date]],'DB Money Supply'!$A:$D,4)</f>
        <v>1072.9000000000001</v>
      </c>
      <c r="C1203" s="31">
        <f>(Table2634[[#This Row],[M1 Money Stock, Billions of Dollars, Weekly, Seasonally Adjusted]]-B1202)/B1202</f>
        <v>6.5286327177769578E-4</v>
      </c>
      <c r="D1203" s="35">
        <f>((1+Table2634[[#This Row],[Weekly change]])^52)-1</f>
        <v>3.4520270975987311E-2</v>
      </c>
      <c r="E1203" s="25">
        <f t="shared" si="18"/>
        <v>1070.4749999999999</v>
      </c>
      <c r="F1203" s="33">
        <f>(Table2634[[#This Row],[4 weeks average]]-B1151)/B1151</f>
        <v>-1.2385828951010407E-2</v>
      </c>
    </row>
    <row r="1204" spans="1:6" x14ac:dyDescent="0.2">
      <c r="A1204" s="23">
        <v>35786</v>
      </c>
      <c r="B1204" s="25">
        <f>VLOOKUP(Table2634[[#This Row],[Date]],'DB Money Supply'!$A:$D,4)</f>
        <v>1070.5999999999999</v>
      </c>
      <c r="C1204" s="31">
        <f>(Table2634[[#This Row],[M1 Money Stock, Billions of Dollars, Weekly, Seasonally Adjusted]]-B1203)/B1203</f>
        <v>-2.1437226209340869E-3</v>
      </c>
      <c r="D1204" s="35">
        <f>((1+Table2634[[#This Row],[Weekly change]])^52)-1</f>
        <v>-0.10559199951733544</v>
      </c>
      <c r="E1204" s="25">
        <f t="shared" si="18"/>
        <v>1071.5250000000001</v>
      </c>
      <c r="F1204" s="33">
        <f>(Table2634[[#This Row],[4 weeks average]]-B1152)/B1152</f>
        <v>-8.0309201999629268E-3</v>
      </c>
    </row>
    <row r="1205" spans="1:6" x14ac:dyDescent="0.2">
      <c r="A1205" s="23">
        <v>35793</v>
      </c>
      <c r="B1205" s="25">
        <f>VLOOKUP(Table2634[[#This Row],[Date]],'DB Money Supply'!$A:$D,4)</f>
        <v>1071.4000000000001</v>
      </c>
      <c r="C1205" s="31">
        <f>(Table2634[[#This Row],[M1 Money Stock, Billions of Dollars, Weekly, Seasonally Adjusted]]-B1204)/B1204</f>
        <v>7.4724453577450212E-4</v>
      </c>
      <c r="D1205" s="35">
        <f>((1+Table2634[[#This Row],[Weekly change]])^52)-1</f>
        <v>3.9606426378917314E-2</v>
      </c>
      <c r="E1205" s="25">
        <f t="shared" si="18"/>
        <v>1071.7750000000001</v>
      </c>
      <c r="F1205" s="33">
        <f>(Table2634[[#This Row],[4 weeks average]]-B1153)/B1153</f>
        <v>1.0040160642570705E-3</v>
      </c>
    </row>
    <row r="1206" spans="1:6" x14ac:dyDescent="0.2">
      <c r="A1206" s="23">
        <v>35800</v>
      </c>
      <c r="B1206" s="25">
        <f>VLOOKUP(Table2634[[#This Row],[Date]],'DB Money Supply'!$A:$D,4)</f>
        <v>1080.9000000000001</v>
      </c>
      <c r="C1206" s="31">
        <f>(Table2634[[#This Row],[M1 Money Stock, Billions of Dollars, Weekly, Seasonally Adjusted]]-B1205)/B1205</f>
        <v>8.8669031174164643E-3</v>
      </c>
      <c r="D1206" s="35">
        <f>((1+Table2634[[#This Row],[Weekly change]])^52)-1</f>
        <v>0.5825647567173402</v>
      </c>
      <c r="E1206" s="25">
        <f t="shared" si="18"/>
        <v>1073.95</v>
      </c>
      <c r="F1206" s="33">
        <f>(Table2634[[#This Row],[4 weeks average]]-B1154)/B1154</f>
        <v>-5.2334197851054689E-3</v>
      </c>
    </row>
    <row r="1207" spans="1:6" x14ac:dyDescent="0.2">
      <c r="A1207" s="23">
        <v>35807</v>
      </c>
      <c r="B1207" s="25">
        <f>VLOOKUP(Table2634[[#This Row],[Date]],'DB Money Supply'!$A:$D,4)</f>
        <v>1078</v>
      </c>
      <c r="C1207" s="31">
        <f>(Table2634[[#This Row],[M1 Money Stock, Billions of Dollars, Weekly, Seasonally Adjusted]]-B1206)/B1206</f>
        <v>-2.6829493940235829E-3</v>
      </c>
      <c r="D1207" s="35">
        <f>((1+Table2634[[#This Row],[Weekly change]])^52)-1</f>
        <v>-0.13038166376199978</v>
      </c>
      <c r="E1207" s="25">
        <f t="shared" si="18"/>
        <v>1075.2249999999999</v>
      </c>
      <c r="F1207" s="33">
        <f>(Table2634[[#This Row],[4 weeks average]]-B1155)/B1155</f>
        <v>-1.3464538031012186E-2</v>
      </c>
    </row>
    <row r="1208" spans="1:6" x14ac:dyDescent="0.2">
      <c r="A1208" s="23">
        <v>35814</v>
      </c>
      <c r="B1208" s="25">
        <f>VLOOKUP(Table2634[[#This Row],[Date]],'DB Money Supply'!$A:$D,4)</f>
        <v>1070.3</v>
      </c>
      <c r="C1208" s="31">
        <f>(Table2634[[#This Row],[M1 Money Stock, Billions of Dollars, Weekly, Seasonally Adjusted]]-B1207)/B1207</f>
        <v>-7.1428571428571851E-3</v>
      </c>
      <c r="D1208" s="35">
        <f>((1+Table2634[[#This Row],[Weekly change]])^52)-1</f>
        <v>-0.31117046845780372</v>
      </c>
      <c r="E1208" s="25">
        <f t="shared" si="18"/>
        <v>1075.1500000000001</v>
      </c>
      <c r="F1208" s="33">
        <f>(Table2634[[#This Row],[4 weeks average]]-B1156)/B1156</f>
        <v>-6.0552833502819214E-3</v>
      </c>
    </row>
    <row r="1209" spans="1:6" x14ac:dyDescent="0.2">
      <c r="A1209" s="23">
        <v>35821</v>
      </c>
      <c r="B1209" s="25">
        <f>VLOOKUP(Table2634[[#This Row],[Date]],'DB Money Supply'!$A:$D,4)</f>
        <v>1070.9000000000001</v>
      </c>
      <c r="C1209" s="31">
        <f>(Table2634[[#This Row],[M1 Money Stock, Billions of Dollars, Weekly, Seasonally Adjusted]]-B1208)/B1208</f>
        <v>5.6059048864817013E-4</v>
      </c>
      <c r="D1209" s="35">
        <f>((1+Table2634[[#This Row],[Weekly change]])^52)-1</f>
        <v>2.9571336703786422E-2</v>
      </c>
      <c r="E1209" s="25">
        <f t="shared" si="18"/>
        <v>1075.0250000000001</v>
      </c>
      <c r="F1209" s="33">
        <f>(Table2634[[#This Row],[4 weeks average]]-B1157)/B1157</f>
        <v>-7.2039412530197394E-4</v>
      </c>
    </row>
    <row r="1210" spans="1:6" x14ac:dyDescent="0.2">
      <c r="A1210" s="23">
        <v>35828</v>
      </c>
      <c r="B1210" s="25">
        <f>VLOOKUP(Table2634[[#This Row],[Date]],'DB Money Supply'!$A:$D,4)</f>
        <v>1072.2</v>
      </c>
      <c r="C1210" s="31">
        <f>(Table2634[[#This Row],[M1 Money Stock, Billions of Dollars, Weekly, Seasonally Adjusted]]-B1209)/B1209</f>
        <v>1.2139322065551914E-3</v>
      </c>
      <c r="D1210" s="35">
        <f>((1+Table2634[[#This Row],[Weekly change]])^52)-1</f>
        <v>6.5118639239084786E-2</v>
      </c>
      <c r="E1210" s="25">
        <f t="shared" si="18"/>
        <v>1072.8500000000001</v>
      </c>
      <c r="F1210" s="33">
        <f>(Table2634[[#This Row],[4 weeks average]]-B1158)/B1158</f>
        <v>-4.0382473078350439E-3</v>
      </c>
    </row>
    <row r="1211" spans="1:6" x14ac:dyDescent="0.2">
      <c r="A1211" s="23">
        <v>35835</v>
      </c>
      <c r="B1211" s="25">
        <f>VLOOKUP(Table2634[[#This Row],[Date]],'DB Money Supply'!$A:$D,4)</f>
        <v>1080.0999999999999</v>
      </c>
      <c r="C1211" s="31">
        <f>(Table2634[[#This Row],[M1 Money Stock, Billions of Dollars, Weekly, Seasonally Adjusted]]-B1210)/B1210</f>
        <v>7.3680283529191041E-3</v>
      </c>
      <c r="D1211" s="35">
        <f>((1+Table2634[[#This Row],[Weekly change]])^52)-1</f>
        <v>0.46482075816972768</v>
      </c>
      <c r="E1211" s="25">
        <f t="shared" si="18"/>
        <v>1073.375</v>
      </c>
      <c r="F1211" s="33">
        <f>(Table2634[[#This Row],[4 weeks average]]-B1159)/B1159</f>
        <v>-1.2080073630924988E-2</v>
      </c>
    </row>
    <row r="1212" spans="1:6" x14ac:dyDescent="0.2">
      <c r="A1212" s="23">
        <v>35842</v>
      </c>
      <c r="B1212" s="25">
        <f>VLOOKUP(Table2634[[#This Row],[Date]],'DB Money Supply'!$A:$D,4)</f>
        <v>1077.4000000000001</v>
      </c>
      <c r="C1212" s="31">
        <f>(Table2634[[#This Row],[M1 Money Stock, Billions of Dollars, Weekly, Seasonally Adjusted]]-B1211)/B1211</f>
        <v>-2.4997685399498364E-3</v>
      </c>
      <c r="D1212" s="35">
        <f>((1+Table2634[[#This Row],[Weekly change]])^52)-1</f>
        <v>-0.12203689270473095</v>
      </c>
      <c r="E1212" s="25">
        <f t="shared" si="18"/>
        <v>1075.1500000000001</v>
      </c>
      <c r="F1212" s="33">
        <f>(Table2634[[#This Row],[4 weeks average]]-B1160)/B1160</f>
        <v>-2.8287887219439383E-3</v>
      </c>
    </row>
    <row r="1213" spans="1:6" x14ac:dyDescent="0.2">
      <c r="A1213" s="23">
        <v>35849</v>
      </c>
      <c r="B1213" s="25">
        <f>VLOOKUP(Table2634[[#This Row],[Date]],'DB Money Supply'!$A:$D,4)</f>
        <v>1076.8</v>
      </c>
      <c r="C1213" s="31">
        <f>(Table2634[[#This Row],[M1 Money Stock, Billions of Dollars, Weekly, Seasonally Adjusted]]-B1212)/B1212</f>
        <v>-5.5689623166895895E-4</v>
      </c>
      <c r="D1213" s="35">
        <f>((1+Table2634[[#This Row],[Weekly change]])^52)-1</f>
        <v>-2.8551158178936831E-2</v>
      </c>
      <c r="E1213" s="25">
        <f t="shared" si="18"/>
        <v>1076.625</v>
      </c>
      <c r="F1213" s="33">
        <f>(Table2634[[#This Row],[4 weeks average]]-B1161)/B1161</f>
        <v>1.2322142657863345E-3</v>
      </c>
    </row>
    <row r="1214" spans="1:6" x14ac:dyDescent="0.2">
      <c r="A1214" s="23">
        <v>35856</v>
      </c>
      <c r="B1214" s="25">
        <f>VLOOKUP(Table2634[[#This Row],[Date]],'DB Money Supply'!$A:$D,4)</f>
        <v>1079.3</v>
      </c>
      <c r="C1214" s="31">
        <f>(Table2634[[#This Row],[M1 Money Stock, Billions of Dollars, Weekly, Seasonally Adjusted]]-B1213)/B1213</f>
        <v>2.3216939078751857E-3</v>
      </c>
      <c r="D1214" s="35">
        <f>((1+Table2634[[#This Row],[Weekly change]])^52)-1</f>
        <v>0.12816018720117905</v>
      </c>
      <c r="E1214" s="25">
        <f t="shared" si="18"/>
        <v>1078.4000000000001</v>
      </c>
      <c r="F1214" s="33">
        <f>(Table2634[[#This Row],[4 weeks average]]-B1162)/B1162</f>
        <v>4.4709388971685754E-3</v>
      </c>
    </row>
    <row r="1215" spans="1:6" x14ac:dyDescent="0.2">
      <c r="A1215" s="23">
        <v>35863</v>
      </c>
      <c r="B1215" s="25">
        <f>VLOOKUP(Table2634[[#This Row],[Date]],'DB Money Supply'!$A:$D,4)</f>
        <v>1085.8</v>
      </c>
      <c r="C1215" s="31">
        <f>(Table2634[[#This Row],[M1 Money Stock, Billions of Dollars, Weekly, Seasonally Adjusted]]-B1214)/B1214</f>
        <v>6.0224219401463913E-3</v>
      </c>
      <c r="D1215" s="35">
        <f>((1+Table2634[[#This Row],[Weekly change]])^52)-1</f>
        <v>0.36646443715899535</v>
      </c>
      <c r="E1215" s="25">
        <f t="shared" si="18"/>
        <v>1079.825</v>
      </c>
      <c r="F1215" s="33">
        <f>(Table2634[[#This Row],[4 weeks average]]-B1163)/B1163</f>
        <v>-1.3640987699989912E-3</v>
      </c>
    </row>
    <row r="1216" spans="1:6" x14ac:dyDescent="0.2">
      <c r="A1216" s="23">
        <v>35870</v>
      </c>
      <c r="B1216" s="25">
        <f>VLOOKUP(Table2634[[#This Row],[Date]],'DB Money Supply'!$A:$D,4)</f>
        <v>1081.7</v>
      </c>
      <c r="C1216" s="31">
        <f>(Table2634[[#This Row],[M1 Money Stock, Billions of Dollars, Weekly, Seasonally Adjusted]]-B1215)/B1215</f>
        <v>-3.7760176828144309E-3</v>
      </c>
      <c r="D1216" s="35">
        <f>((1+Table2634[[#This Row],[Weekly change]])^52)-1</f>
        <v>-0.17858315617086729</v>
      </c>
      <c r="E1216" s="25">
        <f t="shared" si="18"/>
        <v>1080.8999999999999</v>
      </c>
      <c r="F1216" s="33">
        <f>(Table2634[[#This Row],[4 weeks average]]-B1164)/B1164</f>
        <v>5.301339285714116E-3</v>
      </c>
    </row>
    <row r="1217" spans="1:6" x14ac:dyDescent="0.2">
      <c r="A1217" s="23">
        <v>35877</v>
      </c>
      <c r="B1217" s="25">
        <f>VLOOKUP(Table2634[[#This Row],[Date]],'DB Money Supply'!$A:$D,4)</f>
        <v>1074.4000000000001</v>
      </c>
      <c r="C1217" s="31">
        <f>(Table2634[[#This Row],[M1 Money Stock, Billions of Dollars, Weekly, Seasonally Adjusted]]-B1216)/B1216</f>
        <v>-6.7486364056577189E-3</v>
      </c>
      <c r="D1217" s="35">
        <f>((1+Table2634[[#This Row],[Weekly change]])^52)-1</f>
        <v>-0.29680327803233553</v>
      </c>
      <c r="E1217" s="25">
        <f t="shared" si="18"/>
        <v>1080.3000000000002</v>
      </c>
      <c r="F1217" s="33">
        <f>(Table2634[[#This Row],[4 weeks average]]-B1165)/B1165</f>
        <v>1.0192631382083496E-2</v>
      </c>
    </row>
    <row r="1218" spans="1:6" x14ac:dyDescent="0.2">
      <c r="A1218" s="23">
        <v>35884</v>
      </c>
      <c r="B1218" s="25">
        <f>VLOOKUP(Table2634[[#This Row],[Date]],'DB Money Supply'!$A:$D,4)</f>
        <v>1064.8</v>
      </c>
      <c r="C1218" s="31">
        <f>(Table2634[[#This Row],[M1 Money Stock, Billions of Dollars, Weekly, Seasonally Adjusted]]-B1217)/B1217</f>
        <v>-8.9352196574833728E-3</v>
      </c>
      <c r="D1218" s="35">
        <f>((1+Table2634[[#This Row],[Weekly change]])^52)-1</f>
        <v>-0.37294414705692935</v>
      </c>
      <c r="E1218" s="25">
        <f t="shared" si="18"/>
        <v>1076.675</v>
      </c>
      <c r="F1218" s="33">
        <f>(Table2634[[#This Row],[4 weeks average]]-B1166)/B1166</f>
        <v>1.2293155321549499E-2</v>
      </c>
    </row>
    <row r="1219" spans="1:6" x14ac:dyDescent="0.2">
      <c r="A1219" s="23">
        <v>35891</v>
      </c>
      <c r="B1219" s="25">
        <f>VLOOKUP(Table2634[[#This Row],[Date]],'DB Money Supply'!$A:$D,4)</f>
        <v>1079.0999999999999</v>
      </c>
      <c r="C1219" s="31">
        <f>(Table2634[[#This Row],[M1 Money Stock, Billions of Dollars, Weekly, Seasonally Adjusted]]-B1218)/B1218</f>
        <v>1.3429752066115659E-2</v>
      </c>
      <c r="D1219" s="35">
        <f>((1+Table2634[[#This Row],[Weekly change]])^52)-1</f>
        <v>1.0011046618710377</v>
      </c>
      <c r="E1219" s="25">
        <f t="shared" si="18"/>
        <v>1075</v>
      </c>
      <c r="F1219" s="33">
        <f>(Table2634[[#This Row],[4 weeks average]]-B1167)/B1167</f>
        <v>4.9546601850985828E-3</v>
      </c>
    </row>
    <row r="1220" spans="1:6" x14ac:dyDescent="0.2">
      <c r="A1220" s="23">
        <v>35898</v>
      </c>
      <c r="B1220" s="25">
        <f>VLOOKUP(Table2634[[#This Row],[Date]],'DB Money Supply'!$A:$D,4)</f>
        <v>1078.2</v>
      </c>
      <c r="C1220" s="31">
        <f>(Table2634[[#This Row],[M1 Money Stock, Billions of Dollars, Weekly, Seasonally Adjusted]]-B1219)/B1219</f>
        <v>-8.3402835696401044E-4</v>
      </c>
      <c r="D1220" s="35">
        <f>((1+Table2634[[#This Row],[Weekly change]])^52)-1</f>
        <v>-4.245979601257599E-2</v>
      </c>
      <c r="E1220" s="25">
        <f t="shared" si="18"/>
        <v>1074.125</v>
      </c>
      <c r="F1220" s="33">
        <f>(Table2634[[#This Row],[4 weeks average]]-B1168)/B1168</f>
        <v>7.0551284455279313E-3</v>
      </c>
    </row>
    <row r="1221" spans="1:6" x14ac:dyDescent="0.2">
      <c r="A1221" s="23">
        <v>35905</v>
      </c>
      <c r="B1221" s="25">
        <f>VLOOKUP(Table2634[[#This Row],[Date]],'DB Money Supply'!$A:$D,4)</f>
        <v>1079.4000000000001</v>
      </c>
      <c r="C1221" s="31">
        <f>(Table2634[[#This Row],[M1 Money Stock, Billions of Dollars, Weekly, Seasonally Adjusted]]-B1220)/B1220</f>
        <v>1.1129660545353788E-3</v>
      </c>
      <c r="D1221" s="35">
        <f>((1+Table2634[[#This Row],[Weekly change]])^52)-1</f>
        <v>5.9547629787414902E-2</v>
      </c>
      <c r="E1221" s="25">
        <f t="shared" si="18"/>
        <v>1075.375</v>
      </c>
      <c r="F1221" s="33">
        <f>(Table2634[[#This Row],[4 weeks average]]-B1169)/B1169</f>
        <v>1.0595808664599278E-2</v>
      </c>
    </row>
    <row r="1222" spans="1:6" x14ac:dyDescent="0.2">
      <c r="A1222" s="23">
        <v>35912</v>
      </c>
      <c r="B1222" s="25">
        <f>VLOOKUP(Table2634[[#This Row],[Date]],'DB Money Supply'!$A:$D,4)</f>
        <v>1068.5</v>
      </c>
      <c r="C1222" s="31">
        <f>(Table2634[[#This Row],[M1 Money Stock, Billions of Dollars, Weekly, Seasonally Adjusted]]-B1221)/B1221</f>
        <v>-1.009820270520668E-2</v>
      </c>
      <c r="D1222" s="35">
        <f>((1+Table2634[[#This Row],[Weekly change]])^52)-1</f>
        <v>-0.41008442298022796</v>
      </c>
      <c r="E1222" s="25">
        <f t="shared" si="18"/>
        <v>1076.3000000000002</v>
      </c>
      <c r="F1222" s="33">
        <f>(Table2634[[#This Row],[4 weeks average]]-B1170)/B1170</f>
        <v>1.9706300331596573E-2</v>
      </c>
    </row>
    <row r="1223" spans="1:6" x14ac:dyDescent="0.2">
      <c r="A1223" s="23">
        <v>35919</v>
      </c>
      <c r="B1223" s="25">
        <f>VLOOKUP(Table2634[[#This Row],[Date]],'DB Money Supply'!$A:$D,4)</f>
        <v>1078.9000000000001</v>
      </c>
      <c r="C1223" s="31">
        <f>(Table2634[[#This Row],[M1 Money Stock, Billions of Dollars, Weekly, Seasonally Adjusted]]-B1222)/B1222</f>
        <v>9.7332709405709792E-3</v>
      </c>
      <c r="D1223" s="35">
        <f>((1+Table2634[[#This Row],[Weekly change]])^52)-1</f>
        <v>0.65480438505317728</v>
      </c>
      <c r="E1223" s="25">
        <f t="shared" si="18"/>
        <v>1076.25</v>
      </c>
      <c r="F1223" s="33">
        <f>(Table2634[[#This Row],[4 weeks average]]-B1171)/B1171</f>
        <v>1.2750541074621204E-2</v>
      </c>
    </row>
    <row r="1224" spans="1:6" x14ac:dyDescent="0.2">
      <c r="A1224" s="23">
        <v>35926</v>
      </c>
      <c r="B1224" s="25">
        <f>VLOOKUP(Table2634[[#This Row],[Date]],'DB Money Supply'!$A:$D,4)</f>
        <v>1084.4000000000001</v>
      </c>
      <c r="C1224" s="31">
        <f>(Table2634[[#This Row],[M1 Money Stock, Billions of Dollars, Weekly, Seasonally Adjusted]]-B1223)/B1223</f>
        <v>5.0977847807952541E-3</v>
      </c>
      <c r="D1224" s="35">
        <f>((1+Table2634[[#This Row],[Weekly change]])^52)-1</f>
        <v>0.30266403265492725</v>
      </c>
      <c r="E1224" s="25">
        <f t="shared" si="18"/>
        <v>1077.8000000000002</v>
      </c>
      <c r="F1224" s="33">
        <f>(Table2634[[#This Row],[4 weeks average]]-B1172)/B1172</f>
        <v>9.8379087416848379E-3</v>
      </c>
    </row>
    <row r="1225" spans="1:6" x14ac:dyDescent="0.2">
      <c r="A1225" s="23">
        <v>35933</v>
      </c>
      <c r="B1225" s="25">
        <f>VLOOKUP(Table2634[[#This Row],[Date]],'DB Money Supply'!$A:$D,4)</f>
        <v>1081.2</v>
      </c>
      <c r="C1225" s="31">
        <f>(Table2634[[#This Row],[M1 Money Stock, Billions of Dollars, Weekly, Seasonally Adjusted]]-B1224)/B1224</f>
        <v>-2.9509406123202188E-3</v>
      </c>
      <c r="D1225" s="35">
        <f>((1+Table2634[[#This Row],[Weekly change]])^52)-1</f>
        <v>-0.14244997851947749</v>
      </c>
      <c r="E1225" s="25">
        <f t="shared" ref="E1225:E1288" si="19">AVERAGE(B1222:B1225)</f>
        <v>1078.25</v>
      </c>
      <c r="F1225" s="33">
        <f>(Table2634[[#This Row],[4 weeks average]]-B1173)/B1173</f>
        <v>1.406000188093675E-2</v>
      </c>
    </row>
    <row r="1226" spans="1:6" x14ac:dyDescent="0.2">
      <c r="A1226" s="23">
        <v>35940</v>
      </c>
      <c r="B1226" s="25">
        <f>VLOOKUP(Table2634[[#This Row],[Date]],'DB Money Supply'!$A:$D,4)</f>
        <v>1072.9000000000001</v>
      </c>
      <c r="C1226" s="31">
        <f>(Table2634[[#This Row],[M1 Money Stock, Billions of Dollars, Weekly, Seasonally Adjusted]]-B1225)/B1225</f>
        <v>-7.6766555678874897E-3</v>
      </c>
      <c r="D1226" s="35">
        <f>((1+Table2634[[#This Row],[Weekly change]])^52)-1</f>
        <v>-0.33016655261935179</v>
      </c>
      <c r="E1226" s="25">
        <f t="shared" si="19"/>
        <v>1079.3499999999999</v>
      </c>
      <c r="F1226" s="33">
        <f>(Table2634[[#This Row],[4 weeks average]]-B1174)/B1174</f>
        <v>1.7678672449556856E-2</v>
      </c>
    </row>
    <row r="1227" spans="1:6" x14ac:dyDescent="0.2">
      <c r="A1227" s="23">
        <v>35947</v>
      </c>
      <c r="B1227" s="25">
        <f>VLOOKUP(Table2634[[#This Row],[Date]],'DB Money Supply'!$A:$D,4)</f>
        <v>1077.5999999999999</v>
      </c>
      <c r="C1227" s="31">
        <f>(Table2634[[#This Row],[M1 Money Stock, Billions of Dollars, Weekly, Seasonally Adjusted]]-B1226)/B1226</f>
        <v>4.3806505732126178E-3</v>
      </c>
      <c r="D1227" s="35">
        <f>((1+Table2634[[#This Row],[Weekly change]])^52)-1</f>
        <v>0.25520177879902972</v>
      </c>
      <c r="E1227" s="25">
        <f t="shared" si="19"/>
        <v>1079.0250000000001</v>
      </c>
      <c r="F1227" s="33">
        <f>(Table2634[[#This Row],[4 weeks average]]-B1175)/B1175</f>
        <v>1.3073889775608097E-2</v>
      </c>
    </row>
    <row r="1228" spans="1:6" x14ac:dyDescent="0.2">
      <c r="A1228" s="23">
        <v>35954</v>
      </c>
      <c r="B1228" s="25">
        <f>VLOOKUP(Table2634[[#This Row],[Date]],'DB Money Supply'!$A:$D,4)</f>
        <v>1081</v>
      </c>
      <c r="C1228" s="31">
        <f>(Table2634[[#This Row],[M1 Money Stock, Billions of Dollars, Weekly, Seasonally Adjusted]]-B1227)/B1227</f>
        <v>3.1551596139570261E-3</v>
      </c>
      <c r="D1228" s="35">
        <f>((1+Table2634[[#This Row],[Weekly change]])^52)-1</f>
        <v>0.17799049005547674</v>
      </c>
      <c r="E1228" s="25">
        <f t="shared" si="19"/>
        <v>1078.1750000000002</v>
      </c>
      <c r="F1228" s="33">
        <f>(Table2634[[#This Row],[4 weeks average]]-B1176)/B1176</f>
        <v>5.4788771798938984E-3</v>
      </c>
    </row>
    <row r="1229" spans="1:6" x14ac:dyDescent="0.2">
      <c r="A1229" s="23">
        <v>35961</v>
      </c>
      <c r="B1229" s="25">
        <f>VLOOKUP(Table2634[[#This Row],[Date]],'DB Money Supply'!$A:$D,4)</f>
        <v>1083.8</v>
      </c>
      <c r="C1229" s="31">
        <f>(Table2634[[#This Row],[M1 Money Stock, Billions of Dollars, Weekly, Seasonally Adjusted]]-B1228)/B1228</f>
        <v>2.5901942645698006E-3</v>
      </c>
      <c r="D1229" s="35">
        <f>((1+Table2634[[#This Row],[Weekly change]])^52)-1</f>
        <v>0.14398292325997297</v>
      </c>
      <c r="E1229" s="25">
        <f t="shared" si="19"/>
        <v>1078.825</v>
      </c>
      <c r="F1229" s="33">
        <f>(Table2634[[#This Row],[4 weeks average]]-B1177)/B1177</f>
        <v>9.5685944226091488E-3</v>
      </c>
    </row>
    <row r="1230" spans="1:6" x14ac:dyDescent="0.2">
      <c r="A1230" s="23">
        <v>35968</v>
      </c>
      <c r="B1230" s="25">
        <f>VLOOKUP(Table2634[[#This Row],[Date]],'DB Money Supply'!$A:$D,4)</f>
        <v>1071.8</v>
      </c>
      <c r="C1230" s="31">
        <f>(Table2634[[#This Row],[M1 Money Stock, Billions of Dollars, Weekly, Seasonally Adjusted]]-B1229)/B1229</f>
        <v>-1.1072153533862338E-2</v>
      </c>
      <c r="D1230" s="35">
        <f>((1+Table2634[[#This Row],[Weekly change]])^52)-1</f>
        <v>-0.43952078252636739</v>
      </c>
      <c r="E1230" s="25">
        <f t="shared" si="19"/>
        <v>1078.55</v>
      </c>
      <c r="F1230" s="33">
        <f>(Table2634[[#This Row],[4 weeks average]]-B1178)/B1178</f>
        <v>1.5870773288122735E-2</v>
      </c>
    </row>
    <row r="1231" spans="1:6" x14ac:dyDescent="0.2">
      <c r="A1231" s="23">
        <v>35975</v>
      </c>
      <c r="B1231" s="25">
        <f>VLOOKUP(Table2634[[#This Row],[Date]],'DB Money Supply'!$A:$D,4)</f>
        <v>1066.9000000000001</v>
      </c>
      <c r="C1231" s="31">
        <f>(Table2634[[#This Row],[M1 Money Stock, Billions of Dollars, Weekly, Seasonally Adjusted]]-B1230)/B1230</f>
        <v>-4.5717484605335545E-3</v>
      </c>
      <c r="D1231" s="35">
        <f>((1+Table2634[[#This Row],[Weekly change]])^52)-1</f>
        <v>-0.21201482668657667</v>
      </c>
      <c r="E1231" s="25">
        <f t="shared" si="19"/>
        <v>1075.875</v>
      </c>
      <c r="F1231" s="33">
        <f>(Table2634[[#This Row],[4 weeks average]]-B1179)/B1179</f>
        <v>1.2969588550983987E-2</v>
      </c>
    </row>
    <row r="1232" spans="1:6" x14ac:dyDescent="0.2">
      <c r="A1232" s="23">
        <v>35982</v>
      </c>
      <c r="B1232" s="25">
        <f>VLOOKUP(Table2634[[#This Row],[Date]],'DB Money Supply'!$A:$D,4)</f>
        <v>1083.2</v>
      </c>
      <c r="C1232" s="31">
        <f>(Table2634[[#This Row],[M1 Money Stock, Billions of Dollars, Weekly, Seasonally Adjusted]]-B1231)/B1231</f>
        <v>1.5277907957634224E-2</v>
      </c>
      <c r="D1232" s="35">
        <f>((1+Table2634[[#This Row],[Weekly change]])^52)-1</f>
        <v>1.1999696173004559</v>
      </c>
      <c r="E1232" s="25">
        <f t="shared" si="19"/>
        <v>1076.425</v>
      </c>
      <c r="F1232" s="33">
        <f>(Table2634[[#This Row],[4 weeks average]]-B1180)/B1180</f>
        <v>1.015859609609614E-2</v>
      </c>
    </row>
    <row r="1233" spans="1:6" x14ac:dyDescent="0.2">
      <c r="A1233" s="23">
        <v>35989</v>
      </c>
      <c r="B1233" s="25">
        <f>VLOOKUP(Table2634[[#This Row],[Date]],'DB Money Supply'!$A:$D,4)</f>
        <v>1075</v>
      </c>
      <c r="C1233" s="31">
        <f>(Table2634[[#This Row],[M1 Money Stock, Billions of Dollars, Weekly, Seasonally Adjusted]]-B1232)/B1232</f>
        <v>-7.5701624815362311E-3</v>
      </c>
      <c r="D1233" s="35">
        <f>((1+Table2634[[#This Row],[Weekly change]])^52)-1</f>
        <v>-0.32641831288115086</v>
      </c>
      <c r="E1233" s="25">
        <f t="shared" si="19"/>
        <v>1074.2249999999999</v>
      </c>
      <c r="F1233" s="33">
        <f>(Table2634[[#This Row],[4 weeks average]]-B1181)/B1181</f>
        <v>4.6058168895538711E-3</v>
      </c>
    </row>
    <row r="1234" spans="1:6" x14ac:dyDescent="0.2">
      <c r="A1234" s="23">
        <v>35996</v>
      </c>
      <c r="B1234" s="25">
        <f>VLOOKUP(Table2634[[#This Row],[Date]],'DB Money Supply'!$A:$D,4)</f>
        <v>1072.7</v>
      </c>
      <c r="C1234" s="31">
        <f>(Table2634[[#This Row],[M1 Money Stock, Billions of Dollars, Weekly, Seasonally Adjusted]]-B1233)/B1233</f>
        <v>-2.1395348837208879E-3</v>
      </c>
      <c r="D1234" s="35">
        <f>((1+Table2634[[#This Row],[Weekly change]])^52)-1</f>
        <v>-0.10539679182655715</v>
      </c>
      <c r="E1234" s="25">
        <f t="shared" si="19"/>
        <v>1074.45</v>
      </c>
      <c r="F1234" s="33">
        <f>(Table2634[[#This Row],[4 weeks average]]-B1182)/B1182</f>
        <v>9.8214285714286146E-3</v>
      </c>
    </row>
    <row r="1235" spans="1:6" x14ac:dyDescent="0.2">
      <c r="A1235" s="23">
        <v>36003</v>
      </c>
      <c r="B1235" s="25">
        <f>VLOOKUP(Table2634[[#This Row],[Date]],'DB Money Supply'!$A:$D,4)</f>
        <v>1067.7</v>
      </c>
      <c r="C1235" s="31">
        <f>(Table2634[[#This Row],[M1 Money Stock, Billions of Dollars, Weekly, Seasonally Adjusted]]-B1234)/B1234</f>
        <v>-4.6611354525962524E-3</v>
      </c>
      <c r="D1235" s="35">
        <f>((1+Table2634[[#This Row],[Weekly change]])^52)-1</f>
        <v>-0.2156858879875202</v>
      </c>
      <c r="E1235" s="25">
        <f t="shared" si="19"/>
        <v>1074.6499999999999</v>
      </c>
      <c r="F1235" s="33">
        <f>(Table2634[[#This Row],[4 weeks average]]-B1183)/B1183</f>
        <v>1.3247218555534561E-2</v>
      </c>
    </row>
    <row r="1236" spans="1:6" x14ac:dyDescent="0.2">
      <c r="A1236" s="23">
        <v>36010</v>
      </c>
      <c r="B1236" s="25">
        <f>VLOOKUP(Table2634[[#This Row],[Date]],'DB Money Supply'!$A:$D,4)</f>
        <v>1079.8</v>
      </c>
      <c r="C1236" s="31">
        <f>(Table2634[[#This Row],[M1 Money Stock, Billions of Dollars, Weekly, Seasonally Adjusted]]-B1235)/B1235</f>
        <v>1.133277137772774E-2</v>
      </c>
      <c r="D1236" s="35">
        <f>((1+Table2634[[#This Row],[Weekly change]])^52)-1</f>
        <v>0.79676873270759163</v>
      </c>
      <c r="E1236" s="25">
        <f t="shared" si="19"/>
        <v>1073.8</v>
      </c>
      <c r="F1236" s="33">
        <f>(Table2634[[#This Row],[4 weeks average]]-B1184)/B1184</f>
        <v>2.614379084967278E-3</v>
      </c>
    </row>
    <row r="1237" spans="1:6" x14ac:dyDescent="0.2">
      <c r="A1237" s="23">
        <v>36017</v>
      </c>
      <c r="B1237" s="25">
        <f>VLOOKUP(Table2634[[#This Row],[Date]],'DB Money Supply'!$A:$D,4)</f>
        <v>1084.0999999999999</v>
      </c>
      <c r="C1237" s="31">
        <f>(Table2634[[#This Row],[M1 Money Stock, Billions of Dollars, Weekly, Seasonally Adjusted]]-B1236)/B1236</f>
        <v>3.982218929431334E-3</v>
      </c>
      <c r="D1237" s="35">
        <f>((1+Table2634[[#This Row],[Weekly change]])^52)-1</f>
        <v>0.22956957106796838</v>
      </c>
      <c r="E1237" s="25">
        <f t="shared" si="19"/>
        <v>1076.0749999999998</v>
      </c>
      <c r="F1237" s="33">
        <f>(Table2634[[#This Row],[4 weeks average]]-B1185)/B1185</f>
        <v>-3.818737270875974E-3</v>
      </c>
    </row>
    <row r="1238" spans="1:6" x14ac:dyDescent="0.2">
      <c r="A1238" s="23">
        <v>36024</v>
      </c>
      <c r="B1238" s="25">
        <f>VLOOKUP(Table2634[[#This Row],[Date]],'DB Money Supply'!$A:$D,4)</f>
        <v>1075.4000000000001</v>
      </c>
      <c r="C1238" s="31">
        <f>(Table2634[[#This Row],[M1 Money Stock, Billions of Dollars, Weekly, Seasonally Adjusted]]-B1237)/B1237</f>
        <v>-8.0250899363525675E-3</v>
      </c>
      <c r="D1238" s="35">
        <f>((1+Table2634[[#This Row],[Weekly change]])^52)-1</f>
        <v>-0.34228800639697599</v>
      </c>
      <c r="E1238" s="25">
        <f t="shared" si="19"/>
        <v>1076.75</v>
      </c>
      <c r="F1238" s="33">
        <f>(Table2634[[#This Row],[4 weeks average]]-B1186)/B1186</f>
        <v>3.2515793385350149E-4</v>
      </c>
    </row>
    <row r="1239" spans="1:6" x14ac:dyDescent="0.2">
      <c r="A1239" s="23">
        <v>36031</v>
      </c>
      <c r="B1239" s="25">
        <f>VLOOKUP(Table2634[[#This Row],[Date]],'DB Money Supply'!$A:$D,4)</f>
        <v>1072.4000000000001</v>
      </c>
      <c r="C1239" s="31">
        <f>(Table2634[[#This Row],[M1 Money Stock, Billions of Dollars, Weekly, Seasonally Adjusted]]-B1238)/B1238</f>
        <v>-2.7896596615212942E-3</v>
      </c>
      <c r="D1239" s="35">
        <f>((1+Table2634[[#This Row],[Weekly change]])^52)-1</f>
        <v>-0.13520692188259442</v>
      </c>
      <c r="E1239" s="25">
        <f t="shared" si="19"/>
        <v>1077.925</v>
      </c>
      <c r="F1239" s="33">
        <f>(Table2634[[#This Row],[4 weeks average]]-B1187)/B1187</f>
        <v>3.1875290832945134E-3</v>
      </c>
    </row>
    <row r="1240" spans="1:6" x14ac:dyDescent="0.2">
      <c r="A1240" s="23">
        <v>36038</v>
      </c>
      <c r="B1240" s="25">
        <f>VLOOKUP(Table2634[[#This Row],[Date]],'DB Money Supply'!$A:$D,4)</f>
        <v>1069.8</v>
      </c>
      <c r="C1240" s="31">
        <f>(Table2634[[#This Row],[M1 Money Stock, Billions of Dollars, Weekly, Seasonally Adjusted]]-B1239)/B1239</f>
        <v>-2.4244684819098622E-3</v>
      </c>
      <c r="D1240" s="35">
        <f>((1+Table2634[[#This Row],[Weekly change]])^52)-1</f>
        <v>-0.11858388009351339</v>
      </c>
      <c r="E1240" s="25">
        <f t="shared" si="19"/>
        <v>1075.425</v>
      </c>
      <c r="F1240" s="33">
        <f>(Table2634[[#This Row],[4 weeks average]]-B1188)/B1188</f>
        <v>3.2885530366637402E-3</v>
      </c>
    </row>
    <row r="1241" spans="1:6" x14ac:dyDescent="0.2">
      <c r="A1241" s="23">
        <v>36045</v>
      </c>
      <c r="B1241" s="25">
        <f>VLOOKUP(Table2634[[#This Row],[Date]],'DB Money Supply'!$A:$D,4)</f>
        <v>1076.2</v>
      </c>
      <c r="C1241" s="31">
        <f>(Table2634[[#This Row],[M1 Money Stock, Billions of Dollars, Weekly, Seasonally Adjusted]]-B1240)/B1240</f>
        <v>5.9824266217985526E-3</v>
      </c>
      <c r="D1241" s="35">
        <f>((1+Table2634[[#This Row],[Weekly change]])^52)-1</f>
        <v>0.36364239845105151</v>
      </c>
      <c r="E1241" s="25">
        <f t="shared" si="19"/>
        <v>1073.45</v>
      </c>
      <c r="F1241" s="33">
        <f>(Table2634[[#This Row],[4 weeks average]]-B1189)/B1189</f>
        <v>-3.8511507052708463E-3</v>
      </c>
    </row>
    <row r="1242" spans="1:6" x14ac:dyDescent="0.2">
      <c r="A1242" s="23">
        <v>36052</v>
      </c>
      <c r="B1242" s="25">
        <f>VLOOKUP(Table2634[[#This Row],[Date]],'DB Money Supply'!$A:$D,4)</f>
        <v>1083.9000000000001</v>
      </c>
      <c r="C1242" s="31">
        <f>(Table2634[[#This Row],[M1 Money Stock, Billions of Dollars, Weekly, Seasonally Adjusted]]-B1241)/B1241</f>
        <v>7.1548039397881852E-3</v>
      </c>
      <c r="D1242" s="35">
        <f>((1+Table2634[[#This Row],[Weekly change]])^52)-1</f>
        <v>0.44878481703942019</v>
      </c>
      <c r="E1242" s="25">
        <f t="shared" si="19"/>
        <v>1075.5749999999998</v>
      </c>
      <c r="F1242" s="33">
        <f>(Table2634[[#This Row],[4 weeks average]]-B1190)/B1190</f>
        <v>8.509142053445681E-3</v>
      </c>
    </row>
    <row r="1243" spans="1:6" x14ac:dyDescent="0.2">
      <c r="A1243" s="23">
        <v>36059</v>
      </c>
      <c r="B1243" s="25">
        <f>VLOOKUP(Table2634[[#This Row],[Date]],'DB Money Supply'!$A:$D,4)</f>
        <v>1083.4000000000001</v>
      </c>
      <c r="C1243" s="31">
        <f>(Table2634[[#This Row],[M1 Money Stock, Billions of Dollars, Weekly, Seasonally Adjusted]]-B1242)/B1242</f>
        <v>-4.612971676353907E-4</v>
      </c>
      <c r="D1243" s="35">
        <f>((1+Table2634[[#This Row],[Weekly change]])^52)-1</f>
        <v>-2.3707443615340162E-2</v>
      </c>
      <c r="E1243" s="25">
        <f t="shared" si="19"/>
        <v>1078.325</v>
      </c>
      <c r="F1243" s="33">
        <f>(Table2634[[#This Row],[4 weeks average]]-B1191)/B1191</f>
        <v>1.5180756919600828E-2</v>
      </c>
    </row>
    <row r="1244" spans="1:6" x14ac:dyDescent="0.2">
      <c r="A1244" s="23">
        <v>36066</v>
      </c>
      <c r="B1244" s="25">
        <f>VLOOKUP(Table2634[[#This Row],[Date]],'DB Money Supply'!$A:$D,4)</f>
        <v>1074.5</v>
      </c>
      <c r="C1244" s="31">
        <f>(Table2634[[#This Row],[M1 Money Stock, Billions of Dollars, Weekly, Seasonally Adjusted]]-B1243)/B1243</f>
        <v>-8.2148790843641229E-3</v>
      </c>
      <c r="D1244" s="35">
        <f>((1+Table2634[[#This Row],[Weekly change]])^52)-1</f>
        <v>-0.34879967899109632</v>
      </c>
      <c r="E1244" s="25">
        <f t="shared" si="19"/>
        <v>1079.5</v>
      </c>
      <c r="F1244" s="33">
        <f>(Table2634[[#This Row],[4 weeks average]]-B1192)/B1192</f>
        <v>1.8300160362230065E-2</v>
      </c>
    </row>
    <row r="1245" spans="1:6" x14ac:dyDescent="0.2">
      <c r="A1245" s="23">
        <v>36073</v>
      </c>
      <c r="B1245" s="25">
        <f>VLOOKUP(Table2634[[#This Row],[Date]],'DB Money Supply'!$A:$D,4)</f>
        <v>1084.2</v>
      </c>
      <c r="C1245" s="31">
        <f>(Table2634[[#This Row],[M1 Money Stock, Billions of Dollars, Weekly, Seasonally Adjusted]]-B1244)/B1244</f>
        <v>9.0274546300605357E-3</v>
      </c>
      <c r="D1245" s="35">
        <f>((1+Table2634[[#This Row],[Weekly change]])^52)-1</f>
        <v>0.59571424525524797</v>
      </c>
      <c r="E1245" s="25">
        <f t="shared" si="19"/>
        <v>1081.5</v>
      </c>
      <c r="F1245" s="33">
        <f>(Table2634[[#This Row],[4 weeks average]]-B1193)/B1193</f>
        <v>1.1882485029940163E-2</v>
      </c>
    </row>
    <row r="1246" spans="1:6" x14ac:dyDescent="0.2">
      <c r="A1246" s="23">
        <v>36080</v>
      </c>
      <c r="B1246" s="25">
        <f>VLOOKUP(Table2634[[#This Row],[Date]],'DB Money Supply'!$A:$D,4)</f>
        <v>1084</v>
      </c>
      <c r="C1246" s="31">
        <f>(Table2634[[#This Row],[M1 Money Stock, Billions of Dollars, Weekly, Seasonally Adjusted]]-B1245)/B1245</f>
        <v>-1.8446781036713289E-4</v>
      </c>
      <c r="D1246" s="35">
        <f>((1+Table2634[[#This Row],[Weekly change]])^52)-1</f>
        <v>-9.5473429282706412E-3</v>
      </c>
      <c r="E1246" s="25">
        <f t="shared" si="19"/>
        <v>1081.5250000000001</v>
      </c>
      <c r="F1246" s="33">
        <f>(Table2634[[#This Row],[4 weeks average]]-B1194)/B1194</f>
        <v>1.4278345681328086E-2</v>
      </c>
    </row>
    <row r="1247" spans="1:6" x14ac:dyDescent="0.2">
      <c r="A1247" s="23">
        <v>36087</v>
      </c>
      <c r="B1247" s="25">
        <f>VLOOKUP(Table2634[[#This Row],[Date]],'DB Money Supply'!$A:$D,4)</f>
        <v>1086.0999999999999</v>
      </c>
      <c r="C1247" s="31">
        <f>(Table2634[[#This Row],[M1 Money Stock, Billions of Dollars, Weekly, Seasonally Adjusted]]-B1246)/B1246</f>
        <v>1.937269372693643E-3</v>
      </c>
      <c r="D1247" s="35">
        <f>((1+Table2634[[#This Row],[Weekly change]])^52)-1</f>
        <v>0.1058790674946013</v>
      </c>
      <c r="E1247" s="25">
        <f t="shared" si="19"/>
        <v>1082.1999999999998</v>
      </c>
      <c r="F1247" s="33">
        <f>(Table2634[[#This Row],[4 weeks average]]-B1195)/B1195</f>
        <v>1.6627524659464366E-2</v>
      </c>
    </row>
    <row r="1248" spans="1:6" x14ac:dyDescent="0.2">
      <c r="A1248" s="23">
        <v>36094</v>
      </c>
      <c r="B1248" s="25">
        <f>VLOOKUP(Table2634[[#This Row],[Date]],'DB Money Supply'!$A:$D,4)</f>
        <v>1086.9000000000001</v>
      </c>
      <c r="C1248" s="31">
        <f>(Table2634[[#This Row],[M1 Money Stock, Billions of Dollars, Weekly, Seasonally Adjusted]]-B1247)/B1247</f>
        <v>7.3658042537536321E-4</v>
      </c>
      <c r="D1248" s="35">
        <f>((1+Table2634[[#This Row],[Weekly change]])^52)-1</f>
        <v>3.9030516508570923E-2</v>
      </c>
      <c r="E1248" s="25">
        <f t="shared" si="19"/>
        <v>1085.3</v>
      </c>
      <c r="F1248" s="33">
        <f>(Table2634[[#This Row],[4 weeks average]]-B1196)/B1196</f>
        <v>2.5125153490129316E-2</v>
      </c>
    </row>
    <row r="1249" spans="1:6" x14ac:dyDescent="0.2">
      <c r="A1249" s="23">
        <v>36101</v>
      </c>
      <c r="B1249" s="25">
        <f>VLOOKUP(Table2634[[#This Row],[Date]],'DB Money Supply'!$A:$D,4)</f>
        <v>1088.9000000000001</v>
      </c>
      <c r="C1249" s="31">
        <f>(Table2634[[#This Row],[M1 Money Stock, Billions of Dollars, Weekly, Seasonally Adjusted]]-B1248)/B1248</f>
        <v>1.8400956849756187E-3</v>
      </c>
      <c r="D1249" s="35">
        <f>((1+Table2634[[#This Row],[Weekly change]])^52)-1</f>
        <v>0.1003156010615347</v>
      </c>
      <c r="E1249" s="25">
        <f t="shared" si="19"/>
        <v>1086.4749999999999</v>
      </c>
      <c r="F1249" s="33">
        <f>(Table2634[[#This Row],[4 weeks average]]-B1197)/B1197</f>
        <v>1.2463889665455224E-2</v>
      </c>
    </row>
    <row r="1250" spans="1:6" x14ac:dyDescent="0.2">
      <c r="A1250" s="23">
        <v>36108</v>
      </c>
      <c r="B1250" s="25">
        <f>VLOOKUP(Table2634[[#This Row],[Date]],'DB Money Supply'!$A:$D,4)</f>
        <v>1096.0999999999999</v>
      </c>
      <c r="C1250" s="31">
        <f>(Table2634[[#This Row],[M1 Money Stock, Billions of Dollars, Weekly, Seasonally Adjusted]]-B1249)/B1249</f>
        <v>6.6121774267607842E-3</v>
      </c>
      <c r="D1250" s="35">
        <f>((1+Table2634[[#This Row],[Weekly change]])^52)-1</f>
        <v>0.40874814446698471</v>
      </c>
      <c r="E1250" s="25">
        <f t="shared" si="19"/>
        <v>1089.5</v>
      </c>
      <c r="F1250" s="33">
        <f>(Table2634[[#This Row],[4 weeks average]]-B1198)/B1198</f>
        <v>1.3111400409149997E-2</v>
      </c>
    </row>
    <row r="1251" spans="1:6" x14ac:dyDescent="0.2">
      <c r="A1251" s="23">
        <v>36115</v>
      </c>
      <c r="B1251" s="25">
        <f>VLOOKUP(Table2634[[#This Row],[Date]],'DB Money Supply'!$A:$D,4)</f>
        <v>1097.2</v>
      </c>
      <c r="C1251" s="31">
        <f>(Table2634[[#This Row],[M1 Money Stock, Billions of Dollars, Weekly, Seasonally Adjusted]]-B1250)/B1250</f>
        <v>1.003558069519329E-3</v>
      </c>
      <c r="D1251" s="35">
        <f>((1+Table2634[[#This Row],[Weekly change]])^52)-1</f>
        <v>5.3543086407803697E-2</v>
      </c>
      <c r="E1251" s="25">
        <f t="shared" si="19"/>
        <v>1092.2750000000001</v>
      </c>
      <c r="F1251" s="33">
        <f>(Table2634[[#This Row],[4 weeks average]]-B1199)/B1199</f>
        <v>2.0436285500747383E-2</v>
      </c>
    </row>
    <row r="1252" spans="1:6" x14ac:dyDescent="0.2">
      <c r="A1252" s="23">
        <v>36122</v>
      </c>
      <c r="B1252" s="25">
        <f>VLOOKUP(Table2634[[#This Row],[Date]],'DB Money Supply'!$A:$D,4)</f>
        <v>1092.4000000000001</v>
      </c>
      <c r="C1252" s="31">
        <f>(Table2634[[#This Row],[M1 Money Stock, Billions of Dollars, Weekly, Seasonally Adjusted]]-B1251)/B1251</f>
        <v>-4.374772147283954E-3</v>
      </c>
      <c r="D1252" s="35">
        <f>((1+Table2634[[#This Row],[Weekly change]])^52)-1</f>
        <v>-0.20386555936010686</v>
      </c>
      <c r="E1252" s="25">
        <f t="shared" si="19"/>
        <v>1093.6500000000001</v>
      </c>
      <c r="F1252" s="33">
        <f>(Table2634[[#This Row],[4 weeks average]]-B1200)/B1200</f>
        <v>2.5553263315828956E-2</v>
      </c>
    </row>
    <row r="1253" spans="1:6" x14ac:dyDescent="0.2">
      <c r="A1253" s="23">
        <v>36129</v>
      </c>
      <c r="B1253" s="25">
        <f>VLOOKUP(Table2634[[#This Row],[Date]],'DB Money Supply'!$A:$D,4)</f>
        <v>1096.0999999999999</v>
      </c>
      <c r="C1253" s="31">
        <f>(Table2634[[#This Row],[M1 Money Stock, Billions of Dollars, Weekly, Seasonally Adjusted]]-B1252)/B1252</f>
        <v>3.3870377151224988E-3</v>
      </c>
      <c r="D1253" s="35">
        <f>((1+Table2634[[#This Row],[Weekly change]])^52)-1</f>
        <v>0.19223340656411025</v>
      </c>
      <c r="E1253" s="25">
        <f t="shared" si="19"/>
        <v>1095.45</v>
      </c>
      <c r="F1253" s="33">
        <f>(Table2634[[#This Row],[4 weeks average]]-B1201)/B1201</f>
        <v>2.3402466367712961E-2</v>
      </c>
    </row>
    <row r="1254" spans="1:6" x14ac:dyDescent="0.2">
      <c r="A1254" s="23">
        <v>36136</v>
      </c>
      <c r="B1254" s="25">
        <f>VLOOKUP(Table2634[[#This Row],[Date]],'DB Money Supply'!$A:$D,4)</f>
        <v>1094.2</v>
      </c>
      <c r="C1254" s="31">
        <f>(Table2634[[#This Row],[M1 Money Stock, Billions of Dollars, Weekly, Seasonally Adjusted]]-B1253)/B1253</f>
        <v>-1.7334184837148653E-3</v>
      </c>
      <c r="D1254" s="35">
        <f>((1+Table2634[[#This Row],[Weekly change]])^52)-1</f>
        <v>-8.6266179503149965E-2</v>
      </c>
      <c r="E1254" s="25">
        <f t="shared" si="19"/>
        <v>1094.9750000000001</v>
      </c>
      <c r="F1254" s="33">
        <f>(Table2634[[#This Row],[4 weeks average]]-B1202)/B1202</f>
        <v>2.1241372878194449E-2</v>
      </c>
    </row>
    <row r="1255" spans="1:6" x14ac:dyDescent="0.2">
      <c r="A1255" s="23">
        <v>36143</v>
      </c>
      <c r="B1255" s="25">
        <f>VLOOKUP(Table2634[[#This Row],[Date]],'DB Money Supply'!$A:$D,4)</f>
        <v>1095.0999999999999</v>
      </c>
      <c r="C1255" s="31">
        <f>(Table2634[[#This Row],[M1 Money Stock, Billions of Dollars, Weekly, Seasonally Adjusted]]-B1254)/B1254</f>
        <v>8.2251873514884257E-4</v>
      </c>
      <c r="D1255" s="35">
        <f>((1+Table2634[[#This Row],[Weekly change]])^52)-1</f>
        <v>4.3680485141948555E-2</v>
      </c>
      <c r="E1255" s="25">
        <f t="shared" si="19"/>
        <v>1094.4499999999998</v>
      </c>
      <c r="F1255" s="33">
        <f>(Table2634[[#This Row],[4 weeks average]]-B1203)/B1203</f>
        <v>2.0085748904837102E-2</v>
      </c>
    </row>
    <row r="1256" spans="1:6" x14ac:dyDescent="0.2">
      <c r="A1256" s="23">
        <v>36150</v>
      </c>
      <c r="B1256" s="25">
        <f>VLOOKUP(Table2634[[#This Row],[Date]],'DB Money Supply'!$A:$D,4)</f>
        <v>1094.5</v>
      </c>
      <c r="C1256" s="31">
        <f>(Table2634[[#This Row],[M1 Money Stock, Billions of Dollars, Weekly, Seasonally Adjusted]]-B1255)/B1255</f>
        <v>-5.4789516939084018E-4</v>
      </c>
      <c r="D1256" s="35">
        <f>((1+Table2634[[#This Row],[Weekly change]])^52)-1</f>
        <v>-2.8096108606333048E-2</v>
      </c>
      <c r="E1256" s="25">
        <f t="shared" si="19"/>
        <v>1094.9749999999999</v>
      </c>
      <c r="F1256" s="33">
        <f>(Table2634[[#This Row],[4 weeks average]]-B1204)/B1204</f>
        <v>2.2767606949374186E-2</v>
      </c>
    </row>
    <row r="1257" spans="1:6" x14ac:dyDescent="0.2">
      <c r="A1257" s="23">
        <v>36157</v>
      </c>
      <c r="B1257" s="25">
        <f>VLOOKUP(Table2634[[#This Row],[Date]],'DB Money Supply'!$A:$D,4)</f>
        <v>1091.5999999999999</v>
      </c>
      <c r="C1257" s="31">
        <f>(Table2634[[#This Row],[M1 Money Stock, Billions of Dollars, Weekly, Seasonally Adjusted]]-B1256)/B1256</f>
        <v>-2.6496116948379086E-3</v>
      </c>
      <c r="D1257" s="35">
        <f>((1+Table2634[[#This Row],[Weekly change]])^52)-1</f>
        <v>-0.12886878316875627</v>
      </c>
      <c r="E1257" s="25">
        <f t="shared" si="19"/>
        <v>1093.8499999999999</v>
      </c>
      <c r="F1257" s="33">
        <f>(Table2634[[#This Row],[4 weeks average]]-B1205)/B1205</f>
        <v>2.0953892103789264E-2</v>
      </c>
    </row>
    <row r="1258" spans="1:6" x14ac:dyDescent="0.2">
      <c r="A1258" s="23">
        <v>36164</v>
      </c>
      <c r="B1258" s="25">
        <f>VLOOKUP(Table2634[[#This Row],[Date]],'DB Money Supply'!$A:$D,4)</f>
        <v>1107.0999999999999</v>
      </c>
      <c r="C1258" s="31">
        <f>(Table2634[[#This Row],[M1 Money Stock, Billions of Dollars, Weekly, Seasonally Adjusted]]-B1257)/B1257</f>
        <v>1.4199340417735436E-2</v>
      </c>
      <c r="D1258" s="35">
        <f>((1+Table2634[[#This Row],[Weekly change]])^52)-1</f>
        <v>1.0816745660132279</v>
      </c>
      <c r="E1258" s="25">
        <f t="shared" si="19"/>
        <v>1097.0749999999998</v>
      </c>
      <c r="F1258" s="33">
        <f>(Table2634[[#This Row],[4 weeks average]]-B1206)/B1206</f>
        <v>1.4964381533906676E-2</v>
      </c>
    </row>
    <row r="1259" spans="1:6" x14ac:dyDescent="0.2">
      <c r="A1259" s="23">
        <v>36171</v>
      </c>
      <c r="B1259" s="25">
        <f>VLOOKUP(Table2634[[#This Row],[Date]],'DB Money Supply'!$A:$D,4)</f>
        <v>1102.7</v>
      </c>
      <c r="C1259" s="31">
        <f>(Table2634[[#This Row],[M1 Money Stock, Billions of Dollars, Weekly, Seasonally Adjusted]]-B1258)/B1258</f>
        <v>-3.9743473940925516E-3</v>
      </c>
      <c r="D1259" s="35">
        <f>((1+Table2634[[#This Row],[Weekly change]])^52)-1</f>
        <v>-0.18704363075601749</v>
      </c>
      <c r="E1259" s="25">
        <f t="shared" si="19"/>
        <v>1098.9749999999999</v>
      </c>
      <c r="F1259" s="33">
        <f>(Table2634[[#This Row],[4 weeks average]]-B1207)/B1207</f>
        <v>1.9457328385899732E-2</v>
      </c>
    </row>
    <row r="1260" spans="1:6" x14ac:dyDescent="0.2">
      <c r="A1260" s="23">
        <v>36178</v>
      </c>
      <c r="B1260" s="25">
        <f>VLOOKUP(Table2634[[#This Row],[Date]],'DB Money Supply'!$A:$D,4)</f>
        <v>1095.3</v>
      </c>
      <c r="C1260" s="31">
        <f>(Table2634[[#This Row],[M1 Money Stock, Billions of Dollars, Weekly, Seasonally Adjusted]]-B1259)/B1259</f>
        <v>-6.7108007617666552E-3</v>
      </c>
      <c r="D1260" s="35">
        <f>((1+Table2634[[#This Row],[Weekly change]])^52)-1</f>
        <v>-0.29540901709001832</v>
      </c>
      <c r="E1260" s="25">
        <f t="shared" si="19"/>
        <v>1099.175</v>
      </c>
      <c r="F1260" s="33">
        <f>(Table2634[[#This Row],[4 weeks average]]-B1208)/B1208</f>
        <v>2.6978417266187053E-2</v>
      </c>
    </row>
    <row r="1261" spans="1:6" x14ac:dyDescent="0.2">
      <c r="A1261" s="23">
        <v>36185</v>
      </c>
      <c r="B1261" s="25">
        <f>VLOOKUP(Table2634[[#This Row],[Date]],'DB Money Supply'!$A:$D,4)</f>
        <v>1093.9000000000001</v>
      </c>
      <c r="C1261" s="31">
        <f>(Table2634[[#This Row],[M1 Money Stock, Billions of Dollars, Weekly, Seasonally Adjusted]]-B1260)/B1260</f>
        <v>-1.2781886241211209E-3</v>
      </c>
      <c r="D1261" s="35">
        <f>((1+Table2634[[#This Row],[Weekly change]])^52)-1</f>
        <v>-6.434487126477384E-2</v>
      </c>
      <c r="E1261" s="25">
        <f t="shared" si="19"/>
        <v>1099.75</v>
      </c>
      <c r="F1261" s="33">
        <f>(Table2634[[#This Row],[4 weeks average]]-B1209)/B1209</f>
        <v>2.6939957045475679E-2</v>
      </c>
    </row>
    <row r="1262" spans="1:6" x14ac:dyDescent="0.2">
      <c r="A1262" s="23">
        <v>36192</v>
      </c>
      <c r="B1262" s="25">
        <f>VLOOKUP(Table2634[[#This Row],[Date]],'DB Money Supply'!$A:$D,4)</f>
        <v>1096.7</v>
      </c>
      <c r="C1262" s="31">
        <f>(Table2634[[#This Row],[M1 Money Stock, Billions of Dollars, Weekly, Seasonally Adjusted]]-B1261)/B1261</f>
        <v>2.5596489624279679E-3</v>
      </c>
      <c r="D1262" s="35">
        <f>((1+Table2634[[#This Row],[Weekly change]])^52)-1</f>
        <v>0.14217197310093188</v>
      </c>
      <c r="E1262" s="25">
        <f t="shared" si="19"/>
        <v>1097.1500000000001</v>
      </c>
      <c r="F1262" s="33">
        <f>(Table2634[[#This Row],[4 weeks average]]-B1210)/B1210</f>
        <v>2.3269912329789259E-2</v>
      </c>
    </row>
    <row r="1263" spans="1:6" x14ac:dyDescent="0.2">
      <c r="A1263" s="23">
        <v>36199</v>
      </c>
      <c r="B1263" s="25">
        <f>VLOOKUP(Table2634[[#This Row],[Date]],'DB Money Supply'!$A:$D,4)</f>
        <v>1095.4000000000001</v>
      </c>
      <c r="C1263" s="31">
        <f>(Table2634[[#This Row],[M1 Money Stock, Billions of Dollars, Weekly, Seasonally Adjusted]]-B1262)/B1262</f>
        <v>-1.1853743047323373E-3</v>
      </c>
      <c r="D1263" s="35">
        <f>((1+Table2634[[#This Row],[Weekly change]])^52)-1</f>
        <v>-5.9812565941080198E-2</v>
      </c>
      <c r="E1263" s="25">
        <f t="shared" si="19"/>
        <v>1095.3249999999998</v>
      </c>
      <c r="F1263" s="33">
        <f>(Table2634[[#This Row],[4 weeks average]]-B1211)/B1211</f>
        <v>1.4095917044717998E-2</v>
      </c>
    </row>
    <row r="1264" spans="1:6" x14ac:dyDescent="0.2">
      <c r="A1264" s="23">
        <v>36206</v>
      </c>
      <c r="B1264" s="25">
        <f>VLOOKUP(Table2634[[#This Row],[Date]],'DB Money Supply'!$A:$D,4)</f>
        <v>1097.4000000000001</v>
      </c>
      <c r="C1264" s="31">
        <f>(Table2634[[#This Row],[M1 Money Stock, Billions of Dollars, Weekly, Seasonally Adjusted]]-B1263)/B1263</f>
        <v>1.825817053131276E-3</v>
      </c>
      <c r="D1264" s="35">
        <f>((1+Table2634[[#This Row],[Weekly change]])^52)-1</f>
        <v>9.9500425837021567E-2</v>
      </c>
      <c r="E1264" s="25">
        <f t="shared" si="19"/>
        <v>1095.8500000000001</v>
      </c>
      <c r="F1264" s="33">
        <f>(Table2634[[#This Row],[4 weeks average]]-B1212)/B1212</f>
        <v>1.7124559123816635E-2</v>
      </c>
    </row>
    <row r="1265" spans="1:6" x14ac:dyDescent="0.2">
      <c r="A1265" s="23">
        <v>36213</v>
      </c>
      <c r="B1265" s="25">
        <f>VLOOKUP(Table2634[[#This Row],[Date]],'DB Money Supply'!$A:$D,4)</f>
        <v>1099.8</v>
      </c>
      <c r="C1265" s="31">
        <f>(Table2634[[#This Row],[M1 Money Stock, Billions of Dollars, Weekly, Seasonally Adjusted]]-B1264)/B1264</f>
        <v>2.1869874248221827E-3</v>
      </c>
      <c r="D1265" s="35">
        <f>((1+Table2634[[#This Row],[Weekly change]])^52)-1</f>
        <v>0.12030298533135553</v>
      </c>
      <c r="E1265" s="25">
        <f t="shared" si="19"/>
        <v>1097.325</v>
      </c>
      <c r="F1265" s="33">
        <f>(Table2634[[#This Row],[4 weeks average]]-B1213)/B1213</f>
        <v>1.906110698365536E-2</v>
      </c>
    </row>
    <row r="1266" spans="1:6" x14ac:dyDescent="0.2">
      <c r="A1266" s="23">
        <v>36220</v>
      </c>
      <c r="B1266" s="25">
        <f>VLOOKUP(Table2634[[#This Row],[Date]],'DB Money Supply'!$A:$D,4)</f>
        <v>1095.0999999999999</v>
      </c>
      <c r="C1266" s="31">
        <f>(Table2634[[#This Row],[M1 Money Stock, Billions of Dollars, Weekly, Seasonally Adjusted]]-B1265)/B1265</f>
        <v>-4.2735042735043147E-3</v>
      </c>
      <c r="D1266" s="35">
        <f>((1+Table2634[[#This Row],[Weekly change]])^52)-1</f>
        <v>-0.19964381022492717</v>
      </c>
      <c r="E1266" s="25">
        <f t="shared" si="19"/>
        <v>1096.9250000000002</v>
      </c>
      <c r="F1266" s="33">
        <f>(Table2634[[#This Row],[4 weeks average]]-B1214)/B1214</f>
        <v>1.6330028722320235E-2</v>
      </c>
    </row>
    <row r="1267" spans="1:6" x14ac:dyDescent="0.2">
      <c r="A1267" s="23">
        <v>36227</v>
      </c>
      <c r="B1267" s="25">
        <f>VLOOKUP(Table2634[[#This Row],[Date]],'DB Money Supply'!$A:$D,4)</f>
        <v>1098.5999999999999</v>
      </c>
      <c r="C1267" s="31">
        <f>(Table2634[[#This Row],[M1 Money Stock, Billions of Dollars, Weekly, Seasonally Adjusted]]-B1266)/B1266</f>
        <v>3.1960551547803857E-3</v>
      </c>
      <c r="D1267" s="35">
        <f>((1+Table2634[[#This Row],[Weekly change]])^52)-1</f>
        <v>0.18049028576508719</v>
      </c>
      <c r="E1267" s="25">
        <f t="shared" si="19"/>
        <v>1097.7249999999999</v>
      </c>
      <c r="F1267" s="33">
        <f>(Table2634[[#This Row],[4 weeks average]]-B1215)/B1215</f>
        <v>1.098268557745437E-2</v>
      </c>
    </row>
    <row r="1268" spans="1:6" x14ac:dyDescent="0.2">
      <c r="A1268" s="23">
        <v>36234</v>
      </c>
      <c r="B1268" s="25">
        <f>VLOOKUP(Table2634[[#This Row],[Date]],'DB Money Supply'!$A:$D,4)</f>
        <v>1097.5999999999999</v>
      </c>
      <c r="C1268" s="31">
        <f>(Table2634[[#This Row],[M1 Money Stock, Billions of Dollars, Weekly, Seasonally Adjusted]]-B1267)/B1267</f>
        <v>-9.1024940833788468E-4</v>
      </c>
      <c r="D1268" s="35">
        <f>((1+Table2634[[#This Row],[Weekly change]])^52)-1</f>
        <v>-4.6250790024452204E-2</v>
      </c>
      <c r="E1268" s="25">
        <f t="shared" si="19"/>
        <v>1097.7749999999999</v>
      </c>
      <c r="F1268" s="33">
        <f>(Table2634[[#This Row],[4 weeks average]]-B1216)/B1216</f>
        <v>1.4860867153554421E-2</v>
      </c>
    </row>
    <row r="1269" spans="1:6" x14ac:dyDescent="0.2">
      <c r="A1269" s="23">
        <v>36241</v>
      </c>
      <c r="B1269" s="25">
        <f>VLOOKUP(Table2634[[#This Row],[Date]],'DB Money Supply'!$A:$D,4)</f>
        <v>1097.3</v>
      </c>
      <c r="C1269" s="31">
        <f>(Table2634[[#This Row],[M1 Money Stock, Billions of Dollars, Weekly, Seasonally Adjusted]]-B1268)/B1268</f>
        <v>-2.7332361516030845E-4</v>
      </c>
      <c r="D1269" s="35">
        <f>((1+Table2634[[#This Row],[Weekly change]])^52)-1</f>
        <v>-1.4114217849219846E-2</v>
      </c>
      <c r="E1269" s="25">
        <f t="shared" si="19"/>
        <v>1097.1499999999999</v>
      </c>
      <c r="F1269" s="33">
        <f>(Table2634[[#This Row],[4 weeks average]]-B1217)/B1217</f>
        <v>2.1174609084139772E-2</v>
      </c>
    </row>
    <row r="1270" spans="1:6" x14ac:dyDescent="0.2">
      <c r="A1270" s="23">
        <v>36248</v>
      </c>
      <c r="B1270" s="25">
        <f>VLOOKUP(Table2634[[#This Row],[Date]],'DB Money Supply'!$A:$D,4)</f>
        <v>1093.8</v>
      </c>
      <c r="C1270" s="31">
        <f>(Table2634[[#This Row],[M1 Money Stock, Billions of Dollars, Weekly, Seasonally Adjusted]]-B1269)/B1269</f>
        <v>-3.1896473161396157E-3</v>
      </c>
      <c r="D1270" s="35">
        <f>((1+Table2634[[#This Row],[Weekly change]])^52)-1</f>
        <v>-0.15306111735054417</v>
      </c>
      <c r="E1270" s="25">
        <f t="shared" si="19"/>
        <v>1096.825</v>
      </c>
      <c r="F1270" s="33">
        <f>(Table2634[[#This Row],[4 weeks average]]-B1218)/B1218</f>
        <v>3.0076070623591373E-2</v>
      </c>
    </row>
    <row r="1271" spans="1:6" x14ac:dyDescent="0.2">
      <c r="A1271" s="23">
        <v>36255</v>
      </c>
      <c r="B1271" s="25">
        <f>VLOOKUP(Table2634[[#This Row],[Date]],'DB Money Supply'!$A:$D,4)</f>
        <v>1101.5</v>
      </c>
      <c r="C1271" s="31">
        <f>(Table2634[[#This Row],[M1 Money Stock, Billions of Dollars, Weekly, Seasonally Adjusted]]-B1270)/B1270</f>
        <v>7.0396781861401039E-3</v>
      </c>
      <c r="D1271" s="35">
        <f>((1+Table2634[[#This Row],[Weekly change]])^52)-1</f>
        <v>0.44019827797275624</v>
      </c>
      <c r="E1271" s="25">
        <f t="shared" si="19"/>
        <v>1097.55</v>
      </c>
      <c r="F1271" s="33">
        <f>(Table2634[[#This Row],[4 weeks average]]-B1219)/B1219</f>
        <v>1.7097581317764846E-2</v>
      </c>
    </row>
    <row r="1272" spans="1:6" x14ac:dyDescent="0.2">
      <c r="A1272" s="23">
        <v>36262</v>
      </c>
      <c r="B1272" s="25">
        <f>VLOOKUP(Table2634[[#This Row],[Date]],'DB Money Supply'!$A:$D,4)</f>
        <v>1104.2</v>
      </c>
      <c r="C1272" s="31">
        <f>(Table2634[[#This Row],[M1 Money Stock, Billions of Dollars, Weekly, Seasonally Adjusted]]-B1271)/B1271</f>
        <v>2.4512029051294102E-3</v>
      </c>
      <c r="D1272" s="35">
        <f>((1+Table2634[[#This Row],[Weekly change]])^52)-1</f>
        <v>0.13576517591910586</v>
      </c>
      <c r="E1272" s="25">
        <f t="shared" si="19"/>
        <v>1099.2</v>
      </c>
      <c r="F1272" s="33">
        <f>(Table2634[[#This Row],[4 weeks average]]-B1220)/B1220</f>
        <v>1.9476905954368393E-2</v>
      </c>
    </row>
    <row r="1273" spans="1:6" x14ac:dyDescent="0.2">
      <c r="A1273" s="23">
        <v>36269</v>
      </c>
      <c r="B1273" s="25">
        <f>VLOOKUP(Table2634[[#This Row],[Date]],'DB Money Supply'!$A:$D,4)</f>
        <v>1099.5</v>
      </c>
      <c r="C1273" s="31">
        <f>(Table2634[[#This Row],[M1 Money Stock, Billions of Dollars, Weekly, Seasonally Adjusted]]-B1272)/B1272</f>
        <v>-4.2564752762181178E-3</v>
      </c>
      <c r="D1273" s="35">
        <f>((1+Table2634[[#This Row],[Weekly change]])^52)-1</f>
        <v>-0.19893173631421512</v>
      </c>
      <c r="E1273" s="25">
        <f t="shared" si="19"/>
        <v>1099.75</v>
      </c>
      <c r="F1273" s="33">
        <f>(Table2634[[#This Row],[4 weeks average]]-B1221)/B1221</f>
        <v>1.8853066518436084E-2</v>
      </c>
    </row>
    <row r="1274" spans="1:6" x14ac:dyDescent="0.2">
      <c r="A1274" s="23">
        <v>36276</v>
      </c>
      <c r="B1274" s="25">
        <f>VLOOKUP(Table2634[[#This Row],[Date]],'DB Money Supply'!$A:$D,4)</f>
        <v>1095.0999999999999</v>
      </c>
      <c r="C1274" s="31">
        <f>(Table2634[[#This Row],[M1 Money Stock, Billions of Dollars, Weekly, Seasonally Adjusted]]-B1273)/B1273</f>
        <v>-4.0018190086403733E-3</v>
      </c>
      <c r="D1274" s="35">
        <f>((1+Table2634[[#This Row],[Weekly change]])^52)-1</f>
        <v>-0.18820877267253799</v>
      </c>
      <c r="E1274" s="25">
        <f t="shared" si="19"/>
        <v>1100.0749999999998</v>
      </c>
      <c r="F1274" s="33">
        <f>(Table2634[[#This Row],[4 weeks average]]-B1222)/B1222</f>
        <v>2.9550772110435018E-2</v>
      </c>
    </row>
    <row r="1275" spans="1:6" x14ac:dyDescent="0.2">
      <c r="A1275" s="23">
        <v>36283</v>
      </c>
      <c r="B1275" s="25">
        <f>VLOOKUP(Table2634[[#This Row],[Date]],'DB Money Supply'!$A:$D,4)</f>
        <v>1109.2</v>
      </c>
      <c r="C1275" s="31">
        <f>(Table2634[[#This Row],[M1 Money Stock, Billions of Dollars, Weekly, Seasonally Adjusted]]-B1274)/B1274</f>
        <v>1.287553648068682E-2</v>
      </c>
      <c r="D1275" s="35">
        <f>((1+Table2634[[#This Row],[Weekly change]])^52)-1</f>
        <v>0.94498502131097983</v>
      </c>
      <c r="E1275" s="25">
        <f t="shared" si="19"/>
        <v>1102</v>
      </c>
      <c r="F1275" s="33">
        <f>(Table2634[[#This Row],[4 weeks average]]-B1223)/B1223</f>
        <v>2.1410696079339982E-2</v>
      </c>
    </row>
    <row r="1276" spans="1:6" x14ac:dyDescent="0.2">
      <c r="A1276" s="23">
        <v>36290</v>
      </c>
      <c r="B1276" s="25">
        <f>VLOOKUP(Table2634[[#This Row],[Date]],'DB Money Supply'!$A:$D,4)</f>
        <v>1109.9000000000001</v>
      </c>
      <c r="C1276" s="31">
        <f>(Table2634[[#This Row],[M1 Money Stock, Billions of Dollars, Weekly, Seasonally Adjusted]]-B1275)/B1275</f>
        <v>6.3108546700328661E-4</v>
      </c>
      <c r="D1276" s="35">
        <f>((1+Table2634[[#This Row],[Weekly change]])^52)-1</f>
        <v>3.3350146656128565E-2</v>
      </c>
      <c r="E1276" s="25">
        <f t="shared" si="19"/>
        <v>1103.4250000000002</v>
      </c>
      <c r="F1276" s="33">
        <f>(Table2634[[#This Row],[4 weeks average]]-B1224)/B1224</f>
        <v>1.7544264109184884E-2</v>
      </c>
    </row>
    <row r="1277" spans="1:6" x14ac:dyDescent="0.2">
      <c r="A1277" s="23">
        <v>36297</v>
      </c>
      <c r="B1277" s="25">
        <f>VLOOKUP(Table2634[[#This Row],[Date]],'DB Money Supply'!$A:$D,4)</f>
        <v>1102.9000000000001</v>
      </c>
      <c r="C1277" s="31">
        <f>(Table2634[[#This Row],[M1 Money Stock, Billions of Dollars, Weekly, Seasonally Adjusted]]-B1276)/B1276</f>
        <v>-6.3068744931975848E-3</v>
      </c>
      <c r="D1277" s="35">
        <f>((1+Table2634[[#This Row],[Weekly change]])^52)-1</f>
        <v>-0.28035413057032854</v>
      </c>
      <c r="E1277" s="25">
        <f t="shared" si="19"/>
        <v>1104.2750000000001</v>
      </c>
      <c r="F1277" s="33">
        <f>(Table2634[[#This Row],[4 weeks average]]-B1225)/B1225</f>
        <v>2.1342027376988572E-2</v>
      </c>
    </row>
    <row r="1278" spans="1:6" x14ac:dyDescent="0.2">
      <c r="A1278" s="23">
        <v>36304</v>
      </c>
      <c r="B1278" s="25">
        <f>VLOOKUP(Table2634[[#This Row],[Date]],'DB Money Supply'!$A:$D,4)</f>
        <v>1099.3</v>
      </c>
      <c r="C1278" s="31">
        <f>(Table2634[[#This Row],[M1 Money Stock, Billions of Dollars, Weekly, Seasonally Adjusted]]-B1277)/B1277</f>
        <v>-3.2641218605495839E-3</v>
      </c>
      <c r="D1278" s="35">
        <f>((1+Table2634[[#This Row],[Weekly change]])^52)-1</f>
        <v>-0.15634527173424539</v>
      </c>
      <c r="E1278" s="25">
        <f t="shared" si="19"/>
        <v>1105.325</v>
      </c>
      <c r="F1278" s="33">
        <f>(Table2634[[#This Row],[4 weeks average]]-B1226)/B1226</f>
        <v>3.0221828688600943E-2</v>
      </c>
    </row>
    <row r="1279" spans="1:6" x14ac:dyDescent="0.2">
      <c r="A1279" s="23">
        <v>36311</v>
      </c>
      <c r="B1279" s="25">
        <f>VLOOKUP(Table2634[[#This Row],[Date]],'DB Money Supply'!$A:$D,4)</f>
        <v>1099.2</v>
      </c>
      <c r="C1279" s="31">
        <f>(Table2634[[#This Row],[M1 Money Stock, Billions of Dollars, Weekly, Seasonally Adjusted]]-B1278)/B1278</f>
        <v>-9.096697898654512E-5</v>
      </c>
      <c r="D1279" s="35">
        <f>((1+Table2634[[#This Row],[Weekly change]])^52)-1</f>
        <v>-4.7193268861577264E-3</v>
      </c>
      <c r="E1279" s="25">
        <f t="shared" si="19"/>
        <v>1102.825</v>
      </c>
      <c r="F1279" s="33">
        <f>(Table2634[[#This Row],[4 weeks average]]-B1227)/B1227</f>
        <v>2.3408500371195379E-2</v>
      </c>
    </row>
    <row r="1280" spans="1:6" x14ac:dyDescent="0.2">
      <c r="A1280" s="23">
        <v>36318</v>
      </c>
      <c r="B1280" s="25">
        <f>VLOOKUP(Table2634[[#This Row],[Date]],'DB Money Supply'!$A:$D,4)</f>
        <v>1100.5999999999999</v>
      </c>
      <c r="C1280" s="31">
        <f>(Table2634[[#This Row],[M1 Money Stock, Billions of Dollars, Weekly, Seasonally Adjusted]]-B1279)/B1279</f>
        <v>1.2736535662298612E-3</v>
      </c>
      <c r="D1280" s="35">
        <f>((1+Table2634[[#This Row],[Weekly change]])^52)-1</f>
        <v>6.8427396200099633E-2</v>
      </c>
      <c r="E1280" s="25">
        <f t="shared" si="19"/>
        <v>1100.5</v>
      </c>
      <c r="F1280" s="33">
        <f>(Table2634[[#This Row],[4 weeks average]]-B1228)/B1228</f>
        <v>1.8038852913968548E-2</v>
      </c>
    </row>
    <row r="1281" spans="1:6" x14ac:dyDescent="0.2">
      <c r="A1281" s="23">
        <v>36325</v>
      </c>
      <c r="B1281" s="25">
        <f>VLOOKUP(Table2634[[#This Row],[Date]],'DB Money Supply'!$A:$D,4)</f>
        <v>1103.0999999999999</v>
      </c>
      <c r="C1281" s="31">
        <f>(Table2634[[#This Row],[M1 Money Stock, Billions of Dollars, Weekly, Seasonally Adjusted]]-B1280)/B1280</f>
        <v>2.2714882791204801E-3</v>
      </c>
      <c r="D1281" s="35">
        <f>((1+Table2634[[#This Row],[Weekly change]])^52)-1</f>
        <v>0.12522547993577593</v>
      </c>
      <c r="E1281" s="25">
        <f t="shared" si="19"/>
        <v>1100.55</v>
      </c>
      <c r="F1281" s="33">
        <f>(Table2634[[#This Row],[4 weeks average]]-B1229)/B1229</f>
        <v>1.5454880974349511E-2</v>
      </c>
    </row>
    <row r="1282" spans="1:6" x14ac:dyDescent="0.2">
      <c r="A1282" s="23">
        <v>36332</v>
      </c>
      <c r="B1282" s="25">
        <f>VLOOKUP(Table2634[[#This Row],[Date]],'DB Money Supply'!$A:$D,4)</f>
        <v>1101.5999999999999</v>
      </c>
      <c r="C1282" s="31">
        <f>(Table2634[[#This Row],[M1 Money Stock, Billions of Dollars, Weekly, Seasonally Adjusted]]-B1281)/B1281</f>
        <v>-1.3598041881968997E-3</v>
      </c>
      <c r="D1282" s="35">
        <f>((1+Table2634[[#This Row],[Weekly change]])^52)-1</f>
        <v>-6.8312608275907682E-2</v>
      </c>
      <c r="E1282" s="25">
        <f t="shared" si="19"/>
        <v>1101.125</v>
      </c>
      <c r="F1282" s="33">
        <f>(Table2634[[#This Row],[4 weeks average]]-B1230)/B1230</f>
        <v>2.736051502145927E-2</v>
      </c>
    </row>
    <row r="1283" spans="1:6" x14ac:dyDescent="0.2">
      <c r="A1283" s="23">
        <v>36339</v>
      </c>
      <c r="B1283" s="25">
        <f>VLOOKUP(Table2634[[#This Row],[Date]],'DB Money Supply'!$A:$D,4)</f>
        <v>1095.0999999999999</v>
      </c>
      <c r="C1283" s="31">
        <f>(Table2634[[#This Row],[M1 Money Stock, Billions of Dollars, Weekly, Seasonally Adjusted]]-B1282)/B1282</f>
        <v>-5.900508351488744E-3</v>
      </c>
      <c r="D1283" s="35">
        <f>((1+Table2634[[#This Row],[Weekly change]])^52)-1</f>
        <v>-0.26489007042262891</v>
      </c>
      <c r="E1283" s="25">
        <f t="shared" si="19"/>
        <v>1100.0999999999999</v>
      </c>
      <c r="F1283" s="33">
        <f>(Table2634[[#This Row],[4 weeks average]]-B1231)/B1231</f>
        <v>3.111819289530398E-2</v>
      </c>
    </row>
    <row r="1284" spans="1:6" x14ac:dyDescent="0.2">
      <c r="A1284" s="23">
        <v>36346</v>
      </c>
      <c r="B1284" s="25">
        <f>VLOOKUP(Table2634[[#This Row],[Date]],'DB Money Supply'!$A:$D,4)</f>
        <v>1091.5</v>
      </c>
      <c r="C1284" s="31">
        <f>(Table2634[[#This Row],[M1 Money Stock, Billions of Dollars, Weekly, Seasonally Adjusted]]-B1283)/B1283</f>
        <v>-3.2873710163454565E-3</v>
      </c>
      <c r="D1284" s="35">
        <f>((1+Table2634[[#This Row],[Weekly change]])^52)-1</f>
        <v>-0.15736794497522155</v>
      </c>
      <c r="E1284" s="25">
        <f t="shared" si="19"/>
        <v>1097.8249999999998</v>
      </c>
      <c r="F1284" s="33">
        <f>(Table2634[[#This Row],[4 weeks average]]-B1232)/B1232</f>
        <v>1.3501661742983541E-2</v>
      </c>
    </row>
    <row r="1285" spans="1:6" x14ac:dyDescent="0.2">
      <c r="A1285" s="23">
        <v>36353</v>
      </c>
      <c r="B1285" s="25">
        <f>VLOOKUP(Table2634[[#This Row],[Date]],'DB Money Supply'!$A:$D,4)</f>
        <v>1107.5</v>
      </c>
      <c r="C1285" s="31">
        <f>(Table2634[[#This Row],[M1 Money Stock, Billions of Dollars, Weekly, Seasonally Adjusted]]-B1284)/B1284</f>
        <v>1.4658726523133303E-2</v>
      </c>
      <c r="D1285" s="35">
        <f>((1+Table2634[[#This Row],[Weekly change]])^52)-1</f>
        <v>1.1312761852812545</v>
      </c>
      <c r="E1285" s="25">
        <f t="shared" si="19"/>
        <v>1098.925</v>
      </c>
      <c r="F1285" s="33">
        <f>(Table2634[[#This Row],[4 weeks average]]-B1233)/B1233</f>
        <v>2.2255813953488329E-2</v>
      </c>
    </row>
    <row r="1286" spans="1:6" x14ac:dyDescent="0.2">
      <c r="A1286" s="23">
        <v>36360</v>
      </c>
      <c r="B1286" s="25">
        <f>VLOOKUP(Table2634[[#This Row],[Date]],'DB Money Supply'!$A:$D,4)</f>
        <v>1097.2</v>
      </c>
      <c r="C1286" s="31">
        <f>(Table2634[[#This Row],[M1 Money Stock, Billions of Dollars, Weekly, Seasonally Adjusted]]-B1285)/B1285</f>
        <v>-9.3002257336342702E-3</v>
      </c>
      <c r="D1286" s="35">
        <f>((1+Table2634[[#This Row],[Weekly change]])^52)-1</f>
        <v>-0.38484107412587631</v>
      </c>
      <c r="E1286" s="25">
        <f t="shared" si="19"/>
        <v>1097.825</v>
      </c>
      <c r="F1286" s="33">
        <f>(Table2634[[#This Row],[4 weeks average]]-B1234)/B1234</f>
        <v>2.3422205649296167E-2</v>
      </c>
    </row>
    <row r="1287" spans="1:6" x14ac:dyDescent="0.2">
      <c r="A1287" s="23">
        <v>36367</v>
      </c>
      <c r="B1287" s="25">
        <f>VLOOKUP(Table2634[[#This Row],[Date]],'DB Money Supply'!$A:$D,4)</f>
        <v>1096.5</v>
      </c>
      <c r="C1287" s="31">
        <f>(Table2634[[#This Row],[M1 Money Stock, Billions of Dollars, Weekly, Seasonally Adjusted]]-B1286)/B1286</f>
        <v>-6.3798760481229076E-4</v>
      </c>
      <c r="D1287" s="35">
        <f>((1+Table2634[[#This Row],[Weekly change]])^52)-1</f>
        <v>-3.2641330404679092E-2</v>
      </c>
      <c r="E1287" s="25">
        <f t="shared" si="19"/>
        <v>1098.175</v>
      </c>
      <c r="F1287" s="33">
        <f>(Table2634[[#This Row],[4 weeks average]]-B1235)/B1235</f>
        <v>2.8542661796384667E-2</v>
      </c>
    </row>
    <row r="1288" spans="1:6" x14ac:dyDescent="0.2">
      <c r="A1288" s="23">
        <v>36374</v>
      </c>
      <c r="B1288" s="25">
        <f>VLOOKUP(Table2634[[#This Row],[Date]],'DB Money Supply'!$A:$D,4)</f>
        <v>1099.9000000000001</v>
      </c>
      <c r="C1288" s="31">
        <f>(Table2634[[#This Row],[M1 Money Stock, Billions of Dollars, Weekly, Seasonally Adjusted]]-B1287)/B1287</f>
        <v>3.1007751937985324E-3</v>
      </c>
      <c r="D1288" s="35">
        <f>((1+Table2634[[#This Row],[Weekly change]])^52)-1</f>
        <v>0.17467420953195556</v>
      </c>
      <c r="E1288" s="25">
        <f t="shared" si="19"/>
        <v>1100.2750000000001</v>
      </c>
      <c r="F1288" s="33">
        <f>(Table2634[[#This Row],[4 weeks average]]-B1236)/B1236</f>
        <v>1.8961844786071623E-2</v>
      </c>
    </row>
    <row r="1289" spans="1:6" x14ac:dyDescent="0.2">
      <c r="A1289" s="23">
        <v>36381</v>
      </c>
      <c r="B1289" s="25">
        <f>VLOOKUP(Table2634[[#This Row],[Date]],'DB Money Supply'!$A:$D,4)</f>
        <v>1110.9000000000001</v>
      </c>
      <c r="C1289" s="31">
        <f>(Table2634[[#This Row],[M1 Money Stock, Billions of Dollars, Weekly, Seasonally Adjusted]]-B1288)/B1288</f>
        <v>1.0000909173561232E-2</v>
      </c>
      <c r="D1289" s="35">
        <f>((1+Table2634[[#This Row],[Weekly change]])^52)-1</f>
        <v>0.67776745409866712</v>
      </c>
      <c r="E1289" s="25">
        <f t="shared" ref="E1289:E1352" si="20">AVERAGE(B1286:B1289)</f>
        <v>1101.125</v>
      </c>
      <c r="F1289" s="33">
        <f>(Table2634[[#This Row],[4 weeks average]]-B1237)/B1237</f>
        <v>1.5704270823724834E-2</v>
      </c>
    </row>
    <row r="1290" spans="1:6" x14ac:dyDescent="0.2">
      <c r="A1290" s="23">
        <v>36388</v>
      </c>
      <c r="B1290" s="25">
        <f>VLOOKUP(Table2634[[#This Row],[Date]],'DB Money Supply'!$A:$D,4)</f>
        <v>1106.2</v>
      </c>
      <c r="C1290" s="31">
        <f>(Table2634[[#This Row],[M1 Money Stock, Billions of Dollars, Weekly, Seasonally Adjusted]]-B1289)/B1289</f>
        <v>-4.2308038527320594E-3</v>
      </c>
      <c r="D1290" s="35">
        <f>((1+Table2634[[#This Row],[Weekly change]])^52)-1</f>
        <v>-0.19785710158227821</v>
      </c>
      <c r="E1290" s="25">
        <f t="shared" si="20"/>
        <v>1103.375</v>
      </c>
      <c r="F1290" s="33">
        <f>(Table2634[[#This Row],[4 weeks average]]-B1238)/B1238</f>
        <v>2.6013576343685983E-2</v>
      </c>
    </row>
    <row r="1291" spans="1:6" x14ac:dyDescent="0.2">
      <c r="A1291" s="23">
        <v>36395</v>
      </c>
      <c r="B1291" s="25">
        <f>VLOOKUP(Table2634[[#This Row],[Date]],'DB Money Supply'!$A:$D,4)</f>
        <v>1096.9000000000001</v>
      </c>
      <c r="C1291" s="31">
        <f>(Table2634[[#This Row],[M1 Money Stock, Billions of Dollars, Weekly, Seasonally Adjusted]]-B1290)/B1290</f>
        <v>-8.4071596456336602E-3</v>
      </c>
      <c r="D1291" s="35">
        <f>((1+Table2634[[#This Row],[Weekly change]])^52)-1</f>
        <v>-0.35533234300468353</v>
      </c>
      <c r="E1291" s="25">
        <f t="shared" si="20"/>
        <v>1103.4749999999999</v>
      </c>
      <c r="F1291" s="33">
        <f>(Table2634[[#This Row],[4 weeks average]]-B1239)/B1239</f>
        <v>2.8977060798209452E-2</v>
      </c>
    </row>
    <row r="1292" spans="1:6" x14ac:dyDescent="0.2">
      <c r="A1292" s="23">
        <v>36402</v>
      </c>
      <c r="B1292" s="25">
        <f>VLOOKUP(Table2634[[#This Row],[Date]],'DB Money Supply'!$A:$D,4)</f>
        <v>1082.8</v>
      </c>
      <c r="C1292" s="31">
        <f>(Table2634[[#This Row],[M1 Money Stock, Billions of Dollars, Weekly, Seasonally Adjusted]]-B1291)/B1291</f>
        <v>-1.2854407876743674E-2</v>
      </c>
      <c r="D1292" s="35">
        <f>((1+Table2634[[#This Row],[Weekly change]])^52)-1</f>
        <v>-0.4897030741906192</v>
      </c>
      <c r="E1292" s="25">
        <f t="shared" si="20"/>
        <v>1099.2</v>
      </c>
      <c r="F1292" s="33">
        <f>(Table2634[[#This Row],[4 weeks average]]-B1240)/B1240</f>
        <v>2.7481772293886795E-2</v>
      </c>
    </row>
    <row r="1293" spans="1:6" x14ac:dyDescent="0.2">
      <c r="A1293" s="23">
        <v>36409</v>
      </c>
      <c r="B1293" s="25">
        <f>VLOOKUP(Table2634[[#This Row],[Date]],'DB Money Supply'!$A:$D,4)</f>
        <v>1092.3</v>
      </c>
      <c r="C1293" s="31">
        <f>(Table2634[[#This Row],[M1 Money Stock, Billions of Dollars, Weekly, Seasonally Adjusted]]-B1292)/B1292</f>
        <v>8.7735500554118953E-3</v>
      </c>
      <c r="D1293" s="35">
        <f>((1+Table2634[[#This Row],[Weekly change]])^52)-1</f>
        <v>0.57496787884620715</v>
      </c>
      <c r="E1293" s="25">
        <f t="shared" si="20"/>
        <v>1094.5500000000002</v>
      </c>
      <c r="F1293" s="33">
        <f>(Table2634[[#This Row],[4 weeks average]]-B1241)/B1241</f>
        <v>1.7050734064300441E-2</v>
      </c>
    </row>
    <row r="1294" spans="1:6" x14ac:dyDescent="0.2">
      <c r="A1294" s="23">
        <v>36416</v>
      </c>
      <c r="B1294" s="25">
        <f>VLOOKUP(Table2634[[#This Row],[Date]],'DB Money Supply'!$A:$D,4)</f>
        <v>1100.4000000000001</v>
      </c>
      <c r="C1294" s="31">
        <f>(Table2634[[#This Row],[M1 Money Stock, Billions of Dollars, Weekly, Seasonally Adjusted]]-B1293)/B1293</f>
        <v>7.415545179895758E-3</v>
      </c>
      <c r="D1294" s="35">
        <f>((1+Table2634[[#This Row],[Weekly change]])^52)-1</f>
        <v>0.46841799947472351</v>
      </c>
      <c r="E1294" s="25">
        <f t="shared" si="20"/>
        <v>1093.0999999999999</v>
      </c>
      <c r="F1294" s="33">
        <f>(Table2634[[#This Row],[4 weeks average]]-B1242)/B1242</f>
        <v>8.48786788449102E-3</v>
      </c>
    </row>
    <row r="1295" spans="1:6" x14ac:dyDescent="0.2">
      <c r="A1295" s="23">
        <v>36423</v>
      </c>
      <c r="B1295" s="25">
        <f>VLOOKUP(Table2634[[#This Row],[Date]],'DB Money Supply'!$A:$D,4)</f>
        <v>1100.9000000000001</v>
      </c>
      <c r="C1295" s="31">
        <f>(Table2634[[#This Row],[M1 Money Stock, Billions of Dollars, Weekly, Seasonally Adjusted]]-B1294)/B1294</f>
        <v>4.5438022537259173E-4</v>
      </c>
      <c r="D1295" s="35">
        <f>((1+Table2634[[#This Row],[Weekly change]])^52)-1</f>
        <v>2.3903624356591768E-2</v>
      </c>
      <c r="E1295" s="25">
        <f t="shared" si="20"/>
        <v>1094.0999999999999</v>
      </c>
      <c r="F1295" s="33">
        <f>(Table2634[[#This Row],[4 weeks average]]-B1243)/B1243</f>
        <v>9.8763153036734511E-3</v>
      </c>
    </row>
    <row r="1296" spans="1:6" x14ac:dyDescent="0.2">
      <c r="A1296" s="23">
        <v>36430</v>
      </c>
      <c r="B1296" s="25">
        <f>VLOOKUP(Table2634[[#This Row],[Date]],'DB Money Supply'!$A:$D,4)</f>
        <v>1089.5999999999999</v>
      </c>
      <c r="C1296" s="31">
        <f>(Table2634[[#This Row],[M1 Money Stock, Billions of Dollars, Weekly, Seasonally Adjusted]]-B1295)/B1295</f>
        <v>-1.0264329185212263E-2</v>
      </c>
      <c r="D1296" s="35">
        <f>((1+Table2634[[#This Row],[Weekly change]])^52)-1</f>
        <v>-0.41521047067490191</v>
      </c>
      <c r="E1296" s="25">
        <f t="shared" si="20"/>
        <v>1095.8</v>
      </c>
      <c r="F1296" s="33">
        <f>(Table2634[[#This Row],[4 weeks average]]-B1244)/B1244</f>
        <v>1.9823173569101866E-2</v>
      </c>
    </row>
    <row r="1297" spans="1:6" x14ac:dyDescent="0.2">
      <c r="A1297" s="23">
        <v>36437</v>
      </c>
      <c r="B1297" s="25">
        <f>VLOOKUP(Table2634[[#This Row],[Date]],'DB Money Supply'!$A:$D,4)</f>
        <v>1101</v>
      </c>
      <c r="C1297" s="31">
        <f>(Table2634[[#This Row],[M1 Money Stock, Billions of Dollars, Weekly, Seasonally Adjusted]]-B1296)/B1296</f>
        <v>1.046255506607938E-2</v>
      </c>
      <c r="D1297" s="35">
        <f>((1+Table2634[[#This Row],[Weekly change]])^52)-1</f>
        <v>0.71811278260963562</v>
      </c>
      <c r="E1297" s="25">
        <f t="shared" si="20"/>
        <v>1097.9749999999999</v>
      </c>
      <c r="F1297" s="33">
        <f>(Table2634[[#This Row],[4 weeks average]]-B1245)/B1245</f>
        <v>1.2705220439033263E-2</v>
      </c>
    </row>
    <row r="1298" spans="1:6" x14ac:dyDescent="0.2">
      <c r="A1298" s="23">
        <v>36444</v>
      </c>
      <c r="B1298" s="25">
        <f>VLOOKUP(Table2634[[#This Row],[Date]],'DB Money Supply'!$A:$D,4)</f>
        <v>1106.8</v>
      </c>
      <c r="C1298" s="31">
        <f>(Table2634[[#This Row],[M1 Money Stock, Billions of Dollars, Weekly, Seasonally Adjusted]]-B1297)/B1297</f>
        <v>5.2679382379654449E-3</v>
      </c>
      <c r="D1298" s="35">
        <f>((1+Table2634[[#This Row],[Weekly change]])^52)-1</f>
        <v>0.31418116292194287</v>
      </c>
      <c r="E1298" s="25">
        <f t="shared" si="20"/>
        <v>1099.575</v>
      </c>
      <c r="F1298" s="33">
        <f>(Table2634[[#This Row],[4 weeks average]]-B1246)/B1246</f>
        <v>1.4368081180811849E-2</v>
      </c>
    </row>
    <row r="1299" spans="1:6" x14ac:dyDescent="0.2">
      <c r="A1299" s="23">
        <v>36451</v>
      </c>
      <c r="B1299" s="25">
        <f>VLOOKUP(Table2634[[#This Row],[Date]],'DB Money Supply'!$A:$D,4)</f>
        <v>1103</v>
      </c>
      <c r="C1299" s="31">
        <f>(Table2634[[#This Row],[M1 Money Stock, Billions of Dollars, Weekly, Seasonally Adjusted]]-B1298)/B1298</f>
        <v>-3.433321286591936E-3</v>
      </c>
      <c r="D1299" s="35">
        <f>((1+Table2634[[#This Row],[Weekly change]])^52)-1</f>
        <v>-0.16376022120574418</v>
      </c>
      <c r="E1299" s="25">
        <f t="shared" si="20"/>
        <v>1100.0999999999999</v>
      </c>
      <c r="F1299" s="33">
        <f>(Table2634[[#This Row],[4 weeks average]]-B1247)/B1247</f>
        <v>1.2890157444065926E-2</v>
      </c>
    </row>
    <row r="1300" spans="1:6" x14ac:dyDescent="0.2">
      <c r="A1300" s="23">
        <v>36458</v>
      </c>
      <c r="B1300" s="25">
        <f>VLOOKUP(Table2634[[#This Row],[Date]],'DB Money Supply'!$A:$D,4)</f>
        <v>1101.5999999999999</v>
      </c>
      <c r="C1300" s="31">
        <f>(Table2634[[#This Row],[M1 Money Stock, Billions of Dollars, Weekly, Seasonally Adjusted]]-B1299)/B1299</f>
        <v>-1.2692656391659937E-3</v>
      </c>
      <c r="D1300" s="35">
        <f>((1+Table2634[[#This Row],[Weekly change]])^52)-1</f>
        <v>-6.3910077087112271E-2</v>
      </c>
      <c r="E1300" s="25">
        <f t="shared" si="20"/>
        <v>1103.0999999999999</v>
      </c>
      <c r="F1300" s="33">
        <f>(Table2634[[#This Row],[4 weeks average]]-B1248)/B1248</f>
        <v>1.4904775048302343E-2</v>
      </c>
    </row>
    <row r="1301" spans="1:6" x14ac:dyDescent="0.2">
      <c r="A1301" s="23">
        <v>36465</v>
      </c>
      <c r="B1301" s="25">
        <f>VLOOKUP(Table2634[[#This Row],[Date]],'DB Money Supply'!$A:$D,4)</f>
        <v>1102.7</v>
      </c>
      <c r="C1301" s="31">
        <f>(Table2634[[#This Row],[M1 Money Stock, Billions of Dollars, Weekly, Seasonally Adjusted]]-B1300)/B1300</f>
        <v>9.9854756717514216E-4</v>
      </c>
      <c r="D1301" s="35">
        <f>((1+Table2634[[#This Row],[Weekly change]])^52)-1</f>
        <v>5.3268900038074829E-2</v>
      </c>
      <c r="E1301" s="25">
        <f t="shared" si="20"/>
        <v>1103.5250000000001</v>
      </c>
      <c r="F1301" s="33">
        <f>(Table2634[[#This Row],[4 weeks average]]-B1249)/B1249</f>
        <v>1.3430985398108181E-2</v>
      </c>
    </row>
    <row r="1302" spans="1:6" x14ac:dyDescent="0.2">
      <c r="A1302" s="23">
        <v>36472</v>
      </c>
      <c r="B1302" s="25">
        <f>VLOOKUP(Table2634[[#This Row],[Date]],'DB Money Supply'!$A:$D,4)</f>
        <v>1110.4000000000001</v>
      </c>
      <c r="C1302" s="31">
        <f>(Table2634[[#This Row],[M1 Money Stock, Billions of Dollars, Weekly, Seasonally Adjusted]]-B1301)/B1301</f>
        <v>6.9828602521085021E-3</v>
      </c>
      <c r="D1302" s="35">
        <f>((1+Table2634[[#This Row],[Weekly change]])^52)-1</f>
        <v>0.43597898392781875</v>
      </c>
      <c r="E1302" s="25">
        <f t="shared" si="20"/>
        <v>1104.4250000000002</v>
      </c>
      <c r="F1302" s="33">
        <f>(Table2634[[#This Row],[4 weeks average]]-B1250)/B1250</f>
        <v>7.5951099352251378E-3</v>
      </c>
    </row>
    <row r="1303" spans="1:6" x14ac:dyDescent="0.2">
      <c r="A1303" s="23">
        <v>36479</v>
      </c>
      <c r="B1303" s="25">
        <f>VLOOKUP(Table2634[[#This Row],[Date]],'DB Money Supply'!$A:$D,4)</f>
        <v>1116.5</v>
      </c>
      <c r="C1303" s="31">
        <f>(Table2634[[#This Row],[M1 Money Stock, Billions of Dollars, Weekly, Seasonally Adjusted]]-B1302)/B1302</f>
        <v>5.4935158501440099E-3</v>
      </c>
      <c r="D1303" s="35">
        <f>((1+Table2634[[#This Row],[Weekly change]])^52)-1</f>
        <v>0.329603848293331</v>
      </c>
      <c r="E1303" s="25">
        <f t="shared" si="20"/>
        <v>1107.8000000000002</v>
      </c>
      <c r="F1303" s="33">
        <f>(Table2634[[#This Row],[4 weeks average]]-B1251)/B1251</f>
        <v>9.660955158585614E-3</v>
      </c>
    </row>
    <row r="1304" spans="1:6" x14ac:dyDescent="0.2">
      <c r="A1304" s="23">
        <v>36486</v>
      </c>
      <c r="B1304" s="25">
        <f>VLOOKUP(Table2634[[#This Row],[Date]],'DB Money Supply'!$A:$D,4)</f>
        <v>1113</v>
      </c>
      <c r="C1304" s="31">
        <f>(Table2634[[#This Row],[M1 Money Stock, Billions of Dollars, Weekly, Seasonally Adjusted]]-B1303)/B1303</f>
        <v>-3.134796238244514E-3</v>
      </c>
      <c r="D1304" s="35">
        <f>((1+Table2634[[#This Row],[Weekly change]])^52)-1</f>
        <v>-0.15063429734885547</v>
      </c>
      <c r="E1304" s="25">
        <f t="shared" si="20"/>
        <v>1110.6500000000001</v>
      </c>
      <c r="F1304" s="33">
        <f>(Table2634[[#This Row],[4 weeks average]]-B1252)/B1252</f>
        <v>1.6706334675942878E-2</v>
      </c>
    </row>
    <row r="1305" spans="1:6" x14ac:dyDescent="0.2">
      <c r="A1305" s="23">
        <v>36493</v>
      </c>
      <c r="B1305" s="25">
        <f>VLOOKUP(Table2634[[#This Row],[Date]],'DB Money Supply'!$A:$D,4)</f>
        <v>1104.8</v>
      </c>
      <c r="C1305" s="31">
        <f>(Table2634[[#This Row],[M1 Money Stock, Billions of Dollars, Weekly, Seasonally Adjusted]]-B1304)/B1304</f>
        <v>-7.3674752920036349E-3</v>
      </c>
      <c r="D1305" s="35">
        <f>((1+Table2634[[#This Row],[Weekly change]])^52)-1</f>
        <v>-0.31922740550244566</v>
      </c>
      <c r="E1305" s="25">
        <f t="shared" si="20"/>
        <v>1111.175</v>
      </c>
      <c r="F1305" s="33">
        <f>(Table2634[[#This Row],[4 weeks average]]-B1253)/B1253</f>
        <v>1.3753307180001867E-2</v>
      </c>
    </row>
    <row r="1306" spans="1:6" x14ac:dyDescent="0.2">
      <c r="A1306" s="23">
        <v>36500</v>
      </c>
      <c r="B1306" s="25">
        <f>VLOOKUP(Table2634[[#This Row],[Date]],'DB Money Supply'!$A:$D,4)</f>
        <v>1110.3</v>
      </c>
      <c r="C1306" s="31">
        <f>(Table2634[[#This Row],[M1 Money Stock, Billions of Dollars, Weekly, Seasonally Adjusted]]-B1305)/B1305</f>
        <v>4.9782766111513398E-3</v>
      </c>
      <c r="D1306" s="35">
        <f>((1+Table2634[[#This Row],[Weekly change]])^52)-1</f>
        <v>0.29463415595729869</v>
      </c>
      <c r="E1306" s="25">
        <f t="shared" si="20"/>
        <v>1111.1500000000001</v>
      </c>
      <c r="F1306" s="33">
        <f>(Table2634[[#This Row],[4 weeks average]]-B1254)/B1254</f>
        <v>1.5490769511972258E-2</v>
      </c>
    </row>
    <row r="1307" spans="1:6" x14ac:dyDescent="0.2">
      <c r="A1307" s="23">
        <v>36507</v>
      </c>
      <c r="B1307" s="25">
        <f>VLOOKUP(Table2634[[#This Row],[Date]],'DB Money Supply'!$A:$D,4)</f>
        <v>1122</v>
      </c>
      <c r="C1307" s="31">
        <f>(Table2634[[#This Row],[M1 Money Stock, Billions of Dollars, Weekly, Seasonally Adjusted]]-B1306)/B1306</f>
        <v>1.0537692515536382E-2</v>
      </c>
      <c r="D1307" s="35">
        <f>((1+Table2634[[#This Row],[Weekly change]])^52)-1</f>
        <v>0.72476880802156107</v>
      </c>
      <c r="E1307" s="25">
        <f t="shared" si="20"/>
        <v>1112.5250000000001</v>
      </c>
      <c r="F1307" s="33">
        <f>(Table2634[[#This Row],[4 weeks average]]-B1255)/B1255</f>
        <v>1.591178887772823E-2</v>
      </c>
    </row>
    <row r="1308" spans="1:6" x14ac:dyDescent="0.2">
      <c r="A1308" s="23">
        <v>36514</v>
      </c>
      <c r="B1308" s="25">
        <f>VLOOKUP(Table2634[[#This Row],[Date]],'DB Money Supply'!$A:$D,4)</f>
        <v>1120.5</v>
      </c>
      <c r="C1308" s="31">
        <f>(Table2634[[#This Row],[M1 Money Stock, Billions of Dollars, Weekly, Seasonally Adjusted]]-B1307)/B1307</f>
        <v>-1.3368983957219251E-3</v>
      </c>
      <c r="D1308" s="35">
        <f>((1+Table2634[[#This Row],[Weekly change]])^52)-1</f>
        <v>-6.7200713013772284E-2</v>
      </c>
      <c r="E1308" s="25">
        <f t="shared" si="20"/>
        <v>1114.4000000000001</v>
      </c>
      <c r="F1308" s="33">
        <f>(Table2634[[#This Row],[4 weeks average]]-B1256)/B1256</f>
        <v>1.8181818181818264E-2</v>
      </c>
    </row>
    <row r="1309" spans="1:6" x14ac:dyDescent="0.2">
      <c r="A1309" s="23">
        <v>36521</v>
      </c>
      <c r="B1309" s="25">
        <f>VLOOKUP(Table2634[[#This Row],[Date]],'DB Money Supply'!$A:$D,4)</f>
        <v>1126.5</v>
      </c>
      <c r="C1309" s="31">
        <f>(Table2634[[#This Row],[M1 Money Stock, Billions of Dollars, Weekly, Seasonally Adjusted]]-B1308)/B1308</f>
        <v>5.3547523427041497E-3</v>
      </c>
      <c r="D1309" s="35">
        <f>((1+Table2634[[#This Row],[Weekly change]])^52)-1</f>
        <v>0.32009574073581759</v>
      </c>
      <c r="E1309" s="25">
        <f t="shared" si="20"/>
        <v>1119.825</v>
      </c>
      <c r="F1309" s="33">
        <f>(Table2634[[#This Row],[4 weeks average]]-B1257)/B1257</f>
        <v>2.5856540857457071E-2</v>
      </c>
    </row>
    <row r="1310" spans="1:6" x14ac:dyDescent="0.2">
      <c r="A1310" s="23">
        <v>36528</v>
      </c>
      <c r="B1310" s="25">
        <f>VLOOKUP(Table2634[[#This Row],[Date]],'DB Money Supply'!$A:$D,4)</f>
        <v>1138.5999999999999</v>
      </c>
      <c r="C1310" s="31">
        <f>(Table2634[[#This Row],[M1 Money Stock, Billions of Dollars, Weekly, Seasonally Adjusted]]-B1309)/B1309</f>
        <v>1.0741233910341685E-2</v>
      </c>
      <c r="D1310" s="35">
        <f>((1+Table2634[[#This Row],[Weekly change]])^52)-1</f>
        <v>0.74292675891073956</v>
      </c>
      <c r="E1310" s="25">
        <f t="shared" si="20"/>
        <v>1126.9000000000001</v>
      </c>
      <c r="F1310" s="33">
        <f>(Table2634[[#This Row],[4 weeks average]]-B1258)/B1258</f>
        <v>1.7884563273417201E-2</v>
      </c>
    </row>
    <row r="1311" spans="1:6" x14ac:dyDescent="0.2">
      <c r="A1311" s="23">
        <v>36535</v>
      </c>
      <c r="B1311" s="25">
        <f>VLOOKUP(Table2634[[#This Row],[Date]],'DB Money Supply'!$A:$D,4)</f>
        <v>1133.4000000000001</v>
      </c>
      <c r="C1311" s="31">
        <f>(Table2634[[#This Row],[M1 Money Stock, Billions of Dollars, Weekly, Seasonally Adjusted]]-B1310)/B1310</f>
        <v>-4.5670121201473899E-3</v>
      </c>
      <c r="D1311" s="35">
        <f>((1+Table2634[[#This Row],[Weekly change]])^52)-1</f>
        <v>-0.21181983907127788</v>
      </c>
      <c r="E1311" s="25">
        <f t="shared" si="20"/>
        <v>1129.75</v>
      </c>
      <c r="F1311" s="33">
        <f>(Table2634[[#This Row],[4 weeks average]]-B1259)/B1259</f>
        <v>2.45306973791602E-2</v>
      </c>
    </row>
    <row r="1312" spans="1:6" x14ac:dyDescent="0.2">
      <c r="A1312" s="23">
        <v>36542</v>
      </c>
      <c r="B1312" s="25">
        <f>VLOOKUP(Table2634[[#This Row],[Date]],'DB Money Supply'!$A:$D,4)</f>
        <v>1125.0999999999999</v>
      </c>
      <c r="C1312" s="31">
        <f>(Table2634[[#This Row],[M1 Money Stock, Billions of Dollars, Weekly, Seasonally Adjusted]]-B1311)/B1311</f>
        <v>-7.3230986412565566E-3</v>
      </c>
      <c r="D1312" s="35">
        <f>((1+Table2634[[#This Row],[Weekly change]])^52)-1</f>
        <v>-0.31764299901460946</v>
      </c>
      <c r="E1312" s="25">
        <f t="shared" si="20"/>
        <v>1130.9000000000001</v>
      </c>
      <c r="F1312" s="33">
        <f>(Table2634[[#This Row],[4 weeks average]]-B1260)/B1260</f>
        <v>3.250251072765465E-2</v>
      </c>
    </row>
    <row r="1313" spans="1:6" x14ac:dyDescent="0.2">
      <c r="A1313" s="23">
        <v>36549</v>
      </c>
      <c r="B1313" s="25">
        <f>VLOOKUP(Table2634[[#This Row],[Date]],'DB Money Supply'!$A:$D,4)</f>
        <v>1122.3</v>
      </c>
      <c r="C1313" s="31">
        <f>(Table2634[[#This Row],[M1 Money Stock, Billions of Dollars, Weekly, Seasonally Adjusted]]-B1312)/B1312</f>
        <v>-2.4886676739844945E-3</v>
      </c>
      <c r="D1313" s="35">
        <f>((1+Table2634[[#This Row],[Weekly change]])^52)-1</f>
        <v>-0.12152867859963379</v>
      </c>
      <c r="E1313" s="25">
        <f t="shared" si="20"/>
        <v>1129.8499999999999</v>
      </c>
      <c r="F1313" s="33">
        <f>(Table2634[[#This Row],[4 weeks average]]-B1261)/B1261</f>
        <v>3.2864064356888031E-2</v>
      </c>
    </row>
    <row r="1314" spans="1:6" x14ac:dyDescent="0.2">
      <c r="A1314" s="23">
        <v>36556</v>
      </c>
      <c r="B1314" s="25">
        <f>VLOOKUP(Table2634[[#This Row],[Date]],'DB Money Supply'!$A:$D,4)</f>
        <v>1108.9000000000001</v>
      </c>
      <c r="C1314" s="31">
        <f>(Table2634[[#This Row],[M1 Money Stock, Billions of Dollars, Weekly, Seasonally Adjusted]]-B1313)/B1313</f>
        <v>-1.193976655083299E-2</v>
      </c>
      <c r="D1314" s="35">
        <f>((1+Table2634[[#This Row],[Weekly change]])^52)-1</f>
        <v>-0.46452664056069926</v>
      </c>
      <c r="E1314" s="25">
        <f t="shared" si="20"/>
        <v>1122.4250000000002</v>
      </c>
      <c r="F1314" s="33">
        <f>(Table2634[[#This Row],[4 weeks average]]-B1262)/B1262</f>
        <v>2.3456733837877393E-2</v>
      </c>
    </row>
    <row r="1315" spans="1:6" x14ac:dyDescent="0.2">
      <c r="A1315" s="23">
        <v>36563</v>
      </c>
      <c r="B1315" s="25">
        <f>VLOOKUP(Table2634[[#This Row],[Date]],'DB Money Supply'!$A:$D,4)</f>
        <v>1114.3</v>
      </c>
      <c r="C1315" s="31">
        <f>(Table2634[[#This Row],[M1 Money Stock, Billions of Dollars, Weekly, Seasonally Adjusted]]-B1314)/B1314</f>
        <v>4.8696906844619562E-3</v>
      </c>
      <c r="D1315" s="35">
        <f>((1+Table2634[[#This Row],[Weekly change]])^52)-1</f>
        <v>0.28738026204759581</v>
      </c>
      <c r="E1315" s="25">
        <f t="shared" si="20"/>
        <v>1117.6499999999999</v>
      </c>
      <c r="F1315" s="33">
        <f>(Table2634[[#This Row],[4 weeks average]]-B1263)/B1263</f>
        <v>2.0312214716085238E-2</v>
      </c>
    </row>
    <row r="1316" spans="1:6" x14ac:dyDescent="0.2">
      <c r="A1316" s="23">
        <v>36570</v>
      </c>
      <c r="B1316" s="25">
        <f>VLOOKUP(Table2634[[#This Row],[Date]],'DB Money Supply'!$A:$D,4)</f>
        <v>1112.2</v>
      </c>
      <c r="C1316" s="31">
        <f>(Table2634[[#This Row],[M1 Money Stock, Billions of Dollars, Weekly, Seasonally Adjusted]]-B1315)/B1315</f>
        <v>-1.8845912231893647E-3</v>
      </c>
      <c r="D1316" s="35">
        <f>((1+Table2634[[#This Row],[Weekly change]])^52)-1</f>
        <v>-9.3433782097887774E-2</v>
      </c>
      <c r="E1316" s="25">
        <f t="shared" si="20"/>
        <v>1114.425</v>
      </c>
      <c r="F1316" s="33">
        <f>(Table2634[[#This Row],[4 weeks average]]-B1264)/B1264</f>
        <v>1.5513942044833117E-2</v>
      </c>
    </row>
    <row r="1317" spans="1:6" x14ac:dyDescent="0.2">
      <c r="A1317" s="23">
        <v>36577</v>
      </c>
      <c r="B1317" s="25">
        <f>VLOOKUP(Table2634[[#This Row],[Date]],'DB Money Supply'!$A:$D,4)</f>
        <v>1106.4000000000001</v>
      </c>
      <c r="C1317" s="31">
        <f>(Table2634[[#This Row],[M1 Money Stock, Billions of Dollars, Weekly, Seasonally Adjusted]]-B1316)/B1316</f>
        <v>-5.214889408379747E-3</v>
      </c>
      <c r="D1317" s="35">
        <f>((1+Table2634[[#This Row],[Weekly change]])^52)-1</f>
        <v>-0.23805719788312141</v>
      </c>
      <c r="E1317" s="25">
        <f t="shared" si="20"/>
        <v>1110.4499999999998</v>
      </c>
      <c r="F1317" s="33">
        <f>(Table2634[[#This Row],[4 weeks average]]-B1265)/B1265</f>
        <v>9.6835788325148799E-3</v>
      </c>
    </row>
    <row r="1318" spans="1:6" x14ac:dyDescent="0.2">
      <c r="A1318" s="23">
        <v>36584</v>
      </c>
      <c r="B1318" s="25">
        <f>VLOOKUP(Table2634[[#This Row],[Date]],'DB Money Supply'!$A:$D,4)</f>
        <v>1101.8</v>
      </c>
      <c r="C1318" s="31">
        <f>(Table2634[[#This Row],[M1 Money Stock, Billions of Dollars, Weekly, Seasonally Adjusted]]-B1317)/B1317</f>
        <v>-4.1576283441794436E-3</v>
      </c>
      <c r="D1318" s="35">
        <f>((1+Table2634[[#This Row],[Weekly change]])^52)-1</f>
        <v>-0.19478612709290066</v>
      </c>
      <c r="E1318" s="25">
        <f t="shared" si="20"/>
        <v>1108.675</v>
      </c>
      <c r="F1318" s="33">
        <f>(Table2634[[#This Row],[4 weeks average]]-B1266)/B1266</f>
        <v>1.239612820746968E-2</v>
      </c>
    </row>
    <row r="1319" spans="1:6" x14ac:dyDescent="0.2">
      <c r="A1319" s="23">
        <v>36591</v>
      </c>
      <c r="B1319" s="25">
        <f>VLOOKUP(Table2634[[#This Row],[Date]],'DB Money Supply'!$A:$D,4)</f>
        <v>1107.0999999999999</v>
      </c>
      <c r="C1319" s="31">
        <f>(Table2634[[#This Row],[M1 Money Stock, Billions of Dollars, Weekly, Seasonally Adjusted]]-B1318)/B1318</f>
        <v>4.8103104011616941E-3</v>
      </c>
      <c r="D1319" s="35">
        <f>((1+Table2634[[#This Row],[Weekly change]])^52)-1</f>
        <v>0.28343034078113827</v>
      </c>
      <c r="E1319" s="25">
        <f t="shared" si="20"/>
        <v>1106.875</v>
      </c>
      <c r="F1319" s="33">
        <f>(Table2634[[#This Row],[4 weeks average]]-B1267)/B1267</f>
        <v>7.5323138539960784E-3</v>
      </c>
    </row>
    <row r="1320" spans="1:6" x14ac:dyDescent="0.2">
      <c r="A1320" s="23">
        <v>36598</v>
      </c>
      <c r="B1320" s="25">
        <f>VLOOKUP(Table2634[[#This Row],[Date]],'DB Money Supply'!$A:$D,4)</f>
        <v>1105.5</v>
      </c>
      <c r="C1320" s="31">
        <f>(Table2634[[#This Row],[M1 Money Stock, Billions of Dollars, Weekly, Seasonally Adjusted]]-B1319)/B1319</f>
        <v>-1.4452172342154361E-3</v>
      </c>
      <c r="D1320" s="35">
        <f>((1+Table2634[[#This Row],[Weekly change]])^52)-1</f>
        <v>-7.2447287778696245E-2</v>
      </c>
      <c r="E1320" s="25">
        <f t="shared" si="20"/>
        <v>1105.1999999999998</v>
      </c>
      <c r="F1320" s="33">
        <f>(Table2634[[#This Row],[4 weeks average]]-B1268)/B1268</f>
        <v>6.924198250728781E-3</v>
      </c>
    </row>
    <row r="1321" spans="1:6" x14ac:dyDescent="0.2">
      <c r="A1321" s="23">
        <v>36605</v>
      </c>
      <c r="B1321" s="25">
        <f>VLOOKUP(Table2634[[#This Row],[Date]],'DB Money Supply'!$A:$D,4)</f>
        <v>1106.5</v>
      </c>
      <c r="C1321" s="31">
        <f>(Table2634[[#This Row],[M1 Money Stock, Billions of Dollars, Weekly, Seasonally Adjusted]]-B1320)/B1320</f>
        <v>9.0456806874717323E-4</v>
      </c>
      <c r="D1321" s="35">
        <f>((1+Table2634[[#This Row],[Weekly change]])^52)-1</f>
        <v>4.8139070619202196E-2</v>
      </c>
      <c r="E1321" s="25">
        <f t="shared" si="20"/>
        <v>1105.2249999999999</v>
      </c>
      <c r="F1321" s="33">
        <f>(Table2634[[#This Row],[4 weeks average]]-B1269)/B1269</f>
        <v>7.2222728515446595E-3</v>
      </c>
    </row>
    <row r="1322" spans="1:6" x14ac:dyDescent="0.2">
      <c r="A1322" s="23">
        <v>36612</v>
      </c>
      <c r="B1322" s="25">
        <f>VLOOKUP(Table2634[[#This Row],[Date]],'DB Money Supply'!$A:$D,4)</f>
        <v>1104.9000000000001</v>
      </c>
      <c r="C1322" s="31">
        <f>(Table2634[[#This Row],[M1 Money Stock, Billions of Dollars, Weekly, Seasonally Adjusted]]-B1321)/B1321</f>
        <v>-1.4460009037504827E-3</v>
      </c>
      <c r="D1322" s="35">
        <f>((1+Table2634[[#This Row],[Weekly change]])^52)-1</f>
        <v>-7.24851402570581E-2</v>
      </c>
      <c r="E1322" s="25">
        <f t="shared" si="20"/>
        <v>1106</v>
      </c>
      <c r="F1322" s="33">
        <f>(Table2634[[#This Row],[4 weeks average]]-B1270)/B1270</f>
        <v>1.1153775827390791E-2</v>
      </c>
    </row>
    <row r="1323" spans="1:6" x14ac:dyDescent="0.2">
      <c r="A1323" s="23">
        <v>36619</v>
      </c>
      <c r="B1323" s="25">
        <f>VLOOKUP(Table2634[[#This Row],[Date]],'DB Money Supply'!$A:$D,4)</f>
        <v>1117.8</v>
      </c>
      <c r="C1323" s="31">
        <f>(Table2634[[#This Row],[M1 Money Stock, Billions of Dollars, Weekly, Seasonally Adjusted]]-B1322)/B1322</f>
        <v>1.1675264729839679E-2</v>
      </c>
      <c r="D1323" s="35">
        <f>((1+Table2634[[#This Row],[Weekly change]])^52)-1</f>
        <v>0.82868477313299671</v>
      </c>
      <c r="E1323" s="25">
        <f t="shared" si="20"/>
        <v>1108.675</v>
      </c>
      <c r="F1323" s="33">
        <f>(Table2634[[#This Row],[4 weeks average]]-B1271)/B1271</f>
        <v>6.5138447571493003E-3</v>
      </c>
    </row>
    <row r="1324" spans="1:6" x14ac:dyDescent="0.2">
      <c r="A1324" s="23">
        <v>36626</v>
      </c>
      <c r="B1324" s="25">
        <f>VLOOKUP(Table2634[[#This Row],[Date]],'DB Money Supply'!$A:$D,4)</f>
        <v>1121.8</v>
      </c>
      <c r="C1324" s="31">
        <f>(Table2634[[#This Row],[M1 Money Stock, Billions of Dollars, Weekly, Seasonally Adjusted]]-B1323)/B1323</f>
        <v>3.5784576847378781E-3</v>
      </c>
      <c r="D1324" s="35">
        <f>((1+Table2634[[#This Row],[Weekly change]])^52)-1</f>
        <v>0.2041183656671075</v>
      </c>
      <c r="E1324" s="25">
        <f t="shared" si="20"/>
        <v>1112.75</v>
      </c>
      <c r="F1324" s="33">
        <f>(Table2634[[#This Row],[4 weeks average]]-B1272)/B1272</f>
        <v>7.7431624705668846E-3</v>
      </c>
    </row>
    <row r="1325" spans="1:6" x14ac:dyDescent="0.2">
      <c r="A1325" s="23">
        <v>36633</v>
      </c>
      <c r="B1325" s="25">
        <f>VLOOKUP(Table2634[[#This Row],[Date]],'DB Money Supply'!$A:$D,4)</f>
        <v>1118.2</v>
      </c>
      <c r="C1325" s="31">
        <f>(Table2634[[#This Row],[M1 Money Stock, Billions of Dollars, Weekly, Seasonally Adjusted]]-B1324)/B1324</f>
        <v>-3.2091281868424936E-3</v>
      </c>
      <c r="D1325" s="35">
        <f>((1+Table2634[[#This Row],[Weekly change]])^52)-1</f>
        <v>-0.15392138744233308</v>
      </c>
      <c r="E1325" s="25">
        <f t="shared" si="20"/>
        <v>1115.675</v>
      </c>
      <c r="F1325" s="33">
        <f>(Table2634[[#This Row],[4 weeks average]]-B1273)/B1273</f>
        <v>1.4711232378353756E-2</v>
      </c>
    </row>
    <row r="1326" spans="1:6" x14ac:dyDescent="0.2">
      <c r="A1326" s="23">
        <v>36640</v>
      </c>
      <c r="B1326" s="25">
        <f>VLOOKUP(Table2634[[#This Row],[Date]],'DB Money Supply'!$A:$D,4)</f>
        <v>1114.9000000000001</v>
      </c>
      <c r="C1326" s="31">
        <f>(Table2634[[#This Row],[M1 Money Stock, Billions of Dollars, Weekly, Seasonally Adjusted]]-B1325)/B1325</f>
        <v>-2.9511715256662087E-3</v>
      </c>
      <c r="D1326" s="35">
        <f>((1+Table2634[[#This Row],[Weekly change]])^52)-1</f>
        <v>-0.14246030596106418</v>
      </c>
      <c r="E1326" s="25">
        <f t="shared" si="20"/>
        <v>1118.1750000000002</v>
      </c>
      <c r="F1326" s="33">
        <f>(Table2634[[#This Row],[4 weeks average]]-B1274)/B1274</f>
        <v>2.1071135056159505E-2</v>
      </c>
    </row>
    <row r="1327" spans="1:6" x14ac:dyDescent="0.2">
      <c r="A1327" s="23">
        <v>36647</v>
      </c>
      <c r="B1327" s="25">
        <f>VLOOKUP(Table2634[[#This Row],[Date]],'DB Money Supply'!$A:$D,4)</f>
        <v>1105</v>
      </c>
      <c r="C1327" s="31">
        <f>(Table2634[[#This Row],[M1 Money Stock, Billions of Dollars, Weekly, Seasonally Adjusted]]-B1326)/B1326</f>
        <v>-8.8797201542740074E-3</v>
      </c>
      <c r="D1327" s="35">
        <f>((1+Table2634[[#This Row],[Weekly change]])^52)-1</f>
        <v>-0.37111555457642442</v>
      </c>
      <c r="E1327" s="25">
        <f t="shared" si="20"/>
        <v>1114.9749999999999</v>
      </c>
      <c r="F1327" s="33">
        <f>(Table2634[[#This Row],[4 weeks average]]-B1275)/B1275</f>
        <v>5.2064551027766531E-3</v>
      </c>
    </row>
    <row r="1328" spans="1:6" x14ac:dyDescent="0.2">
      <c r="A1328" s="23">
        <v>36654</v>
      </c>
      <c r="B1328" s="25">
        <f>VLOOKUP(Table2634[[#This Row],[Date]],'DB Money Supply'!$A:$D,4)</f>
        <v>1106.5</v>
      </c>
      <c r="C1328" s="31">
        <f>(Table2634[[#This Row],[M1 Money Stock, Billions of Dollars, Weekly, Seasonally Adjusted]]-B1327)/B1327</f>
        <v>1.3574660633484162E-3</v>
      </c>
      <c r="D1328" s="35">
        <f>((1+Table2634[[#This Row],[Weekly change]])^52)-1</f>
        <v>7.3087887012265984E-2</v>
      </c>
      <c r="E1328" s="25">
        <f t="shared" si="20"/>
        <v>1111.1500000000001</v>
      </c>
      <c r="F1328" s="33">
        <f>(Table2634[[#This Row],[4 weeks average]]-B1276)/B1276</f>
        <v>1.1262275880709973E-3</v>
      </c>
    </row>
    <row r="1329" spans="1:6" x14ac:dyDescent="0.2">
      <c r="A1329" s="23">
        <v>36661</v>
      </c>
      <c r="B1329" s="25">
        <f>VLOOKUP(Table2634[[#This Row],[Date]],'DB Money Supply'!$A:$D,4)</f>
        <v>1111.2</v>
      </c>
      <c r="C1329" s="31">
        <f>(Table2634[[#This Row],[M1 Money Stock, Billions of Dollars, Weekly, Seasonally Adjusted]]-B1328)/B1328</f>
        <v>4.2476276547673249E-3</v>
      </c>
      <c r="D1329" s="35">
        <f>((1+Table2634[[#This Row],[Weekly change]])^52)-1</f>
        <v>0.2465863073671124</v>
      </c>
      <c r="E1329" s="25">
        <f t="shared" si="20"/>
        <v>1109.4000000000001</v>
      </c>
      <c r="F1329" s="33">
        <f>(Table2634[[#This Row],[4 weeks average]]-B1277)/B1277</f>
        <v>5.8935533593254142E-3</v>
      </c>
    </row>
    <row r="1330" spans="1:6" x14ac:dyDescent="0.2">
      <c r="A1330" s="23">
        <v>36668</v>
      </c>
      <c r="B1330" s="25">
        <f>VLOOKUP(Table2634[[#This Row],[Date]],'DB Money Supply'!$A:$D,4)</f>
        <v>1105.0999999999999</v>
      </c>
      <c r="C1330" s="31">
        <f>(Table2634[[#This Row],[M1 Money Stock, Billions of Dollars, Weekly, Seasonally Adjusted]]-B1329)/B1329</f>
        <v>-5.4895608351333116E-3</v>
      </c>
      <c r="D1330" s="35">
        <f>((1+Table2634[[#This Row],[Weekly change]])^52)-1</f>
        <v>-0.24892033926512314</v>
      </c>
      <c r="E1330" s="25">
        <f t="shared" si="20"/>
        <v>1106.9499999999998</v>
      </c>
      <c r="F1330" s="33">
        <f>(Table2634[[#This Row],[4 weeks average]]-B1278)/B1278</f>
        <v>6.9589738924769069E-3</v>
      </c>
    </row>
    <row r="1331" spans="1:6" x14ac:dyDescent="0.2">
      <c r="A1331" s="23">
        <v>36675</v>
      </c>
      <c r="B1331" s="25">
        <f>VLOOKUP(Table2634[[#This Row],[Date]],'DB Money Supply'!$A:$D,4)</f>
        <v>1097.8</v>
      </c>
      <c r="C1331" s="31">
        <f>(Table2634[[#This Row],[M1 Money Stock, Billions of Dollars, Weekly, Seasonally Adjusted]]-B1330)/B1330</f>
        <v>-6.6057370373721431E-3</v>
      </c>
      <c r="D1331" s="35">
        <f>((1+Table2634[[#This Row],[Weekly change]])^52)-1</f>
        <v>-0.29152313714487299</v>
      </c>
      <c r="E1331" s="25">
        <f t="shared" si="20"/>
        <v>1105.1499999999999</v>
      </c>
      <c r="F1331" s="33">
        <f>(Table2634[[#This Row],[4 weeks average]]-B1279)/B1279</f>
        <v>5.4130276564772727E-3</v>
      </c>
    </row>
    <row r="1332" spans="1:6" x14ac:dyDescent="0.2">
      <c r="A1332" s="23">
        <v>36682</v>
      </c>
      <c r="B1332" s="25">
        <f>VLOOKUP(Table2634[[#This Row],[Date]],'DB Money Supply'!$A:$D,4)</f>
        <v>1102</v>
      </c>
      <c r="C1332" s="31">
        <f>(Table2634[[#This Row],[M1 Money Stock, Billions of Dollars, Weekly, Seasonally Adjusted]]-B1331)/B1331</f>
        <v>3.8258334851521639E-3</v>
      </c>
      <c r="D1332" s="35">
        <f>((1+Table2634[[#This Row],[Weekly change]])^52)-1</f>
        <v>0.2196497740084824</v>
      </c>
      <c r="E1332" s="25">
        <f t="shared" si="20"/>
        <v>1104.0250000000001</v>
      </c>
      <c r="F1332" s="33">
        <f>(Table2634[[#This Row],[4 weeks average]]-B1280)/B1280</f>
        <v>3.1119389423952229E-3</v>
      </c>
    </row>
    <row r="1333" spans="1:6" x14ac:dyDescent="0.2">
      <c r="A1333" s="23">
        <v>36689</v>
      </c>
      <c r="B1333" s="25">
        <f>VLOOKUP(Table2634[[#This Row],[Date]],'DB Money Supply'!$A:$D,4)</f>
        <v>1104.4000000000001</v>
      </c>
      <c r="C1333" s="31">
        <f>(Table2634[[#This Row],[M1 Money Stock, Billions of Dollars, Weekly, Seasonally Adjusted]]-B1332)/B1332</f>
        <v>2.1778584392015345E-3</v>
      </c>
      <c r="D1333" s="35">
        <f>((1+Table2634[[#This Row],[Weekly change]])^52)-1</f>
        <v>0.11977245315873275</v>
      </c>
      <c r="E1333" s="25">
        <f t="shared" si="20"/>
        <v>1102.3249999999998</v>
      </c>
      <c r="F1333" s="33">
        <f>(Table2634[[#This Row],[4 weeks average]]-B1281)/B1281</f>
        <v>-7.0256549723514731E-4</v>
      </c>
    </row>
    <row r="1334" spans="1:6" x14ac:dyDescent="0.2">
      <c r="A1334" s="23">
        <v>36696</v>
      </c>
      <c r="B1334" s="25">
        <f>VLOOKUP(Table2634[[#This Row],[Date]],'DB Money Supply'!$A:$D,4)</f>
        <v>1101.0999999999999</v>
      </c>
      <c r="C1334" s="31">
        <f>(Table2634[[#This Row],[M1 Money Stock, Billions of Dollars, Weekly, Seasonally Adjusted]]-B1333)/B1333</f>
        <v>-2.9880478087651046E-3</v>
      </c>
      <c r="D1334" s="35">
        <f>((1+Table2634[[#This Row],[Weekly change]])^52)-1</f>
        <v>-0.14410800827736736</v>
      </c>
      <c r="E1334" s="25">
        <f t="shared" si="20"/>
        <v>1101.325</v>
      </c>
      <c r="F1334" s="33">
        <f>(Table2634[[#This Row],[4 weeks average]]-B1282)/B1282</f>
        <v>-2.4963689179363072E-4</v>
      </c>
    </row>
    <row r="1335" spans="1:6" x14ac:dyDescent="0.2">
      <c r="A1335" s="23">
        <v>36703</v>
      </c>
      <c r="B1335" s="25">
        <f>VLOOKUP(Table2634[[#This Row],[Date]],'DB Money Supply'!$A:$D,4)</f>
        <v>1099</v>
      </c>
      <c r="C1335" s="31">
        <f>(Table2634[[#This Row],[M1 Money Stock, Billions of Dollars, Weekly, Seasonally Adjusted]]-B1334)/B1334</f>
        <v>-1.9071837253654611E-3</v>
      </c>
      <c r="D1335" s="35">
        <f>((1+Table2634[[#This Row],[Weekly change]])^52)-1</f>
        <v>-9.4500220552046321E-2</v>
      </c>
      <c r="E1335" s="25">
        <f t="shared" si="20"/>
        <v>1101.625</v>
      </c>
      <c r="F1335" s="33">
        <f>(Table2634[[#This Row],[4 weeks average]]-B1283)/B1283</f>
        <v>5.9583599671263737E-3</v>
      </c>
    </row>
    <row r="1336" spans="1:6" x14ac:dyDescent="0.2">
      <c r="A1336" s="23">
        <v>36710</v>
      </c>
      <c r="B1336" s="25">
        <f>VLOOKUP(Table2634[[#This Row],[Date]],'DB Money Supply'!$A:$D,4)</f>
        <v>1109.4000000000001</v>
      </c>
      <c r="C1336" s="31">
        <f>(Table2634[[#This Row],[M1 Money Stock, Billions of Dollars, Weekly, Seasonally Adjusted]]-B1335)/B1335</f>
        <v>9.4631483166515845E-3</v>
      </c>
      <c r="D1336" s="35">
        <f>((1+Table2634[[#This Row],[Weekly change]])^52)-1</f>
        <v>0.63194077704919804</v>
      </c>
      <c r="E1336" s="25">
        <f t="shared" si="20"/>
        <v>1103.4749999999999</v>
      </c>
      <c r="F1336" s="33">
        <f>(Table2634[[#This Row],[4 weeks average]]-B1284)/B1284</f>
        <v>1.0971140632157497E-2</v>
      </c>
    </row>
    <row r="1337" spans="1:6" x14ac:dyDescent="0.2">
      <c r="A1337" s="23">
        <v>36717</v>
      </c>
      <c r="B1337" s="25">
        <f>VLOOKUP(Table2634[[#This Row],[Date]],'DB Money Supply'!$A:$D,4)</f>
        <v>1114.5999999999999</v>
      </c>
      <c r="C1337" s="31">
        <f>(Table2634[[#This Row],[M1 Money Stock, Billions of Dollars, Weekly, Seasonally Adjusted]]-B1336)/B1336</f>
        <v>4.6872183162067942E-3</v>
      </c>
      <c r="D1337" s="35">
        <f>((1+Table2634[[#This Row],[Weekly change]])^52)-1</f>
        <v>0.27528018925211262</v>
      </c>
      <c r="E1337" s="25">
        <f t="shared" si="20"/>
        <v>1106.0250000000001</v>
      </c>
      <c r="F1337" s="33">
        <f>(Table2634[[#This Row],[4 weeks average]]-B1285)/B1285</f>
        <v>-1.3318284424378411E-3</v>
      </c>
    </row>
    <row r="1338" spans="1:6" x14ac:dyDescent="0.2">
      <c r="A1338" s="23">
        <v>36724</v>
      </c>
      <c r="B1338" s="25">
        <f>VLOOKUP(Table2634[[#This Row],[Date]],'DB Money Supply'!$A:$D,4)</f>
        <v>1100.9000000000001</v>
      </c>
      <c r="C1338" s="31">
        <f>(Table2634[[#This Row],[M1 Money Stock, Billions of Dollars, Weekly, Seasonally Adjusted]]-B1337)/B1337</f>
        <v>-1.229140498833646E-2</v>
      </c>
      <c r="D1338" s="35">
        <f>((1+Table2634[[#This Row],[Weekly change]])^52)-1</f>
        <v>-0.47434679568659011</v>
      </c>
      <c r="E1338" s="25">
        <f t="shared" si="20"/>
        <v>1105.9749999999999</v>
      </c>
      <c r="F1338" s="33">
        <f>(Table2634[[#This Row],[4 weeks average]]-B1286)/B1286</f>
        <v>7.9976303317534306E-3</v>
      </c>
    </row>
    <row r="1339" spans="1:6" x14ac:dyDescent="0.2">
      <c r="A1339" s="23">
        <v>36731</v>
      </c>
      <c r="B1339" s="25">
        <f>VLOOKUP(Table2634[[#This Row],[Date]],'DB Money Supply'!$A:$D,4)</f>
        <v>1099.5</v>
      </c>
      <c r="C1339" s="31">
        <f>(Table2634[[#This Row],[M1 Money Stock, Billions of Dollars, Weekly, Seasonally Adjusted]]-B1338)/B1338</f>
        <v>-1.2716868017077763E-3</v>
      </c>
      <c r="D1339" s="35">
        <f>((1+Table2634[[#This Row],[Weekly change]])^52)-1</f>
        <v>-6.4028073715521661E-2</v>
      </c>
      <c r="E1339" s="25">
        <f t="shared" si="20"/>
        <v>1106.0999999999999</v>
      </c>
      <c r="F1339" s="33">
        <f>(Table2634[[#This Row],[4 weeks average]]-B1287)/B1287</f>
        <v>8.7551299589602449E-3</v>
      </c>
    </row>
    <row r="1340" spans="1:6" x14ac:dyDescent="0.2">
      <c r="A1340" s="23">
        <v>36738</v>
      </c>
      <c r="B1340" s="25">
        <f>VLOOKUP(Table2634[[#This Row],[Date]],'DB Money Supply'!$A:$D,4)</f>
        <v>1096.2</v>
      </c>
      <c r="C1340" s="31">
        <f>(Table2634[[#This Row],[M1 Money Stock, Billions of Dollars, Weekly, Seasonally Adjusted]]-B1339)/B1339</f>
        <v>-3.0013642564801768E-3</v>
      </c>
      <c r="D1340" s="35">
        <f>((1+Table2634[[#This Row],[Weekly change]])^52)-1</f>
        <v>-0.14470224901710382</v>
      </c>
      <c r="E1340" s="25">
        <f t="shared" si="20"/>
        <v>1102.8</v>
      </c>
      <c r="F1340" s="33">
        <f>(Table2634[[#This Row],[4 weeks average]]-B1288)/B1288</f>
        <v>2.6366033275751098E-3</v>
      </c>
    </row>
    <row r="1341" spans="1:6" x14ac:dyDescent="0.2">
      <c r="A1341" s="23">
        <v>36745</v>
      </c>
      <c r="B1341" s="25">
        <f>VLOOKUP(Table2634[[#This Row],[Date]],'DB Money Supply'!$A:$D,4)</f>
        <v>1097.9000000000001</v>
      </c>
      <c r="C1341" s="31">
        <f>(Table2634[[#This Row],[M1 Money Stock, Billions of Dollars, Weekly, Seasonally Adjusted]]-B1340)/B1340</f>
        <v>1.5508118956395233E-3</v>
      </c>
      <c r="D1341" s="35">
        <f>((1+Table2634[[#This Row],[Weekly change]])^52)-1</f>
        <v>8.391528835615425E-2</v>
      </c>
      <c r="E1341" s="25">
        <f t="shared" si="20"/>
        <v>1098.625</v>
      </c>
      <c r="F1341" s="33">
        <f>(Table2634[[#This Row],[4 weeks average]]-B1289)/B1289</f>
        <v>-1.1049599423890621E-2</v>
      </c>
    </row>
    <row r="1342" spans="1:6" x14ac:dyDescent="0.2">
      <c r="A1342" s="23">
        <v>36752</v>
      </c>
      <c r="B1342" s="25">
        <f>VLOOKUP(Table2634[[#This Row],[Date]],'DB Money Supply'!$A:$D,4)</f>
        <v>1100.3</v>
      </c>
      <c r="C1342" s="31">
        <f>(Table2634[[#This Row],[M1 Money Stock, Billions of Dollars, Weekly, Seasonally Adjusted]]-B1341)/B1341</f>
        <v>2.185991438200076E-3</v>
      </c>
      <c r="D1342" s="35">
        <f>((1+Table2634[[#This Row],[Weekly change]])^52)-1</f>
        <v>0.12024509146202522</v>
      </c>
      <c r="E1342" s="25">
        <f t="shared" si="20"/>
        <v>1098.4749999999999</v>
      </c>
      <c r="F1342" s="33">
        <f>(Table2634[[#This Row],[4 weeks average]]-B1290)/B1290</f>
        <v>-6.9833664798410197E-3</v>
      </c>
    </row>
    <row r="1343" spans="1:6" x14ac:dyDescent="0.2">
      <c r="A1343" s="23">
        <v>36759</v>
      </c>
      <c r="B1343" s="25">
        <f>VLOOKUP(Table2634[[#This Row],[Date]],'DB Money Supply'!$A:$D,4)</f>
        <v>1102.2</v>
      </c>
      <c r="C1343" s="31">
        <f>(Table2634[[#This Row],[M1 Money Stock, Billions of Dollars, Weekly, Seasonally Adjusted]]-B1342)/B1342</f>
        <v>1.7268017813324467E-3</v>
      </c>
      <c r="D1343" s="35">
        <f>((1+Table2634[[#This Row],[Weekly change]])^52)-1</f>
        <v>9.3863859963813967E-2</v>
      </c>
      <c r="E1343" s="25">
        <f t="shared" si="20"/>
        <v>1099.1500000000001</v>
      </c>
      <c r="F1343" s="33">
        <f>(Table2634[[#This Row],[4 weeks average]]-B1291)/B1291</f>
        <v>2.0512352994803535E-3</v>
      </c>
    </row>
    <row r="1344" spans="1:6" x14ac:dyDescent="0.2">
      <c r="A1344" s="23">
        <v>36766</v>
      </c>
      <c r="B1344" s="25">
        <f>VLOOKUP(Table2634[[#This Row],[Date]],'DB Money Supply'!$A:$D,4)</f>
        <v>1101.4000000000001</v>
      </c>
      <c r="C1344" s="31">
        <f>(Table2634[[#This Row],[M1 Money Stock, Billions of Dollars, Weekly, Seasonally Adjusted]]-B1343)/B1343</f>
        <v>-7.2582108510248092E-4</v>
      </c>
      <c r="D1344" s="35">
        <f>((1+Table2634[[#This Row],[Weekly change]])^52)-1</f>
        <v>-3.705251393877429E-2</v>
      </c>
      <c r="E1344" s="25">
        <f t="shared" si="20"/>
        <v>1100.4499999999998</v>
      </c>
      <c r="F1344" s="33">
        <f>(Table2634[[#This Row],[4 weeks average]]-B1292)/B1292</f>
        <v>1.6300332471370395E-2</v>
      </c>
    </row>
    <row r="1345" spans="1:6" x14ac:dyDescent="0.2">
      <c r="A1345" s="23">
        <v>36773</v>
      </c>
      <c r="B1345" s="25">
        <f>VLOOKUP(Table2634[[#This Row],[Date]],'DB Money Supply'!$A:$D,4)</f>
        <v>1097.7</v>
      </c>
      <c r="C1345" s="31">
        <f>(Table2634[[#This Row],[M1 Money Stock, Billions of Dollars, Weekly, Seasonally Adjusted]]-B1344)/B1344</f>
        <v>-3.3593608135101191E-3</v>
      </c>
      <c r="D1345" s="35">
        <f>((1+Table2634[[#This Row],[Weekly change]])^52)-1</f>
        <v>-0.16052689426232025</v>
      </c>
      <c r="E1345" s="25">
        <f t="shared" si="20"/>
        <v>1100.4000000000001</v>
      </c>
      <c r="F1345" s="33">
        <f>(Table2634[[#This Row],[4 weeks average]]-B1293)/B1293</f>
        <v>7.415545179895758E-3</v>
      </c>
    </row>
    <row r="1346" spans="1:6" x14ac:dyDescent="0.2">
      <c r="A1346" s="23">
        <v>36780</v>
      </c>
      <c r="B1346" s="25">
        <f>VLOOKUP(Table2634[[#This Row],[Date]],'DB Money Supply'!$A:$D,4)</f>
        <v>1106.5</v>
      </c>
      <c r="C1346" s="31">
        <f>(Table2634[[#This Row],[M1 Money Stock, Billions of Dollars, Weekly, Seasonally Adjusted]]-B1345)/B1345</f>
        <v>8.0167623212170479E-3</v>
      </c>
      <c r="D1346" s="35">
        <f>((1+Table2634[[#This Row],[Weekly change]])^52)-1</f>
        <v>0.51468809137922866</v>
      </c>
      <c r="E1346" s="25">
        <f t="shared" si="20"/>
        <v>1101.95</v>
      </c>
      <c r="F1346" s="33">
        <f>(Table2634[[#This Row],[4 weeks average]]-B1294)/B1294</f>
        <v>1.4085786986549932E-3</v>
      </c>
    </row>
    <row r="1347" spans="1:6" x14ac:dyDescent="0.2">
      <c r="A1347" s="23">
        <v>36787</v>
      </c>
      <c r="B1347" s="25">
        <f>VLOOKUP(Table2634[[#This Row],[Date]],'DB Money Supply'!$A:$D,4)</f>
        <v>1098.5</v>
      </c>
      <c r="C1347" s="31">
        <f>(Table2634[[#This Row],[M1 Money Stock, Billions of Dollars, Weekly, Seasonally Adjusted]]-B1346)/B1346</f>
        <v>-7.2300045187528245E-3</v>
      </c>
      <c r="D1347" s="35">
        <f>((1+Table2634[[#This Row],[Weekly change]])^52)-1</f>
        <v>-0.31430744252206022</v>
      </c>
      <c r="E1347" s="25">
        <f t="shared" si="20"/>
        <v>1101.0250000000001</v>
      </c>
      <c r="F1347" s="33">
        <f>(Table2634[[#This Row],[4 weeks average]]-B1295)/B1295</f>
        <v>1.1354346443818693E-4</v>
      </c>
    </row>
    <row r="1348" spans="1:6" x14ac:dyDescent="0.2">
      <c r="A1348" s="23">
        <v>36794</v>
      </c>
      <c r="B1348" s="25">
        <f>VLOOKUP(Table2634[[#This Row],[Date]],'DB Money Supply'!$A:$D,4)</f>
        <v>1096.7</v>
      </c>
      <c r="C1348" s="31">
        <f>(Table2634[[#This Row],[M1 Money Stock, Billions of Dollars, Weekly, Seasonally Adjusted]]-B1347)/B1347</f>
        <v>-1.6385980883021889E-3</v>
      </c>
      <c r="D1348" s="35">
        <f>((1+Table2634[[#This Row],[Weekly change]])^52)-1</f>
        <v>-8.1742096367603323E-2</v>
      </c>
      <c r="E1348" s="25">
        <f t="shared" si="20"/>
        <v>1099.8499999999999</v>
      </c>
      <c r="F1348" s="33">
        <f>(Table2634[[#This Row],[4 weeks average]]-B1296)/B1296</f>
        <v>9.4071218795888402E-3</v>
      </c>
    </row>
    <row r="1349" spans="1:6" x14ac:dyDescent="0.2">
      <c r="A1349" s="23">
        <v>36801</v>
      </c>
      <c r="B1349" s="25">
        <f>VLOOKUP(Table2634[[#This Row],[Date]],'DB Money Supply'!$A:$D,4)</f>
        <v>1097.9000000000001</v>
      </c>
      <c r="C1349" s="31">
        <f>(Table2634[[#This Row],[M1 Money Stock, Billions of Dollars, Weekly, Seasonally Adjusted]]-B1348)/B1348</f>
        <v>1.0941916659068527E-3</v>
      </c>
      <c r="D1349" s="35">
        <f>((1+Table2634[[#This Row],[Weekly change]])^52)-1</f>
        <v>5.851487105822506E-2</v>
      </c>
      <c r="E1349" s="25">
        <f t="shared" si="20"/>
        <v>1099.9000000000001</v>
      </c>
      <c r="F1349" s="33">
        <f>(Table2634[[#This Row],[4 weeks average]]-B1297)/B1297</f>
        <v>-9.9909173478647507E-4</v>
      </c>
    </row>
    <row r="1350" spans="1:6" x14ac:dyDescent="0.2">
      <c r="A1350" s="23">
        <v>36808</v>
      </c>
      <c r="B1350" s="25">
        <f>VLOOKUP(Table2634[[#This Row],[Date]],'DB Money Supply'!$A:$D,4)</f>
        <v>1099.9000000000001</v>
      </c>
      <c r="C1350" s="31">
        <f>(Table2634[[#This Row],[M1 Money Stock, Billions of Dollars, Weekly, Seasonally Adjusted]]-B1349)/B1349</f>
        <v>1.8216595318335002E-3</v>
      </c>
      <c r="D1350" s="35">
        <f>((1+Table2634[[#This Row],[Weekly change]])^52)-1</f>
        <v>9.9263181938991307E-2</v>
      </c>
      <c r="E1350" s="25">
        <f t="shared" si="20"/>
        <v>1098.25</v>
      </c>
      <c r="F1350" s="33">
        <f>(Table2634[[#This Row],[4 weeks average]]-B1298)/B1298</f>
        <v>-7.7249728948319074E-3</v>
      </c>
    </row>
    <row r="1351" spans="1:6" x14ac:dyDescent="0.2">
      <c r="A1351" s="23">
        <v>36815</v>
      </c>
      <c r="B1351" s="25">
        <f>VLOOKUP(Table2634[[#This Row],[Date]],'DB Money Supply'!$A:$D,4)</f>
        <v>1100.2</v>
      </c>
      <c r="C1351" s="31">
        <f>(Table2634[[#This Row],[M1 Money Stock, Billions of Dollars, Weekly, Seasonally Adjusted]]-B1350)/B1350</f>
        <v>2.7275206836981043E-4</v>
      </c>
      <c r="D1351" s="35">
        <f>((1+Table2634[[#This Row],[Weekly change]])^52)-1</f>
        <v>1.4282203523299453E-2</v>
      </c>
      <c r="E1351" s="25">
        <f t="shared" si="20"/>
        <v>1098.6750000000002</v>
      </c>
      <c r="F1351" s="33">
        <f>(Table2634[[#This Row],[4 weeks average]]-B1299)/B1299</f>
        <v>-3.9211242067088104E-3</v>
      </c>
    </row>
    <row r="1352" spans="1:6" x14ac:dyDescent="0.2">
      <c r="A1352" s="23">
        <v>36822</v>
      </c>
      <c r="B1352" s="25">
        <f>VLOOKUP(Table2634[[#This Row],[Date]],'DB Money Supply'!$A:$D,4)</f>
        <v>1099.3</v>
      </c>
      <c r="C1352" s="31">
        <f>(Table2634[[#This Row],[M1 Money Stock, Billions of Dollars, Weekly, Seasonally Adjusted]]-B1351)/B1351</f>
        <v>-8.1803308489373833E-4</v>
      </c>
      <c r="D1352" s="35">
        <f>((1+Table2634[[#This Row],[Weekly change]])^52)-1</f>
        <v>-4.166236768990339E-2</v>
      </c>
      <c r="E1352" s="25">
        <f t="shared" si="20"/>
        <v>1099.325</v>
      </c>
      <c r="F1352" s="33">
        <f>(Table2634[[#This Row],[4 weeks average]]-B1300)/B1300</f>
        <v>-2.0651779230209367E-3</v>
      </c>
    </row>
    <row r="1353" spans="1:6" x14ac:dyDescent="0.2">
      <c r="A1353" s="23">
        <v>36829</v>
      </c>
      <c r="B1353" s="25">
        <f>VLOOKUP(Table2634[[#This Row],[Date]],'DB Money Supply'!$A:$D,4)</f>
        <v>1096.8</v>
      </c>
      <c r="C1353" s="31">
        <f>(Table2634[[#This Row],[M1 Money Stock, Billions of Dollars, Weekly, Seasonally Adjusted]]-B1352)/B1352</f>
        <v>-2.2741744746656964E-3</v>
      </c>
      <c r="D1353" s="35">
        <f>((1+Table2634[[#This Row],[Weekly change]])^52)-1</f>
        <v>-0.11165202189018719</v>
      </c>
      <c r="E1353" s="25">
        <f t="shared" ref="E1353:E1416" si="21">AVERAGE(B1350:B1353)</f>
        <v>1099.0500000000002</v>
      </c>
      <c r="F1353" s="33">
        <f>(Table2634[[#This Row],[4 weeks average]]-B1301)/B1301</f>
        <v>-3.3100571324928478E-3</v>
      </c>
    </row>
    <row r="1354" spans="1:6" x14ac:dyDescent="0.2">
      <c r="A1354" s="23">
        <v>36836</v>
      </c>
      <c r="B1354" s="25">
        <f>VLOOKUP(Table2634[[#This Row],[Date]],'DB Money Supply'!$A:$D,4)</f>
        <v>1091.7</v>
      </c>
      <c r="C1354" s="31">
        <f>(Table2634[[#This Row],[M1 Money Stock, Billions of Dollars, Weekly, Seasonally Adjusted]]-B1353)/B1353</f>
        <v>-4.6498905908095457E-3</v>
      </c>
      <c r="D1354" s="35">
        <f>((1+Table2634[[#This Row],[Weekly change]])^52)-1</f>
        <v>-0.21522499335270528</v>
      </c>
      <c r="E1354" s="25">
        <f t="shared" si="21"/>
        <v>1097</v>
      </c>
      <c r="F1354" s="33">
        <f>(Table2634[[#This Row],[4 weeks average]]-B1302)/B1302</f>
        <v>-1.2067723342939563E-2</v>
      </c>
    </row>
    <row r="1355" spans="1:6" x14ac:dyDescent="0.2">
      <c r="A1355" s="23">
        <v>36843</v>
      </c>
      <c r="B1355" s="25">
        <f>VLOOKUP(Table2634[[#This Row],[Date]],'DB Money Supply'!$A:$D,4)</f>
        <v>1089.9000000000001</v>
      </c>
      <c r="C1355" s="31">
        <f>(Table2634[[#This Row],[M1 Money Stock, Billions of Dollars, Weekly, Seasonally Adjusted]]-B1354)/B1354</f>
        <v>-1.6488046166528848E-3</v>
      </c>
      <c r="D1355" s="35">
        <f>((1+Table2634[[#This Row],[Weekly change]])^52)-1</f>
        <v>-8.2230124738051802E-2</v>
      </c>
      <c r="E1355" s="25">
        <f t="shared" si="21"/>
        <v>1094.4250000000002</v>
      </c>
      <c r="F1355" s="33">
        <f>(Table2634[[#This Row],[4 weeks average]]-B1303)/B1303</f>
        <v>-1.9771607702642021E-2</v>
      </c>
    </row>
    <row r="1356" spans="1:6" x14ac:dyDescent="0.2">
      <c r="A1356" s="23">
        <v>36850</v>
      </c>
      <c r="B1356" s="25">
        <f>VLOOKUP(Table2634[[#This Row],[Date]],'DB Money Supply'!$A:$D,4)</f>
        <v>1093.9000000000001</v>
      </c>
      <c r="C1356" s="31">
        <f>(Table2634[[#This Row],[M1 Money Stock, Billions of Dollars, Weekly, Seasonally Adjusted]]-B1355)/B1355</f>
        <v>3.6700614735296812E-3</v>
      </c>
      <c r="D1356" s="35">
        <f>((1+Table2634[[#This Row],[Weekly change]])^52)-1</f>
        <v>0.20984693061801529</v>
      </c>
      <c r="E1356" s="25">
        <f t="shared" si="21"/>
        <v>1093.075</v>
      </c>
      <c r="F1356" s="33">
        <f>(Table2634[[#This Row],[4 weeks average]]-B1304)/B1304</f>
        <v>-1.7902066486972106E-2</v>
      </c>
    </row>
    <row r="1357" spans="1:6" x14ac:dyDescent="0.2">
      <c r="A1357" s="23">
        <v>36857</v>
      </c>
      <c r="B1357" s="25">
        <f>VLOOKUP(Table2634[[#This Row],[Date]],'DB Money Supply'!$A:$D,4)</f>
        <v>1096.5999999999999</v>
      </c>
      <c r="C1357" s="31">
        <f>(Table2634[[#This Row],[M1 Money Stock, Billions of Dollars, Weekly, Seasonally Adjusted]]-B1356)/B1356</f>
        <v>2.4682329280554145E-3</v>
      </c>
      <c r="D1357" s="35">
        <f>((1+Table2634[[#This Row],[Weekly change]])^52)-1</f>
        <v>0.13676894088587255</v>
      </c>
      <c r="E1357" s="25">
        <f t="shared" si="21"/>
        <v>1093.0250000000001</v>
      </c>
      <c r="F1357" s="33">
        <f>(Table2634[[#This Row],[4 weeks average]]-B1305)/B1305</f>
        <v>-1.0658037653873881E-2</v>
      </c>
    </row>
    <row r="1358" spans="1:6" x14ac:dyDescent="0.2">
      <c r="A1358" s="23">
        <v>36864</v>
      </c>
      <c r="B1358" s="25">
        <f>VLOOKUP(Table2634[[#This Row],[Date]],'DB Money Supply'!$A:$D,4)</f>
        <v>1086.4000000000001</v>
      </c>
      <c r="C1358" s="31">
        <f>(Table2634[[#This Row],[M1 Money Stock, Billions of Dollars, Weekly, Seasonally Adjusted]]-B1357)/B1357</f>
        <v>-9.3014772934523239E-3</v>
      </c>
      <c r="D1358" s="35">
        <f>((1+Table2634[[#This Row],[Weekly change]])^52)-1</f>
        <v>-0.38488148388210164</v>
      </c>
      <c r="E1358" s="25">
        <f t="shared" si="21"/>
        <v>1091.7</v>
      </c>
      <c r="F1358" s="33">
        <f>(Table2634[[#This Row],[4 weeks average]]-B1306)/B1306</f>
        <v>-1.6752229127262822E-2</v>
      </c>
    </row>
    <row r="1359" spans="1:6" x14ac:dyDescent="0.2">
      <c r="A1359" s="23">
        <v>36871</v>
      </c>
      <c r="B1359" s="25">
        <f>VLOOKUP(Table2634[[#This Row],[Date]],'DB Money Supply'!$A:$D,4)</f>
        <v>1092.9000000000001</v>
      </c>
      <c r="C1359" s="31">
        <f>(Table2634[[#This Row],[M1 Money Stock, Billions of Dollars, Weekly, Seasonally Adjusted]]-B1358)/B1358</f>
        <v>5.9830633284241527E-3</v>
      </c>
      <c r="D1359" s="35">
        <f>((1+Table2634[[#This Row],[Weekly change]])^52)-1</f>
        <v>0.36368727917191501</v>
      </c>
      <c r="E1359" s="25">
        <f t="shared" si="21"/>
        <v>1092.45</v>
      </c>
      <c r="F1359" s="33">
        <f>(Table2634[[#This Row],[4 weeks average]]-B1307)/B1307</f>
        <v>-2.6336898395721883E-2</v>
      </c>
    </row>
    <row r="1360" spans="1:6" x14ac:dyDescent="0.2">
      <c r="A1360" s="23">
        <v>36878</v>
      </c>
      <c r="B1360" s="25">
        <f>VLOOKUP(Table2634[[#This Row],[Date]],'DB Money Supply'!$A:$D,4)</f>
        <v>1084.4000000000001</v>
      </c>
      <c r="C1360" s="31">
        <f>(Table2634[[#This Row],[M1 Money Stock, Billions of Dollars, Weekly, Seasonally Adjusted]]-B1359)/B1359</f>
        <v>-7.7774727788452735E-3</v>
      </c>
      <c r="D1360" s="35">
        <f>((1+Table2634[[#This Row],[Weekly change]])^52)-1</f>
        <v>-0.33369616450527795</v>
      </c>
      <c r="E1360" s="25">
        <f t="shared" si="21"/>
        <v>1090.075</v>
      </c>
      <c r="F1360" s="33">
        <f>(Table2634[[#This Row],[4 weeks average]]-B1308)/B1308</f>
        <v>-2.7153056671128918E-2</v>
      </c>
    </row>
    <row r="1361" spans="1:6" x14ac:dyDescent="0.2">
      <c r="A1361" s="23">
        <v>36885</v>
      </c>
      <c r="B1361" s="25">
        <f>VLOOKUP(Table2634[[#This Row],[Date]],'DB Money Supply'!$A:$D,4)</f>
        <v>1090.0999999999999</v>
      </c>
      <c r="C1361" s="31">
        <f>(Table2634[[#This Row],[M1 Money Stock, Billions of Dollars, Weekly, Seasonally Adjusted]]-B1360)/B1360</f>
        <v>5.2563629656951468E-3</v>
      </c>
      <c r="D1361" s="35">
        <f>((1+Table2634[[#This Row],[Weekly change]])^52)-1</f>
        <v>0.31339451490497461</v>
      </c>
      <c r="E1361" s="25">
        <f t="shared" si="21"/>
        <v>1088.45</v>
      </c>
      <c r="F1361" s="33">
        <f>(Table2634[[#This Row],[4 weeks average]]-B1309)/B1309</f>
        <v>-3.3777185974256503E-2</v>
      </c>
    </row>
    <row r="1362" spans="1:6" x14ac:dyDescent="0.2">
      <c r="A1362" s="23">
        <v>36892</v>
      </c>
      <c r="B1362" s="25">
        <f>VLOOKUP(Table2634[[#This Row],[Date]],'DB Money Supply'!$A:$D,4)</f>
        <v>1088.3</v>
      </c>
      <c r="C1362" s="31">
        <f>(Table2634[[#This Row],[M1 Money Stock, Billions of Dollars, Weekly, Seasonally Adjusted]]-B1361)/B1361</f>
        <v>-1.6512246582881889E-3</v>
      </c>
      <c r="D1362" s="35">
        <f>((1+Table2634[[#This Row],[Weekly change]])^52)-1</f>
        <v>-8.2345802477400754E-2</v>
      </c>
      <c r="E1362" s="25">
        <f t="shared" si="21"/>
        <v>1088.925</v>
      </c>
      <c r="F1362" s="33">
        <f>(Table2634[[#This Row],[4 weeks average]]-B1310)/B1310</f>
        <v>-4.3628139820832565E-2</v>
      </c>
    </row>
    <row r="1363" spans="1:6" x14ac:dyDescent="0.2">
      <c r="A1363" s="23">
        <v>36899</v>
      </c>
      <c r="B1363" s="25">
        <f>VLOOKUP(Table2634[[#This Row],[Date]],'DB Money Supply'!$A:$D,4)</f>
        <v>1094.2</v>
      </c>
      <c r="C1363" s="31">
        <f>(Table2634[[#This Row],[M1 Money Stock, Billions of Dollars, Weekly, Seasonally Adjusted]]-B1362)/B1362</f>
        <v>5.4212992740972996E-3</v>
      </c>
      <c r="D1363" s="35">
        <f>((1+Table2634[[#This Row],[Weekly change]])^52)-1</f>
        <v>0.32464720054079743</v>
      </c>
      <c r="E1363" s="25">
        <f t="shared" si="21"/>
        <v>1089.25</v>
      </c>
      <c r="F1363" s="33">
        <f>(Table2634[[#This Row],[4 weeks average]]-B1311)/B1311</f>
        <v>-3.8953590965237414E-2</v>
      </c>
    </row>
    <row r="1364" spans="1:6" x14ac:dyDescent="0.2">
      <c r="A1364" s="23">
        <v>36906</v>
      </c>
      <c r="B1364" s="25">
        <f>VLOOKUP(Table2634[[#This Row],[Date]],'DB Money Supply'!$A:$D,4)</f>
        <v>1096.2</v>
      </c>
      <c r="C1364" s="31">
        <f>(Table2634[[#This Row],[M1 Money Stock, Billions of Dollars, Weekly, Seasonally Adjusted]]-B1363)/B1363</f>
        <v>1.8278194114421495E-3</v>
      </c>
      <c r="D1364" s="35">
        <f>((1+Table2634[[#This Row],[Weekly change]])^52)-1</f>
        <v>9.9614705895993083E-2</v>
      </c>
      <c r="E1364" s="25">
        <f t="shared" si="21"/>
        <v>1092.1999999999998</v>
      </c>
      <c r="F1364" s="33">
        <f>(Table2634[[#This Row],[4 weeks average]]-B1312)/B1312</f>
        <v>-2.9241845169318367E-2</v>
      </c>
    </row>
    <row r="1365" spans="1:6" x14ac:dyDescent="0.2">
      <c r="A1365" s="23">
        <v>36913</v>
      </c>
      <c r="B1365" s="25">
        <f>VLOOKUP(Table2634[[#This Row],[Date]],'DB Money Supply'!$A:$D,4)</f>
        <v>1101.7</v>
      </c>
      <c r="C1365" s="31">
        <f>(Table2634[[#This Row],[M1 Money Stock, Billions of Dollars, Weekly, Seasonally Adjusted]]-B1364)/B1364</f>
        <v>5.0173326035394998E-3</v>
      </c>
      <c r="D1365" s="35">
        <f>((1+Table2634[[#This Row],[Weekly change]])^52)-1</f>
        <v>0.29725301338870236</v>
      </c>
      <c r="E1365" s="25">
        <f t="shared" si="21"/>
        <v>1095.0999999999999</v>
      </c>
      <c r="F1365" s="33">
        <f>(Table2634[[#This Row],[4 weeks average]]-B1313)/B1313</f>
        <v>-2.4235944043482175E-2</v>
      </c>
    </row>
    <row r="1366" spans="1:6" x14ac:dyDescent="0.2">
      <c r="A1366" s="23">
        <v>36920</v>
      </c>
      <c r="B1366" s="25">
        <f>VLOOKUP(Table2634[[#This Row],[Date]],'DB Money Supply'!$A:$D,4)</f>
        <v>1094.8</v>
      </c>
      <c r="C1366" s="31">
        <f>(Table2634[[#This Row],[M1 Money Stock, Billions of Dollars, Weekly, Seasonally Adjusted]]-B1365)/B1365</f>
        <v>-6.263048016701544E-3</v>
      </c>
      <c r="D1366" s="35">
        <f>((1+Table2634[[#This Row],[Weekly change]])^52)-1</f>
        <v>-0.27870180747545026</v>
      </c>
      <c r="E1366" s="25">
        <f t="shared" si="21"/>
        <v>1096.7250000000001</v>
      </c>
      <c r="F1366" s="33">
        <f>(Table2634[[#This Row],[4 weeks average]]-B1314)/B1314</f>
        <v>-1.0979348904319555E-2</v>
      </c>
    </row>
    <row r="1367" spans="1:6" x14ac:dyDescent="0.2">
      <c r="A1367" s="23">
        <v>36927</v>
      </c>
      <c r="B1367" s="25">
        <f>VLOOKUP(Table2634[[#This Row],[Date]],'DB Money Supply'!$A:$D,4)</f>
        <v>1099.7</v>
      </c>
      <c r="C1367" s="31">
        <f>(Table2634[[#This Row],[M1 Money Stock, Billions of Dollars, Weekly, Seasonally Adjusted]]-B1366)/B1366</f>
        <v>4.4757033248082672E-3</v>
      </c>
      <c r="D1367" s="35">
        <f>((1+Table2634[[#This Row],[Weekly change]])^52)-1</f>
        <v>0.26139378960264348</v>
      </c>
      <c r="E1367" s="25">
        <f t="shared" si="21"/>
        <v>1098.0999999999999</v>
      </c>
      <c r="F1367" s="33">
        <f>(Table2634[[#This Row],[4 weeks average]]-B1315)/B1315</f>
        <v>-1.4538275150318627E-2</v>
      </c>
    </row>
    <row r="1368" spans="1:6" x14ac:dyDescent="0.2">
      <c r="A1368" s="23">
        <v>36934</v>
      </c>
      <c r="B1368" s="25">
        <f>VLOOKUP(Table2634[[#This Row],[Date]],'DB Money Supply'!$A:$D,4)</f>
        <v>1099.3</v>
      </c>
      <c r="C1368" s="31">
        <f>(Table2634[[#This Row],[M1 Money Stock, Billions of Dollars, Weekly, Seasonally Adjusted]]-B1367)/B1367</f>
        <v>-3.6373556424487675E-4</v>
      </c>
      <c r="D1368" s="35">
        <f>((1+Table2634[[#This Row],[Weekly change]])^52)-1</f>
        <v>-1.8739873626493431E-2</v>
      </c>
      <c r="E1368" s="25">
        <f t="shared" si="21"/>
        <v>1098.875</v>
      </c>
      <c r="F1368" s="33">
        <f>(Table2634[[#This Row],[4 weeks average]]-B1316)/B1316</f>
        <v>-1.1980758856320845E-2</v>
      </c>
    </row>
    <row r="1369" spans="1:6" x14ac:dyDescent="0.2">
      <c r="A1369" s="23">
        <v>36941</v>
      </c>
      <c r="B1369" s="25">
        <f>VLOOKUP(Table2634[[#This Row],[Date]],'DB Money Supply'!$A:$D,4)</f>
        <v>1098.8</v>
      </c>
      <c r="C1369" s="31">
        <f>(Table2634[[#This Row],[M1 Money Stock, Billions of Dollars, Weekly, Seasonally Adjusted]]-B1368)/B1368</f>
        <v>-4.548348949331393E-4</v>
      </c>
      <c r="D1369" s="35">
        <f>((1+Table2634[[#This Row],[Weekly change]])^52)-1</f>
        <v>-2.3379166514720606E-2</v>
      </c>
      <c r="E1369" s="25">
        <f t="shared" si="21"/>
        <v>1098.1500000000001</v>
      </c>
      <c r="F1369" s="33">
        <f>(Table2634[[#This Row],[4 weeks average]]-B1317)/B1317</f>
        <v>-7.4566160520607369E-3</v>
      </c>
    </row>
    <row r="1370" spans="1:6" x14ac:dyDescent="0.2">
      <c r="A1370" s="23">
        <v>36948</v>
      </c>
      <c r="B1370" s="25">
        <f>VLOOKUP(Table2634[[#This Row],[Date]],'DB Money Supply'!$A:$D,4)</f>
        <v>1104.4000000000001</v>
      </c>
      <c r="C1370" s="31">
        <f>(Table2634[[#This Row],[M1 Money Stock, Billions of Dollars, Weekly, Seasonally Adjusted]]-B1369)/B1369</f>
        <v>5.0964688751366366E-3</v>
      </c>
      <c r="D1370" s="35">
        <f>((1+Table2634[[#This Row],[Weekly change]])^52)-1</f>
        <v>0.30257535020029813</v>
      </c>
      <c r="E1370" s="25">
        <f t="shared" si="21"/>
        <v>1100.5500000000002</v>
      </c>
      <c r="F1370" s="33">
        <f>(Table2634[[#This Row],[4 weeks average]]-B1318)/B1318</f>
        <v>-1.1345071700851086E-3</v>
      </c>
    </row>
    <row r="1371" spans="1:6" x14ac:dyDescent="0.2">
      <c r="A1371" s="23">
        <v>36955</v>
      </c>
      <c r="B1371" s="25">
        <f>VLOOKUP(Table2634[[#This Row],[Date]],'DB Money Supply'!$A:$D,4)</f>
        <v>1109.3</v>
      </c>
      <c r="C1371" s="31">
        <f>(Table2634[[#This Row],[M1 Money Stock, Billions of Dollars, Weekly, Seasonally Adjusted]]-B1370)/B1370</f>
        <v>4.4367982614993331E-3</v>
      </c>
      <c r="D1371" s="35">
        <f>((1+Table2634[[#This Row],[Weekly change]])^52)-1</f>
        <v>0.25885578823086064</v>
      </c>
      <c r="E1371" s="25">
        <f t="shared" si="21"/>
        <v>1102.95</v>
      </c>
      <c r="F1371" s="33">
        <f>(Table2634[[#This Row],[4 weeks average]]-B1319)/B1319</f>
        <v>-3.7485322012463769E-3</v>
      </c>
    </row>
    <row r="1372" spans="1:6" x14ac:dyDescent="0.2">
      <c r="A1372" s="23">
        <v>36962</v>
      </c>
      <c r="B1372" s="25">
        <f>VLOOKUP(Table2634[[#This Row],[Date]],'DB Money Supply'!$A:$D,4)</f>
        <v>1108.3</v>
      </c>
      <c r="C1372" s="31">
        <f>(Table2634[[#This Row],[M1 Money Stock, Billions of Dollars, Weekly, Seasonally Adjusted]]-B1371)/B1371</f>
        <v>-9.014693951140359E-4</v>
      </c>
      <c r="D1372" s="35">
        <f>((1+Table2634[[#This Row],[Weekly change]])^52)-1</f>
        <v>-4.5814851221367414E-2</v>
      </c>
      <c r="E1372" s="25">
        <f t="shared" si="21"/>
        <v>1105.2</v>
      </c>
      <c r="F1372" s="33">
        <f>(Table2634[[#This Row],[4 weeks average]]-B1320)/B1320</f>
        <v>-2.7137042062411084E-4</v>
      </c>
    </row>
    <row r="1373" spans="1:6" x14ac:dyDescent="0.2">
      <c r="A1373" s="23">
        <v>36969</v>
      </c>
      <c r="B1373" s="25">
        <f>VLOOKUP(Table2634[[#This Row],[Date]],'DB Money Supply'!$A:$D,4)</f>
        <v>1107.7</v>
      </c>
      <c r="C1373" s="31">
        <f>(Table2634[[#This Row],[M1 Money Stock, Billions of Dollars, Weekly, Seasonally Adjusted]]-B1372)/B1372</f>
        <v>-5.4136966525300827E-4</v>
      </c>
      <c r="D1373" s="35">
        <f>((1+Table2634[[#This Row],[Weekly change]])^52)-1</f>
        <v>-2.776608040285955E-2</v>
      </c>
      <c r="E1373" s="25">
        <f t="shared" si="21"/>
        <v>1107.425</v>
      </c>
      <c r="F1373" s="33">
        <f>(Table2634[[#This Row],[4 weeks average]]-B1321)/B1321</f>
        <v>8.3596927248075421E-4</v>
      </c>
    </row>
    <row r="1374" spans="1:6" x14ac:dyDescent="0.2">
      <c r="A1374" s="23">
        <v>36976</v>
      </c>
      <c r="B1374" s="25">
        <f>VLOOKUP(Table2634[[#This Row],[Date]],'DB Money Supply'!$A:$D,4)</f>
        <v>1106.7</v>
      </c>
      <c r="C1374" s="31">
        <f>(Table2634[[#This Row],[M1 Money Stock, Billions of Dollars, Weekly, Seasonally Adjusted]]-B1373)/B1373</f>
        <v>-9.027715085311907E-4</v>
      </c>
      <c r="D1374" s="35">
        <f>((1+Table2634[[#This Row],[Weekly change]])^52)-1</f>
        <v>-4.5879515145603622E-2</v>
      </c>
      <c r="E1374" s="25">
        <f t="shared" si="21"/>
        <v>1108</v>
      </c>
      <c r="F1374" s="33">
        <f>(Table2634[[#This Row],[4 weeks average]]-B1322)/B1322</f>
        <v>2.8056837722870024E-3</v>
      </c>
    </row>
    <row r="1375" spans="1:6" x14ac:dyDescent="0.2">
      <c r="A1375" s="23">
        <v>36983</v>
      </c>
      <c r="B1375" s="25">
        <f>VLOOKUP(Table2634[[#This Row],[Date]],'DB Money Supply'!$A:$D,4)</f>
        <v>1113.9000000000001</v>
      </c>
      <c r="C1375" s="31">
        <f>(Table2634[[#This Row],[M1 Money Stock, Billions of Dollars, Weekly, Seasonally Adjusted]]-B1374)/B1374</f>
        <v>6.5058281377067366E-3</v>
      </c>
      <c r="D1375" s="35">
        <f>((1+Table2634[[#This Row],[Weekly change]])^52)-1</f>
        <v>0.40102952614258514</v>
      </c>
      <c r="E1375" s="25">
        <f t="shared" si="21"/>
        <v>1109.1500000000001</v>
      </c>
      <c r="F1375" s="33">
        <f>(Table2634[[#This Row],[4 weeks average]]-B1323)/B1323</f>
        <v>-7.7384147432455396E-3</v>
      </c>
    </row>
    <row r="1376" spans="1:6" x14ac:dyDescent="0.2">
      <c r="A1376" s="23">
        <v>36990</v>
      </c>
      <c r="B1376" s="25">
        <f>VLOOKUP(Table2634[[#This Row],[Date]],'DB Money Supply'!$A:$D,4)</f>
        <v>1114.9000000000001</v>
      </c>
      <c r="C1376" s="31">
        <f>(Table2634[[#This Row],[M1 Money Stock, Billions of Dollars, Weekly, Seasonally Adjusted]]-B1375)/B1375</f>
        <v>8.9774665589370669E-4</v>
      </c>
      <c r="D1376" s="35">
        <f>((1+Table2634[[#This Row],[Weekly change]])^52)-1</f>
        <v>4.7767682125730904E-2</v>
      </c>
      <c r="E1376" s="25">
        <f t="shared" si="21"/>
        <v>1110.8000000000002</v>
      </c>
      <c r="F1376" s="33">
        <f>(Table2634[[#This Row],[4 weeks average]]-B1324)/B1324</f>
        <v>-9.8056694597965528E-3</v>
      </c>
    </row>
    <row r="1377" spans="1:6" x14ac:dyDescent="0.2">
      <c r="A1377" s="23">
        <v>36997</v>
      </c>
      <c r="B1377" s="25">
        <f>VLOOKUP(Table2634[[#This Row],[Date]],'DB Money Supply'!$A:$D,4)</f>
        <v>1118.2</v>
      </c>
      <c r="C1377" s="31">
        <f>(Table2634[[#This Row],[M1 Money Stock, Billions of Dollars, Weekly, Seasonally Adjusted]]-B1376)/B1376</f>
        <v>2.9599067180912674E-3</v>
      </c>
      <c r="D1377" s="35">
        <f>((1+Table2634[[#This Row],[Weekly change]])^52)-1</f>
        <v>0.16612677751403027</v>
      </c>
      <c r="E1377" s="25">
        <f t="shared" si="21"/>
        <v>1113.4250000000002</v>
      </c>
      <c r="F1377" s="33">
        <f>(Table2634[[#This Row],[4 weeks average]]-B1325)/B1325</f>
        <v>-4.2702557681987691E-3</v>
      </c>
    </row>
    <row r="1378" spans="1:6" x14ac:dyDescent="0.2">
      <c r="A1378" s="23">
        <v>37004</v>
      </c>
      <c r="B1378" s="25">
        <f>VLOOKUP(Table2634[[#This Row],[Date]],'DB Money Supply'!$A:$D,4)</f>
        <v>1117.7</v>
      </c>
      <c r="C1378" s="31">
        <f>(Table2634[[#This Row],[M1 Money Stock, Billions of Dollars, Weekly, Seasonally Adjusted]]-B1377)/B1377</f>
        <v>-4.4714720085852258E-4</v>
      </c>
      <c r="D1378" s="35">
        <f>((1+Table2634[[#This Row],[Weekly change]])^52)-1</f>
        <v>-2.2988498211087061E-2</v>
      </c>
      <c r="E1378" s="25">
        <f t="shared" si="21"/>
        <v>1116.175</v>
      </c>
      <c r="F1378" s="33">
        <f>(Table2634[[#This Row],[4 weeks average]]-B1326)/B1326</f>
        <v>1.1436003228987922E-3</v>
      </c>
    </row>
    <row r="1379" spans="1:6" x14ac:dyDescent="0.2">
      <c r="A1379" s="23">
        <v>37011</v>
      </c>
      <c r="B1379" s="25">
        <f>VLOOKUP(Table2634[[#This Row],[Date]],'DB Money Supply'!$A:$D,4)</f>
        <v>1116.8</v>
      </c>
      <c r="C1379" s="31">
        <f>(Table2634[[#This Row],[M1 Money Stock, Billions of Dollars, Weekly, Seasonally Adjusted]]-B1378)/B1378</f>
        <v>-8.0522501565723442E-4</v>
      </c>
      <c r="D1379" s="35">
        <f>((1+Table2634[[#This Row],[Weekly change]])^52)-1</f>
        <v>-4.1023364639000914E-2</v>
      </c>
      <c r="E1379" s="25">
        <f t="shared" si="21"/>
        <v>1116.9000000000001</v>
      </c>
      <c r="F1379" s="33">
        <f>(Table2634[[#This Row],[4 weeks average]]-B1327)/B1327</f>
        <v>1.0769230769230852E-2</v>
      </c>
    </row>
    <row r="1380" spans="1:6" x14ac:dyDescent="0.2">
      <c r="A1380" s="23">
        <v>37018</v>
      </c>
      <c r="B1380" s="25">
        <f>VLOOKUP(Table2634[[#This Row],[Date]],'DB Money Supply'!$A:$D,4)</f>
        <v>1113.9000000000001</v>
      </c>
      <c r="C1380" s="31">
        <f>(Table2634[[#This Row],[M1 Money Stock, Billions of Dollars, Weekly, Seasonally Adjusted]]-B1379)/B1379</f>
        <v>-2.5967048710600501E-3</v>
      </c>
      <c r="D1380" s="35">
        <f>((1+Table2634[[#This Row],[Weekly change]])^52)-1</f>
        <v>-0.12646254592273887</v>
      </c>
      <c r="E1380" s="25">
        <f t="shared" si="21"/>
        <v>1116.6500000000001</v>
      </c>
      <c r="F1380" s="33">
        <f>(Table2634[[#This Row],[4 weeks average]]-B1328)/B1328</f>
        <v>9.1730682331677277E-3</v>
      </c>
    </row>
    <row r="1381" spans="1:6" x14ac:dyDescent="0.2">
      <c r="A1381" s="23">
        <v>37025</v>
      </c>
      <c r="B1381" s="25">
        <f>VLOOKUP(Table2634[[#This Row],[Date]],'DB Money Supply'!$A:$D,4)</f>
        <v>1117.5</v>
      </c>
      <c r="C1381" s="31">
        <f>(Table2634[[#This Row],[M1 Money Stock, Billions of Dollars, Weekly, Seasonally Adjusted]]-B1380)/B1380</f>
        <v>3.2318879612172626E-3</v>
      </c>
      <c r="D1381" s="35">
        <f>((1+Table2634[[#This Row],[Weekly change]])^52)-1</f>
        <v>0.18268489089964679</v>
      </c>
      <c r="E1381" s="25">
        <f t="shared" si="21"/>
        <v>1116.4749999999999</v>
      </c>
      <c r="F1381" s="33">
        <f>(Table2634[[#This Row],[4 weeks average]]-B1329)/B1329</f>
        <v>4.7471202303814462E-3</v>
      </c>
    </row>
    <row r="1382" spans="1:6" x14ac:dyDescent="0.2">
      <c r="A1382" s="23">
        <v>37032</v>
      </c>
      <c r="B1382" s="25">
        <f>VLOOKUP(Table2634[[#This Row],[Date]],'DB Money Supply'!$A:$D,4)</f>
        <v>1122.3</v>
      </c>
      <c r="C1382" s="31">
        <f>(Table2634[[#This Row],[M1 Money Stock, Billions of Dollars, Weekly, Seasonally Adjusted]]-B1381)/B1381</f>
        <v>4.2953020134227785E-3</v>
      </c>
      <c r="D1382" s="35">
        <f>((1+Table2634[[#This Row],[Weekly change]])^52)-1</f>
        <v>0.24966733487313708</v>
      </c>
      <c r="E1382" s="25">
        <f t="shared" si="21"/>
        <v>1117.625</v>
      </c>
      <c r="F1382" s="33">
        <f>(Table2634[[#This Row],[4 weeks average]]-B1330)/B1330</f>
        <v>1.1333815944258521E-2</v>
      </c>
    </row>
    <row r="1383" spans="1:6" x14ac:dyDescent="0.2">
      <c r="A1383" s="23">
        <v>37039</v>
      </c>
      <c r="B1383" s="25">
        <f>VLOOKUP(Table2634[[#This Row],[Date]],'DB Money Supply'!$A:$D,4)</f>
        <v>1117.4000000000001</v>
      </c>
      <c r="C1383" s="31">
        <f>(Table2634[[#This Row],[M1 Money Stock, Billions of Dollars, Weekly, Seasonally Adjusted]]-B1382)/B1382</f>
        <v>-4.3660340372448222E-3</v>
      </c>
      <c r="D1383" s="35">
        <f>((1+Table2634[[#This Row],[Weekly change]])^52)-1</f>
        <v>-0.20350213957165031</v>
      </c>
      <c r="E1383" s="25">
        <f t="shared" si="21"/>
        <v>1117.7750000000001</v>
      </c>
      <c r="F1383" s="33">
        <f>(Table2634[[#This Row],[4 weeks average]]-B1331)/B1331</f>
        <v>1.8195481872836709E-2</v>
      </c>
    </row>
    <row r="1384" spans="1:6" x14ac:dyDescent="0.2">
      <c r="A1384" s="23">
        <v>37046</v>
      </c>
      <c r="B1384" s="25">
        <f>VLOOKUP(Table2634[[#This Row],[Date]],'DB Money Supply'!$A:$D,4)</f>
        <v>1125.2</v>
      </c>
      <c r="C1384" s="31">
        <f>(Table2634[[#This Row],[M1 Money Stock, Billions of Dollars, Weekly, Seasonally Adjusted]]-B1383)/B1383</f>
        <v>6.9804904241989926E-3</v>
      </c>
      <c r="D1384" s="35">
        <f>((1+Table2634[[#This Row],[Weekly change]])^52)-1</f>
        <v>0.43580326437215877</v>
      </c>
      <c r="E1384" s="25">
        <f t="shared" si="21"/>
        <v>1120.6000000000001</v>
      </c>
      <c r="F1384" s="33">
        <f>(Table2634[[#This Row],[4 weeks average]]-B1332)/B1332</f>
        <v>1.6878402903811377E-2</v>
      </c>
    </row>
    <row r="1385" spans="1:6" x14ac:dyDescent="0.2">
      <c r="A1385" s="23">
        <v>37053</v>
      </c>
      <c r="B1385" s="25">
        <f>VLOOKUP(Table2634[[#This Row],[Date]],'DB Money Supply'!$A:$D,4)</f>
        <v>1126.2</v>
      </c>
      <c r="C1385" s="31">
        <f>(Table2634[[#This Row],[M1 Money Stock, Billions of Dollars, Weekly, Seasonally Adjusted]]-B1384)/B1384</f>
        <v>8.8873089228581577E-4</v>
      </c>
      <c r="D1385" s="35">
        <f>((1+Table2634[[#This Row],[Weekly change]])^52)-1</f>
        <v>4.7277021289344523E-2</v>
      </c>
      <c r="E1385" s="25">
        <f t="shared" si="21"/>
        <v>1122.7749999999999</v>
      </c>
      <c r="F1385" s="33">
        <f>(Table2634[[#This Row],[4 weeks average]]-B1333)/B1333</f>
        <v>1.6637993480622757E-2</v>
      </c>
    </row>
    <row r="1386" spans="1:6" x14ac:dyDescent="0.2">
      <c r="A1386" s="23">
        <v>37060</v>
      </c>
      <c r="B1386" s="25">
        <f>VLOOKUP(Table2634[[#This Row],[Date]],'DB Money Supply'!$A:$D,4)</f>
        <v>1126.4000000000001</v>
      </c>
      <c r="C1386" s="31">
        <f>(Table2634[[#This Row],[M1 Money Stock, Billions of Dollars, Weekly, Seasonally Adjusted]]-B1385)/B1385</f>
        <v>1.7758835020426699E-4</v>
      </c>
      <c r="D1386" s="35">
        <f>((1+Table2634[[#This Row],[Weekly change]])^52)-1</f>
        <v>9.2765371430738597E-3</v>
      </c>
      <c r="E1386" s="25">
        <f t="shared" si="21"/>
        <v>1123.8000000000002</v>
      </c>
      <c r="F1386" s="33">
        <f>(Table2634[[#This Row],[4 weeks average]]-B1334)/B1334</f>
        <v>2.0615747888475412E-2</v>
      </c>
    </row>
    <row r="1387" spans="1:6" x14ac:dyDescent="0.2">
      <c r="A1387" s="23">
        <v>37067</v>
      </c>
      <c r="B1387" s="25">
        <f>VLOOKUP(Table2634[[#This Row],[Date]],'DB Money Supply'!$A:$D,4)</f>
        <v>1124.0999999999999</v>
      </c>
      <c r="C1387" s="31">
        <f>(Table2634[[#This Row],[M1 Money Stock, Billions of Dollars, Weekly, Seasonally Adjusted]]-B1386)/B1386</f>
        <v>-2.0419034090910703E-3</v>
      </c>
      <c r="D1387" s="35">
        <f>((1+Table2634[[#This Row],[Weekly change]])^52)-1</f>
        <v>-0.10083392512456379</v>
      </c>
      <c r="E1387" s="25">
        <f t="shared" si="21"/>
        <v>1125.4749999999999</v>
      </c>
      <c r="F1387" s="33">
        <f>(Table2634[[#This Row],[4 weeks average]]-B1335)/B1335</f>
        <v>2.4090081892629581E-2</v>
      </c>
    </row>
    <row r="1388" spans="1:6" x14ac:dyDescent="0.2">
      <c r="A1388" s="23">
        <v>37074</v>
      </c>
      <c r="B1388" s="25">
        <f>VLOOKUP(Table2634[[#This Row],[Date]],'DB Money Supply'!$A:$D,4)</f>
        <v>1129.9000000000001</v>
      </c>
      <c r="C1388" s="31">
        <f>(Table2634[[#This Row],[M1 Money Stock, Billions of Dollars, Weekly, Seasonally Adjusted]]-B1387)/B1387</f>
        <v>5.1596833021974754E-3</v>
      </c>
      <c r="D1388" s="35">
        <f>((1+Table2634[[#This Row],[Weekly change]])^52)-1</f>
        <v>0.30684223923242548</v>
      </c>
      <c r="E1388" s="25">
        <f t="shared" si="21"/>
        <v>1126.6500000000001</v>
      </c>
      <c r="F1388" s="33">
        <f>(Table2634[[#This Row],[4 weeks average]]-B1336)/B1336</f>
        <v>1.5548945375878852E-2</v>
      </c>
    </row>
    <row r="1389" spans="1:6" x14ac:dyDescent="0.2">
      <c r="A1389" s="23">
        <v>37081</v>
      </c>
      <c r="B1389" s="25">
        <f>VLOOKUP(Table2634[[#This Row],[Date]],'DB Money Supply'!$A:$D,4)</f>
        <v>1133.9000000000001</v>
      </c>
      <c r="C1389" s="31">
        <f>(Table2634[[#This Row],[M1 Money Stock, Billions of Dollars, Weekly, Seasonally Adjusted]]-B1388)/B1388</f>
        <v>3.5401362952473666E-3</v>
      </c>
      <c r="D1389" s="35">
        <f>((1+Table2634[[#This Row],[Weekly change]])^52)-1</f>
        <v>0.20172978657027563</v>
      </c>
      <c r="E1389" s="25">
        <f t="shared" si="21"/>
        <v>1128.575</v>
      </c>
      <c r="F1389" s="33">
        <f>(Table2634[[#This Row],[4 weeks average]]-B1337)/B1337</f>
        <v>1.2538130270949343E-2</v>
      </c>
    </row>
    <row r="1390" spans="1:6" x14ac:dyDescent="0.2">
      <c r="A1390" s="23">
        <v>37088</v>
      </c>
      <c r="B1390" s="25">
        <f>VLOOKUP(Table2634[[#This Row],[Date]],'DB Money Supply'!$A:$D,4)</f>
        <v>1142.0999999999999</v>
      </c>
      <c r="C1390" s="31">
        <f>(Table2634[[#This Row],[M1 Money Stock, Billions of Dollars, Weekly, Seasonally Adjusted]]-B1389)/B1389</f>
        <v>7.2316782785076441E-3</v>
      </c>
      <c r="D1390" s="35">
        <f>((1+Table2634[[#This Row],[Weekly change]])^52)-1</f>
        <v>0.45454634858859766</v>
      </c>
      <c r="E1390" s="25">
        <f t="shared" si="21"/>
        <v>1132.5</v>
      </c>
      <c r="F1390" s="33">
        <f>(Table2634[[#This Row],[4 weeks average]]-B1338)/B1338</f>
        <v>2.8703787809973572E-2</v>
      </c>
    </row>
    <row r="1391" spans="1:6" x14ac:dyDescent="0.2">
      <c r="A1391" s="23">
        <v>37095</v>
      </c>
      <c r="B1391" s="25">
        <f>VLOOKUP(Table2634[[#This Row],[Date]],'DB Money Supply'!$A:$D,4)</f>
        <v>1142</v>
      </c>
      <c r="C1391" s="31">
        <f>(Table2634[[#This Row],[M1 Money Stock, Billions of Dollars, Weekly, Seasonally Adjusted]]-B1390)/B1390</f>
        <v>-8.7558007179676955E-5</v>
      </c>
      <c r="D1391" s="35">
        <f>((1+Table2634[[#This Row],[Weekly change]])^52)-1</f>
        <v>-4.5428655396526629E-3</v>
      </c>
      <c r="E1391" s="25">
        <f t="shared" si="21"/>
        <v>1136.9749999999999</v>
      </c>
      <c r="F1391" s="33">
        <f>(Table2634[[#This Row],[4 weeks average]]-B1339)/B1339</f>
        <v>3.4083674397453308E-2</v>
      </c>
    </row>
    <row r="1392" spans="1:6" x14ac:dyDescent="0.2">
      <c r="A1392" s="23">
        <v>37102</v>
      </c>
      <c r="B1392" s="25">
        <f>VLOOKUP(Table2634[[#This Row],[Date]],'DB Money Supply'!$A:$D,4)</f>
        <v>1139.4000000000001</v>
      </c>
      <c r="C1392" s="31">
        <f>(Table2634[[#This Row],[M1 Money Stock, Billions of Dollars, Weekly, Seasonally Adjusted]]-B1391)/B1391</f>
        <v>-2.2767075306479065E-3</v>
      </c>
      <c r="D1392" s="35">
        <f>((1+Table2634[[#This Row],[Weekly change]])^52)-1</f>
        <v>-0.11176929323895457</v>
      </c>
      <c r="E1392" s="25">
        <f t="shared" si="21"/>
        <v>1139.3499999999999</v>
      </c>
      <c r="F1392" s="33">
        <f>(Table2634[[#This Row],[4 weeks average]]-B1340)/B1340</f>
        <v>3.9363254880496135E-2</v>
      </c>
    </row>
    <row r="1393" spans="1:6" x14ac:dyDescent="0.2">
      <c r="A1393" s="23">
        <v>37109</v>
      </c>
      <c r="B1393" s="25">
        <f>VLOOKUP(Table2634[[#This Row],[Date]],'DB Money Supply'!$A:$D,4)</f>
        <v>1143.3</v>
      </c>
      <c r="C1393" s="31">
        <f>(Table2634[[#This Row],[M1 Money Stock, Billions of Dollars, Weekly, Seasonally Adjusted]]-B1392)/B1392</f>
        <v>3.4228541337544879E-3</v>
      </c>
      <c r="D1393" s="35">
        <f>((1+Table2634[[#This Row],[Weekly change]])^52)-1</f>
        <v>0.19444840624078319</v>
      </c>
      <c r="E1393" s="25">
        <f t="shared" si="21"/>
        <v>1141.7</v>
      </c>
      <c r="F1393" s="33">
        <f>(Table2634[[#This Row],[4 weeks average]]-B1341)/B1341</f>
        <v>3.9894343747153616E-2</v>
      </c>
    </row>
    <row r="1394" spans="1:6" x14ac:dyDescent="0.2">
      <c r="A1394" s="23">
        <v>37116</v>
      </c>
      <c r="B1394" s="25">
        <f>VLOOKUP(Table2634[[#This Row],[Date]],'DB Money Supply'!$A:$D,4)</f>
        <v>1148.5999999999999</v>
      </c>
      <c r="C1394" s="31">
        <f>(Table2634[[#This Row],[M1 Money Stock, Billions of Dollars, Weekly, Seasonally Adjusted]]-B1393)/B1393</f>
        <v>4.6357036648298384E-3</v>
      </c>
      <c r="D1394" s="35">
        <f>((1+Table2634[[#This Row],[Weekly change]])^52)-1</f>
        <v>0.27188439693887778</v>
      </c>
      <c r="E1394" s="25">
        <f t="shared" si="21"/>
        <v>1143.3249999999998</v>
      </c>
      <c r="F1394" s="33">
        <f>(Table2634[[#This Row],[4 weeks average]]-B1342)/B1342</f>
        <v>3.9102971916749857E-2</v>
      </c>
    </row>
    <row r="1395" spans="1:6" x14ac:dyDescent="0.2">
      <c r="A1395" s="23">
        <v>37123</v>
      </c>
      <c r="B1395" s="25">
        <f>VLOOKUP(Table2634[[#This Row],[Date]],'DB Money Supply'!$A:$D,4)</f>
        <v>1149.9000000000001</v>
      </c>
      <c r="C1395" s="31">
        <f>(Table2634[[#This Row],[M1 Money Stock, Billions of Dollars, Weekly, Seasonally Adjusted]]-B1394)/B1394</f>
        <v>1.1318126414767385E-3</v>
      </c>
      <c r="D1395" s="35">
        <f>((1+Table2634[[#This Row],[Weekly change]])^52)-1</f>
        <v>6.0585354009630832E-2</v>
      </c>
      <c r="E1395" s="25">
        <f t="shared" si="21"/>
        <v>1145.3</v>
      </c>
      <c r="F1395" s="33">
        <f>(Table2634[[#This Row],[4 weeks average]]-B1343)/B1343</f>
        <v>3.9103610959898304E-2</v>
      </c>
    </row>
    <row r="1396" spans="1:6" x14ac:dyDescent="0.2">
      <c r="A1396" s="23">
        <v>37130</v>
      </c>
      <c r="B1396" s="25">
        <f>VLOOKUP(Table2634[[#This Row],[Date]],'DB Money Supply'!$A:$D,4)</f>
        <v>1149</v>
      </c>
      <c r="C1396" s="31">
        <f>(Table2634[[#This Row],[M1 Money Stock, Billions of Dollars, Weekly, Seasonally Adjusted]]-B1395)/B1395</f>
        <v>-7.826767545004704E-4</v>
      </c>
      <c r="D1396" s="35">
        <f>((1+Table2634[[#This Row],[Weekly change]])^52)-1</f>
        <v>-3.9897401415115219E-2</v>
      </c>
      <c r="E1396" s="25">
        <f t="shared" si="21"/>
        <v>1147.6999999999998</v>
      </c>
      <c r="F1396" s="33">
        <f>(Table2634[[#This Row],[4 weeks average]]-B1344)/B1344</f>
        <v>4.203740693662586E-2</v>
      </c>
    </row>
    <row r="1397" spans="1:6" x14ac:dyDescent="0.2">
      <c r="A1397" s="23">
        <v>37137</v>
      </c>
      <c r="B1397" s="25">
        <f>VLOOKUP(Table2634[[#This Row],[Date]],'DB Money Supply'!$A:$D,4)</f>
        <v>1165.5</v>
      </c>
      <c r="C1397" s="31">
        <f>(Table2634[[#This Row],[M1 Money Stock, Billions of Dollars, Weekly, Seasonally Adjusted]]-B1396)/B1396</f>
        <v>1.4360313315926894E-2</v>
      </c>
      <c r="D1397" s="35">
        <f>((1+Table2634[[#This Row],[Weekly change]])^52)-1</f>
        <v>1.0989251756956135</v>
      </c>
      <c r="E1397" s="25">
        <f t="shared" si="21"/>
        <v>1153.25</v>
      </c>
      <c r="F1397" s="33">
        <f>(Table2634[[#This Row],[4 weeks average]]-B1345)/B1345</f>
        <v>5.0605812152682839E-2</v>
      </c>
    </row>
    <row r="1398" spans="1:6" x14ac:dyDescent="0.2">
      <c r="A1398" s="23">
        <v>37144</v>
      </c>
      <c r="B1398" s="25">
        <f>VLOOKUP(Table2634[[#This Row],[Date]],'DB Money Supply'!$A:$D,4)</f>
        <v>1167</v>
      </c>
      <c r="C1398" s="31">
        <f>(Table2634[[#This Row],[M1 Money Stock, Billions of Dollars, Weekly, Seasonally Adjusted]]-B1397)/B1397</f>
        <v>1.287001287001287E-3</v>
      </c>
      <c r="D1398" s="35">
        <f>((1+Table2634[[#This Row],[Weekly change]])^52)-1</f>
        <v>6.9168280381602276E-2</v>
      </c>
      <c r="E1398" s="25">
        <f t="shared" si="21"/>
        <v>1157.8499999999999</v>
      </c>
      <c r="F1398" s="33">
        <f>(Table2634[[#This Row],[4 weeks average]]-B1346)/B1346</f>
        <v>4.6407591504744605E-2</v>
      </c>
    </row>
    <row r="1399" spans="1:6" x14ac:dyDescent="0.2">
      <c r="A1399" s="23">
        <v>37151</v>
      </c>
      <c r="B1399" s="25">
        <f>VLOOKUP(Table2634[[#This Row],[Date]],'DB Money Supply'!$A:$D,4)</f>
        <v>1292</v>
      </c>
      <c r="C1399" s="31">
        <f>(Table2634[[#This Row],[M1 Money Stock, Billions of Dollars, Weekly, Seasonally Adjusted]]-B1398)/B1398</f>
        <v>0.10711225364181662</v>
      </c>
      <c r="D1399" s="35">
        <f>((1+Table2634[[#This Row],[Weekly change]])^52)-1</f>
        <v>197.59403321230738</v>
      </c>
      <c r="E1399" s="25">
        <f t="shared" si="21"/>
        <v>1193.375</v>
      </c>
      <c r="F1399" s="33">
        <f>(Table2634[[#This Row],[4 weeks average]]-B1347)/B1347</f>
        <v>8.6367774237596728E-2</v>
      </c>
    </row>
    <row r="1400" spans="1:6" x14ac:dyDescent="0.2">
      <c r="A1400" s="23">
        <v>37158</v>
      </c>
      <c r="B1400" s="25">
        <f>VLOOKUP(Table2634[[#This Row],[Date]],'DB Money Supply'!$A:$D,4)</f>
        <v>1206.0999999999999</v>
      </c>
      <c r="C1400" s="31">
        <f>(Table2634[[#This Row],[M1 Money Stock, Billions of Dollars, Weekly, Seasonally Adjusted]]-B1399)/B1399</f>
        <v>-6.6486068111455174E-2</v>
      </c>
      <c r="D1400" s="35">
        <f>((1+Table2634[[#This Row],[Weekly change]])^52)-1</f>
        <v>-0.97205643591452151</v>
      </c>
      <c r="E1400" s="25">
        <f t="shared" si="21"/>
        <v>1207.6500000000001</v>
      </c>
      <c r="F1400" s="33">
        <f>(Table2634[[#This Row],[4 weeks average]]-B1348)/B1348</f>
        <v>0.1011671377769673</v>
      </c>
    </row>
    <row r="1401" spans="1:6" x14ac:dyDescent="0.2">
      <c r="A1401" s="23">
        <v>37165</v>
      </c>
      <c r="B1401" s="25">
        <f>VLOOKUP(Table2634[[#This Row],[Date]],'DB Money Supply'!$A:$D,4)</f>
        <v>1171.3</v>
      </c>
      <c r="C1401" s="31">
        <f>(Table2634[[#This Row],[M1 Money Stock, Billions of Dollars, Weekly, Seasonally Adjusted]]-B1400)/B1400</f>
        <v>-2.8853328911367181E-2</v>
      </c>
      <c r="D1401" s="35">
        <f>((1+Table2634[[#This Row],[Weekly change]])^52)-1</f>
        <v>-0.78182200678480074</v>
      </c>
      <c r="E1401" s="25">
        <f t="shared" si="21"/>
        <v>1209.0999999999999</v>
      </c>
      <c r="F1401" s="33">
        <f>(Table2634[[#This Row],[4 weeks average]]-B1349)/B1349</f>
        <v>0.10128426996994244</v>
      </c>
    </row>
    <row r="1402" spans="1:6" x14ac:dyDescent="0.2">
      <c r="A1402" s="23">
        <v>37172</v>
      </c>
      <c r="B1402" s="25">
        <f>VLOOKUP(Table2634[[#This Row],[Date]],'DB Money Supply'!$A:$D,4)</f>
        <v>1166.9000000000001</v>
      </c>
      <c r="C1402" s="31">
        <f>(Table2634[[#This Row],[M1 Money Stock, Billions of Dollars, Weekly, Seasonally Adjusted]]-B1401)/B1401</f>
        <v>-3.7565098608382682E-3</v>
      </c>
      <c r="D1402" s="35">
        <f>((1+Table2634[[#This Row],[Weekly change]])^52)-1</f>
        <v>-0.17774632930576362</v>
      </c>
      <c r="E1402" s="25">
        <f t="shared" si="21"/>
        <v>1209.0749999999998</v>
      </c>
      <c r="F1402" s="33">
        <f>(Table2634[[#This Row],[4 weeks average]]-B1350)/B1350</f>
        <v>9.9259023547594985E-2</v>
      </c>
    </row>
    <row r="1403" spans="1:6" x14ac:dyDescent="0.2">
      <c r="A1403" s="23">
        <v>37179</v>
      </c>
      <c r="B1403" s="25">
        <f>VLOOKUP(Table2634[[#This Row],[Date]],'DB Money Supply'!$A:$D,4)</f>
        <v>1166.7</v>
      </c>
      <c r="C1403" s="31">
        <f>(Table2634[[#This Row],[M1 Money Stock, Billions of Dollars, Weekly, Seasonally Adjusted]]-B1402)/B1402</f>
        <v>-1.7139429257009638E-4</v>
      </c>
      <c r="D1403" s="35">
        <f>((1+Table2634[[#This Row],[Weekly change]])^52)-1</f>
        <v>-8.873661670564692E-3</v>
      </c>
      <c r="E1403" s="25">
        <f t="shared" si="21"/>
        <v>1177.75</v>
      </c>
      <c r="F1403" s="33">
        <f>(Table2634[[#This Row],[4 weeks average]]-B1351)/B1351</f>
        <v>7.0487184148336615E-2</v>
      </c>
    </row>
    <row r="1404" spans="1:6" x14ac:dyDescent="0.2">
      <c r="A1404" s="23">
        <v>37186</v>
      </c>
      <c r="B1404" s="25">
        <f>VLOOKUP(Table2634[[#This Row],[Date]],'DB Money Supply'!$A:$D,4)</f>
        <v>1167.2</v>
      </c>
      <c r="C1404" s="31">
        <f>(Table2634[[#This Row],[M1 Money Stock, Billions of Dollars, Weekly, Seasonally Adjusted]]-B1403)/B1403</f>
        <v>4.2855918402331358E-4</v>
      </c>
      <c r="D1404" s="35">
        <f>((1+Table2634[[#This Row],[Weekly change]])^52)-1</f>
        <v>2.2530363343876703E-2</v>
      </c>
      <c r="E1404" s="25">
        <f t="shared" si="21"/>
        <v>1168.0249999999999</v>
      </c>
      <c r="F1404" s="33">
        <f>(Table2634[[#This Row],[4 weeks average]]-B1352)/B1352</f>
        <v>6.2517056308559915E-2</v>
      </c>
    </row>
    <row r="1405" spans="1:6" x14ac:dyDescent="0.2">
      <c r="A1405" s="23">
        <v>37193</v>
      </c>
      <c r="B1405" s="25">
        <f>VLOOKUP(Table2634[[#This Row],[Date]],'DB Money Supply'!$A:$D,4)</f>
        <v>1161.2</v>
      </c>
      <c r="C1405" s="31">
        <f>(Table2634[[#This Row],[M1 Money Stock, Billions of Dollars, Weekly, Seasonally Adjusted]]-B1404)/B1404</f>
        <v>-5.1405071967100752E-3</v>
      </c>
      <c r="D1405" s="35">
        <f>((1+Table2634[[#This Row],[Weekly change]])^52)-1</f>
        <v>-0.23508899329048161</v>
      </c>
      <c r="E1405" s="25">
        <f t="shared" si="21"/>
        <v>1165.5</v>
      </c>
      <c r="F1405" s="33">
        <f>(Table2634[[#This Row],[4 weeks average]]-B1353)/B1353</f>
        <v>6.2636761487965029E-2</v>
      </c>
    </row>
    <row r="1406" spans="1:6" x14ac:dyDescent="0.2">
      <c r="A1406" s="23">
        <v>37200</v>
      </c>
      <c r="B1406" s="25">
        <f>VLOOKUP(Table2634[[#This Row],[Date]],'DB Money Supply'!$A:$D,4)</f>
        <v>1164.8</v>
      </c>
      <c r="C1406" s="31">
        <f>(Table2634[[#This Row],[M1 Money Stock, Billions of Dollars, Weekly, Seasonally Adjusted]]-B1405)/B1405</f>
        <v>3.1002411298655776E-3</v>
      </c>
      <c r="D1406" s="35">
        <f>((1+Table2634[[#This Row],[Weekly change]])^52)-1</f>
        <v>0.17464168855640594</v>
      </c>
      <c r="E1406" s="25">
        <f t="shared" si="21"/>
        <v>1164.9750000000001</v>
      </c>
      <c r="F1406" s="33">
        <f>(Table2634[[#This Row],[4 weeks average]]-B1354)/B1354</f>
        <v>6.7120087936246298E-2</v>
      </c>
    </row>
    <row r="1407" spans="1:6" x14ac:dyDescent="0.2">
      <c r="A1407" s="23">
        <v>37207</v>
      </c>
      <c r="B1407" s="25">
        <f>VLOOKUP(Table2634[[#This Row],[Date]],'DB Money Supply'!$A:$D,4)</f>
        <v>1170.2</v>
      </c>
      <c r="C1407" s="31">
        <f>(Table2634[[#This Row],[M1 Money Stock, Billions of Dollars, Weekly, Seasonally Adjusted]]-B1406)/B1406</f>
        <v>4.6359890109890891E-3</v>
      </c>
      <c r="D1407" s="35">
        <f>((1+Table2634[[#This Row],[Weekly change]])^52)-1</f>
        <v>0.27190318221362886</v>
      </c>
      <c r="E1407" s="25">
        <f t="shared" si="21"/>
        <v>1165.8499999999999</v>
      </c>
      <c r="F1407" s="33">
        <f>(Table2634[[#This Row],[4 weeks average]]-B1355)/B1355</f>
        <v>6.9685292228644655E-2</v>
      </c>
    </row>
    <row r="1408" spans="1:6" x14ac:dyDescent="0.2">
      <c r="A1408" s="23">
        <v>37214</v>
      </c>
      <c r="B1408" s="25">
        <f>VLOOKUP(Table2634[[#This Row],[Date]],'DB Money Supply'!$A:$D,4)</f>
        <v>1171.9000000000001</v>
      </c>
      <c r="C1408" s="31">
        <f>(Table2634[[#This Row],[M1 Money Stock, Billions of Dollars, Weekly, Seasonally Adjusted]]-B1407)/B1407</f>
        <v>1.4527431208340843E-3</v>
      </c>
      <c r="D1408" s="35">
        <f>((1+Table2634[[#This Row],[Weekly change]])^52)-1</f>
        <v>7.8410096207054414E-2</v>
      </c>
      <c r="E1408" s="25">
        <f t="shared" si="21"/>
        <v>1167.0250000000001</v>
      </c>
      <c r="F1408" s="33">
        <f>(Table2634[[#This Row],[4 weeks average]]-B1356)/B1356</f>
        <v>6.6847975134838644E-2</v>
      </c>
    </row>
    <row r="1409" spans="1:6" x14ac:dyDescent="0.2">
      <c r="A1409" s="23">
        <v>37221</v>
      </c>
      <c r="B1409" s="25">
        <f>VLOOKUP(Table2634[[#This Row],[Date]],'DB Money Supply'!$A:$D,4)</f>
        <v>1172.0999999999999</v>
      </c>
      <c r="C1409" s="31">
        <f>(Table2634[[#This Row],[M1 Money Stock, Billions of Dollars, Weekly, Seasonally Adjusted]]-B1408)/B1408</f>
        <v>1.7066302585529318E-4</v>
      </c>
      <c r="D1409" s="35">
        <f>((1+Table2634[[#This Row],[Weekly change]])^52)-1</f>
        <v>8.9132083286695973E-3</v>
      </c>
      <c r="E1409" s="25">
        <f t="shared" si="21"/>
        <v>1169.75</v>
      </c>
      <c r="F1409" s="33">
        <f>(Table2634[[#This Row],[4 weeks average]]-B1357)/B1357</f>
        <v>6.6706182746671616E-2</v>
      </c>
    </row>
    <row r="1410" spans="1:6" x14ac:dyDescent="0.2">
      <c r="A1410" s="23">
        <v>37228</v>
      </c>
      <c r="B1410" s="25">
        <f>VLOOKUP(Table2634[[#This Row],[Date]],'DB Money Supply'!$A:$D,4)</f>
        <v>1176.5</v>
      </c>
      <c r="C1410" s="31">
        <f>(Table2634[[#This Row],[M1 Money Stock, Billions of Dollars, Weekly, Seasonally Adjusted]]-B1409)/B1409</f>
        <v>3.7539459090522066E-3</v>
      </c>
      <c r="D1410" s="35">
        <f>((1+Table2634[[#This Row],[Weekly change]])^52)-1</f>
        <v>0.21511619600362786</v>
      </c>
      <c r="E1410" s="25">
        <f t="shared" si="21"/>
        <v>1172.6750000000002</v>
      </c>
      <c r="F1410" s="33">
        <f>(Table2634[[#This Row],[4 weeks average]]-B1358)/B1358</f>
        <v>7.9413659793814512E-2</v>
      </c>
    </row>
    <row r="1411" spans="1:6" x14ac:dyDescent="0.2">
      <c r="A1411" s="23">
        <v>37235</v>
      </c>
      <c r="B1411" s="25">
        <f>VLOOKUP(Table2634[[#This Row],[Date]],'DB Money Supply'!$A:$D,4)</f>
        <v>1186.3</v>
      </c>
      <c r="C1411" s="31">
        <f>(Table2634[[#This Row],[M1 Money Stock, Billions of Dollars, Weekly, Seasonally Adjusted]]-B1410)/B1410</f>
        <v>8.3297917552060813E-3</v>
      </c>
      <c r="D1411" s="35">
        <f>((1+Table2634[[#This Row],[Weekly change]])^52)-1</f>
        <v>0.53934208249339477</v>
      </c>
      <c r="E1411" s="25">
        <f t="shared" si="21"/>
        <v>1176.7</v>
      </c>
      <c r="F1411" s="33">
        <f>(Table2634[[#This Row],[4 weeks average]]-B1359)/B1359</f>
        <v>7.6676731631439246E-2</v>
      </c>
    </row>
    <row r="1412" spans="1:6" x14ac:dyDescent="0.2">
      <c r="A1412" s="23">
        <v>37242</v>
      </c>
      <c r="B1412" s="25">
        <f>VLOOKUP(Table2634[[#This Row],[Date]],'DB Money Supply'!$A:$D,4)</f>
        <v>1183.5999999999999</v>
      </c>
      <c r="C1412" s="31">
        <f>(Table2634[[#This Row],[M1 Money Stock, Billions of Dollars, Weekly, Seasonally Adjusted]]-B1411)/B1411</f>
        <v>-2.275984152406681E-3</v>
      </c>
      <c r="D1412" s="35">
        <f>((1+Table2634[[#This Row],[Weekly change]])^52)-1</f>
        <v>-0.11173580498642055</v>
      </c>
      <c r="E1412" s="25">
        <f t="shared" si="21"/>
        <v>1179.625</v>
      </c>
      <c r="F1412" s="33">
        <f>(Table2634[[#This Row],[4 weeks average]]-B1360)/B1360</f>
        <v>8.7813537440058931E-2</v>
      </c>
    </row>
    <row r="1413" spans="1:6" x14ac:dyDescent="0.2">
      <c r="A1413" s="23">
        <v>37249</v>
      </c>
      <c r="B1413" s="25">
        <f>VLOOKUP(Table2634[[#This Row],[Date]],'DB Money Supply'!$A:$D,4)</f>
        <v>1181.7</v>
      </c>
      <c r="C1413" s="31">
        <f>(Table2634[[#This Row],[M1 Money Stock, Billions of Dollars, Weekly, Seasonally Adjusted]]-B1412)/B1412</f>
        <v>-1.6052720513685904E-3</v>
      </c>
      <c r="D1413" s="35">
        <f>((1+Table2634[[#This Row],[Weekly change]])^52)-1</f>
        <v>-8.0146828449286778E-2</v>
      </c>
      <c r="E1413" s="25">
        <f t="shared" si="21"/>
        <v>1182.0250000000001</v>
      </c>
      <c r="F1413" s="33">
        <f>(Table2634[[#This Row],[4 weeks average]]-B1361)/B1361</f>
        <v>8.4327125951747725E-2</v>
      </c>
    </row>
    <row r="1414" spans="1:6" x14ac:dyDescent="0.2">
      <c r="A1414" s="23">
        <v>37256</v>
      </c>
      <c r="B1414" s="25">
        <f>VLOOKUP(Table2634[[#This Row],[Date]],'DB Money Supply'!$A:$D,4)</f>
        <v>1184.2</v>
      </c>
      <c r="C1414" s="31">
        <f>(Table2634[[#This Row],[M1 Money Stock, Billions of Dollars, Weekly, Seasonally Adjusted]]-B1413)/B1413</f>
        <v>2.1155961750021156E-3</v>
      </c>
      <c r="D1414" s="35">
        <f>((1+Table2634[[#This Row],[Weekly change]])^52)-1</f>
        <v>0.11616063920530362</v>
      </c>
      <c r="E1414" s="25">
        <f t="shared" si="21"/>
        <v>1183.9499999999998</v>
      </c>
      <c r="F1414" s="33">
        <f>(Table2634[[#This Row],[4 weeks average]]-B1362)/B1362</f>
        <v>8.7889368740236951E-2</v>
      </c>
    </row>
    <row r="1415" spans="1:6" x14ac:dyDescent="0.2">
      <c r="A1415" s="23">
        <v>37263</v>
      </c>
      <c r="B1415" s="25">
        <f>VLOOKUP(Table2634[[#This Row],[Date]],'DB Money Supply'!$A:$D,4)</f>
        <v>1190.3</v>
      </c>
      <c r="C1415" s="31">
        <f>(Table2634[[#This Row],[M1 Money Stock, Billions of Dollars, Weekly, Seasonally Adjusted]]-B1414)/B1414</f>
        <v>5.1511568991723603E-3</v>
      </c>
      <c r="D1415" s="35">
        <f>((1+Table2634[[#This Row],[Weekly change]])^52)-1</f>
        <v>0.30626591966521777</v>
      </c>
      <c r="E1415" s="25">
        <f t="shared" si="21"/>
        <v>1184.95</v>
      </c>
      <c r="F1415" s="33">
        <f>(Table2634[[#This Row],[4 weeks average]]-B1363)/B1363</f>
        <v>8.2937305794187524E-2</v>
      </c>
    </row>
    <row r="1416" spans="1:6" x14ac:dyDescent="0.2">
      <c r="A1416" s="23">
        <v>37270</v>
      </c>
      <c r="B1416" s="25">
        <f>VLOOKUP(Table2634[[#This Row],[Date]],'DB Money Supply'!$A:$D,4)</f>
        <v>1194.5999999999999</v>
      </c>
      <c r="C1416" s="31">
        <f>(Table2634[[#This Row],[M1 Money Stock, Billions of Dollars, Weekly, Seasonally Adjusted]]-B1415)/B1415</f>
        <v>3.6125346551289209E-3</v>
      </c>
      <c r="D1416" s="35">
        <f>((1+Table2634[[#This Row],[Weekly change]])^52)-1</f>
        <v>0.20624630019116252</v>
      </c>
      <c r="E1416" s="25">
        <f t="shared" si="21"/>
        <v>1187.6999999999998</v>
      </c>
      <c r="F1416" s="33">
        <f>(Table2634[[#This Row],[4 weeks average]]-B1364)/B1364</f>
        <v>8.3470169677066011E-2</v>
      </c>
    </row>
    <row r="1417" spans="1:6" x14ac:dyDescent="0.2">
      <c r="A1417" s="23">
        <v>37277</v>
      </c>
      <c r="B1417" s="25">
        <f>VLOOKUP(Table2634[[#This Row],[Date]],'DB Money Supply'!$A:$D,4)</f>
        <v>1193.5999999999999</v>
      </c>
      <c r="C1417" s="31">
        <f>(Table2634[[#This Row],[M1 Money Stock, Billions of Dollars, Weekly, Seasonally Adjusted]]-B1416)/B1416</f>
        <v>-8.3710028461409685E-4</v>
      </c>
      <c r="D1417" s="35">
        <f>((1+Table2634[[#This Row],[Weekly change]])^52)-1</f>
        <v>-4.2612869388805485E-2</v>
      </c>
      <c r="E1417" s="25">
        <f t="shared" ref="E1417:E1480" si="22">AVERAGE(B1414:B1417)</f>
        <v>1190.675</v>
      </c>
      <c r="F1417" s="33">
        <f>(Table2634[[#This Row],[4 weeks average]]-B1365)/B1365</f>
        <v>8.0761550331306081E-2</v>
      </c>
    </row>
    <row r="1418" spans="1:6" x14ac:dyDescent="0.2">
      <c r="A1418" s="23">
        <v>37284</v>
      </c>
      <c r="B1418" s="25">
        <f>VLOOKUP(Table2634[[#This Row],[Date]],'DB Money Supply'!$A:$D,4)</f>
        <v>1184.5999999999999</v>
      </c>
      <c r="C1418" s="31">
        <f>(Table2634[[#This Row],[M1 Money Stock, Billions of Dollars, Weekly, Seasonally Adjusted]]-B1417)/B1417</f>
        <v>-7.5402144772117969E-3</v>
      </c>
      <c r="D1418" s="35">
        <f>((1+Table2634[[#This Row],[Weekly change]])^52)-1</f>
        <v>-0.32536053150080879</v>
      </c>
      <c r="E1418" s="25">
        <f t="shared" si="22"/>
        <v>1190.7749999999999</v>
      </c>
      <c r="F1418" s="33">
        <f>(Table2634[[#This Row],[4 weeks average]]-B1366)/B1366</f>
        <v>8.7664413591523493E-2</v>
      </c>
    </row>
    <row r="1419" spans="1:6" x14ac:dyDescent="0.2">
      <c r="A1419" s="23">
        <v>37291</v>
      </c>
      <c r="B1419" s="25">
        <f>VLOOKUP(Table2634[[#This Row],[Date]],'DB Money Supply'!$A:$D,4)</f>
        <v>1189.5</v>
      </c>
      <c r="C1419" s="31">
        <f>(Table2634[[#This Row],[M1 Money Stock, Billions of Dollars, Weekly, Seasonally Adjusted]]-B1418)/B1418</f>
        <v>4.1364173560696363E-3</v>
      </c>
      <c r="D1419" s="35">
        <f>((1+Table2634[[#This Row],[Weekly change]])^52)-1</f>
        <v>0.2394281040381141</v>
      </c>
      <c r="E1419" s="25">
        <f t="shared" si="22"/>
        <v>1190.5749999999998</v>
      </c>
      <c r="F1419" s="33">
        <f>(Table2634[[#This Row],[4 weeks average]]-B1367)/B1367</f>
        <v>8.2636173501863933E-2</v>
      </c>
    </row>
    <row r="1420" spans="1:6" x14ac:dyDescent="0.2">
      <c r="A1420" s="23">
        <v>37298</v>
      </c>
      <c r="B1420" s="25">
        <f>VLOOKUP(Table2634[[#This Row],[Date]],'DB Money Supply'!$A:$D,4)</f>
        <v>1190.4000000000001</v>
      </c>
      <c r="C1420" s="31">
        <f>(Table2634[[#This Row],[M1 Money Stock, Billions of Dollars, Weekly, Seasonally Adjusted]]-B1419)/B1419</f>
        <v>7.5662042875165273E-4</v>
      </c>
      <c r="D1420" s="35">
        <f>((1+Table2634[[#This Row],[Weekly change]])^52)-1</f>
        <v>4.0113025342721098E-2</v>
      </c>
      <c r="E1420" s="25">
        <f t="shared" si="22"/>
        <v>1189.5250000000001</v>
      </c>
      <c r="F1420" s="33">
        <f>(Table2634[[#This Row],[4 weeks average]]-B1368)/B1368</f>
        <v>8.2074956790685105E-2</v>
      </c>
    </row>
    <row r="1421" spans="1:6" x14ac:dyDescent="0.2">
      <c r="A1421" s="23">
        <v>37305</v>
      </c>
      <c r="B1421" s="25">
        <f>VLOOKUP(Table2634[[#This Row],[Date]],'DB Money Supply'!$A:$D,4)</f>
        <v>1192.4000000000001</v>
      </c>
      <c r="C1421" s="31">
        <f>(Table2634[[#This Row],[M1 Money Stock, Billions of Dollars, Weekly, Seasonally Adjusted]]-B1420)/B1420</f>
        <v>1.6801075268817202E-3</v>
      </c>
      <c r="D1421" s="35">
        <f>((1+Table2634[[#This Row],[Weekly change]])^52)-1</f>
        <v>9.1215575460823262E-2</v>
      </c>
      <c r="E1421" s="25">
        <f t="shared" si="22"/>
        <v>1189.2249999999999</v>
      </c>
      <c r="F1421" s="33">
        <f>(Table2634[[#This Row],[4 weeks average]]-B1369)/B1369</f>
        <v>8.229432107753909E-2</v>
      </c>
    </row>
    <row r="1422" spans="1:6" x14ac:dyDescent="0.2">
      <c r="A1422" s="23">
        <v>37312</v>
      </c>
      <c r="B1422" s="25">
        <f>VLOOKUP(Table2634[[#This Row],[Date]],'DB Money Supply'!$A:$D,4)</f>
        <v>1189.4000000000001</v>
      </c>
      <c r="C1422" s="31">
        <f>(Table2634[[#This Row],[M1 Money Stock, Billions of Dollars, Weekly, Seasonally Adjusted]]-B1421)/B1421</f>
        <v>-2.5159342502515934E-3</v>
      </c>
      <c r="D1422" s="35">
        <f>((1+Table2634[[#This Row],[Weekly change]])^52)-1</f>
        <v>-0.12277646721152113</v>
      </c>
      <c r="E1422" s="25">
        <f t="shared" si="22"/>
        <v>1190.4250000000002</v>
      </c>
      <c r="F1422" s="33">
        <f>(Table2634[[#This Row],[4 weeks average]]-B1370)/B1370</f>
        <v>7.7892973560304307E-2</v>
      </c>
    </row>
    <row r="1423" spans="1:6" x14ac:dyDescent="0.2">
      <c r="A1423" s="23">
        <v>37319</v>
      </c>
      <c r="B1423" s="25">
        <f>VLOOKUP(Table2634[[#This Row],[Date]],'DB Money Supply'!$A:$D,4)</f>
        <v>1191.0999999999999</v>
      </c>
      <c r="C1423" s="31">
        <f>(Table2634[[#This Row],[M1 Money Stock, Billions of Dollars, Weekly, Seasonally Adjusted]]-B1422)/B1422</f>
        <v>1.4292920800402034E-3</v>
      </c>
      <c r="D1423" s="35">
        <f>((1+Table2634[[#This Row],[Weekly change]])^52)-1</f>
        <v>7.70977160896682E-2</v>
      </c>
      <c r="E1423" s="25">
        <f t="shared" si="22"/>
        <v>1190.825</v>
      </c>
      <c r="F1423" s="33">
        <f>(Table2634[[#This Row],[4 weeks average]]-B1371)/B1371</f>
        <v>7.3492292436671866E-2</v>
      </c>
    </row>
    <row r="1424" spans="1:6" x14ac:dyDescent="0.2">
      <c r="A1424" s="23">
        <v>37326</v>
      </c>
      <c r="B1424" s="25">
        <f>VLOOKUP(Table2634[[#This Row],[Date]],'DB Money Supply'!$A:$D,4)</f>
        <v>1198.5999999999999</v>
      </c>
      <c r="C1424" s="31">
        <f>(Table2634[[#This Row],[M1 Money Stock, Billions of Dollars, Weekly, Seasonally Adjusted]]-B1423)/B1423</f>
        <v>6.2967005289228453E-3</v>
      </c>
      <c r="D1424" s="35">
        <f>((1+Table2634[[#This Row],[Weekly change]])^52)-1</f>
        <v>0.38597224475228131</v>
      </c>
      <c r="E1424" s="25">
        <f t="shared" si="22"/>
        <v>1192.875</v>
      </c>
      <c r="F1424" s="33">
        <f>(Table2634[[#This Row],[4 weeks average]]-B1372)/B1372</f>
        <v>7.6310565731300239E-2</v>
      </c>
    </row>
    <row r="1425" spans="1:6" x14ac:dyDescent="0.2">
      <c r="A1425" s="23">
        <v>37333</v>
      </c>
      <c r="B1425" s="25">
        <f>VLOOKUP(Table2634[[#This Row],[Date]],'DB Money Supply'!$A:$D,4)</f>
        <v>1196.0999999999999</v>
      </c>
      <c r="C1425" s="31">
        <f>(Table2634[[#This Row],[M1 Money Stock, Billions of Dollars, Weekly, Seasonally Adjusted]]-B1424)/B1424</f>
        <v>-2.0857667278491574E-3</v>
      </c>
      <c r="D1425" s="35">
        <f>((1+Table2634[[#This Row],[Weekly change]])^52)-1</f>
        <v>-0.10288672098600693</v>
      </c>
      <c r="E1425" s="25">
        <f t="shared" si="22"/>
        <v>1193.8</v>
      </c>
      <c r="F1425" s="33">
        <f>(Table2634[[#This Row],[4 weeks average]]-B1373)/B1373</f>
        <v>7.772862688453544E-2</v>
      </c>
    </row>
    <row r="1426" spans="1:6" x14ac:dyDescent="0.2">
      <c r="A1426" s="23">
        <v>37340</v>
      </c>
      <c r="B1426" s="25">
        <f>VLOOKUP(Table2634[[#This Row],[Date]],'DB Money Supply'!$A:$D,4)</f>
        <v>1193</v>
      </c>
      <c r="C1426" s="31">
        <f>(Table2634[[#This Row],[M1 Money Stock, Billions of Dollars, Weekly, Seasonally Adjusted]]-B1425)/B1425</f>
        <v>-2.5917565420950665E-3</v>
      </c>
      <c r="D1426" s="35">
        <f>((1+Table2634[[#This Row],[Weekly change]])^52)-1</f>
        <v>-0.12623715958673298</v>
      </c>
      <c r="E1426" s="25">
        <f t="shared" si="22"/>
        <v>1194.6999999999998</v>
      </c>
      <c r="F1426" s="33">
        <f>(Table2634[[#This Row],[4 weeks average]]-B1374)/B1374</f>
        <v>7.9515677238637186E-2</v>
      </c>
    </row>
    <row r="1427" spans="1:6" x14ac:dyDescent="0.2">
      <c r="A1427" s="23">
        <v>37347</v>
      </c>
      <c r="B1427" s="25">
        <f>VLOOKUP(Table2634[[#This Row],[Date]],'DB Money Supply'!$A:$D,4)</f>
        <v>1185.3</v>
      </c>
      <c r="C1427" s="31">
        <f>(Table2634[[#This Row],[M1 Money Stock, Billions of Dollars, Weekly, Seasonally Adjusted]]-B1426)/B1426</f>
        <v>-6.4543168482816809E-3</v>
      </c>
      <c r="D1427" s="35">
        <f>((1+Table2634[[#This Row],[Weekly change]])^52)-1</f>
        <v>-0.28588571944317054</v>
      </c>
      <c r="E1427" s="25">
        <f t="shared" si="22"/>
        <v>1193.25</v>
      </c>
      <c r="F1427" s="33">
        <f>(Table2634[[#This Row],[4 weeks average]]-B1375)/B1375</f>
        <v>7.1236197145165547E-2</v>
      </c>
    </row>
    <row r="1428" spans="1:6" x14ac:dyDescent="0.2">
      <c r="A1428" s="23">
        <v>37354</v>
      </c>
      <c r="B1428" s="25">
        <f>VLOOKUP(Table2634[[#This Row],[Date]],'DB Money Supply'!$A:$D,4)</f>
        <v>1185.0999999999999</v>
      </c>
      <c r="C1428" s="31">
        <f>(Table2634[[#This Row],[M1 Money Stock, Billions of Dollars, Weekly, Seasonally Adjusted]]-B1427)/B1427</f>
        <v>-1.6873365392731417E-4</v>
      </c>
      <c r="D1428" s="35">
        <f>((1+Table2634[[#This Row],[Weekly change]])^52)-1</f>
        <v>-8.7365033470959697E-3</v>
      </c>
      <c r="E1428" s="25">
        <f t="shared" si="22"/>
        <v>1189.875</v>
      </c>
      <c r="F1428" s="33">
        <f>(Table2634[[#This Row],[4 weeks average]]-B1376)/B1376</f>
        <v>6.7248183693604718E-2</v>
      </c>
    </row>
    <row r="1429" spans="1:6" x14ac:dyDescent="0.2">
      <c r="A1429" s="23">
        <v>37361</v>
      </c>
      <c r="B1429" s="25">
        <f>VLOOKUP(Table2634[[#This Row],[Date]],'DB Money Supply'!$A:$D,4)</f>
        <v>1187.5</v>
      </c>
      <c r="C1429" s="31">
        <f>(Table2634[[#This Row],[M1 Money Stock, Billions of Dollars, Weekly, Seasonally Adjusted]]-B1428)/B1428</f>
        <v>2.0251455573370106E-3</v>
      </c>
      <c r="D1429" s="35">
        <f>((1+Table2634[[#This Row],[Weekly change]])^52)-1</f>
        <v>0.11093397577737507</v>
      </c>
      <c r="E1429" s="25">
        <f t="shared" si="22"/>
        <v>1187.7249999999999</v>
      </c>
      <c r="F1429" s="33">
        <f>(Table2634[[#This Row],[4 weeks average]]-B1377)/B1377</f>
        <v>6.2175818279377446E-2</v>
      </c>
    </row>
    <row r="1430" spans="1:6" x14ac:dyDescent="0.2">
      <c r="A1430" s="23">
        <v>37368</v>
      </c>
      <c r="B1430" s="25">
        <f>VLOOKUP(Table2634[[#This Row],[Date]],'DB Money Supply'!$A:$D,4)</f>
        <v>1188</v>
      </c>
      <c r="C1430" s="31">
        <f>(Table2634[[#This Row],[M1 Money Stock, Billions of Dollars, Weekly, Seasonally Adjusted]]-B1429)/B1429</f>
        <v>4.2105263157894739E-4</v>
      </c>
      <c r="D1430" s="35">
        <f>((1+Table2634[[#This Row],[Weekly change]])^52)-1</f>
        <v>2.2131475404474354E-2</v>
      </c>
      <c r="E1430" s="25">
        <f t="shared" si="22"/>
        <v>1186.4749999999999</v>
      </c>
      <c r="F1430" s="33">
        <f>(Table2634[[#This Row],[4 weeks average]]-B1378)/B1378</f>
        <v>6.1532611613133989E-2</v>
      </c>
    </row>
    <row r="1431" spans="1:6" x14ac:dyDescent="0.2">
      <c r="A1431" s="23">
        <v>37375</v>
      </c>
      <c r="B1431" s="25">
        <f>VLOOKUP(Table2634[[#This Row],[Date]],'DB Money Supply'!$A:$D,4)</f>
        <v>1187.9000000000001</v>
      </c>
      <c r="C1431" s="31">
        <f>(Table2634[[#This Row],[M1 Money Stock, Billions of Dollars, Weekly, Seasonally Adjusted]]-B1430)/B1430</f>
        <v>-8.4175084175007621E-5</v>
      </c>
      <c r="D1431" s="35">
        <f>((1+Table2634[[#This Row],[Weekly change]])^52)-1</f>
        <v>-4.3677222445572816E-3</v>
      </c>
      <c r="E1431" s="25">
        <f t="shared" si="22"/>
        <v>1187.125</v>
      </c>
      <c r="F1431" s="33">
        <f>(Table2634[[#This Row],[4 weeks average]]-B1379)/B1379</f>
        <v>6.2970093123209211E-2</v>
      </c>
    </row>
    <row r="1432" spans="1:6" x14ac:dyDescent="0.2">
      <c r="A1432" s="23">
        <v>37382</v>
      </c>
      <c r="B1432" s="25">
        <f>VLOOKUP(Table2634[[#This Row],[Date]],'DB Money Supply'!$A:$D,4)</f>
        <v>1181.0999999999999</v>
      </c>
      <c r="C1432" s="31">
        <f>(Table2634[[#This Row],[M1 Money Stock, Billions of Dollars, Weekly, Seasonally Adjusted]]-B1431)/B1431</f>
        <v>-5.7243875747118285E-3</v>
      </c>
      <c r="D1432" s="35">
        <f>((1+Table2634[[#This Row],[Weekly change]])^52)-1</f>
        <v>-0.25808708151917359</v>
      </c>
      <c r="E1432" s="25">
        <f t="shared" si="22"/>
        <v>1186.125</v>
      </c>
      <c r="F1432" s="33">
        <f>(Table2634[[#This Row],[4 weeks average]]-B1380)/B1380</f>
        <v>6.4839752221922883E-2</v>
      </c>
    </row>
    <row r="1433" spans="1:6" x14ac:dyDescent="0.2">
      <c r="A1433" s="23">
        <v>37389</v>
      </c>
      <c r="B1433" s="25">
        <f>VLOOKUP(Table2634[[#This Row],[Date]],'DB Money Supply'!$A:$D,4)</f>
        <v>1186.0999999999999</v>
      </c>
      <c r="C1433" s="31">
        <f>(Table2634[[#This Row],[M1 Money Stock, Billions of Dollars, Weekly, Seasonally Adjusted]]-B1432)/B1432</f>
        <v>4.2333418000169336E-3</v>
      </c>
      <c r="D1433" s="35">
        <f>((1+Table2634[[#This Row],[Weekly change]])^52)-1</f>
        <v>0.24566451399589395</v>
      </c>
      <c r="E1433" s="25">
        <f t="shared" si="22"/>
        <v>1185.7750000000001</v>
      </c>
      <c r="F1433" s="33">
        <f>(Table2634[[#This Row],[4 weeks average]]-B1381)/B1381</f>
        <v>6.1096196868009031E-2</v>
      </c>
    </row>
    <row r="1434" spans="1:6" x14ac:dyDescent="0.2">
      <c r="A1434" s="23">
        <v>37396</v>
      </c>
      <c r="B1434" s="25">
        <f>VLOOKUP(Table2634[[#This Row],[Date]],'DB Money Supply'!$A:$D,4)</f>
        <v>1188.0999999999999</v>
      </c>
      <c r="C1434" s="31">
        <f>(Table2634[[#This Row],[M1 Money Stock, Billions of Dollars, Weekly, Seasonally Adjusted]]-B1433)/B1433</f>
        <v>1.6861984655593965E-3</v>
      </c>
      <c r="D1434" s="35">
        <f>((1+Table2634[[#This Row],[Weekly change]])^52)-1</f>
        <v>9.1560668675767065E-2</v>
      </c>
      <c r="E1434" s="25">
        <f t="shared" si="22"/>
        <v>1185.8</v>
      </c>
      <c r="F1434" s="33">
        <f>(Table2634[[#This Row],[4 weeks average]]-B1382)/B1382</f>
        <v>5.6580237013276309E-2</v>
      </c>
    </row>
    <row r="1435" spans="1:6" x14ac:dyDescent="0.2">
      <c r="A1435" s="23">
        <v>37403</v>
      </c>
      <c r="B1435" s="25">
        <f>VLOOKUP(Table2634[[#This Row],[Date]],'DB Money Supply'!$A:$D,4)</f>
        <v>1192.2</v>
      </c>
      <c r="C1435" s="31">
        <f>(Table2634[[#This Row],[M1 Money Stock, Billions of Dollars, Weekly, Seasonally Adjusted]]-B1434)/B1434</f>
        <v>3.4508879723930113E-3</v>
      </c>
      <c r="D1435" s="35">
        <f>((1+Table2634[[#This Row],[Weekly change]])^52)-1</f>
        <v>0.19618492210656013</v>
      </c>
      <c r="E1435" s="25">
        <f t="shared" si="22"/>
        <v>1186.875</v>
      </c>
      <c r="F1435" s="33">
        <f>(Table2634[[#This Row],[4 weeks average]]-B1383)/B1383</f>
        <v>6.2175586182208614E-2</v>
      </c>
    </row>
    <row r="1436" spans="1:6" x14ac:dyDescent="0.2">
      <c r="A1436" s="23">
        <v>37410</v>
      </c>
      <c r="B1436" s="25">
        <f>VLOOKUP(Table2634[[#This Row],[Date]],'DB Money Supply'!$A:$D,4)</f>
        <v>1204.2</v>
      </c>
      <c r="C1436" s="31">
        <f>(Table2634[[#This Row],[M1 Money Stock, Billions of Dollars, Weekly, Seasonally Adjusted]]-B1435)/B1435</f>
        <v>1.0065425264217413E-2</v>
      </c>
      <c r="D1436" s="35">
        <f>((1+Table2634[[#This Row],[Weekly change]])^52)-1</f>
        <v>0.68334944307193335</v>
      </c>
      <c r="E1436" s="25">
        <f t="shared" si="22"/>
        <v>1192.6499999999999</v>
      </c>
      <c r="F1436" s="33">
        <f>(Table2634[[#This Row],[4 weeks average]]-B1384)/B1384</f>
        <v>5.9944898684678116E-2</v>
      </c>
    </row>
    <row r="1437" spans="1:6" x14ac:dyDescent="0.2">
      <c r="A1437" s="23">
        <v>37417</v>
      </c>
      <c r="B1437" s="25">
        <f>VLOOKUP(Table2634[[#This Row],[Date]],'DB Money Supply'!$A:$D,4)</f>
        <v>1192.3</v>
      </c>
      <c r="C1437" s="31">
        <f>(Table2634[[#This Row],[M1 Money Stock, Billions of Dollars, Weekly, Seasonally Adjusted]]-B1436)/B1436</f>
        <v>-9.8820793888059217E-3</v>
      </c>
      <c r="D1437" s="35">
        <f>((1+Table2634[[#This Row],[Weekly change]])^52)-1</f>
        <v>-0.40334965464880457</v>
      </c>
      <c r="E1437" s="25">
        <f t="shared" si="22"/>
        <v>1194.2</v>
      </c>
      <c r="F1437" s="33">
        <f>(Table2634[[#This Row],[4 weeks average]]-B1385)/B1385</f>
        <v>6.0380039069437043E-2</v>
      </c>
    </row>
    <row r="1438" spans="1:6" x14ac:dyDescent="0.2">
      <c r="A1438" s="23">
        <v>37424</v>
      </c>
      <c r="B1438" s="25">
        <f>VLOOKUP(Table2634[[#This Row],[Date]],'DB Money Supply'!$A:$D,4)</f>
        <v>1188.9000000000001</v>
      </c>
      <c r="C1438" s="31">
        <f>(Table2634[[#This Row],[M1 Money Stock, Billions of Dollars, Weekly, Seasonally Adjusted]]-B1437)/B1437</f>
        <v>-2.8516313008469878E-3</v>
      </c>
      <c r="D1438" s="35">
        <f>((1+Table2634[[#This Row],[Weekly change]])^52)-1</f>
        <v>-0.13799711139530757</v>
      </c>
      <c r="E1438" s="25">
        <f t="shared" si="22"/>
        <v>1194.4000000000001</v>
      </c>
      <c r="F1438" s="33">
        <f>(Table2634[[#This Row],[4 weeks average]]-B1386)/B1386</f>
        <v>6.0369318181818177E-2</v>
      </c>
    </row>
    <row r="1439" spans="1:6" x14ac:dyDescent="0.2">
      <c r="A1439" s="23">
        <v>37431</v>
      </c>
      <c r="B1439" s="25">
        <f>VLOOKUP(Table2634[[#This Row],[Date]],'DB Money Supply'!$A:$D,4)</f>
        <v>1193.3</v>
      </c>
      <c r="C1439" s="31">
        <f>(Table2634[[#This Row],[M1 Money Stock, Billions of Dollars, Weekly, Seasonally Adjusted]]-B1438)/B1438</f>
        <v>3.7008999915887487E-3</v>
      </c>
      <c r="D1439" s="35">
        <f>((1+Table2634[[#This Row],[Weekly change]])^52)-1</f>
        <v>0.21178146572014356</v>
      </c>
      <c r="E1439" s="25">
        <f t="shared" si="22"/>
        <v>1194.675</v>
      </c>
      <c r="F1439" s="33">
        <f>(Table2634[[#This Row],[4 weeks average]]-B1387)/B1387</f>
        <v>6.2783560181478557E-2</v>
      </c>
    </row>
    <row r="1440" spans="1:6" x14ac:dyDescent="0.2">
      <c r="A1440" s="23">
        <v>37438</v>
      </c>
      <c r="B1440" s="25">
        <f>VLOOKUP(Table2634[[#This Row],[Date]],'DB Money Supply'!$A:$D,4)</f>
        <v>1194.0999999999999</v>
      </c>
      <c r="C1440" s="31">
        <f>(Table2634[[#This Row],[M1 Money Stock, Billions of Dollars, Weekly, Seasonally Adjusted]]-B1439)/B1439</f>
        <v>6.7040978798286641E-4</v>
      </c>
      <c r="D1440" s="35">
        <f>((1+Table2634[[#This Row],[Weekly change]])^52)-1</f>
        <v>3.5463992832887925E-2</v>
      </c>
      <c r="E1440" s="25">
        <f t="shared" si="22"/>
        <v>1192.1500000000001</v>
      </c>
      <c r="F1440" s="33">
        <f>(Table2634[[#This Row],[4 weeks average]]-B1388)/B1388</f>
        <v>5.5093371094787146E-2</v>
      </c>
    </row>
    <row r="1441" spans="1:6" x14ac:dyDescent="0.2">
      <c r="A1441" s="23">
        <v>37445</v>
      </c>
      <c r="B1441" s="25">
        <f>VLOOKUP(Table2634[[#This Row],[Date]],'DB Money Supply'!$A:$D,4)</f>
        <v>1193.4000000000001</v>
      </c>
      <c r="C1441" s="31">
        <f>(Table2634[[#This Row],[M1 Money Stock, Billions of Dollars, Weekly, Seasonally Adjusted]]-B1440)/B1440</f>
        <v>-5.8621555983570737E-4</v>
      </c>
      <c r="D1441" s="35">
        <f>((1+Table2634[[#This Row],[Weekly change]])^52)-1</f>
        <v>-3.0031951260054868E-2</v>
      </c>
      <c r="E1441" s="25">
        <f t="shared" si="22"/>
        <v>1192.425</v>
      </c>
      <c r="F1441" s="33">
        <f>(Table2634[[#This Row],[4 weeks average]]-B1389)/B1389</f>
        <v>5.1613898932886371E-2</v>
      </c>
    </row>
    <row r="1442" spans="1:6" x14ac:dyDescent="0.2">
      <c r="A1442" s="23">
        <v>37452</v>
      </c>
      <c r="B1442" s="25">
        <f>VLOOKUP(Table2634[[#This Row],[Date]],'DB Money Supply'!$A:$D,4)</f>
        <v>1202</v>
      </c>
      <c r="C1442" s="31">
        <f>(Table2634[[#This Row],[M1 Money Stock, Billions of Dollars, Weekly, Seasonally Adjusted]]-B1441)/B1441</f>
        <v>7.2063013239483057E-3</v>
      </c>
      <c r="D1442" s="35">
        <f>((1+Table2634[[#This Row],[Weekly change]])^52)-1</f>
        <v>0.45264193162259336</v>
      </c>
      <c r="E1442" s="25">
        <f t="shared" si="22"/>
        <v>1195.6999999999998</v>
      </c>
      <c r="F1442" s="33">
        <f>(Table2634[[#This Row],[4 weeks average]]-B1390)/B1390</f>
        <v>4.6931091848349454E-2</v>
      </c>
    </row>
    <row r="1443" spans="1:6" x14ac:dyDescent="0.2">
      <c r="A1443" s="23">
        <v>37459</v>
      </c>
      <c r="B1443" s="25">
        <f>VLOOKUP(Table2634[[#This Row],[Date]],'DB Money Supply'!$A:$D,4)</f>
        <v>1203.0999999999999</v>
      </c>
      <c r="C1443" s="31">
        <f>(Table2634[[#This Row],[M1 Money Stock, Billions of Dollars, Weekly, Seasonally Adjusted]]-B1442)/B1442</f>
        <v>9.1514143094834359E-4</v>
      </c>
      <c r="D1443" s="35">
        <f>((1+Table2634[[#This Row],[Weekly change]])^52)-1</f>
        <v>4.8714987337529658E-2</v>
      </c>
      <c r="E1443" s="25">
        <f t="shared" si="22"/>
        <v>1198.1500000000001</v>
      </c>
      <c r="F1443" s="33">
        <f>(Table2634[[#This Row],[4 weeks average]]-B1391)/B1391</f>
        <v>4.916812609457101E-2</v>
      </c>
    </row>
    <row r="1444" spans="1:6" x14ac:dyDescent="0.2">
      <c r="A1444" s="23">
        <v>37466</v>
      </c>
      <c r="B1444" s="25">
        <f>VLOOKUP(Table2634[[#This Row],[Date]],'DB Money Supply'!$A:$D,4)</f>
        <v>1203.7</v>
      </c>
      <c r="C1444" s="31">
        <f>(Table2634[[#This Row],[M1 Money Stock, Billions of Dollars, Weekly, Seasonally Adjusted]]-B1443)/B1443</f>
        <v>4.9871166154113252E-4</v>
      </c>
      <c r="D1444" s="35">
        <f>((1+Table2634[[#This Row],[Weekly change]])^52)-1</f>
        <v>2.6265558292104307E-2</v>
      </c>
      <c r="E1444" s="25">
        <f t="shared" si="22"/>
        <v>1200.55</v>
      </c>
      <c r="F1444" s="33">
        <f>(Table2634[[#This Row],[4 weeks average]]-B1392)/B1392</f>
        <v>5.3668597507459941E-2</v>
      </c>
    </row>
    <row r="1445" spans="1:6" x14ac:dyDescent="0.2">
      <c r="A1445" s="23">
        <v>37473</v>
      </c>
      <c r="B1445" s="25">
        <f>VLOOKUP(Table2634[[#This Row],[Date]],'DB Money Supply'!$A:$D,4)</f>
        <v>1181.5999999999999</v>
      </c>
      <c r="C1445" s="31">
        <f>(Table2634[[#This Row],[M1 Money Stock, Billions of Dollars, Weekly, Seasonally Adjusted]]-B1444)/B1444</f>
        <v>-1.8360056492481628E-2</v>
      </c>
      <c r="D1445" s="35">
        <f>((1+Table2634[[#This Row],[Weekly change]])^52)-1</f>
        <v>-0.61848156108921315</v>
      </c>
      <c r="E1445" s="25">
        <f t="shared" si="22"/>
        <v>1197.5999999999999</v>
      </c>
      <c r="F1445" s="33">
        <f>(Table2634[[#This Row],[4 weeks average]]-B1393)/B1393</f>
        <v>4.7494096037785323E-2</v>
      </c>
    </row>
    <row r="1446" spans="1:6" x14ac:dyDescent="0.2">
      <c r="A1446" s="23">
        <v>37480</v>
      </c>
      <c r="B1446" s="25">
        <f>VLOOKUP(Table2634[[#This Row],[Date]],'DB Money Supply'!$A:$D,4)</f>
        <v>1182.0999999999999</v>
      </c>
      <c r="C1446" s="31">
        <f>(Table2634[[#This Row],[M1 Money Stock, Billions of Dollars, Weekly, Seasonally Adjusted]]-B1445)/B1445</f>
        <v>4.231550440081246E-4</v>
      </c>
      <c r="D1446" s="35">
        <f>((1+Table2634[[#This Row],[Weekly change]])^52)-1</f>
        <v>2.2243179339491714E-2</v>
      </c>
      <c r="E1446" s="25">
        <f t="shared" si="22"/>
        <v>1192.625</v>
      </c>
      <c r="F1446" s="33">
        <f>(Table2634[[#This Row],[4 weeks average]]-B1394)/B1394</f>
        <v>3.8329270416158884E-2</v>
      </c>
    </row>
    <row r="1447" spans="1:6" x14ac:dyDescent="0.2">
      <c r="A1447" s="23">
        <v>37487</v>
      </c>
      <c r="B1447" s="25">
        <f>VLOOKUP(Table2634[[#This Row],[Date]],'DB Money Supply'!$A:$D,4)</f>
        <v>1182.5999999999999</v>
      </c>
      <c r="C1447" s="31">
        <f>(Table2634[[#This Row],[M1 Money Stock, Billions of Dollars, Weekly, Seasonally Adjusted]]-B1446)/B1446</f>
        <v>4.2297605955502924E-4</v>
      </c>
      <c r="D1447" s="35">
        <f>((1+Table2634[[#This Row],[Weekly change]])^52)-1</f>
        <v>2.2233669194070771E-2</v>
      </c>
      <c r="E1447" s="25">
        <f t="shared" si="22"/>
        <v>1187.5</v>
      </c>
      <c r="F1447" s="33">
        <f>(Table2634[[#This Row],[4 weeks average]]-B1395)/B1395</f>
        <v>3.2698495521349603E-2</v>
      </c>
    </row>
    <row r="1448" spans="1:6" x14ac:dyDescent="0.2">
      <c r="A1448" s="23">
        <v>37494</v>
      </c>
      <c r="B1448" s="25">
        <f>VLOOKUP(Table2634[[#This Row],[Date]],'DB Money Supply'!$A:$D,4)</f>
        <v>1188.8</v>
      </c>
      <c r="C1448" s="31">
        <f>(Table2634[[#This Row],[M1 Money Stock, Billions of Dollars, Weekly, Seasonally Adjusted]]-B1447)/B1447</f>
        <v>5.2426856079824504E-3</v>
      </c>
      <c r="D1448" s="35">
        <f>((1+Table2634[[#This Row],[Weekly change]])^52)-1</f>
        <v>0.31246560574259985</v>
      </c>
      <c r="E1448" s="25">
        <f t="shared" si="22"/>
        <v>1183.7749999999999</v>
      </c>
      <c r="F1448" s="33">
        <f>(Table2634[[#This Row],[4 weeks average]]-B1396)/B1396</f>
        <v>3.0265448215839742E-2</v>
      </c>
    </row>
    <row r="1449" spans="1:6" x14ac:dyDescent="0.2">
      <c r="A1449" s="23">
        <v>37501</v>
      </c>
      <c r="B1449" s="25">
        <f>VLOOKUP(Table2634[[#This Row],[Date]],'DB Money Supply'!$A:$D,4)</f>
        <v>1203.3</v>
      </c>
      <c r="C1449" s="31">
        <f>(Table2634[[#This Row],[M1 Money Stock, Billions of Dollars, Weekly, Seasonally Adjusted]]-B1448)/B1448</f>
        <v>1.2197173620457604E-2</v>
      </c>
      <c r="D1449" s="35">
        <f>((1+Table2634[[#This Row],[Weekly change]])^52)-1</f>
        <v>0.87839210761976894</v>
      </c>
      <c r="E1449" s="25">
        <f t="shared" si="22"/>
        <v>1189.2</v>
      </c>
      <c r="F1449" s="33">
        <f>(Table2634[[#This Row],[4 weeks average]]-B1397)/B1397</f>
        <v>2.0334620334620374E-2</v>
      </c>
    </row>
    <row r="1450" spans="1:6" x14ac:dyDescent="0.2">
      <c r="A1450" s="23">
        <v>37508</v>
      </c>
      <c r="B1450" s="25">
        <f>VLOOKUP(Table2634[[#This Row],[Date]],'DB Money Supply'!$A:$D,4)</f>
        <v>1191.5</v>
      </c>
      <c r="C1450" s="31">
        <f>(Table2634[[#This Row],[M1 Money Stock, Billions of Dollars, Weekly, Seasonally Adjusted]]-B1449)/B1449</f>
        <v>-9.8063658273081986E-3</v>
      </c>
      <c r="D1450" s="35">
        <f>((1+Table2634[[#This Row],[Weekly change]])^52)-1</f>
        <v>-0.40097250180060351</v>
      </c>
      <c r="E1450" s="25">
        <f t="shared" si="22"/>
        <v>1191.55</v>
      </c>
      <c r="F1450" s="33">
        <f>(Table2634[[#This Row],[4 weeks average]]-B1398)/B1398</f>
        <v>2.1036846615252746E-2</v>
      </c>
    </row>
    <row r="1451" spans="1:6" x14ac:dyDescent="0.2">
      <c r="A1451" s="23">
        <v>37515</v>
      </c>
      <c r="B1451" s="25">
        <f>VLOOKUP(Table2634[[#This Row],[Date]],'DB Money Supply'!$A:$D,4)</f>
        <v>1191.8</v>
      </c>
      <c r="C1451" s="31">
        <f>(Table2634[[#This Row],[M1 Money Stock, Billions of Dollars, Weekly, Seasonally Adjusted]]-B1450)/B1450</f>
        <v>2.5178346621901343E-4</v>
      </c>
      <c r="D1451" s="35">
        <f>((1+Table2634[[#This Row],[Weekly change]])^52)-1</f>
        <v>1.3177155745407232E-2</v>
      </c>
      <c r="E1451" s="25">
        <f t="shared" si="22"/>
        <v>1193.8499999999999</v>
      </c>
      <c r="F1451" s="33">
        <f>(Table2634[[#This Row],[4 weeks average]]-B1399)/B1399</f>
        <v>-7.5967492260061983E-2</v>
      </c>
    </row>
    <row r="1452" spans="1:6" x14ac:dyDescent="0.2">
      <c r="A1452" s="23">
        <v>37522</v>
      </c>
      <c r="B1452" s="25">
        <f>VLOOKUP(Table2634[[#This Row],[Date]],'DB Money Supply'!$A:$D,4)</f>
        <v>1192.8</v>
      </c>
      <c r="C1452" s="31">
        <f>(Table2634[[#This Row],[M1 Money Stock, Billions of Dollars, Weekly, Seasonally Adjusted]]-B1451)/B1451</f>
        <v>8.39066957543212E-4</v>
      </c>
      <c r="D1452" s="35">
        <f>((1+Table2634[[#This Row],[Weekly change]])^52)-1</f>
        <v>4.4578220460945284E-2</v>
      </c>
      <c r="E1452" s="25">
        <f t="shared" si="22"/>
        <v>1194.8500000000001</v>
      </c>
      <c r="F1452" s="33">
        <f>(Table2634[[#This Row],[4 weeks average]]-B1400)/B1400</f>
        <v>-9.327584777381456E-3</v>
      </c>
    </row>
    <row r="1453" spans="1:6" x14ac:dyDescent="0.2">
      <c r="A1453" s="23">
        <v>37529</v>
      </c>
      <c r="B1453" s="25">
        <f>VLOOKUP(Table2634[[#This Row],[Date]],'DB Money Supply'!$A:$D,4)</f>
        <v>1206.3</v>
      </c>
      <c r="C1453" s="31">
        <f>(Table2634[[#This Row],[M1 Money Stock, Billions of Dollars, Weekly, Seasonally Adjusted]]-B1452)/B1452</f>
        <v>1.1317907444668009E-2</v>
      </c>
      <c r="D1453" s="35">
        <f>((1+Table2634[[#This Row],[Weekly change]])^52)-1</f>
        <v>0.79539604283797849</v>
      </c>
      <c r="E1453" s="25">
        <f t="shared" si="22"/>
        <v>1195.6000000000001</v>
      </c>
      <c r="F1453" s="33">
        <f>(Table2634[[#This Row],[4 weeks average]]-B1401)/B1401</f>
        <v>2.0746179458721235E-2</v>
      </c>
    </row>
    <row r="1454" spans="1:6" x14ac:dyDescent="0.2">
      <c r="A1454" s="23">
        <v>37536</v>
      </c>
      <c r="B1454" s="25">
        <f>VLOOKUP(Table2634[[#This Row],[Date]],'DB Money Supply'!$A:$D,4)</f>
        <v>1188.0999999999999</v>
      </c>
      <c r="C1454" s="31">
        <f>(Table2634[[#This Row],[M1 Money Stock, Billions of Dollars, Weekly, Seasonally Adjusted]]-B1453)/B1453</f>
        <v>-1.5087457514714454E-2</v>
      </c>
      <c r="D1454" s="35">
        <f>((1+Table2634[[#This Row],[Weekly change]])^52)-1</f>
        <v>-0.546394053718813</v>
      </c>
      <c r="E1454" s="25">
        <f t="shared" si="22"/>
        <v>1194.75</v>
      </c>
      <c r="F1454" s="33">
        <f>(Table2634[[#This Row],[4 weeks average]]-B1402)/B1402</f>
        <v>2.3866655240380414E-2</v>
      </c>
    </row>
    <row r="1455" spans="1:6" x14ac:dyDescent="0.2">
      <c r="A1455" s="23">
        <v>37543</v>
      </c>
      <c r="B1455" s="25">
        <f>VLOOKUP(Table2634[[#This Row],[Date]],'DB Money Supply'!$A:$D,4)</f>
        <v>1206.7</v>
      </c>
      <c r="C1455" s="31">
        <f>(Table2634[[#This Row],[M1 Money Stock, Billions of Dollars, Weekly, Seasonally Adjusted]]-B1454)/B1454</f>
        <v>1.5655247874758135E-2</v>
      </c>
      <c r="D1455" s="35">
        <f>((1+Table2634[[#This Row],[Weekly change]])^52)-1</f>
        <v>1.2428925908156043</v>
      </c>
      <c r="E1455" s="25">
        <f t="shared" si="22"/>
        <v>1198.4749999999999</v>
      </c>
      <c r="F1455" s="33">
        <f>(Table2634[[#This Row],[4 weeks average]]-B1403)/B1403</f>
        <v>2.7234936144681463E-2</v>
      </c>
    </row>
    <row r="1456" spans="1:6" x14ac:dyDescent="0.2">
      <c r="A1456" s="23">
        <v>37550</v>
      </c>
      <c r="B1456" s="25">
        <f>VLOOKUP(Table2634[[#This Row],[Date]],'DB Money Supply'!$A:$D,4)</f>
        <v>1207.4000000000001</v>
      </c>
      <c r="C1456" s="31">
        <f>(Table2634[[#This Row],[M1 Money Stock, Billions of Dollars, Weekly, Seasonally Adjusted]]-B1455)/B1455</f>
        <v>5.8009447252842087E-4</v>
      </c>
      <c r="D1456" s="35">
        <f>((1+Table2634[[#This Row],[Weekly change]])^52)-1</f>
        <v>3.0615469207828649E-2</v>
      </c>
      <c r="E1456" s="25">
        <f t="shared" si="22"/>
        <v>1202.125</v>
      </c>
      <c r="F1456" s="33">
        <f>(Table2634[[#This Row],[4 weeks average]]-B1404)/B1404</f>
        <v>2.9922035640849855E-2</v>
      </c>
    </row>
    <row r="1457" spans="1:6" x14ac:dyDescent="0.2">
      <c r="A1457" s="23">
        <v>37557</v>
      </c>
      <c r="B1457" s="25">
        <f>VLOOKUP(Table2634[[#This Row],[Date]],'DB Money Supply'!$A:$D,4)</f>
        <v>1212.0999999999999</v>
      </c>
      <c r="C1457" s="31">
        <f>(Table2634[[#This Row],[M1 Money Stock, Billions of Dollars, Weekly, Seasonally Adjusted]]-B1456)/B1456</f>
        <v>3.8926619181711263E-3</v>
      </c>
      <c r="D1457" s="35">
        <f>((1+Table2634[[#This Row],[Weekly change]])^52)-1</f>
        <v>0.22387917494239518</v>
      </c>
      <c r="E1457" s="25">
        <f t="shared" si="22"/>
        <v>1203.575</v>
      </c>
      <c r="F1457" s="33">
        <f>(Table2634[[#This Row],[4 weeks average]]-B1405)/B1405</f>
        <v>3.6492421632793662E-2</v>
      </c>
    </row>
    <row r="1458" spans="1:6" x14ac:dyDescent="0.2">
      <c r="A1458" s="23">
        <v>37564</v>
      </c>
      <c r="B1458" s="25">
        <f>VLOOKUP(Table2634[[#This Row],[Date]],'DB Money Supply'!$A:$D,4)</f>
        <v>1208</v>
      </c>
      <c r="C1458" s="31">
        <f>(Table2634[[#This Row],[M1 Money Stock, Billions of Dollars, Weekly, Seasonally Adjusted]]-B1457)/B1457</f>
        <v>-3.382559194785834E-3</v>
      </c>
      <c r="D1458" s="35">
        <f>((1+Table2634[[#This Row],[Weekly change]])^52)-1</f>
        <v>-0.16154237448031372</v>
      </c>
      <c r="E1458" s="25">
        <f t="shared" si="22"/>
        <v>1208.5500000000002</v>
      </c>
      <c r="F1458" s="33">
        <f>(Table2634[[#This Row],[4 weeks average]]-B1406)/B1406</f>
        <v>3.7560096153846353E-2</v>
      </c>
    </row>
    <row r="1459" spans="1:6" x14ac:dyDescent="0.2">
      <c r="A1459" s="23">
        <v>37571</v>
      </c>
      <c r="B1459" s="25">
        <f>VLOOKUP(Table2634[[#This Row],[Date]],'DB Money Supply'!$A:$D,4)</f>
        <v>1208.5</v>
      </c>
      <c r="C1459" s="31">
        <f>(Table2634[[#This Row],[M1 Money Stock, Billions of Dollars, Weekly, Seasonally Adjusted]]-B1458)/B1458</f>
        <v>4.1390728476821192E-4</v>
      </c>
      <c r="D1459" s="35">
        <f>((1+Table2634[[#This Row],[Weekly change]])^52)-1</f>
        <v>2.1751923215450164E-2</v>
      </c>
      <c r="E1459" s="25">
        <f t="shared" si="22"/>
        <v>1209</v>
      </c>
      <c r="F1459" s="33">
        <f>(Table2634[[#This Row],[4 weeks average]]-B1407)/B1407</f>
        <v>3.3156725346094644E-2</v>
      </c>
    </row>
    <row r="1460" spans="1:6" x14ac:dyDescent="0.2">
      <c r="A1460" s="23">
        <v>37578</v>
      </c>
      <c r="B1460" s="25">
        <f>VLOOKUP(Table2634[[#This Row],[Date]],'DB Money Supply'!$A:$D,4)</f>
        <v>1205.4000000000001</v>
      </c>
      <c r="C1460" s="31">
        <f>(Table2634[[#This Row],[M1 Money Stock, Billions of Dollars, Weekly, Seasonally Adjusted]]-B1459)/B1459</f>
        <v>-2.5651634257343064E-3</v>
      </c>
      <c r="D1460" s="35">
        <f>((1+Table2634[[#This Row],[Weekly change]])^52)-1</f>
        <v>-0.1250249199027017</v>
      </c>
      <c r="E1460" s="25">
        <f t="shared" si="22"/>
        <v>1208.5</v>
      </c>
      <c r="F1460" s="33">
        <f>(Table2634[[#This Row],[4 weeks average]]-B1408)/B1408</f>
        <v>3.1231333731546979E-2</v>
      </c>
    </row>
    <row r="1461" spans="1:6" x14ac:dyDescent="0.2">
      <c r="A1461" s="23">
        <v>37585</v>
      </c>
      <c r="B1461" s="25">
        <f>VLOOKUP(Table2634[[#This Row],[Date]],'DB Money Supply'!$A:$D,4)</f>
        <v>1203.8</v>
      </c>
      <c r="C1461" s="31">
        <f>(Table2634[[#This Row],[M1 Money Stock, Billions of Dollars, Weekly, Seasonally Adjusted]]-B1460)/B1460</f>
        <v>-1.327360212377747E-3</v>
      </c>
      <c r="D1461" s="35">
        <f>((1+Table2634[[#This Row],[Weekly change]])^52)-1</f>
        <v>-6.6737325862641028E-2</v>
      </c>
      <c r="E1461" s="25">
        <f t="shared" si="22"/>
        <v>1206.425</v>
      </c>
      <c r="F1461" s="33">
        <f>(Table2634[[#This Row],[4 weeks average]]-B1409)/B1409</f>
        <v>2.9285043938230566E-2</v>
      </c>
    </row>
    <row r="1462" spans="1:6" x14ac:dyDescent="0.2">
      <c r="A1462" s="23">
        <v>37592</v>
      </c>
      <c r="B1462" s="25">
        <f>VLOOKUP(Table2634[[#This Row],[Date]],'DB Money Supply'!$A:$D,4)</f>
        <v>1226.5</v>
      </c>
      <c r="C1462" s="31">
        <f>(Table2634[[#This Row],[M1 Money Stock, Billions of Dollars, Weekly, Seasonally Adjusted]]-B1461)/B1461</f>
        <v>1.8856952982223001E-2</v>
      </c>
      <c r="D1462" s="35">
        <f>((1+Table2634[[#This Row],[Weekly change]])^52)-1</f>
        <v>1.6417219502440075</v>
      </c>
      <c r="E1462" s="25">
        <f t="shared" si="22"/>
        <v>1211.05</v>
      </c>
      <c r="F1462" s="33">
        <f>(Table2634[[#This Row],[4 weeks average]]-B1410)/B1410</f>
        <v>2.9366765830854191E-2</v>
      </c>
    </row>
    <row r="1463" spans="1:6" x14ac:dyDescent="0.2">
      <c r="A1463" s="23">
        <v>37599</v>
      </c>
      <c r="B1463" s="25">
        <f>VLOOKUP(Table2634[[#This Row],[Date]],'DB Money Supply'!$A:$D,4)</f>
        <v>1218.8</v>
      </c>
      <c r="C1463" s="31">
        <f>(Table2634[[#This Row],[M1 Money Stock, Billions of Dollars, Weekly, Seasonally Adjusted]]-B1462)/B1462</f>
        <v>-6.2780269058296334E-3</v>
      </c>
      <c r="D1463" s="35">
        <f>((1+Table2634[[#This Row],[Weekly change]])^52)-1</f>
        <v>-0.27926695188378725</v>
      </c>
      <c r="E1463" s="25">
        <f t="shared" si="22"/>
        <v>1213.625</v>
      </c>
      <c r="F1463" s="33">
        <f>(Table2634[[#This Row],[4 weeks average]]-B1411)/B1411</f>
        <v>2.3033802579448745E-2</v>
      </c>
    </row>
    <row r="1464" spans="1:6" x14ac:dyDescent="0.2">
      <c r="A1464" s="23">
        <v>37606</v>
      </c>
      <c r="B1464" s="25">
        <f>VLOOKUP(Table2634[[#This Row],[Date]],'DB Money Supply'!$A:$D,4)</f>
        <v>1217.3</v>
      </c>
      <c r="C1464" s="31">
        <f>(Table2634[[#This Row],[M1 Money Stock, Billions of Dollars, Weekly, Seasonally Adjusted]]-B1463)/B1463</f>
        <v>-1.2307187397440106E-3</v>
      </c>
      <c r="D1464" s="35">
        <f>((1+Table2634[[#This Row],[Weekly change]])^52)-1</f>
        <v>-6.202950734272672E-2</v>
      </c>
      <c r="E1464" s="25">
        <f t="shared" si="22"/>
        <v>1216.6000000000001</v>
      </c>
      <c r="F1464" s="33">
        <f>(Table2634[[#This Row],[4 weeks average]]-B1412)/B1412</f>
        <v>2.7881040892193502E-2</v>
      </c>
    </row>
    <row r="1465" spans="1:6" x14ac:dyDescent="0.2">
      <c r="A1465" s="23">
        <v>37613</v>
      </c>
      <c r="B1465" s="25">
        <f>VLOOKUP(Table2634[[#This Row],[Date]],'DB Money Supply'!$A:$D,4)</f>
        <v>1223.4000000000001</v>
      </c>
      <c r="C1465" s="31">
        <f>(Table2634[[#This Row],[M1 Money Stock, Billions of Dollars, Weekly, Seasonally Adjusted]]-B1464)/B1464</f>
        <v>5.0110901174732084E-3</v>
      </c>
      <c r="D1465" s="35">
        <f>((1+Table2634[[#This Row],[Weekly change]])^52)-1</f>
        <v>0.29683408163852021</v>
      </c>
      <c r="E1465" s="25">
        <f t="shared" si="22"/>
        <v>1221.5</v>
      </c>
      <c r="F1465" s="33">
        <f>(Table2634[[#This Row],[4 weeks average]]-B1413)/B1413</f>
        <v>3.3680291106033641E-2</v>
      </c>
    </row>
    <row r="1466" spans="1:6" x14ac:dyDescent="0.2">
      <c r="A1466" s="23">
        <v>37620</v>
      </c>
      <c r="B1466" s="25">
        <f>VLOOKUP(Table2634[[#This Row],[Date]],'DB Money Supply'!$A:$D,4)</f>
        <v>1220.2</v>
      </c>
      <c r="C1466" s="31">
        <f>(Table2634[[#This Row],[M1 Money Stock, Billions of Dollars, Weekly, Seasonally Adjusted]]-B1465)/B1465</f>
        <v>-2.6156612718653306E-3</v>
      </c>
      <c r="D1466" s="35">
        <f>((1+Table2634[[#This Row],[Weekly change]])^52)-1</f>
        <v>-0.12732544398665191</v>
      </c>
      <c r="E1466" s="25">
        <f t="shared" si="22"/>
        <v>1219.925</v>
      </c>
      <c r="F1466" s="33">
        <f>(Table2634[[#This Row],[4 weeks average]]-B1414)/B1414</f>
        <v>3.016804593818604E-2</v>
      </c>
    </row>
    <row r="1467" spans="1:6" x14ac:dyDescent="0.2">
      <c r="A1467" s="23">
        <v>37627</v>
      </c>
      <c r="B1467" s="25">
        <f>VLOOKUP(Table2634[[#This Row],[Date]],'DB Money Supply'!$A:$D,4)</f>
        <v>1215.7</v>
      </c>
      <c r="C1467" s="31">
        <f>(Table2634[[#This Row],[M1 Money Stock, Billions of Dollars, Weekly, Seasonally Adjusted]]-B1466)/B1466</f>
        <v>-3.6879200131126042E-3</v>
      </c>
      <c r="D1467" s="35">
        <f>((1+Table2634[[#This Row],[Weekly change]])^52)-1</f>
        <v>-0.17479738768263342</v>
      </c>
      <c r="E1467" s="25">
        <f t="shared" si="22"/>
        <v>1219.1499999999999</v>
      </c>
      <c r="F1467" s="33">
        <f>(Table2634[[#This Row],[4 weeks average]]-B1415)/B1415</f>
        <v>2.4237587162900035E-2</v>
      </c>
    </row>
    <row r="1468" spans="1:6" x14ac:dyDescent="0.2">
      <c r="A1468" s="23">
        <v>37634</v>
      </c>
      <c r="B1468" s="25">
        <f>VLOOKUP(Table2634[[#This Row],[Date]],'DB Money Supply'!$A:$D,4)</f>
        <v>1221.8</v>
      </c>
      <c r="C1468" s="31">
        <f>(Table2634[[#This Row],[M1 Money Stock, Billions of Dollars, Weekly, Seasonally Adjusted]]-B1467)/B1467</f>
        <v>5.017685284198329E-3</v>
      </c>
      <c r="D1468" s="35">
        <f>((1+Table2634[[#This Row],[Weekly change]])^52)-1</f>
        <v>0.29727668566438692</v>
      </c>
      <c r="E1468" s="25">
        <f t="shared" si="22"/>
        <v>1220.2750000000001</v>
      </c>
      <c r="F1468" s="33">
        <f>(Table2634[[#This Row],[4 weeks average]]-B1416)/B1416</f>
        <v>2.1492549807467089E-2</v>
      </c>
    </row>
    <row r="1469" spans="1:6" x14ac:dyDescent="0.2">
      <c r="A1469" s="23">
        <v>37641</v>
      </c>
      <c r="B1469" s="25">
        <f>VLOOKUP(Table2634[[#This Row],[Date]],'DB Money Supply'!$A:$D,4)</f>
        <v>1229.7</v>
      </c>
      <c r="C1469" s="31">
        <f>(Table2634[[#This Row],[M1 Money Stock, Billions of Dollars, Weekly, Seasonally Adjusted]]-B1468)/B1468</f>
        <v>6.4658700278278696E-3</v>
      </c>
      <c r="D1469" s="35">
        <f>((1+Table2634[[#This Row],[Weekly change]])^52)-1</f>
        <v>0.39814017924586298</v>
      </c>
      <c r="E1469" s="25">
        <f t="shared" si="22"/>
        <v>1221.8499999999999</v>
      </c>
      <c r="F1469" s="33">
        <f>(Table2634[[#This Row],[4 weeks average]]-B1417)/B1417</f>
        <v>2.3667895442359251E-2</v>
      </c>
    </row>
    <row r="1470" spans="1:6" x14ac:dyDescent="0.2">
      <c r="A1470" s="23">
        <v>37648</v>
      </c>
      <c r="B1470" s="25">
        <f>VLOOKUP(Table2634[[#This Row],[Date]],'DB Money Supply'!$A:$D,4)</f>
        <v>1229.4000000000001</v>
      </c>
      <c r="C1470" s="31">
        <f>(Table2634[[#This Row],[M1 Money Stock, Billions of Dollars, Weekly, Seasonally Adjusted]]-B1469)/B1469</f>
        <v>-2.4396194193702082E-4</v>
      </c>
      <c r="D1470" s="35">
        <f>((1+Table2634[[#This Row],[Weekly change]])^52)-1</f>
        <v>-1.2607420804690683E-2</v>
      </c>
      <c r="E1470" s="25">
        <f t="shared" si="22"/>
        <v>1224.1500000000001</v>
      </c>
      <c r="F1470" s="33">
        <f>(Table2634[[#This Row],[4 weeks average]]-B1418)/B1418</f>
        <v>3.3386797231133025E-2</v>
      </c>
    </row>
    <row r="1471" spans="1:6" x14ac:dyDescent="0.2">
      <c r="A1471" s="23">
        <v>37655</v>
      </c>
      <c r="B1471" s="25">
        <f>VLOOKUP(Table2634[[#This Row],[Date]],'DB Money Supply'!$A:$D,4)</f>
        <v>1246.5999999999999</v>
      </c>
      <c r="C1471" s="31">
        <f>(Table2634[[#This Row],[M1 Money Stock, Billions of Dollars, Weekly, Seasonally Adjusted]]-B1470)/B1470</f>
        <v>1.3990564503009449E-2</v>
      </c>
      <c r="D1471" s="35">
        <f>((1+Table2634[[#This Row],[Weekly change]])^52)-1</f>
        <v>1.059508155639707</v>
      </c>
      <c r="E1471" s="25">
        <f t="shared" si="22"/>
        <v>1231.875</v>
      </c>
      <c r="F1471" s="33">
        <f>(Table2634[[#This Row],[4 weeks average]]-B1419)/B1419</f>
        <v>3.5624211853720049E-2</v>
      </c>
    </row>
    <row r="1472" spans="1:6" x14ac:dyDescent="0.2">
      <c r="A1472" s="23">
        <v>37662</v>
      </c>
      <c r="B1472" s="25">
        <f>VLOOKUP(Table2634[[#This Row],[Date]],'DB Money Supply'!$A:$D,4)</f>
        <v>1234.2</v>
      </c>
      <c r="C1472" s="31">
        <f>(Table2634[[#This Row],[M1 Money Stock, Billions of Dollars, Weekly, Seasonally Adjusted]]-B1471)/B1471</f>
        <v>-9.9470559922989442E-3</v>
      </c>
      <c r="D1472" s="35">
        <f>((1+Table2634[[#This Row],[Weekly change]])^52)-1</f>
        <v>-0.4053823240313269</v>
      </c>
      <c r="E1472" s="25">
        <f t="shared" si="22"/>
        <v>1234.9750000000001</v>
      </c>
      <c r="F1472" s="33">
        <f>(Table2634[[#This Row],[4 weeks average]]-B1420)/B1420</f>
        <v>3.7445396505376378E-2</v>
      </c>
    </row>
    <row r="1473" spans="1:6" x14ac:dyDescent="0.2">
      <c r="A1473" s="23">
        <v>37669</v>
      </c>
      <c r="B1473" s="25">
        <f>VLOOKUP(Table2634[[#This Row],[Date]],'DB Money Supply'!$A:$D,4)</f>
        <v>1241.0999999999999</v>
      </c>
      <c r="C1473" s="31">
        <f>(Table2634[[#This Row],[M1 Money Stock, Billions of Dollars, Weekly, Seasonally Adjusted]]-B1472)/B1472</f>
        <v>5.590666018473394E-3</v>
      </c>
      <c r="D1473" s="35">
        <f>((1+Table2634[[#This Row],[Weekly change]])^52)-1</f>
        <v>0.33630054002244325</v>
      </c>
      <c r="E1473" s="25">
        <f t="shared" si="22"/>
        <v>1237.8249999999998</v>
      </c>
      <c r="F1473" s="33">
        <f>(Table2634[[#This Row],[4 weeks average]]-B1421)/B1421</f>
        <v>3.8095437772559311E-2</v>
      </c>
    </row>
    <row r="1474" spans="1:6" x14ac:dyDescent="0.2">
      <c r="A1474" s="23">
        <v>37676</v>
      </c>
      <c r="B1474" s="25">
        <f>VLOOKUP(Table2634[[#This Row],[Date]],'DB Money Supply'!$A:$D,4)</f>
        <v>1231.3</v>
      </c>
      <c r="C1474" s="31">
        <f>(Table2634[[#This Row],[M1 Money Stock, Billions of Dollars, Weekly, Seasonally Adjusted]]-B1473)/B1473</f>
        <v>-7.8962210941906016E-3</v>
      </c>
      <c r="D1474" s="35">
        <f>((1+Table2634[[#This Row],[Weekly change]])^52)-1</f>
        <v>-0.3378301530121619</v>
      </c>
      <c r="E1474" s="25">
        <f t="shared" si="22"/>
        <v>1238.3</v>
      </c>
      <c r="F1474" s="33">
        <f>(Table2634[[#This Row],[4 weeks average]]-B1422)/B1422</f>
        <v>4.1113166302337197E-2</v>
      </c>
    </row>
    <row r="1475" spans="1:6" x14ac:dyDescent="0.2">
      <c r="A1475" s="23">
        <v>37683</v>
      </c>
      <c r="B1475" s="25">
        <f>VLOOKUP(Table2634[[#This Row],[Date]],'DB Money Supply'!$A:$D,4)</f>
        <v>1245.5999999999999</v>
      </c>
      <c r="C1475" s="31">
        <f>(Table2634[[#This Row],[M1 Money Stock, Billions of Dollars, Weekly, Seasonally Adjusted]]-B1474)/B1474</f>
        <v>1.16137415739462E-2</v>
      </c>
      <c r="D1475" s="35">
        <f>((1+Table2634[[#This Row],[Weekly change]])^52)-1</f>
        <v>0.82291091179050957</v>
      </c>
      <c r="E1475" s="25">
        <f t="shared" si="22"/>
        <v>1238.0500000000002</v>
      </c>
      <c r="F1475" s="33">
        <f>(Table2634[[#This Row],[4 weeks average]]-B1423)/B1423</f>
        <v>3.9417345311057235E-2</v>
      </c>
    </row>
    <row r="1476" spans="1:6" x14ac:dyDescent="0.2">
      <c r="A1476" s="23">
        <v>37690</v>
      </c>
      <c r="B1476" s="25">
        <f>VLOOKUP(Table2634[[#This Row],[Date]],'DB Money Supply'!$A:$D,4)</f>
        <v>1242.5</v>
      </c>
      <c r="C1476" s="31">
        <f>(Table2634[[#This Row],[M1 Money Stock, Billions of Dollars, Weekly, Seasonally Adjusted]]-B1475)/B1475</f>
        <v>-2.4887604367372423E-3</v>
      </c>
      <c r="D1476" s="35">
        <f>((1+Table2634[[#This Row],[Weekly change]])^52)-1</f>
        <v>-0.12153292661121318</v>
      </c>
      <c r="E1476" s="25">
        <f t="shared" si="22"/>
        <v>1240.125</v>
      </c>
      <c r="F1476" s="33">
        <f>(Table2634[[#This Row],[4 weeks average]]-B1424)/B1424</f>
        <v>3.4644585349574583E-2</v>
      </c>
    </row>
    <row r="1477" spans="1:6" x14ac:dyDescent="0.2">
      <c r="A1477" s="23">
        <v>37697</v>
      </c>
      <c r="B1477" s="25">
        <f>VLOOKUP(Table2634[[#This Row],[Date]],'DB Money Supply'!$A:$D,4)</f>
        <v>1235.9000000000001</v>
      </c>
      <c r="C1477" s="31">
        <f>(Table2634[[#This Row],[M1 Money Stock, Billions of Dollars, Weekly, Seasonally Adjusted]]-B1476)/B1476</f>
        <v>-5.311871227364112E-3</v>
      </c>
      <c r="D1477" s="35">
        <f>((1+Table2634[[#This Row],[Weekly change]])^52)-1</f>
        <v>-0.24191027338698368</v>
      </c>
      <c r="E1477" s="25">
        <f t="shared" si="22"/>
        <v>1238.8249999999998</v>
      </c>
      <c r="F1477" s="33">
        <f>(Table2634[[#This Row],[4 weeks average]]-B1425)/B1425</f>
        <v>3.5720257503553142E-2</v>
      </c>
    </row>
    <row r="1478" spans="1:6" x14ac:dyDescent="0.2">
      <c r="A1478" s="23">
        <v>37704</v>
      </c>
      <c r="B1478" s="25">
        <f>VLOOKUP(Table2634[[#This Row],[Date]],'DB Money Supply'!$A:$D,4)</f>
        <v>1235.9000000000001</v>
      </c>
      <c r="C1478" s="31">
        <f>(Table2634[[#This Row],[M1 Money Stock, Billions of Dollars, Weekly, Seasonally Adjusted]]-B1477)/B1477</f>
        <v>0</v>
      </c>
      <c r="D1478" s="35">
        <f>((1+Table2634[[#This Row],[Weekly change]])^52)-1</f>
        <v>0</v>
      </c>
      <c r="E1478" s="25">
        <f t="shared" si="22"/>
        <v>1239.9749999999999</v>
      </c>
      <c r="F1478" s="33">
        <f>(Table2634[[#This Row],[4 weeks average]]-B1426)/B1426</f>
        <v>3.9375523889354495E-2</v>
      </c>
    </row>
    <row r="1479" spans="1:6" x14ac:dyDescent="0.2">
      <c r="A1479" s="23">
        <v>37711</v>
      </c>
      <c r="B1479" s="25">
        <f>VLOOKUP(Table2634[[#This Row],[Date]],'DB Money Supply'!$A:$D,4)</f>
        <v>1240.4000000000001</v>
      </c>
      <c r="C1479" s="31">
        <f>(Table2634[[#This Row],[M1 Money Stock, Billions of Dollars, Weekly, Seasonally Adjusted]]-B1478)/B1478</f>
        <v>3.6410712840844726E-3</v>
      </c>
      <c r="D1479" s="35">
        <f>((1+Table2634[[#This Row],[Weekly change]])^52)-1</f>
        <v>0.20803110552924298</v>
      </c>
      <c r="E1479" s="25">
        <f t="shared" si="22"/>
        <v>1238.6750000000002</v>
      </c>
      <c r="F1479" s="33">
        <f>(Table2634[[#This Row],[4 weeks average]]-B1427)/B1427</f>
        <v>4.5030793891841919E-2</v>
      </c>
    </row>
    <row r="1480" spans="1:6" x14ac:dyDescent="0.2">
      <c r="A1480" s="23">
        <v>37718</v>
      </c>
      <c r="B1480" s="25">
        <f>VLOOKUP(Table2634[[#This Row],[Date]],'DB Money Supply'!$A:$D,4)</f>
        <v>1235.8</v>
      </c>
      <c r="C1480" s="31">
        <f>(Table2634[[#This Row],[M1 Money Stock, Billions of Dollars, Weekly, Seasonally Adjusted]]-B1479)/B1479</f>
        <v>-3.7084811351178137E-3</v>
      </c>
      <c r="D1480" s="35">
        <f>((1+Table2634[[#This Row],[Weekly change]])^52)-1</f>
        <v>-0.17568247643764001</v>
      </c>
      <c r="E1480" s="25">
        <f t="shared" si="22"/>
        <v>1237</v>
      </c>
      <c r="F1480" s="33">
        <f>(Table2634[[#This Row],[4 weeks average]]-B1428)/B1428</f>
        <v>4.3793772677411268E-2</v>
      </c>
    </row>
    <row r="1481" spans="1:6" x14ac:dyDescent="0.2">
      <c r="A1481" s="23">
        <v>37725</v>
      </c>
      <c r="B1481" s="25">
        <f>VLOOKUP(Table2634[[#This Row],[Date]],'DB Money Supply'!$A:$D,4)</f>
        <v>1249.9000000000001</v>
      </c>
      <c r="C1481" s="31">
        <f>(Table2634[[#This Row],[M1 Money Stock, Billions of Dollars, Weekly, Seasonally Adjusted]]-B1480)/B1480</f>
        <v>1.1409613206020502E-2</v>
      </c>
      <c r="D1481" s="35">
        <f>((1+Table2634[[#This Row],[Weekly change]])^52)-1</f>
        <v>0.80388153658620864</v>
      </c>
      <c r="E1481" s="25">
        <f t="shared" ref="E1481:E1544" si="23">AVERAGE(B1478:B1481)</f>
        <v>1240.5</v>
      </c>
      <c r="F1481" s="33">
        <f>(Table2634[[#This Row],[4 weeks average]]-B1429)/B1429</f>
        <v>4.4631578947368418E-2</v>
      </c>
    </row>
    <row r="1482" spans="1:6" x14ac:dyDescent="0.2">
      <c r="A1482" s="23">
        <v>37732</v>
      </c>
      <c r="B1482" s="25">
        <f>VLOOKUP(Table2634[[#This Row],[Date]],'DB Money Supply'!$A:$D,4)</f>
        <v>1255.9000000000001</v>
      </c>
      <c r="C1482" s="31">
        <f>(Table2634[[#This Row],[M1 Money Stock, Billions of Dollars, Weekly, Seasonally Adjusted]]-B1481)/B1481</f>
        <v>4.8003840307224571E-3</v>
      </c>
      <c r="D1482" s="35">
        <f>((1+Table2634[[#This Row],[Weekly change]])^52)-1</f>
        <v>0.28277120840843817</v>
      </c>
      <c r="E1482" s="25">
        <f t="shared" si="23"/>
        <v>1245.5</v>
      </c>
      <c r="F1482" s="33">
        <f>(Table2634[[#This Row],[4 weeks average]]-B1430)/B1430</f>
        <v>4.8400673400673402E-2</v>
      </c>
    </row>
    <row r="1483" spans="1:6" x14ac:dyDescent="0.2">
      <c r="A1483" s="23">
        <v>37739</v>
      </c>
      <c r="B1483" s="25">
        <f>VLOOKUP(Table2634[[#This Row],[Date]],'DB Money Supply'!$A:$D,4)</f>
        <v>1255.4000000000001</v>
      </c>
      <c r="C1483" s="31">
        <f>(Table2634[[#This Row],[M1 Money Stock, Billions of Dollars, Weekly, Seasonally Adjusted]]-B1482)/B1482</f>
        <v>-3.9812086949597898E-4</v>
      </c>
      <c r="D1483" s="35">
        <f>((1+Table2634[[#This Row],[Weekly change]])^52)-1</f>
        <v>-2.0493501697505412E-2</v>
      </c>
      <c r="E1483" s="25">
        <f t="shared" si="23"/>
        <v>1249.25</v>
      </c>
      <c r="F1483" s="33">
        <f>(Table2634[[#This Row],[4 weeks average]]-B1431)/B1431</f>
        <v>5.1645761427729524E-2</v>
      </c>
    </row>
    <row r="1484" spans="1:6" x14ac:dyDescent="0.2">
      <c r="A1484" s="23">
        <v>37746</v>
      </c>
      <c r="B1484" s="25">
        <f>VLOOKUP(Table2634[[#This Row],[Date]],'DB Money Supply'!$A:$D,4)</f>
        <v>1261.2</v>
      </c>
      <c r="C1484" s="31">
        <f>(Table2634[[#This Row],[M1 Money Stock, Billions of Dollars, Weekly, Seasonally Adjusted]]-B1483)/B1483</f>
        <v>4.6200414210609796E-3</v>
      </c>
      <c r="D1484" s="35">
        <f>((1+Table2634[[#This Row],[Weekly change]])^52)-1</f>
        <v>0.2708537172609311</v>
      </c>
      <c r="E1484" s="25">
        <f t="shared" si="23"/>
        <v>1255.6000000000001</v>
      </c>
      <c r="F1484" s="33">
        <f>(Table2634[[#This Row],[4 weeks average]]-B1432)/B1432</f>
        <v>6.3076792820252511E-2</v>
      </c>
    </row>
    <row r="1485" spans="1:6" x14ac:dyDescent="0.2">
      <c r="A1485" s="23">
        <v>37753</v>
      </c>
      <c r="B1485" s="25">
        <f>VLOOKUP(Table2634[[#This Row],[Date]],'DB Money Supply'!$A:$D,4)</f>
        <v>1268.8</v>
      </c>
      <c r="C1485" s="31">
        <f>(Table2634[[#This Row],[M1 Money Stock, Billions of Dollars, Weekly, Seasonally Adjusted]]-B1484)/B1484</f>
        <v>6.0260069774816915E-3</v>
      </c>
      <c r="D1485" s="35">
        <f>((1+Table2634[[#This Row],[Weekly change]])^52)-1</f>
        <v>0.36671767416200107</v>
      </c>
      <c r="E1485" s="25">
        <f t="shared" si="23"/>
        <v>1260.325</v>
      </c>
      <c r="F1485" s="33">
        <f>(Table2634[[#This Row],[4 weeks average]]-B1433)/B1433</f>
        <v>6.2579040553073215E-2</v>
      </c>
    </row>
    <row r="1486" spans="1:6" x14ac:dyDescent="0.2">
      <c r="A1486" s="23">
        <v>37760</v>
      </c>
      <c r="B1486" s="25">
        <f>VLOOKUP(Table2634[[#This Row],[Date]],'DB Money Supply'!$A:$D,4)</f>
        <v>1268.2</v>
      </c>
      <c r="C1486" s="31">
        <f>(Table2634[[#This Row],[M1 Money Stock, Billions of Dollars, Weekly, Seasonally Adjusted]]-B1485)/B1485</f>
        <v>-4.7288776796966352E-4</v>
      </c>
      <c r="D1486" s="35">
        <f>((1+Table2634[[#This Row],[Weekly change]])^52)-1</f>
        <v>-2.4295963612152582E-2</v>
      </c>
      <c r="E1486" s="25">
        <f t="shared" si="23"/>
        <v>1263.4000000000001</v>
      </c>
      <c r="F1486" s="33">
        <f>(Table2634[[#This Row],[4 weeks average]]-B1434)/B1434</f>
        <v>6.3378503492972124E-2</v>
      </c>
    </row>
    <row r="1487" spans="1:6" x14ac:dyDescent="0.2">
      <c r="A1487" s="23">
        <v>37767</v>
      </c>
      <c r="B1487" s="25">
        <f>VLOOKUP(Table2634[[#This Row],[Date]],'DB Money Supply'!$A:$D,4)</f>
        <v>1269.5</v>
      </c>
      <c r="C1487" s="31">
        <f>(Table2634[[#This Row],[M1 Money Stock, Billions of Dollars, Weekly, Seasonally Adjusted]]-B1486)/B1486</f>
        <v>1.0250749093202605E-3</v>
      </c>
      <c r="D1487" s="35">
        <f>((1+Table2634[[#This Row],[Weekly change]])^52)-1</f>
        <v>5.4721334051663906E-2</v>
      </c>
      <c r="E1487" s="25">
        <f t="shared" si="23"/>
        <v>1266.925</v>
      </c>
      <c r="F1487" s="33">
        <f>(Table2634[[#This Row],[4 weeks average]]-B1435)/B1435</f>
        <v>6.2678241905720439E-2</v>
      </c>
    </row>
    <row r="1488" spans="1:6" x14ac:dyDescent="0.2">
      <c r="A1488" s="23">
        <v>37774</v>
      </c>
      <c r="B1488" s="25">
        <f>VLOOKUP(Table2634[[#This Row],[Date]],'DB Money Supply'!$A:$D,4)</f>
        <v>1276.4000000000001</v>
      </c>
      <c r="C1488" s="31">
        <f>(Table2634[[#This Row],[M1 Money Stock, Billions of Dollars, Weekly, Seasonally Adjusted]]-B1487)/B1487</f>
        <v>5.4352107128791578E-3</v>
      </c>
      <c r="D1488" s="35">
        <f>((1+Table2634[[#This Row],[Weekly change]])^52)-1</f>
        <v>0.32560061289960984</v>
      </c>
      <c r="E1488" s="25">
        <f t="shared" si="23"/>
        <v>1270.7249999999999</v>
      </c>
      <c r="F1488" s="33">
        <f>(Table2634[[#This Row],[4 weeks average]]-B1436)/B1436</f>
        <v>5.5244145490782146E-2</v>
      </c>
    </row>
    <row r="1489" spans="1:6" x14ac:dyDescent="0.2">
      <c r="A1489" s="23">
        <v>37781</v>
      </c>
      <c r="B1489" s="25">
        <f>VLOOKUP(Table2634[[#This Row],[Date]],'DB Money Supply'!$A:$D,4)</f>
        <v>1279.0999999999999</v>
      </c>
      <c r="C1489" s="31">
        <f>(Table2634[[#This Row],[M1 Money Stock, Billions of Dollars, Weekly, Seasonally Adjusted]]-B1488)/B1488</f>
        <v>2.1153243497334831E-3</v>
      </c>
      <c r="D1489" s="35">
        <f>((1+Table2634[[#This Row],[Weekly change]])^52)-1</f>
        <v>0.11614489578652587</v>
      </c>
      <c r="E1489" s="25">
        <f t="shared" si="23"/>
        <v>1273.3</v>
      </c>
      <c r="F1489" s="33">
        <f>(Table2634[[#This Row],[4 weeks average]]-B1437)/B1437</f>
        <v>6.7935922167239787E-2</v>
      </c>
    </row>
    <row r="1490" spans="1:6" x14ac:dyDescent="0.2">
      <c r="A1490" s="23">
        <v>37788</v>
      </c>
      <c r="B1490" s="25">
        <f>VLOOKUP(Table2634[[#This Row],[Date]],'DB Money Supply'!$A:$D,4)</f>
        <v>1287.5999999999999</v>
      </c>
      <c r="C1490" s="31">
        <f>(Table2634[[#This Row],[M1 Money Stock, Billions of Dollars, Weekly, Seasonally Adjusted]]-B1489)/B1489</f>
        <v>6.6452974747869603E-3</v>
      </c>
      <c r="D1490" s="35">
        <f>((1+Table2634[[#This Row],[Weekly change]])^52)-1</f>
        <v>0.4111604366220365</v>
      </c>
      <c r="E1490" s="25">
        <f t="shared" si="23"/>
        <v>1278.1500000000001</v>
      </c>
      <c r="F1490" s="33">
        <f>(Table2634[[#This Row],[4 weeks average]]-B1438)/B1438</f>
        <v>7.5069391874842281E-2</v>
      </c>
    </row>
    <row r="1491" spans="1:6" x14ac:dyDescent="0.2">
      <c r="A1491" s="23">
        <v>37795</v>
      </c>
      <c r="B1491" s="25">
        <f>VLOOKUP(Table2634[[#This Row],[Date]],'DB Money Supply'!$A:$D,4)</f>
        <v>1276.9000000000001</v>
      </c>
      <c r="C1491" s="31">
        <f>(Table2634[[#This Row],[M1 Money Stock, Billions of Dollars, Weekly, Seasonally Adjusted]]-B1490)/B1490</f>
        <v>-8.3100341721029976E-3</v>
      </c>
      <c r="D1491" s="35">
        <f>((1+Table2634[[#This Row],[Weekly change]])^52)-1</f>
        <v>-0.35204061346148219</v>
      </c>
      <c r="E1491" s="25">
        <f t="shared" si="23"/>
        <v>1280</v>
      </c>
      <c r="F1491" s="33">
        <f>(Table2634[[#This Row],[4 weeks average]]-B1439)/B1439</f>
        <v>7.2655660772647318E-2</v>
      </c>
    </row>
    <row r="1492" spans="1:6" x14ac:dyDescent="0.2">
      <c r="A1492" s="23">
        <v>37802</v>
      </c>
      <c r="B1492" s="25">
        <f>VLOOKUP(Table2634[[#This Row],[Date]],'DB Money Supply'!$A:$D,4)</f>
        <v>1281.7</v>
      </c>
      <c r="C1492" s="31">
        <f>(Table2634[[#This Row],[M1 Money Stock, Billions of Dollars, Weekly, Seasonally Adjusted]]-B1491)/B1491</f>
        <v>3.7591040801941843E-3</v>
      </c>
      <c r="D1492" s="35">
        <f>((1+Table2634[[#This Row],[Weekly change]])^52)-1</f>
        <v>0.21544094404969116</v>
      </c>
      <c r="E1492" s="25">
        <f t="shared" si="23"/>
        <v>1281.325</v>
      </c>
      <c r="F1492" s="33">
        <f>(Table2634[[#This Row],[4 weeks average]]-B1440)/B1440</f>
        <v>7.3046646009547064E-2</v>
      </c>
    </row>
    <row r="1493" spans="1:6" x14ac:dyDescent="0.2">
      <c r="A1493" s="23">
        <v>37809</v>
      </c>
      <c r="B1493" s="25">
        <f>VLOOKUP(Table2634[[#This Row],[Date]],'DB Money Supply'!$A:$D,4)</f>
        <v>1276.4000000000001</v>
      </c>
      <c r="C1493" s="31">
        <f>(Table2634[[#This Row],[M1 Money Stock, Billions of Dollars, Weekly, Seasonally Adjusted]]-B1492)/B1492</f>
        <v>-4.1351330264492118E-3</v>
      </c>
      <c r="D1493" s="35">
        <f>((1+Table2634[[#This Row],[Weekly change]])^52)-1</f>
        <v>-0.19383974544516902</v>
      </c>
      <c r="E1493" s="25">
        <f t="shared" si="23"/>
        <v>1280.6500000000001</v>
      </c>
      <c r="F1493" s="33">
        <f>(Table2634[[#This Row],[4 weeks average]]-B1441)/B1441</f>
        <v>7.3110440757499576E-2</v>
      </c>
    </row>
    <row r="1494" spans="1:6" x14ac:dyDescent="0.2">
      <c r="A1494" s="23">
        <v>37816</v>
      </c>
      <c r="B1494" s="25">
        <f>VLOOKUP(Table2634[[#This Row],[Date]],'DB Money Supply'!$A:$D,4)</f>
        <v>1289.0999999999999</v>
      </c>
      <c r="C1494" s="31">
        <f>(Table2634[[#This Row],[M1 Money Stock, Billions of Dollars, Weekly, Seasonally Adjusted]]-B1493)/B1493</f>
        <v>9.9498589783765419E-3</v>
      </c>
      <c r="D1494" s="35">
        <f>((1+Table2634[[#This Row],[Weekly change]])^52)-1</f>
        <v>0.67336341562398738</v>
      </c>
      <c r="E1494" s="25">
        <f t="shared" si="23"/>
        <v>1281.0250000000001</v>
      </c>
      <c r="F1494" s="33">
        <f>(Table2634[[#This Row],[4 weeks average]]-B1442)/B1442</f>
        <v>6.5744592346089925E-2</v>
      </c>
    </row>
    <row r="1495" spans="1:6" x14ac:dyDescent="0.2">
      <c r="A1495" s="23">
        <v>37823</v>
      </c>
      <c r="B1495" s="25">
        <f>VLOOKUP(Table2634[[#This Row],[Date]],'DB Money Supply'!$A:$D,4)</f>
        <v>1292.0999999999999</v>
      </c>
      <c r="C1495" s="31">
        <f>(Table2634[[#This Row],[M1 Money Stock, Billions of Dollars, Weekly, Seasonally Adjusted]]-B1494)/B1494</f>
        <v>2.3272050267628581E-3</v>
      </c>
      <c r="D1495" s="35">
        <f>((1+Table2634[[#This Row],[Weekly change]])^52)-1</f>
        <v>0.12848278964693982</v>
      </c>
      <c r="E1495" s="25">
        <f t="shared" si="23"/>
        <v>1284.825</v>
      </c>
      <c r="F1495" s="33">
        <f>(Table2634[[#This Row],[4 weeks average]]-B1443)/B1443</f>
        <v>6.7928684232399755E-2</v>
      </c>
    </row>
    <row r="1496" spans="1:6" x14ac:dyDescent="0.2">
      <c r="A1496" s="23">
        <v>37830</v>
      </c>
      <c r="B1496" s="25">
        <f>VLOOKUP(Table2634[[#This Row],[Date]],'DB Money Supply'!$A:$D,4)</f>
        <v>1286.4000000000001</v>
      </c>
      <c r="C1496" s="31">
        <f>(Table2634[[#This Row],[M1 Money Stock, Billions of Dollars, Weekly, Seasonally Adjusted]]-B1495)/B1495</f>
        <v>-4.4114232644530751E-3</v>
      </c>
      <c r="D1496" s="35">
        <f>((1+Table2634[[#This Row],[Weekly change]])^52)-1</f>
        <v>-0.2053881160157125</v>
      </c>
      <c r="E1496" s="25">
        <f t="shared" si="23"/>
        <v>1286</v>
      </c>
      <c r="F1496" s="33">
        <f>(Table2634[[#This Row],[4 weeks average]]-B1444)/B1444</f>
        <v>6.837251806928632E-2</v>
      </c>
    </row>
    <row r="1497" spans="1:6" x14ac:dyDescent="0.2">
      <c r="A1497" s="23">
        <v>37837</v>
      </c>
      <c r="B1497" s="25">
        <f>VLOOKUP(Table2634[[#This Row],[Date]],'DB Money Supply'!$A:$D,4)</f>
        <v>1301.4000000000001</v>
      </c>
      <c r="C1497" s="31">
        <f>(Table2634[[#This Row],[M1 Money Stock, Billions of Dollars, Weekly, Seasonally Adjusted]]-B1496)/B1496</f>
        <v>1.1660447761194029E-2</v>
      </c>
      <c r="D1497" s="35">
        <f>((1+Table2634[[#This Row],[Weekly change]])^52)-1</f>
        <v>0.82729258401492567</v>
      </c>
      <c r="E1497" s="25">
        <f t="shared" si="23"/>
        <v>1292.25</v>
      </c>
      <c r="F1497" s="33">
        <f>(Table2634[[#This Row],[4 weeks average]]-B1445)/B1445</f>
        <v>9.3644211238998049E-2</v>
      </c>
    </row>
    <row r="1498" spans="1:6" x14ac:dyDescent="0.2">
      <c r="A1498" s="23">
        <v>37844</v>
      </c>
      <c r="B1498" s="25">
        <f>VLOOKUP(Table2634[[#This Row],[Date]],'DB Money Supply'!$A:$D,4)</f>
        <v>1295.4000000000001</v>
      </c>
      <c r="C1498" s="31">
        <f>(Table2634[[#This Row],[M1 Money Stock, Billions of Dollars, Weekly, Seasonally Adjusted]]-B1497)/B1497</f>
        <v>-4.6104195481788844E-3</v>
      </c>
      <c r="D1498" s="35">
        <f>((1+Table2634[[#This Row],[Weekly change]])^52)-1</f>
        <v>-0.21360508490754015</v>
      </c>
      <c r="E1498" s="25">
        <f t="shared" si="23"/>
        <v>1293.825</v>
      </c>
      <c r="F1498" s="33">
        <f>(Table2634[[#This Row],[4 weeks average]]-B1446)/B1446</f>
        <v>9.4514000507571388E-2</v>
      </c>
    </row>
    <row r="1499" spans="1:6" x14ac:dyDescent="0.2">
      <c r="A1499" s="23">
        <v>37851</v>
      </c>
      <c r="B1499" s="25">
        <f>VLOOKUP(Table2634[[#This Row],[Date]],'DB Money Supply'!$A:$D,4)</f>
        <v>1309.5</v>
      </c>
      <c r="C1499" s="31">
        <f>(Table2634[[#This Row],[M1 Money Stock, Billions of Dollars, Weekly, Seasonally Adjusted]]-B1498)/B1498</f>
        <v>1.0884668828161114E-2</v>
      </c>
      <c r="D1499" s="35">
        <f>((1+Table2634[[#This Row],[Weekly change]])^52)-1</f>
        <v>0.75583508270132382</v>
      </c>
      <c r="E1499" s="25">
        <f t="shared" si="23"/>
        <v>1298.1750000000002</v>
      </c>
      <c r="F1499" s="33">
        <f>(Table2634[[#This Row],[4 weeks average]]-B1447)/B1447</f>
        <v>9.7729578893962693E-2</v>
      </c>
    </row>
    <row r="1500" spans="1:6" x14ac:dyDescent="0.2">
      <c r="A1500" s="23">
        <v>37858</v>
      </c>
      <c r="B1500" s="25">
        <f>VLOOKUP(Table2634[[#This Row],[Date]],'DB Money Supply'!$A:$D,4)</f>
        <v>1288.4000000000001</v>
      </c>
      <c r="C1500" s="31">
        <f>(Table2634[[#This Row],[M1 Money Stock, Billions of Dollars, Weekly, Seasonally Adjusted]]-B1499)/B1499</f>
        <v>-1.6113020236731508E-2</v>
      </c>
      <c r="D1500" s="35">
        <f>((1+Table2634[[#This Row],[Weekly change]])^52)-1</f>
        <v>-0.5703141065257018</v>
      </c>
      <c r="E1500" s="25">
        <f t="shared" si="23"/>
        <v>1298.6750000000002</v>
      </c>
      <c r="F1500" s="33">
        <f>(Table2634[[#This Row],[4 weeks average]]-B1448)/B1448</f>
        <v>9.2425134589502217E-2</v>
      </c>
    </row>
    <row r="1501" spans="1:6" x14ac:dyDescent="0.2">
      <c r="A1501" s="23">
        <v>37865</v>
      </c>
      <c r="B1501" s="25">
        <f>VLOOKUP(Table2634[[#This Row],[Date]],'DB Money Supply'!$A:$D,4)</f>
        <v>1288.4000000000001</v>
      </c>
      <c r="C1501" s="31">
        <f>(Table2634[[#This Row],[M1 Money Stock, Billions of Dollars, Weekly, Seasonally Adjusted]]-B1500)/B1500</f>
        <v>0</v>
      </c>
      <c r="D1501" s="35">
        <f>((1+Table2634[[#This Row],[Weekly change]])^52)-1</f>
        <v>0</v>
      </c>
      <c r="E1501" s="25">
        <f t="shared" si="23"/>
        <v>1295.4250000000002</v>
      </c>
      <c r="F1501" s="33">
        <f>(Table2634[[#This Row],[4 weeks average]]-B1449)/B1449</f>
        <v>7.6560292528879109E-2</v>
      </c>
    </row>
    <row r="1502" spans="1:6" x14ac:dyDescent="0.2">
      <c r="A1502" s="23">
        <v>37872</v>
      </c>
      <c r="B1502" s="25">
        <f>VLOOKUP(Table2634[[#This Row],[Date]],'DB Money Supply'!$A:$D,4)</f>
        <v>1295.0999999999999</v>
      </c>
      <c r="C1502" s="31">
        <f>(Table2634[[#This Row],[M1 Money Stock, Billions of Dollars, Weekly, Seasonally Adjusted]]-B1501)/B1501</f>
        <v>5.2002483700712646E-3</v>
      </c>
      <c r="D1502" s="35">
        <f>((1+Table2634[[#This Row],[Weekly change]])^52)-1</f>
        <v>0.30958754457815507</v>
      </c>
      <c r="E1502" s="25">
        <f t="shared" si="23"/>
        <v>1295.3499999999999</v>
      </c>
      <c r="F1502" s="33">
        <f>(Table2634[[#This Row],[4 weeks average]]-B1450)/B1450</f>
        <v>8.7159043222828289E-2</v>
      </c>
    </row>
    <row r="1503" spans="1:6" x14ac:dyDescent="0.2">
      <c r="A1503" s="23">
        <v>37879</v>
      </c>
      <c r="B1503" s="25">
        <f>VLOOKUP(Table2634[[#This Row],[Date]],'DB Money Supply'!$A:$D,4)</f>
        <v>1299.9000000000001</v>
      </c>
      <c r="C1503" s="31">
        <f>(Table2634[[#This Row],[M1 Money Stock, Billions of Dollars, Weekly, Seasonally Adjusted]]-B1502)/B1502</f>
        <v>3.7062775075285171E-3</v>
      </c>
      <c r="D1503" s="35">
        <f>((1+Table2634[[#This Row],[Weekly change]])^52)-1</f>
        <v>0.21211911387213189</v>
      </c>
      <c r="E1503" s="25">
        <f t="shared" si="23"/>
        <v>1292.95</v>
      </c>
      <c r="F1503" s="33">
        <f>(Table2634[[#This Row],[4 weeks average]]-B1451)/B1451</f>
        <v>8.4871622755495965E-2</v>
      </c>
    </row>
    <row r="1504" spans="1:6" x14ac:dyDescent="0.2">
      <c r="A1504" s="23">
        <v>37886</v>
      </c>
      <c r="B1504" s="25">
        <f>VLOOKUP(Table2634[[#This Row],[Date]],'DB Money Supply'!$A:$D,4)</f>
        <v>1299.4000000000001</v>
      </c>
      <c r="C1504" s="31">
        <f>(Table2634[[#This Row],[M1 Money Stock, Billions of Dollars, Weekly, Seasonally Adjusted]]-B1503)/B1503</f>
        <v>-3.8464497269020693E-4</v>
      </c>
      <c r="D1504" s="35">
        <f>((1+Table2634[[#This Row],[Weekly change]])^52)-1</f>
        <v>-1.9806606335122767E-2</v>
      </c>
      <c r="E1504" s="25">
        <f t="shared" si="23"/>
        <v>1295.7</v>
      </c>
      <c r="F1504" s="33">
        <f>(Table2634[[#This Row],[4 weeks average]]-B1452)/B1452</f>
        <v>8.6267605633802896E-2</v>
      </c>
    </row>
    <row r="1505" spans="1:6" x14ac:dyDescent="0.2">
      <c r="A1505" s="23">
        <v>37893</v>
      </c>
      <c r="B1505" s="25">
        <f>VLOOKUP(Table2634[[#This Row],[Date]],'DB Money Supply'!$A:$D,4)</f>
        <v>1297.0999999999999</v>
      </c>
      <c r="C1505" s="31">
        <f>(Table2634[[#This Row],[M1 Money Stock, Billions of Dollars, Weekly, Seasonally Adjusted]]-B1504)/B1504</f>
        <v>-1.7700477143298304E-3</v>
      </c>
      <c r="D1505" s="35">
        <f>((1+Table2634[[#This Row],[Weekly change]])^52)-1</f>
        <v>-8.8007978398258468E-2</v>
      </c>
      <c r="E1505" s="25">
        <f t="shared" si="23"/>
        <v>1297.875</v>
      </c>
      <c r="F1505" s="33">
        <f>(Table2634[[#This Row],[4 weeks average]]-B1453)/B1453</f>
        <v>7.5913951753295239E-2</v>
      </c>
    </row>
    <row r="1506" spans="1:6" x14ac:dyDescent="0.2">
      <c r="A1506" s="23">
        <v>37900</v>
      </c>
      <c r="B1506" s="25">
        <f>VLOOKUP(Table2634[[#This Row],[Date]],'DB Money Supply'!$A:$D,4)</f>
        <v>1285.8</v>
      </c>
      <c r="C1506" s="31">
        <f>(Table2634[[#This Row],[M1 Money Stock, Billions of Dollars, Weekly, Seasonally Adjusted]]-B1505)/B1505</f>
        <v>-8.7117415773648559E-3</v>
      </c>
      <c r="D1506" s="35">
        <f>((1+Table2634[[#This Row],[Weekly change]])^52)-1</f>
        <v>-0.36554908391122287</v>
      </c>
      <c r="E1506" s="25">
        <f t="shared" si="23"/>
        <v>1295.55</v>
      </c>
      <c r="F1506" s="33">
        <f>(Table2634[[#This Row],[4 weeks average]]-B1454)/B1454</f>
        <v>9.0438515276491924E-2</v>
      </c>
    </row>
    <row r="1507" spans="1:6" x14ac:dyDescent="0.2">
      <c r="A1507" s="23">
        <v>37907</v>
      </c>
      <c r="B1507" s="25">
        <f>VLOOKUP(Table2634[[#This Row],[Date]],'DB Money Supply'!$A:$D,4)</f>
        <v>1297</v>
      </c>
      <c r="C1507" s="31">
        <f>(Table2634[[#This Row],[M1 Money Stock, Billions of Dollars, Weekly, Seasonally Adjusted]]-B1506)/B1506</f>
        <v>8.7105304090838737E-3</v>
      </c>
      <c r="D1507" s="35">
        <f>((1+Table2634[[#This Row],[Weekly change]])^52)-1</f>
        <v>0.56985970526031982</v>
      </c>
      <c r="E1507" s="25">
        <f t="shared" si="23"/>
        <v>1294.825</v>
      </c>
      <c r="F1507" s="33">
        <f>(Table2634[[#This Row],[4 weeks average]]-B1455)/B1455</f>
        <v>7.3029750559376813E-2</v>
      </c>
    </row>
    <row r="1508" spans="1:6" x14ac:dyDescent="0.2">
      <c r="A1508" s="23">
        <v>37914</v>
      </c>
      <c r="B1508" s="25">
        <f>VLOOKUP(Table2634[[#This Row],[Date]],'DB Money Supply'!$A:$D,4)</f>
        <v>1297.8</v>
      </c>
      <c r="C1508" s="31">
        <f>(Table2634[[#This Row],[M1 Money Stock, Billions of Dollars, Weekly, Seasonally Adjusted]]-B1507)/B1507</f>
        <v>6.1680801850420549E-4</v>
      </c>
      <c r="D1508" s="35">
        <f>((1+Table2634[[#This Row],[Weekly change]])^52)-1</f>
        <v>3.2583722024730699E-2</v>
      </c>
      <c r="E1508" s="25">
        <f t="shared" si="23"/>
        <v>1294.425</v>
      </c>
      <c r="F1508" s="33">
        <f>(Table2634[[#This Row],[4 weeks average]]-B1456)/B1456</f>
        <v>7.2076362431671245E-2</v>
      </c>
    </row>
    <row r="1509" spans="1:6" x14ac:dyDescent="0.2">
      <c r="A1509" s="23">
        <v>37921</v>
      </c>
      <c r="B1509" s="25">
        <f>VLOOKUP(Table2634[[#This Row],[Date]],'DB Money Supply'!$A:$D,4)</f>
        <v>1298.2</v>
      </c>
      <c r="C1509" s="31">
        <f>(Table2634[[#This Row],[M1 Money Stock, Billions of Dollars, Weekly, Seasonally Adjusted]]-B1508)/B1508</f>
        <v>3.0821390044698027E-4</v>
      </c>
      <c r="D1509" s="35">
        <f>((1+Table2634[[#This Row],[Weekly change]])^52)-1</f>
        <v>1.615373678206633E-2</v>
      </c>
      <c r="E1509" s="25">
        <f t="shared" si="23"/>
        <v>1294.7</v>
      </c>
      <c r="F1509" s="33">
        <f>(Table2634[[#This Row],[4 weeks average]]-B1457)/B1457</f>
        <v>6.8146192558369886E-2</v>
      </c>
    </row>
    <row r="1510" spans="1:6" x14ac:dyDescent="0.2">
      <c r="A1510" s="23">
        <v>37928</v>
      </c>
      <c r="B1510" s="25">
        <f>VLOOKUP(Table2634[[#This Row],[Date]],'DB Money Supply'!$A:$D,4)</f>
        <v>1316.5</v>
      </c>
      <c r="C1510" s="31">
        <f>(Table2634[[#This Row],[M1 Money Stock, Billions of Dollars, Weekly, Seasonally Adjusted]]-B1509)/B1509</f>
        <v>1.4096441226313322E-2</v>
      </c>
      <c r="D1510" s="35">
        <f>((1+Table2634[[#This Row],[Weekly change]])^52)-1</f>
        <v>1.0707203409172044</v>
      </c>
      <c r="E1510" s="25">
        <f t="shared" si="23"/>
        <v>1302.375</v>
      </c>
      <c r="F1510" s="33">
        <f>(Table2634[[#This Row],[4 weeks average]]-B1458)/B1458</f>
        <v>7.8125E-2</v>
      </c>
    </row>
    <row r="1511" spans="1:6" x14ac:dyDescent="0.2">
      <c r="A1511" s="23">
        <v>37935</v>
      </c>
      <c r="B1511" s="25">
        <f>VLOOKUP(Table2634[[#This Row],[Date]],'DB Money Supply'!$A:$D,4)</f>
        <v>1306.2</v>
      </c>
      <c r="C1511" s="31">
        <f>(Table2634[[#This Row],[M1 Money Stock, Billions of Dollars, Weekly, Seasonally Adjusted]]-B1510)/B1510</f>
        <v>-7.8237751614128031E-3</v>
      </c>
      <c r="D1511" s="35">
        <f>((1+Table2634[[#This Row],[Weekly change]])^52)-1</f>
        <v>-0.33531109268118686</v>
      </c>
      <c r="E1511" s="25">
        <f t="shared" si="23"/>
        <v>1304.675</v>
      </c>
      <c r="F1511" s="33">
        <f>(Table2634[[#This Row],[4 weeks average]]-B1459)/B1459</f>
        <v>7.958212660322711E-2</v>
      </c>
    </row>
    <row r="1512" spans="1:6" x14ac:dyDescent="0.2">
      <c r="A1512" s="23">
        <v>37942</v>
      </c>
      <c r="B1512" s="25">
        <f>VLOOKUP(Table2634[[#This Row],[Date]],'DB Money Supply'!$A:$D,4)</f>
        <v>1297.7</v>
      </c>
      <c r="C1512" s="31">
        <f>(Table2634[[#This Row],[M1 Money Stock, Billions of Dollars, Weekly, Seasonally Adjusted]]-B1511)/B1511</f>
        <v>-6.5074261215740314E-3</v>
      </c>
      <c r="D1512" s="35">
        <f>((1+Table2634[[#This Row],[Weekly change]])^52)-1</f>
        <v>-0.28786798449289819</v>
      </c>
      <c r="E1512" s="25">
        <f t="shared" si="23"/>
        <v>1304.6499999999999</v>
      </c>
      <c r="F1512" s="33">
        <f>(Table2634[[#This Row],[4 weeks average]]-B1460)/B1460</f>
        <v>8.2337813174049909E-2</v>
      </c>
    </row>
    <row r="1513" spans="1:6" x14ac:dyDescent="0.2">
      <c r="A1513" s="23">
        <v>37949</v>
      </c>
      <c r="B1513" s="25">
        <f>VLOOKUP(Table2634[[#This Row],[Date]],'DB Money Supply'!$A:$D,4)</f>
        <v>1293</v>
      </c>
      <c r="C1513" s="31">
        <f>(Table2634[[#This Row],[M1 Money Stock, Billions of Dollars, Weekly, Seasonally Adjusted]]-B1512)/B1512</f>
        <v>-3.621792401941932E-3</v>
      </c>
      <c r="D1513" s="35">
        <f>((1+Table2634[[#This Row],[Weekly change]])^52)-1</f>
        <v>-0.17194448729043632</v>
      </c>
      <c r="E1513" s="25">
        <f t="shared" si="23"/>
        <v>1303.3499999999999</v>
      </c>
      <c r="F1513" s="33">
        <f>(Table2634[[#This Row],[4 weeks average]]-B1461)/B1461</f>
        <v>8.2696461206180391E-2</v>
      </c>
    </row>
    <row r="1514" spans="1:6" x14ac:dyDescent="0.2">
      <c r="A1514" s="23">
        <v>37956</v>
      </c>
      <c r="B1514" s="25">
        <f>VLOOKUP(Table2634[[#This Row],[Date]],'DB Money Supply'!$A:$D,4)</f>
        <v>1290.7</v>
      </c>
      <c r="C1514" s="31">
        <f>(Table2634[[#This Row],[M1 Money Stock, Billions of Dollars, Weekly, Seasonally Adjusted]]-B1513)/B1513</f>
        <v>-1.7788089713843423E-3</v>
      </c>
      <c r="D1514" s="35">
        <f>((1+Table2634[[#This Row],[Weekly change]])^52)-1</f>
        <v>-8.8424112218165818E-2</v>
      </c>
      <c r="E1514" s="25">
        <f t="shared" si="23"/>
        <v>1296.9000000000001</v>
      </c>
      <c r="F1514" s="33">
        <f>(Table2634[[#This Row],[4 weeks average]]-B1462)/B1462</f>
        <v>5.739910313901353E-2</v>
      </c>
    </row>
    <row r="1515" spans="1:6" x14ac:dyDescent="0.2">
      <c r="A1515" s="23">
        <v>37963</v>
      </c>
      <c r="B1515" s="25">
        <f>VLOOKUP(Table2634[[#This Row],[Date]],'DB Money Supply'!$A:$D,4)</f>
        <v>1304.9000000000001</v>
      </c>
      <c r="C1515" s="31">
        <f>(Table2634[[#This Row],[M1 Money Stock, Billions of Dollars, Weekly, Seasonally Adjusted]]-B1514)/B1514</f>
        <v>1.1001781978771245E-2</v>
      </c>
      <c r="D1515" s="35">
        <f>((1+Table2634[[#This Row],[Weekly change]])^52)-1</f>
        <v>0.76644408902239491</v>
      </c>
      <c r="E1515" s="25">
        <f t="shared" si="23"/>
        <v>1296.5749999999998</v>
      </c>
      <c r="F1515" s="33">
        <f>(Table2634[[#This Row],[4 weeks average]]-B1463)/B1463</f>
        <v>6.3812766655726841E-2</v>
      </c>
    </row>
    <row r="1516" spans="1:6" x14ac:dyDescent="0.2">
      <c r="A1516" s="23">
        <v>37970</v>
      </c>
      <c r="B1516" s="25">
        <f>VLOOKUP(Table2634[[#This Row],[Date]],'DB Money Supply'!$A:$D,4)</f>
        <v>1311.8</v>
      </c>
      <c r="C1516" s="31">
        <f>(Table2634[[#This Row],[M1 Money Stock, Billions of Dollars, Weekly, Seasonally Adjusted]]-B1515)/B1515</f>
        <v>5.2877615142921776E-3</v>
      </c>
      <c r="D1516" s="35">
        <f>((1+Table2634[[#This Row],[Weekly change]])^52)-1</f>
        <v>0.31552941340434781</v>
      </c>
      <c r="E1516" s="25">
        <f t="shared" si="23"/>
        <v>1300.0999999999999</v>
      </c>
      <c r="F1516" s="33">
        <f>(Table2634[[#This Row],[4 weeks average]]-B1464)/B1464</f>
        <v>6.80193871683233E-2</v>
      </c>
    </row>
    <row r="1517" spans="1:6" x14ac:dyDescent="0.2">
      <c r="A1517" s="23">
        <v>37977</v>
      </c>
      <c r="B1517" s="25">
        <f>VLOOKUP(Table2634[[#This Row],[Date]],'DB Money Supply'!$A:$D,4)</f>
        <v>1308.4000000000001</v>
      </c>
      <c r="C1517" s="31">
        <f>(Table2634[[#This Row],[M1 Money Stock, Billions of Dollars, Weekly, Seasonally Adjusted]]-B1516)/B1516</f>
        <v>-2.5918585150174291E-3</v>
      </c>
      <c r="D1517" s="35">
        <f>((1+Table2634[[#This Row],[Weekly change]])^52)-1</f>
        <v>-0.12624180482178826</v>
      </c>
      <c r="E1517" s="25">
        <f t="shared" si="23"/>
        <v>1303.9500000000003</v>
      </c>
      <c r="F1517" s="33">
        <f>(Table2634[[#This Row],[4 weeks average]]-B1465)/B1465</f>
        <v>6.5841098577734333E-2</v>
      </c>
    </row>
    <row r="1518" spans="1:6" x14ac:dyDescent="0.2">
      <c r="A1518" s="23">
        <v>37984</v>
      </c>
      <c r="B1518" s="25">
        <f>VLOOKUP(Table2634[[#This Row],[Date]],'DB Money Supply'!$A:$D,4)</f>
        <v>1302.8</v>
      </c>
      <c r="C1518" s="31">
        <f>(Table2634[[#This Row],[M1 Money Stock, Billions of Dollars, Weekly, Seasonally Adjusted]]-B1517)/B1517</f>
        <v>-4.2800366860288415E-3</v>
      </c>
      <c r="D1518" s="35">
        <f>((1+Table2634[[#This Row],[Weekly change]])^52)-1</f>
        <v>-0.19991680072806783</v>
      </c>
      <c r="E1518" s="25">
        <f t="shared" si="23"/>
        <v>1306.9749999999999</v>
      </c>
      <c r="F1518" s="33">
        <f>(Table2634[[#This Row],[4 weeks average]]-B1466)/B1466</f>
        <v>7.1115390919521279E-2</v>
      </c>
    </row>
    <row r="1519" spans="1:6" x14ac:dyDescent="0.2">
      <c r="A1519" s="23">
        <v>37991</v>
      </c>
      <c r="B1519" s="25">
        <f>VLOOKUP(Table2634[[#This Row],[Date]],'DB Money Supply'!$A:$D,4)</f>
        <v>1303</v>
      </c>
      <c r="C1519" s="31">
        <f>(Table2634[[#This Row],[M1 Money Stock, Billions of Dollars, Weekly, Seasonally Adjusted]]-B1518)/B1518</f>
        <v>1.5351550506604659E-4</v>
      </c>
      <c r="D1519" s="35">
        <f>((1+Table2634[[#This Row],[Weekly change]])^52)-1</f>
        <v>8.0141362252945658E-3</v>
      </c>
      <c r="E1519" s="25">
        <f t="shared" si="23"/>
        <v>1306.5</v>
      </c>
      <c r="F1519" s="33">
        <f>(Table2634[[#This Row],[4 weeks average]]-B1467)/B1467</f>
        <v>7.4689479312330304E-2</v>
      </c>
    </row>
    <row r="1520" spans="1:6" x14ac:dyDescent="0.2">
      <c r="A1520" s="23">
        <v>37998</v>
      </c>
      <c r="B1520" s="25">
        <f>VLOOKUP(Table2634[[#This Row],[Date]],'DB Money Supply'!$A:$D,4)</f>
        <v>1300.4000000000001</v>
      </c>
      <c r="C1520" s="31">
        <f>(Table2634[[#This Row],[M1 Money Stock, Billions of Dollars, Weekly, Seasonally Adjusted]]-B1519)/B1519</f>
        <v>-1.9953952417497384E-3</v>
      </c>
      <c r="D1520" s="35">
        <f>((1+Table2634[[#This Row],[Weekly change]])^52)-1</f>
        <v>-9.8652318819797302E-2</v>
      </c>
      <c r="E1520" s="25">
        <f t="shared" si="23"/>
        <v>1303.6500000000001</v>
      </c>
      <c r="F1520" s="33">
        <f>(Table2634[[#This Row],[4 weeks average]]-B1468)/B1468</f>
        <v>6.6991324275658973E-2</v>
      </c>
    </row>
    <row r="1521" spans="1:6" x14ac:dyDescent="0.2">
      <c r="A1521" s="23">
        <v>38005</v>
      </c>
      <c r="B1521" s="25">
        <f>VLOOKUP(Table2634[[#This Row],[Date]],'DB Money Supply'!$A:$D,4)</f>
        <v>1307.5</v>
      </c>
      <c r="C1521" s="31">
        <f>(Table2634[[#This Row],[M1 Money Stock, Billions of Dollars, Weekly, Seasonally Adjusted]]-B1520)/B1520</f>
        <v>5.4598585050752912E-3</v>
      </c>
      <c r="D1521" s="35">
        <f>((1+Table2634[[#This Row],[Weekly change]])^52)-1</f>
        <v>0.32729148783341633</v>
      </c>
      <c r="E1521" s="25">
        <f t="shared" si="23"/>
        <v>1303.4250000000002</v>
      </c>
      <c r="F1521" s="33">
        <f>(Table2634[[#This Row],[4 weeks average]]-B1469)/B1469</f>
        <v>5.9953647231032067E-2</v>
      </c>
    </row>
    <row r="1522" spans="1:6" x14ac:dyDescent="0.2">
      <c r="A1522" s="23">
        <v>38012</v>
      </c>
      <c r="B1522" s="25">
        <f>VLOOKUP(Table2634[[#This Row],[Date]],'DB Money Supply'!$A:$D,4)</f>
        <v>1307.9000000000001</v>
      </c>
      <c r="C1522" s="31">
        <f>(Table2634[[#This Row],[M1 Money Stock, Billions of Dollars, Weekly, Seasonally Adjusted]]-B1521)/B1521</f>
        <v>3.059273422562837E-4</v>
      </c>
      <c r="D1522" s="35">
        <f>((1+Table2634[[#This Row],[Weekly change]])^52)-1</f>
        <v>1.6032959327916707E-2</v>
      </c>
      <c r="E1522" s="25">
        <f t="shared" si="23"/>
        <v>1304.7</v>
      </c>
      <c r="F1522" s="33">
        <f>(Table2634[[#This Row],[4 weeks average]]-B1470)/B1470</f>
        <v>6.1249389946315236E-2</v>
      </c>
    </row>
    <row r="1523" spans="1:6" x14ac:dyDescent="0.2">
      <c r="A1523" s="23">
        <v>38019</v>
      </c>
      <c r="B1523" s="25">
        <f>VLOOKUP(Table2634[[#This Row],[Date]],'DB Money Supply'!$A:$D,4)</f>
        <v>1312.3</v>
      </c>
      <c r="C1523" s="31">
        <f>(Table2634[[#This Row],[M1 Money Stock, Billions of Dollars, Weekly, Seasonally Adjusted]]-B1522)/B1522</f>
        <v>3.3641715727501056E-3</v>
      </c>
      <c r="D1523" s="35">
        <f>((1+Table2634[[#This Row],[Weekly change]])^52)-1</f>
        <v>0.19082140007277859</v>
      </c>
      <c r="E1523" s="25">
        <f t="shared" si="23"/>
        <v>1307.0250000000001</v>
      </c>
      <c r="F1523" s="33">
        <f>(Table2634[[#This Row],[4 weeks average]]-B1471)/B1471</f>
        <v>4.8471843414086467E-2</v>
      </c>
    </row>
    <row r="1524" spans="1:6" x14ac:dyDescent="0.2">
      <c r="A1524" s="23">
        <v>38026</v>
      </c>
      <c r="B1524" s="25">
        <f>VLOOKUP(Table2634[[#This Row],[Date]],'DB Money Supply'!$A:$D,4)</f>
        <v>1321</v>
      </c>
      <c r="C1524" s="31">
        <f>(Table2634[[#This Row],[M1 Money Stock, Billions of Dollars, Weekly, Seasonally Adjusted]]-B1523)/B1523</f>
        <v>6.6295816505372593E-3</v>
      </c>
      <c r="D1524" s="35">
        <f>((1+Table2634[[#This Row],[Weekly change]])^52)-1</f>
        <v>0.41001527299729856</v>
      </c>
      <c r="E1524" s="25">
        <f t="shared" si="23"/>
        <v>1312.175</v>
      </c>
      <c r="F1524" s="33">
        <f>(Table2634[[#This Row],[4 weeks average]]-B1472)/B1472</f>
        <v>6.3178577216010293E-2</v>
      </c>
    </row>
    <row r="1525" spans="1:6" x14ac:dyDescent="0.2">
      <c r="A1525" s="23">
        <v>38033</v>
      </c>
      <c r="B1525" s="25">
        <f>VLOOKUP(Table2634[[#This Row],[Date]],'DB Money Supply'!$A:$D,4)</f>
        <v>1328.2</v>
      </c>
      <c r="C1525" s="31">
        <f>(Table2634[[#This Row],[M1 Money Stock, Billions of Dollars, Weekly, Seasonally Adjusted]]-B1524)/B1524</f>
        <v>5.4504163512490884E-3</v>
      </c>
      <c r="D1525" s="35">
        <f>((1+Table2634[[#This Row],[Weekly change]])^52)-1</f>
        <v>0.32664349233035317</v>
      </c>
      <c r="E1525" s="25">
        <f t="shared" si="23"/>
        <v>1317.35</v>
      </c>
      <c r="F1525" s="33">
        <f>(Table2634[[#This Row],[4 weeks average]]-B1473)/B1473</f>
        <v>6.1437434533881237E-2</v>
      </c>
    </row>
    <row r="1526" spans="1:6" x14ac:dyDescent="0.2">
      <c r="A1526" s="23">
        <v>38040</v>
      </c>
      <c r="B1526" s="25">
        <f>VLOOKUP(Table2634[[#This Row],[Date]],'DB Money Supply'!$A:$D,4)</f>
        <v>1320.3</v>
      </c>
      <c r="C1526" s="31">
        <f>(Table2634[[#This Row],[M1 Money Stock, Billions of Dollars, Weekly, Seasonally Adjusted]]-B1525)/B1525</f>
        <v>-5.9478994127391133E-3</v>
      </c>
      <c r="D1526" s="35">
        <f>((1+Table2634[[#This Row],[Weekly change]])^52)-1</f>
        <v>-0.2667101667185553</v>
      </c>
      <c r="E1526" s="25">
        <f t="shared" si="23"/>
        <v>1320.45</v>
      </c>
      <c r="F1526" s="33">
        <f>(Table2634[[#This Row],[4 weeks average]]-B1474)/B1474</f>
        <v>7.2403151141070488E-2</v>
      </c>
    </row>
    <row r="1527" spans="1:6" x14ac:dyDescent="0.2">
      <c r="A1527" s="23">
        <v>38047</v>
      </c>
      <c r="B1527" s="25">
        <f>VLOOKUP(Table2634[[#This Row],[Date]],'DB Money Supply'!$A:$D,4)</f>
        <v>1318.4</v>
      </c>
      <c r="C1527" s="31">
        <f>(Table2634[[#This Row],[M1 Money Stock, Billions of Dollars, Weekly, Seasonally Adjusted]]-B1526)/B1526</f>
        <v>-1.4390668787395771E-3</v>
      </c>
      <c r="D1527" s="35">
        <f>((1+Table2634[[#This Row],[Weekly change]])^52)-1</f>
        <v>-7.2150163269586565E-2</v>
      </c>
      <c r="E1527" s="25">
        <f t="shared" si="23"/>
        <v>1321.9749999999999</v>
      </c>
      <c r="F1527" s="33">
        <f>(Table2634[[#This Row],[4 weeks average]]-B1475)/B1475</f>
        <v>6.1315831727681444E-2</v>
      </c>
    </row>
    <row r="1528" spans="1:6" x14ac:dyDescent="0.2">
      <c r="A1528" s="23">
        <v>38054</v>
      </c>
      <c r="B1528" s="25">
        <f>VLOOKUP(Table2634[[#This Row],[Date]],'DB Money Supply'!$A:$D,4)</f>
        <v>1318.5</v>
      </c>
      <c r="C1528" s="31">
        <f>(Table2634[[#This Row],[M1 Money Stock, Billions of Dollars, Weekly, Seasonally Adjusted]]-B1527)/B1527</f>
        <v>7.5849514563037807E-5</v>
      </c>
      <c r="D1528" s="35">
        <f>((1+Table2634[[#This Row],[Weekly change]])^52)-1</f>
        <v>3.9518130854827582E-3</v>
      </c>
      <c r="E1528" s="25">
        <f t="shared" si="23"/>
        <v>1321.35</v>
      </c>
      <c r="F1528" s="33">
        <f>(Table2634[[#This Row],[4 weeks average]]-B1476)/B1476</f>
        <v>6.3460764587525073E-2</v>
      </c>
    </row>
    <row r="1529" spans="1:6" x14ac:dyDescent="0.2">
      <c r="A1529" s="23">
        <v>38061</v>
      </c>
      <c r="B1529" s="25">
        <f>VLOOKUP(Table2634[[#This Row],[Date]],'DB Money Supply'!$A:$D,4)</f>
        <v>1329.7</v>
      </c>
      <c r="C1529" s="31">
        <f>(Table2634[[#This Row],[M1 Money Stock, Billions of Dollars, Weekly, Seasonally Adjusted]]-B1528)/B1528</f>
        <v>8.494501327265867E-3</v>
      </c>
      <c r="D1529" s="35">
        <f>((1+Table2634[[#This Row],[Weekly change]])^52)-1</f>
        <v>0.5524720875104574</v>
      </c>
      <c r="E1529" s="25">
        <f t="shared" si="23"/>
        <v>1321.7249999999999</v>
      </c>
      <c r="F1529" s="33">
        <f>(Table2634[[#This Row],[4 weeks average]]-B1477)/B1477</f>
        <v>6.9443320657010935E-2</v>
      </c>
    </row>
    <row r="1530" spans="1:6" x14ac:dyDescent="0.2">
      <c r="A1530" s="23">
        <v>38068</v>
      </c>
      <c r="B1530" s="25">
        <f>VLOOKUP(Table2634[[#This Row],[Date]],'DB Money Supply'!$A:$D,4)</f>
        <v>1335.8</v>
      </c>
      <c r="C1530" s="31">
        <f>(Table2634[[#This Row],[M1 Money Stock, Billions of Dollars, Weekly, Seasonally Adjusted]]-B1529)/B1529</f>
        <v>4.5875009400615993E-3</v>
      </c>
      <c r="D1530" s="35">
        <f>((1+Table2634[[#This Row],[Weekly change]])^52)-1</f>
        <v>0.26871495569768533</v>
      </c>
      <c r="E1530" s="25">
        <f t="shared" si="23"/>
        <v>1325.6000000000001</v>
      </c>
      <c r="F1530" s="33">
        <f>(Table2634[[#This Row],[4 weeks average]]-B1478)/B1478</f>
        <v>7.2578687596083852E-2</v>
      </c>
    </row>
    <row r="1531" spans="1:6" x14ac:dyDescent="0.2">
      <c r="A1531" s="23">
        <v>38075</v>
      </c>
      <c r="B1531" s="25">
        <f>VLOOKUP(Table2634[[#This Row],[Date]],'DB Money Supply'!$A:$D,4)</f>
        <v>1334.1</v>
      </c>
      <c r="C1531" s="31">
        <f>(Table2634[[#This Row],[M1 Money Stock, Billions of Dollars, Weekly, Seasonally Adjusted]]-B1530)/B1530</f>
        <v>-1.2726456056296194E-3</v>
      </c>
      <c r="D1531" s="35">
        <f>((1+Table2634[[#This Row],[Weekly change]])^52)-1</f>
        <v>-6.4074797495948022E-2</v>
      </c>
      <c r="E1531" s="25">
        <f t="shared" si="23"/>
        <v>1329.5250000000001</v>
      </c>
      <c r="F1531" s="33">
        <f>(Table2634[[#This Row],[4 weeks average]]-B1479)/B1479</f>
        <v>7.1851821992905504E-2</v>
      </c>
    </row>
    <row r="1532" spans="1:6" x14ac:dyDescent="0.2">
      <c r="A1532" s="23">
        <v>38082</v>
      </c>
      <c r="B1532" s="25">
        <f>VLOOKUP(Table2634[[#This Row],[Date]],'DB Money Supply'!$A:$D,4)</f>
        <v>1321.9</v>
      </c>
      <c r="C1532" s="31">
        <f>(Table2634[[#This Row],[M1 Money Stock, Billions of Dollars, Weekly, Seasonally Adjusted]]-B1531)/B1531</f>
        <v>-9.1447417734801129E-3</v>
      </c>
      <c r="D1532" s="35">
        <f>((1+Table2634[[#This Row],[Weekly change]])^52)-1</f>
        <v>-0.37980057731497285</v>
      </c>
      <c r="E1532" s="25">
        <f t="shared" si="23"/>
        <v>1330.375</v>
      </c>
      <c r="F1532" s="33">
        <f>(Table2634[[#This Row],[4 weeks average]]-B1480)/B1480</f>
        <v>7.6529373685062352E-2</v>
      </c>
    </row>
    <row r="1533" spans="1:6" x14ac:dyDescent="0.2">
      <c r="A1533" s="23">
        <v>38089</v>
      </c>
      <c r="B1533" s="25">
        <f>VLOOKUP(Table2634[[#This Row],[Date]],'DB Money Supply'!$A:$D,4)</f>
        <v>1330.1</v>
      </c>
      <c r="C1533" s="31">
        <f>(Table2634[[#This Row],[M1 Money Stock, Billions of Dollars, Weekly, Seasonally Adjusted]]-B1532)/B1532</f>
        <v>6.2031923746121622E-3</v>
      </c>
      <c r="D1533" s="35">
        <f>((1+Table2634[[#This Row],[Weekly change]])^52)-1</f>
        <v>0.37929107339691259</v>
      </c>
      <c r="E1533" s="25">
        <f t="shared" si="23"/>
        <v>1330.4749999999999</v>
      </c>
      <c r="F1533" s="33">
        <f>(Table2634[[#This Row],[4 weeks average]]-B1481)/B1481</f>
        <v>6.4465157212576854E-2</v>
      </c>
    </row>
    <row r="1534" spans="1:6" x14ac:dyDescent="0.2">
      <c r="A1534" s="23">
        <v>38096</v>
      </c>
      <c r="B1534" s="25">
        <f>VLOOKUP(Table2634[[#This Row],[Date]],'DB Money Supply'!$A:$D,4)</f>
        <v>1327.1</v>
      </c>
      <c r="C1534" s="31">
        <f>(Table2634[[#This Row],[M1 Money Stock, Billions of Dollars, Weekly, Seasonally Adjusted]]-B1533)/B1533</f>
        <v>-2.2554695135704084E-3</v>
      </c>
      <c r="D1534" s="35">
        <f>((1+Table2634[[#This Row],[Weekly change]])^52)-1</f>
        <v>-0.11078557949756296</v>
      </c>
      <c r="E1534" s="25">
        <f t="shared" si="23"/>
        <v>1328.3</v>
      </c>
      <c r="F1534" s="33">
        <f>(Table2634[[#This Row],[4 weeks average]]-B1482)/B1482</f>
        <v>5.7647901903017641E-2</v>
      </c>
    </row>
    <row r="1535" spans="1:6" x14ac:dyDescent="0.2">
      <c r="A1535" s="23">
        <v>38103</v>
      </c>
      <c r="B1535" s="25">
        <f>VLOOKUP(Table2634[[#This Row],[Date]],'DB Money Supply'!$A:$D,4)</f>
        <v>1334.6</v>
      </c>
      <c r="C1535" s="31">
        <f>(Table2634[[#This Row],[M1 Money Stock, Billions of Dollars, Weekly, Seasonally Adjusted]]-B1534)/B1534</f>
        <v>5.6514203903247689E-3</v>
      </c>
      <c r="D1535" s="35">
        <f>((1+Table2634[[#This Row],[Weekly change]])^52)-1</f>
        <v>0.34050522082047774</v>
      </c>
      <c r="E1535" s="25">
        <f t="shared" si="23"/>
        <v>1328.425</v>
      </c>
      <c r="F1535" s="33">
        <f>(Table2634[[#This Row],[4 weeks average]]-B1483)/B1483</f>
        <v>5.8168711167755183E-2</v>
      </c>
    </row>
    <row r="1536" spans="1:6" x14ac:dyDescent="0.2">
      <c r="A1536" s="23">
        <v>38110</v>
      </c>
      <c r="B1536" s="25">
        <f>VLOOKUP(Table2634[[#This Row],[Date]],'DB Money Supply'!$A:$D,4)</f>
        <v>1357.7</v>
      </c>
      <c r="C1536" s="31">
        <f>(Table2634[[#This Row],[M1 Money Stock, Billions of Dollars, Weekly, Seasonally Adjusted]]-B1535)/B1535</f>
        <v>1.7308556870972679E-2</v>
      </c>
      <c r="D1536" s="35">
        <f>((1+Table2634[[#This Row],[Weekly change]])^52)-1</f>
        <v>1.4408453814586824</v>
      </c>
      <c r="E1536" s="25">
        <f t="shared" si="23"/>
        <v>1337.375</v>
      </c>
      <c r="F1536" s="33">
        <f>(Table2634[[#This Row],[4 weeks average]]-B1484)/B1484</f>
        <v>6.039882651443066E-2</v>
      </c>
    </row>
    <row r="1537" spans="1:6" x14ac:dyDescent="0.2">
      <c r="A1537" s="23">
        <v>38117</v>
      </c>
      <c r="B1537" s="25">
        <f>VLOOKUP(Table2634[[#This Row],[Date]],'DB Money Supply'!$A:$D,4)</f>
        <v>1328</v>
      </c>
      <c r="C1537" s="31">
        <f>(Table2634[[#This Row],[M1 Money Stock, Billions of Dollars, Weekly, Seasonally Adjusted]]-B1536)/B1536</f>
        <v>-2.1875230168667631E-2</v>
      </c>
      <c r="D1537" s="35">
        <f>((1+Table2634[[#This Row],[Weekly change]])^52)-1</f>
        <v>-0.68340695818914399</v>
      </c>
      <c r="E1537" s="25">
        <f t="shared" si="23"/>
        <v>1336.85</v>
      </c>
      <c r="F1537" s="33">
        <f>(Table2634[[#This Row],[4 weeks average]]-B1485)/B1485</f>
        <v>5.363335435056743E-2</v>
      </c>
    </row>
    <row r="1538" spans="1:6" x14ac:dyDescent="0.2">
      <c r="A1538" s="23">
        <v>38124</v>
      </c>
      <c r="B1538" s="25">
        <f>VLOOKUP(Table2634[[#This Row],[Date]],'DB Money Supply'!$A:$D,4)</f>
        <v>1336</v>
      </c>
      <c r="C1538" s="31">
        <f>(Table2634[[#This Row],[M1 Money Stock, Billions of Dollars, Weekly, Seasonally Adjusted]]-B1537)/B1537</f>
        <v>6.024096385542169E-3</v>
      </c>
      <c r="D1538" s="35">
        <f>((1+Table2634[[#This Row],[Weekly change]])^52)-1</f>
        <v>0.36658270956705619</v>
      </c>
      <c r="E1538" s="25">
        <f t="shared" si="23"/>
        <v>1339.075</v>
      </c>
      <c r="F1538" s="33">
        <f>(Table2634[[#This Row],[4 weeks average]]-B1486)/B1486</f>
        <v>5.5886295536981545E-2</v>
      </c>
    </row>
    <row r="1539" spans="1:6" x14ac:dyDescent="0.2">
      <c r="A1539" s="23">
        <v>38131</v>
      </c>
      <c r="B1539" s="25">
        <f>VLOOKUP(Table2634[[#This Row],[Date]],'DB Money Supply'!$A:$D,4)</f>
        <v>1335.6</v>
      </c>
      <c r="C1539" s="31">
        <f>(Table2634[[#This Row],[M1 Money Stock, Billions of Dollars, Weekly, Seasonally Adjusted]]-B1538)/B1538</f>
        <v>-2.994011976048585E-4</v>
      </c>
      <c r="D1539" s="35">
        <f>((1+Table2634[[#This Row],[Weekly change]])^52)-1</f>
        <v>-1.5450589172076312E-2</v>
      </c>
      <c r="E1539" s="25">
        <f t="shared" si="23"/>
        <v>1339.3249999999998</v>
      </c>
      <c r="F1539" s="33">
        <f>(Table2634[[#This Row],[4 weeks average]]-B1487)/B1487</f>
        <v>5.5001969279243654E-2</v>
      </c>
    </row>
    <row r="1540" spans="1:6" x14ac:dyDescent="0.2">
      <c r="A1540" s="23">
        <v>38138</v>
      </c>
      <c r="B1540" s="25">
        <f>VLOOKUP(Table2634[[#This Row],[Date]],'DB Money Supply'!$A:$D,4)</f>
        <v>1323.1</v>
      </c>
      <c r="C1540" s="31">
        <f>(Table2634[[#This Row],[M1 Money Stock, Billions of Dollars, Weekly, Seasonally Adjusted]]-B1539)/B1539</f>
        <v>-9.3590895477687931E-3</v>
      </c>
      <c r="D1540" s="35">
        <f>((1+Table2634[[#This Row],[Weekly change]])^52)-1</f>
        <v>-0.38673882480007382</v>
      </c>
      <c r="E1540" s="25">
        <f t="shared" si="23"/>
        <v>1330.675</v>
      </c>
      <c r="F1540" s="33">
        <f>(Table2634[[#This Row],[4 weeks average]]-B1488)/B1488</f>
        <v>4.252193669696009E-2</v>
      </c>
    </row>
    <row r="1541" spans="1:6" x14ac:dyDescent="0.2">
      <c r="A1541" s="23">
        <v>38145</v>
      </c>
      <c r="B1541" s="25">
        <f>VLOOKUP(Table2634[[#This Row],[Date]],'DB Money Supply'!$A:$D,4)</f>
        <v>1327.8</v>
      </c>
      <c r="C1541" s="31">
        <f>(Table2634[[#This Row],[M1 Money Stock, Billions of Dollars, Weekly, Seasonally Adjusted]]-B1540)/B1540</f>
        <v>3.5522636233089305E-3</v>
      </c>
      <c r="D1541" s="35">
        <f>((1+Table2634[[#This Row],[Weekly change]])^52)-1</f>
        <v>0.20248518205692689</v>
      </c>
      <c r="E1541" s="25">
        <f t="shared" si="23"/>
        <v>1330.625</v>
      </c>
      <c r="F1541" s="33">
        <f>(Table2634[[#This Row],[4 weeks average]]-B1489)/B1489</f>
        <v>4.0282229692752788E-2</v>
      </c>
    </row>
    <row r="1542" spans="1:6" x14ac:dyDescent="0.2">
      <c r="A1542" s="23">
        <v>38152</v>
      </c>
      <c r="B1542" s="25">
        <f>VLOOKUP(Table2634[[#This Row],[Date]],'DB Money Supply'!$A:$D,4)</f>
        <v>1345.7</v>
      </c>
      <c r="C1542" s="31">
        <f>(Table2634[[#This Row],[M1 Money Stock, Billions of Dollars, Weekly, Seasonally Adjusted]]-B1541)/B1541</f>
        <v>1.3480945925591273E-2</v>
      </c>
      <c r="D1542" s="35">
        <f>((1+Table2634[[#This Row],[Weekly change]])^52)-1</f>
        <v>1.0063679471939122</v>
      </c>
      <c r="E1542" s="25">
        <f t="shared" si="23"/>
        <v>1333.05</v>
      </c>
      <c r="F1542" s="33">
        <f>(Table2634[[#This Row],[4 weeks average]]-B1490)/B1490</f>
        <v>3.5298229263746546E-2</v>
      </c>
    </row>
    <row r="1543" spans="1:6" x14ac:dyDescent="0.2">
      <c r="A1543" s="23">
        <v>38159</v>
      </c>
      <c r="B1543" s="25">
        <f>VLOOKUP(Table2634[[#This Row],[Date]],'DB Money Supply'!$A:$D,4)</f>
        <v>1348</v>
      </c>
      <c r="C1543" s="31">
        <f>(Table2634[[#This Row],[M1 Money Stock, Billions of Dollars, Weekly, Seasonally Adjusted]]-B1542)/B1542</f>
        <v>1.7091476554952473E-3</v>
      </c>
      <c r="D1543" s="35">
        <f>((1+Table2634[[#This Row],[Weekly change]])^52)-1</f>
        <v>9.2861858441209977E-2</v>
      </c>
      <c r="E1543" s="25">
        <f t="shared" si="23"/>
        <v>1336.1499999999999</v>
      </c>
      <c r="F1543" s="33">
        <f>(Table2634[[#This Row],[4 weeks average]]-B1491)/B1491</f>
        <v>4.6401440989897229E-2</v>
      </c>
    </row>
    <row r="1544" spans="1:6" x14ac:dyDescent="0.2">
      <c r="A1544" s="23">
        <v>38166</v>
      </c>
      <c r="B1544" s="25">
        <f>VLOOKUP(Table2634[[#This Row],[Date]],'DB Money Supply'!$A:$D,4)</f>
        <v>1353</v>
      </c>
      <c r="C1544" s="31">
        <f>(Table2634[[#This Row],[M1 Money Stock, Billions of Dollars, Weekly, Seasonally Adjusted]]-B1543)/B1543</f>
        <v>3.70919881305638E-3</v>
      </c>
      <c r="D1544" s="35">
        <f>((1+Table2634[[#This Row],[Weekly change]])^52)-1</f>
        <v>0.2123025780235015</v>
      </c>
      <c r="E1544" s="25">
        <f t="shared" si="23"/>
        <v>1343.625</v>
      </c>
      <c r="F1544" s="33">
        <f>(Table2634[[#This Row],[4 weeks average]]-B1492)/B1492</f>
        <v>4.8314738238277248E-2</v>
      </c>
    </row>
    <row r="1545" spans="1:6" x14ac:dyDescent="0.2">
      <c r="A1545" s="23">
        <v>38173</v>
      </c>
      <c r="B1545" s="25">
        <f>VLOOKUP(Table2634[[#This Row],[Date]],'DB Money Supply'!$A:$D,4)</f>
        <v>1330.1</v>
      </c>
      <c r="C1545" s="31">
        <f>(Table2634[[#This Row],[M1 Money Stock, Billions of Dollars, Weekly, Seasonally Adjusted]]-B1544)/B1544</f>
        <v>-1.6925351071692601E-2</v>
      </c>
      <c r="D1545" s="35">
        <f>((1+Table2634[[#This Row],[Weekly change]])^52)-1</f>
        <v>-0.58837870292658623</v>
      </c>
      <c r="E1545" s="25">
        <f t="shared" ref="E1545:E1608" si="24">AVERAGE(B1542:B1545)</f>
        <v>1344.1999999999998</v>
      </c>
      <c r="F1545" s="33">
        <f>(Table2634[[#This Row],[4 weeks average]]-B1493)/B1493</f>
        <v>5.3118144782199721E-2</v>
      </c>
    </row>
    <row r="1546" spans="1:6" x14ac:dyDescent="0.2">
      <c r="A1546" s="23">
        <v>38180</v>
      </c>
      <c r="B1546" s="25">
        <f>VLOOKUP(Table2634[[#This Row],[Date]],'DB Money Supply'!$A:$D,4)</f>
        <v>1341.1</v>
      </c>
      <c r="C1546" s="31">
        <f>(Table2634[[#This Row],[M1 Money Stock, Billions of Dollars, Weekly, Seasonally Adjusted]]-B1545)/B1545</f>
        <v>8.2700548830914981E-3</v>
      </c>
      <c r="D1546" s="35">
        <f>((1+Table2634[[#This Row],[Weekly change]])^52)-1</f>
        <v>0.53460705585542012</v>
      </c>
      <c r="E1546" s="25">
        <f t="shared" si="24"/>
        <v>1343.05</v>
      </c>
      <c r="F1546" s="33">
        <f>(Table2634[[#This Row],[4 weeks average]]-B1494)/B1494</f>
        <v>4.185090373128543E-2</v>
      </c>
    </row>
    <row r="1547" spans="1:6" x14ac:dyDescent="0.2">
      <c r="A1547" s="23">
        <v>38187</v>
      </c>
      <c r="B1547" s="25">
        <f>VLOOKUP(Table2634[[#This Row],[Date]],'DB Money Supply'!$A:$D,4)</f>
        <v>1337.2</v>
      </c>
      <c r="C1547" s="31">
        <f>(Table2634[[#This Row],[M1 Money Stock, Billions of Dollars, Weekly, Seasonally Adjusted]]-B1546)/B1546</f>
        <v>-2.9080605473118066E-3</v>
      </c>
      <c r="D1547" s="35">
        <f>((1+Table2634[[#This Row],[Weekly change]])^52)-1</f>
        <v>-0.14053008088221808</v>
      </c>
      <c r="E1547" s="25">
        <f t="shared" si="24"/>
        <v>1340.35</v>
      </c>
      <c r="F1547" s="33">
        <f>(Table2634[[#This Row],[4 weeks average]]-B1495)/B1495</f>
        <v>3.7342310966643449E-2</v>
      </c>
    </row>
    <row r="1548" spans="1:6" x14ac:dyDescent="0.2">
      <c r="A1548" s="23">
        <v>38194</v>
      </c>
      <c r="B1548" s="25">
        <f>VLOOKUP(Table2634[[#This Row],[Date]],'DB Money Supply'!$A:$D,4)</f>
        <v>1347.6</v>
      </c>
      <c r="C1548" s="31">
        <f>(Table2634[[#This Row],[M1 Money Stock, Billions of Dollars, Weekly, Seasonally Adjusted]]-B1547)/B1547</f>
        <v>7.7774454083157814E-3</v>
      </c>
      <c r="D1548" s="35">
        <f>((1+Table2634[[#This Row],[Weekly change]])^52)-1</f>
        <v>0.49610125830675345</v>
      </c>
      <c r="E1548" s="25">
        <f t="shared" si="24"/>
        <v>1339</v>
      </c>
      <c r="F1548" s="33">
        <f>(Table2634[[#This Row],[4 weeks average]]-B1496)/B1496</f>
        <v>4.0889303482586993E-2</v>
      </c>
    </row>
    <row r="1549" spans="1:6" x14ac:dyDescent="0.2">
      <c r="A1549" s="23">
        <v>38201</v>
      </c>
      <c r="B1549" s="25">
        <f>VLOOKUP(Table2634[[#This Row],[Date]],'DB Money Supply'!$A:$D,4)</f>
        <v>1346.8</v>
      </c>
      <c r="C1549" s="31">
        <f>(Table2634[[#This Row],[M1 Money Stock, Billions of Dollars, Weekly, Seasonally Adjusted]]-B1548)/B1548</f>
        <v>-5.9364796675568017E-4</v>
      </c>
      <c r="D1549" s="35">
        <f>((1+Table2634[[#This Row],[Weekly change]])^52)-1</f>
        <v>-3.0406978280902885E-2</v>
      </c>
      <c r="E1549" s="25">
        <f t="shared" si="24"/>
        <v>1343.175</v>
      </c>
      <c r="F1549" s="33">
        <f>(Table2634[[#This Row],[4 weeks average]]-B1497)/B1497</f>
        <v>3.2100046104195375E-2</v>
      </c>
    </row>
    <row r="1550" spans="1:6" x14ac:dyDescent="0.2">
      <c r="A1550" s="23">
        <v>38208</v>
      </c>
      <c r="B1550" s="25">
        <f>VLOOKUP(Table2634[[#This Row],[Date]],'DB Money Supply'!$A:$D,4)</f>
        <v>1352</v>
      </c>
      <c r="C1550" s="31">
        <f>(Table2634[[#This Row],[M1 Money Stock, Billions of Dollars, Weekly, Seasonally Adjusted]]-B1549)/B1549</f>
        <v>3.8610038610038949E-3</v>
      </c>
      <c r="D1550" s="35">
        <f>((1+Table2634[[#This Row],[Weekly change]])^52)-1</f>
        <v>0.22187382729367089</v>
      </c>
      <c r="E1550" s="25">
        <f t="shared" si="24"/>
        <v>1345.9</v>
      </c>
      <c r="F1550" s="33">
        <f>(Table2634[[#This Row],[4 weeks average]]-B1498)/B1498</f>
        <v>3.8984097576038289E-2</v>
      </c>
    </row>
    <row r="1551" spans="1:6" x14ac:dyDescent="0.2">
      <c r="A1551" s="23">
        <v>38215</v>
      </c>
      <c r="B1551" s="25">
        <f>VLOOKUP(Table2634[[#This Row],[Date]],'DB Money Supply'!$A:$D,4)</f>
        <v>1355.2</v>
      </c>
      <c r="C1551" s="31">
        <f>(Table2634[[#This Row],[M1 Money Stock, Billions of Dollars, Weekly, Seasonally Adjusted]]-B1550)/B1550</f>
        <v>2.3668639053254772E-3</v>
      </c>
      <c r="D1551" s="35">
        <f>((1+Table2634[[#This Row],[Weekly change]])^52)-1</f>
        <v>0.13080695726442682</v>
      </c>
      <c r="E1551" s="25">
        <f t="shared" si="24"/>
        <v>1350.3999999999999</v>
      </c>
      <c r="F1551" s="33">
        <f>(Table2634[[#This Row],[4 weeks average]]-B1499)/B1499</f>
        <v>3.1233295150820819E-2</v>
      </c>
    </row>
    <row r="1552" spans="1:6" x14ac:dyDescent="0.2">
      <c r="A1552" s="23">
        <v>38222</v>
      </c>
      <c r="B1552" s="25">
        <f>VLOOKUP(Table2634[[#This Row],[Date]],'DB Money Supply'!$A:$D,4)</f>
        <v>1362.5</v>
      </c>
      <c r="C1552" s="31">
        <f>(Table2634[[#This Row],[M1 Money Stock, Billions of Dollars, Weekly, Seasonally Adjusted]]-B1551)/B1551</f>
        <v>5.3866587957496709E-3</v>
      </c>
      <c r="D1552" s="35">
        <f>((1+Table2634[[#This Row],[Weekly change]])^52)-1</f>
        <v>0.32227605690626371</v>
      </c>
      <c r="E1552" s="25">
        <f t="shared" si="24"/>
        <v>1354.125</v>
      </c>
      <c r="F1552" s="33">
        <f>(Table2634[[#This Row],[4 weeks average]]-B1500)/B1500</f>
        <v>5.1012884197454131E-2</v>
      </c>
    </row>
    <row r="1553" spans="1:6" x14ac:dyDescent="0.2">
      <c r="A1553" s="23">
        <v>38229</v>
      </c>
      <c r="B1553" s="25">
        <f>VLOOKUP(Table2634[[#This Row],[Date]],'DB Money Supply'!$A:$D,4)</f>
        <v>1351.4</v>
      </c>
      <c r="C1553" s="31">
        <f>(Table2634[[#This Row],[M1 Money Stock, Billions of Dollars, Weekly, Seasonally Adjusted]]-B1552)/B1552</f>
        <v>-8.1467889908256215E-3</v>
      </c>
      <c r="D1553" s="35">
        <f>((1+Table2634[[#This Row],[Weekly change]])^52)-1</f>
        <v>-0.34647081135033819</v>
      </c>
      <c r="E1553" s="25">
        <f t="shared" si="24"/>
        <v>1355.2750000000001</v>
      </c>
      <c r="F1553" s="33">
        <f>(Table2634[[#This Row],[4 weeks average]]-B1501)/B1501</f>
        <v>5.1905464141570934E-2</v>
      </c>
    </row>
    <row r="1554" spans="1:6" x14ac:dyDescent="0.2">
      <c r="A1554" s="23">
        <v>38236</v>
      </c>
      <c r="B1554" s="25">
        <f>VLOOKUP(Table2634[[#This Row],[Date]],'DB Money Supply'!$A:$D,4)</f>
        <v>1342.3</v>
      </c>
      <c r="C1554" s="31">
        <f>(Table2634[[#This Row],[M1 Money Stock, Billions of Dollars, Weekly, Seasonally Adjusted]]-B1553)/B1553</f>
        <v>-6.7337575847270506E-3</v>
      </c>
      <c r="D1554" s="35">
        <f>((1+Table2634[[#This Row],[Weekly change]])^52)-1</f>
        <v>-0.29625530973496061</v>
      </c>
      <c r="E1554" s="25">
        <f t="shared" si="24"/>
        <v>1352.85</v>
      </c>
      <c r="F1554" s="33">
        <f>(Table2634[[#This Row],[4 weeks average]]-B1502)/B1502</f>
        <v>4.4591151262450779E-2</v>
      </c>
    </row>
    <row r="1555" spans="1:6" x14ac:dyDescent="0.2">
      <c r="A1555" s="23">
        <v>38243</v>
      </c>
      <c r="B1555" s="25">
        <f>VLOOKUP(Table2634[[#This Row],[Date]],'DB Money Supply'!$A:$D,4)</f>
        <v>1359.9</v>
      </c>
      <c r="C1555" s="31">
        <f>(Table2634[[#This Row],[M1 Money Stock, Billions of Dollars, Weekly, Seasonally Adjusted]]-B1554)/B1554</f>
        <v>1.3111822990389732E-2</v>
      </c>
      <c r="D1555" s="35">
        <f>((1+Table2634[[#This Row],[Weekly change]])^52)-1</f>
        <v>0.96871997032809154</v>
      </c>
      <c r="E1555" s="25">
        <f t="shared" si="24"/>
        <v>1354.0250000000001</v>
      </c>
      <c r="F1555" s="33">
        <f>(Table2634[[#This Row],[4 weeks average]]-B1503)/B1503</f>
        <v>4.16378182937149E-2</v>
      </c>
    </row>
    <row r="1556" spans="1:6" x14ac:dyDescent="0.2">
      <c r="A1556" s="23">
        <v>38250</v>
      </c>
      <c r="B1556" s="25">
        <f>VLOOKUP(Table2634[[#This Row],[Date]],'DB Money Supply'!$A:$D,4)</f>
        <v>1372.2</v>
      </c>
      <c r="C1556" s="31">
        <f>(Table2634[[#This Row],[M1 Money Stock, Billions of Dollars, Weekly, Seasonally Adjusted]]-B1555)/B1555</f>
        <v>9.0447827046105985E-3</v>
      </c>
      <c r="D1556" s="35">
        <f>((1+Table2634[[#This Row],[Weekly change]])^52)-1</f>
        <v>0.59713983967323814</v>
      </c>
      <c r="E1556" s="25">
        <f t="shared" si="24"/>
        <v>1356.45</v>
      </c>
      <c r="F1556" s="33">
        <f>(Table2634[[#This Row],[4 weeks average]]-B1504)/B1504</f>
        <v>4.3904879175003811E-2</v>
      </c>
    </row>
    <row r="1557" spans="1:6" x14ac:dyDescent="0.2">
      <c r="A1557" s="23">
        <v>38257</v>
      </c>
      <c r="B1557" s="25">
        <f>VLOOKUP(Table2634[[#This Row],[Date]],'DB Money Supply'!$A:$D,4)</f>
        <v>1372</v>
      </c>
      <c r="C1557" s="31">
        <f>(Table2634[[#This Row],[M1 Money Stock, Billions of Dollars, Weekly, Seasonally Adjusted]]-B1556)/B1556</f>
        <v>-1.4575134820000399E-4</v>
      </c>
      <c r="D1557" s="35">
        <f>((1+Table2634[[#This Row],[Weekly change]])^52)-1</f>
        <v>-7.5509695897983953E-3</v>
      </c>
      <c r="E1557" s="25">
        <f t="shared" si="24"/>
        <v>1361.6</v>
      </c>
      <c r="F1557" s="33">
        <f>(Table2634[[#This Row],[4 weeks average]]-B1505)/B1505</f>
        <v>4.9726312543365972E-2</v>
      </c>
    </row>
    <row r="1558" spans="1:6" x14ac:dyDescent="0.2">
      <c r="A1558" s="23">
        <v>38264</v>
      </c>
      <c r="B1558" s="25">
        <f>VLOOKUP(Table2634[[#This Row],[Date]],'DB Money Supply'!$A:$D,4)</f>
        <v>1364.4</v>
      </c>
      <c r="C1558" s="31">
        <f>(Table2634[[#This Row],[M1 Money Stock, Billions of Dollars, Weekly, Seasonally Adjusted]]-B1557)/B1557</f>
        <v>-5.5393586005830237E-3</v>
      </c>
      <c r="D1558" s="35">
        <f>((1+Table2634[[#This Row],[Weekly change]])^52)-1</f>
        <v>-0.25087348852333691</v>
      </c>
      <c r="E1558" s="25">
        <f t="shared" si="24"/>
        <v>1367.125</v>
      </c>
      <c r="F1558" s="33">
        <f>(Table2634[[#This Row],[4 weeks average]]-B1506)/B1506</f>
        <v>6.3248561207030679E-2</v>
      </c>
    </row>
    <row r="1559" spans="1:6" x14ac:dyDescent="0.2">
      <c r="A1559" s="23">
        <v>38271</v>
      </c>
      <c r="B1559" s="25">
        <f>VLOOKUP(Table2634[[#This Row],[Date]],'DB Money Supply'!$A:$D,4)</f>
        <v>1365.5</v>
      </c>
      <c r="C1559" s="31">
        <f>(Table2634[[#This Row],[M1 Money Stock, Billions of Dollars, Weekly, Seasonally Adjusted]]-B1558)/B1558</f>
        <v>8.0621518616234898E-4</v>
      </c>
      <c r="D1559" s="35">
        <f>((1+Table2634[[#This Row],[Weekly change]])^52)-1</f>
        <v>4.2796763283936556E-2</v>
      </c>
      <c r="E1559" s="25">
        <f t="shared" si="24"/>
        <v>1368.5250000000001</v>
      </c>
      <c r="F1559" s="33">
        <f>(Table2634[[#This Row],[4 weeks average]]-B1507)/B1507</f>
        <v>5.5146491904394829E-2</v>
      </c>
    </row>
    <row r="1560" spans="1:6" x14ac:dyDescent="0.2">
      <c r="A1560" s="23">
        <v>38278</v>
      </c>
      <c r="B1560" s="25">
        <f>VLOOKUP(Table2634[[#This Row],[Date]],'DB Money Supply'!$A:$D,4)</f>
        <v>1359.7</v>
      </c>
      <c r="C1560" s="31">
        <f>(Table2634[[#This Row],[M1 Money Stock, Billions of Dollars, Weekly, Seasonally Adjusted]]-B1559)/B1559</f>
        <v>-4.2475283778835261E-3</v>
      </c>
      <c r="D1560" s="35">
        <f>((1+Table2634[[#This Row],[Weekly change]])^52)-1</f>
        <v>-0.19855736945912683</v>
      </c>
      <c r="E1560" s="25">
        <f t="shared" si="24"/>
        <v>1365.3999999999999</v>
      </c>
      <c r="F1560" s="33">
        <f>(Table2634[[#This Row],[4 weeks average]]-B1508)/B1508</f>
        <v>5.2088149175527745E-2</v>
      </c>
    </row>
    <row r="1561" spans="1:6" x14ac:dyDescent="0.2">
      <c r="A1561" s="23">
        <v>38285</v>
      </c>
      <c r="B1561" s="25">
        <f>VLOOKUP(Table2634[[#This Row],[Date]],'DB Money Supply'!$A:$D,4)</f>
        <v>1368.5</v>
      </c>
      <c r="C1561" s="31">
        <f>(Table2634[[#This Row],[M1 Money Stock, Billions of Dollars, Weekly, Seasonally Adjusted]]-B1560)/B1560</f>
        <v>6.4720158858571405E-3</v>
      </c>
      <c r="D1561" s="35">
        <f>((1+Table2634[[#This Row],[Weekly change]])^52)-1</f>
        <v>0.39858420193051769</v>
      </c>
      <c r="E1561" s="25">
        <f t="shared" si="24"/>
        <v>1364.5250000000001</v>
      </c>
      <c r="F1561" s="33">
        <f>(Table2634[[#This Row],[4 weeks average]]-B1509)/B1509</f>
        <v>5.1089970728701313E-2</v>
      </c>
    </row>
    <row r="1562" spans="1:6" x14ac:dyDescent="0.2">
      <c r="A1562" s="23">
        <v>38292</v>
      </c>
      <c r="B1562" s="25">
        <f>VLOOKUP(Table2634[[#This Row],[Date]],'DB Money Supply'!$A:$D,4)</f>
        <v>1352.8</v>
      </c>
      <c r="C1562" s="31">
        <f>(Table2634[[#This Row],[M1 Money Stock, Billions of Dollars, Weekly, Seasonally Adjusted]]-B1561)/B1561</f>
        <v>-1.1472415052977747E-2</v>
      </c>
      <c r="D1562" s="35">
        <f>((1+Table2634[[#This Row],[Weekly change]])^52)-1</f>
        <v>-0.45119605084317671</v>
      </c>
      <c r="E1562" s="25">
        <f t="shared" si="24"/>
        <v>1361.625</v>
      </c>
      <c r="F1562" s="33">
        <f>(Table2634[[#This Row],[4 weeks average]]-B1510)/B1510</f>
        <v>3.4276490695024683E-2</v>
      </c>
    </row>
    <row r="1563" spans="1:6" x14ac:dyDescent="0.2">
      <c r="A1563" s="23">
        <v>38299</v>
      </c>
      <c r="B1563" s="25">
        <f>VLOOKUP(Table2634[[#This Row],[Date]],'DB Money Supply'!$A:$D,4)</f>
        <v>1363.9</v>
      </c>
      <c r="C1563" s="31">
        <f>(Table2634[[#This Row],[M1 Money Stock, Billions of Dollars, Weekly, Seasonally Adjusted]]-B1562)/B1562</f>
        <v>8.2052040212892783E-3</v>
      </c>
      <c r="D1563" s="35">
        <f>((1+Table2634[[#This Row],[Weekly change]])^52)-1</f>
        <v>0.52948284141738888</v>
      </c>
      <c r="E1563" s="25">
        <f t="shared" si="24"/>
        <v>1361.2249999999999</v>
      </c>
      <c r="F1563" s="33">
        <f>(Table2634[[#This Row],[4 weeks average]]-B1511)/B1511</f>
        <v>4.2126014392895317E-2</v>
      </c>
    </row>
    <row r="1564" spans="1:6" x14ac:dyDescent="0.2">
      <c r="A1564" s="23">
        <v>38306</v>
      </c>
      <c r="B1564" s="25">
        <f>VLOOKUP(Table2634[[#This Row],[Date]],'DB Money Supply'!$A:$D,4)</f>
        <v>1371.2</v>
      </c>
      <c r="C1564" s="31">
        <f>(Table2634[[#This Row],[M1 Money Stock, Billions of Dollars, Weekly, Seasonally Adjusted]]-B1563)/B1563</f>
        <v>5.3522985556125483E-3</v>
      </c>
      <c r="D1564" s="35">
        <f>((1+Table2634[[#This Row],[Weekly change]])^52)-1</f>
        <v>0.31992820815210865</v>
      </c>
      <c r="E1564" s="25">
        <f t="shared" si="24"/>
        <v>1364.1000000000001</v>
      </c>
      <c r="F1564" s="33">
        <f>(Table2634[[#This Row],[4 weeks average]]-B1512)/B1512</f>
        <v>5.1167450104030274E-2</v>
      </c>
    </row>
    <row r="1565" spans="1:6" x14ac:dyDescent="0.2">
      <c r="A1565" s="23">
        <v>38313</v>
      </c>
      <c r="B1565" s="25">
        <f>VLOOKUP(Table2634[[#This Row],[Date]],'DB Money Supply'!$A:$D,4)</f>
        <v>1379.2</v>
      </c>
      <c r="C1565" s="31">
        <f>(Table2634[[#This Row],[M1 Money Stock, Billions of Dollars, Weekly, Seasonally Adjusted]]-B1564)/B1564</f>
        <v>5.8343057176196032E-3</v>
      </c>
      <c r="D1565" s="35">
        <f>((1+Table2634[[#This Row],[Weekly change]])^52)-1</f>
        <v>0.35324079892258564</v>
      </c>
      <c r="E1565" s="25">
        <f t="shared" si="24"/>
        <v>1366.7749999999999</v>
      </c>
      <c r="F1565" s="33">
        <f>(Table2634[[#This Row],[4 weeks average]]-B1513)/B1513</f>
        <v>5.7057231245166172E-2</v>
      </c>
    </row>
    <row r="1566" spans="1:6" x14ac:dyDescent="0.2">
      <c r="A1566" s="23">
        <v>38320</v>
      </c>
      <c r="B1566" s="25">
        <f>VLOOKUP(Table2634[[#This Row],[Date]],'DB Money Supply'!$A:$D,4)</f>
        <v>1387.5</v>
      </c>
      <c r="C1566" s="31">
        <f>(Table2634[[#This Row],[M1 Money Stock, Billions of Dollars, Weekly, Seasonally Adjusted]]-B1565)/B1565</f>
        <v>6.0179814385150484E-3</v>
      </c>
      <c r="D1566" s="35">
        <f>((1+Table2634[[#This Row],[Weekly change]])^52)-1</f>
        <v>0.36615083635340118</v>
      </c>
      <c r="E1566" s="25">
        <f t="shared" si="24"/>
        <v>1375.45</v>
      </c>
      <c r="F1566" s="33">
        <f>(Table2634[[#This Row],[4 weeks average]]-B1514)/B1514</f>
        <v>6.5662043852173238E-2</v>
      </c>
    </row>
    <row r="1567" spans="1:6" x14ac:dyDescent="0.2">
      <c r="A1567" s="23">
        <v>38327</v>
      </c>
      <c r="B1567" s="25">
        <f>VLOOKUP(Table2634[[#This Row],[Date]],'DB Money Supply'!$A:$D,4)</f>
        <v>1359.6</v>
      </c>
      <c r="C1567" s="31">
        <f>(Table2634[[#This Row],[M1 Money Stock, Billions of Dollars, Weekly, Seasonally Adjusted]]-B1566)/B1566</f>
        <v>-2.0108108108108175E-2</v>
      </c>
      <c r="D1567" s="35">
        <f>((1+Table2634[[#This Row],[Weekly change]])^52)-1</f>
        <v>-0.65225208557224601</v>
      </c>
      <c r="E1567" s="25">
        <f t="shared" si="24"/>
        <v>1374.375</v>
      </c>
      <c r="F1567" s="33">
        <f>(Table2634[[#This Row],[4 weeks average]]-B1515)/B1515</f>
        <v>5.324162771093563E-2</v>
      </c>
    </row>
    <row r="1568" spans="1:6" x14ac:dyDescent="0.2">
      <c r="A1568" s="23">
        <v>38334</v>
      </c>
      <c r="B1568" s="25">
        <f>VLOOKUP(Table2634[[#This Row],[Date]],'DB Money Supply'!$A:$D,4)</f>
        <v>1369.7</v>
      </c>
      <c r="C1568" s="31">
        <f>(Table2634[[#This Row],[M1 Money Stock, Billions of Dollars, Weekly, Seasonally Adjusted]]-B1567)/B1567</f>
        <v>7.4286554869080149E-3</v>
      </c>
      <c r="D1568" s="35">
        <f>((1+Table2634[[#This Row],[Weekly change]])^52)-1</f>
        <v>0.46941203380978913</v>
      </c>
      <c r="E1568" s="25">
        <f t="shared" si="24"/>
        <v>1373.9999999999998</v>
      </c>
      <c r="F1568" s="33">
        <f>(Table2634[[#This Row],[4 weeks average]]-B1516)/B1516</f>
        <v>4.7415764598261793E-2</v>
      </c>
    </row>
    <row r="1569" spans="1:6" x14ac:dyDescent="0.2">
      <c r="A1569" s="23">
        <v>38341</v>
      </c>
      <c r="B1569" s="25">
        <f>VLOOKUP(Table2634[[#This Row],[Date]],'DB Money Supply'!$A:$D,4)</f>
        <v>1380</v>
      </c>
      <c r="C1569" s="31">
        <f>(Table2634[[#This Row],[M1 Money Stock, Billions of Dollars, Weekly, Seasonally Adjusted]]-B1568)/B1568</f>
        <v>7.5198948674891977E-3</v>
      </c>
      <c r="D1569" s="35">
        <f>((1+Table2634[[#This Row],[Weekly change]])^52)-1</f>
        <v>0.47634818099824328</v>
      </c>
      <c r="E1569" s="25">
        <f t="shared" si="24"/>
        <v>1374.2</v>
      </c>
      <c r="F1569" s="33">
        <f>(Table2634[[#This Row],[4 weeks average]]-B1517)/B1517</f>
        <v>5.0290431060837623E-2</v>
      </c>
    </row>
    <row r="1570" spans="1:6" x14ac:dyDescent="0.2">
      <c r="A1570" s="23">
        <v>38348</v>
      </c>
      <c r="B1570" s="25">
        <f>VLOOKUP(Table2634[[#This Row],[Date]],'DB Money Supply'!$A:$D,4)</f>
        <v>1387.5</v>
      </c>
      <c r="C1570" s="31">
        <f>(Table2634[[#This Row],[M1 Money Stock, Billions of Dollars, Weekly, Seasonally Adjusted]]-B1569)/B1569</f>
        <v>5.434782608695652E-3</v>
      </c>
      <c r="D1570" s="35">
        <f>((1+Table2634[[#This Row],[Weekly change]])^52)-1</f>
        <v>0.32557126299418582</v>
      </c>
      <c r="E1570" s="25">
        <f t="shared" si="24"/>
        <v>1374.2</v>
      </c>
      <c r="F1570" s="33">
        <f>(Table2634[[#This Row],[4 weeks average]]-B1518)/B1518</f>
        <v>5.4805035308566237E-2</v>
      </c>
    </row>
    <row r="1571" spans="1:6" x14ac:dyDescent="0.2">
      <c r="A1571" s="23">
        <v>38355</v>
      </c>
      <c r="B1571" s="25">
        <f>VLOOKUP(Table2634[[#This Row],[Date]],'DB Money Supply'!$A:$D,4)</f>
        <v>1373.7</v>
      </c>
      <c r="C1571" s="31">
        <f>(Table2634[[#This Row],[M1 Money Stock, Billions of Dollars, Weekly, Seasonally Adjusted]]-B1570)/B1570</f>
        <v>-9.9459459459459131E-3</v>
      </c>
      <c r="D1571" s="35">
        <f>((1+Table2634[[#This Row],[Weekly change]])^52)-1</f>
        <v>-0.40534765543402473</v>
      </c>
      <c r="E1571" s="25">
        <f t="shared" si="24"/>
        <v>1377.7249999999999</v>
      </c>
      <c r="F1571" s="33">
        <f>(Table2634[[#This Row],[4 weeks average]]-B1519)/B1519</f>
        <v>5.734842670759778E-2</v>
      </c>
    </row>
    <row r="1572" spans="1:6" x14ac:dyDescent="0.2">
      <c r="A1572" s="23">
        <v>38362</v>
      </c>
      <c r="B1572" s="25">
        <f>VLOOKUP(Table2634[[#This Row],[Date]],'DB Money Supply'!$A:$D,4)</f>
        <v>1347.5</v>
      </c>
      <c r="C1572" s="31">
        <f>(Table2634[[#This Row],[M1 Money Stock, Billions of Dollars, Weekly, Seasonally Adjusted]]-B1571)/B1571</f>
        <v>-1.9072577709834785E-2</v>
      </c>
      <c r="D1572" s="35">
        <f>((1+Table2634[[#This Row],[Weekly change]])^52)-1</f>
        <v>-0.63261828956003008</v>
      </c>
      <c r="E1572" s="25">
        <f t="shared" si="24"/>
        <v>1372.175</v>
      </c>
      <c r="F1572" s="33">
        <f>(Table2634[[#This Row],[4 weeks average]]-B1520)/B1520</f>
        <v>5.5194555521377926E-2</v>
      </c>
    </row>
    <row r="1573" spans="1:6" x14ac:dyDescent="0.2">
      <c r="A1573" s="23">
        <v>38369</v>
      </c>
      <c r="B1573" s="25">
        <f>VLOOKUP(Table2634[[#This Row],[Date]],'DB Money Supply'!$A:$D,4)</f>
        <v>1348.5</v>
      </c>
      <c r="C1573" s="31">
        <f>(Table2634[[#This Row],[M1 Money Stock, Billions of Dollars, Weekly, Seasonally Adjusted]]-B1572)/B1572</f>
        <v>7.4211502782931351E-4</v>
      </c>
      <c r="D1573" s="35">
        <f>((1+Table2634[[#This Row],[Weekly change]])^52)-1</f>
        <v>3.9329370838286026E-2</v>
      </c>
      <c r="E1573" s="25">
        <f t="shared" si="24"/>
        <v>1364.3</v>
      </c>
      <c r="F1573" s="33">
        <f>(Table2634[[#This Row],[4 weeks average]]-B1521)/B1521</f>
        <v>4.3441682600382371E-2</v>
      </c>
    </row>
    <row r="1574" spans="1:6" x14ac:dyDescent="0.2">
      <c r="A1574" s="23">
        <v>38376</v>
      </c>
      <c r="B1574" s="25">
        <f>VLOOKUP(Table2634[[#This Row],[Date]],'DB Money Supply'!$A:$D,4)</f>
        <v>1362.7</v>
      </c>
      <c r="C1574" s="31">
        <f>(Table2634[[#This Row],[M1 Money Stock, Billions of Dollars, Weekly, Seasonally Adjusted]]-B1573)/B1573</f>
        <v>1.0530218761586982E-2</v>
      </c>
      <c r="D1574" s="35">
        <f>((1+Table2634[[#This Row],[Weekly change]])^52)-1</f>
        <v>0.72410561704391752</v>
      </c>
      <c r="E1574" s="25">
        <f t="shared" si="24"/>
        <v>1358.1</v>
      </c>
      <c r="F1574" s="33">
        <f>(Table2634[[#This Row],[4 weeks average]]-B1522)/B1522</f>
        <v>3.8382139307286345E-2</v>
      </c>
    </row>
    <row r="1575" spans="1:6" x14ac:dyDescent="0.2">
      <c r="A1575" s="23">
        <v>38383</v>
      </c>
      <c r="B1575" s="25">
        <f>VLOOKUP(Table2634[[#This Row],[Date]],'DB Money Supply'!$A:$D,4)</f>
        <v>1364.9</v>
      </c>
      <c r="C1575" s="31">
        <f>(Table2634[[#This Row],[M1 Money Stock, Billions of Dollars, Weekly, Seasonally Adjusted]]-B1574)/B1574</f>
        <v>1.6144419167828908E-3</v>
      </c>
      <c r="D1575" s="35">
        <f>((1+Table2634[[#This Row],[Weekly change]])^52)-1</f>
        <v>8.750195918824355E-2</v>
      </c>
      <c r="E1575" s="25">
        <f t="shared" si="24"/>
        <v>1355.9</v>
      </c>
      <c r="F1575" s="33">
        <f>(Table2634[[#This Row],[4 weeks average]]-B1523)/B1523</f>
        <v>3.322411034062344E-2</v>
      </c>
    </row>
    <row r="1576" spans="1:6" x14ac:dyDescent="0.2">
      <c r="A1576" s="23">
        <v>38390</v>
      </c>
      <c r="B1576" s="25">
        <f>VLOOKUP(Table2634[[#This Row],[Date]],'DB Money Supply'!$A:$D,4)</f>
        <v>1353.7</v>
      </c>
      <c r="C1576" s="31">
        <f>(Table2634[[#This Row],[M1 Money Stock, Billions of Dollars, Weekly, Seasonally Adjusted]]-B1575)/B1575</f>
        <v>-8.2057293574621173E-3</v>
      </c>
      <c r="D1576" s="35">
        <f>((1+Table2634[[#This Row],[Weekly change]])^52)-1</f>
        <v>-0.34848720730970073</v>
      </c>
      <c r="E1576" s="25">
        <f t="shared" si="24"/>
        <v>1357.45</v>
      </c>
      <c r="F1576" s="33">
        <f>(Table2634[[#This Row],[4 weeks average]]-B1524)/B1524</f>
        <v>2.7592732778198369E-2</v>
      </c>
    </row>
    <row r="1577" spans="1:6" x14ac:dyDescent="0.2">
      <c r="A1577" s="23">
        <v>38397</v>
      </c>
      <c r="B1577" s="25">
        <f>VLOOKUP(Table2634[[#This Row],[Date]],'DB Money Supply'!$A:$D,4)</f>
        <v>1368.7</v>
      </c>
      <c r="C1577" s="31">
        <f>(Table2634[[#This Row],[M1 Money Stock, Billions of Dollars, Weekly, Seasonally Adjusted]]-B1576)/B1576</f>
        <v>1.1080741670975844E-2</v>
      </c>
      <c r="D1577" s="35">
        <f>((1+Table2634[[#This Row],[Weekly change]])^52)-1</f>
        <v>0.77363231884253336</v>
      </c>
      <c r="E1577" s="25">
        <f t="shared" si="24"/>
        <v>1362.5</v>
      </c>
      <c r="F1577" s="33">
        <f>(Table2634[[#This Row],[4 weeks average]]-B1525)/B1525</f>
        <v>2.5824424032525186E-2</v>
      </c>
    </row>
    <row r="1578" spans="1:6" x14ac:dyDescent="0.2">
      <c r="A1578" s="23">
        <v>38404</v>
      </c>
      <c r="B1578" s="25">
        <f>VLOOKUP(Table2634[[#This Row],[Date]],'DB Money Supply'!$A:$D,4)</f>
        <v>1381.5</v>
      </c>
      <c r="C1578" s="31">
        <f>(Table2634[[#This Row],[M1 Money Stock, Billions of Dollars, Weekly, Seasonally Adjusted]]-B1577)/B1577</f>
        <v>9.3519397968875248E-3</v>
      </c>
      <c r="D1578" s="35">
        <f>((1+Table2634[[#This Row],[Weekly change]])^52)-1</f>
        <v>0.62261820344498831</v>
      </c>
      <c r="E1578" s="25">
        <f t="shared" si="24"/>
        <v>1367.2</v>
      </c>
      <c r="F1578" s="33">
        <f>(Table2634[[#This Row],[4 weeks average]]-B1526)/B1526</f>
        <v>3.5522229796258499E-2</v>
      </c>
    </row>
    <row r="1579" spans="1:6" x14ac:dyDescent="0.2">
      <c r="A1579" s="23">
        <v>38411</v>
      </c>
      <c r="B1579" s="25">
        <f>VLOOKUP(Table2634[[#This Row],[Date]],'DB Money Supply'!$A:$D,4)</f>
        <v>1380.5</v>
      </c>
      <c r="C1579" s="31">
        <f>(Table2634[[#This Row],[M1 Money Stock, Billions of Dollars, Weekly, Seasonally Adjusted]]-B1578)/B1578</f>
        <v>-7.2385088671733622E-4</v>
      </c>
      <c r="D1579" s="35">
        <f>((1+Table2634[[#This Row],[Weekly change]])^52)-1</f>
        <v>-3.69537830433877E-2</v>
      </c>
      <c r="E1579" s="25">
        <f t="shared" si="24"/>
        <v>1371.1</v>
      </c>
      <c r="F1579" s="33">
        <f>(Table2634[[#This Row],[4 weeks average]]-B1527)/B1527</f>
        <v>3.9972694174757142E-2</v>
      </c>
    </row>
    <row r="1580" spans="1:6" x14ac:dyDescent="0.2">
      <c r="A1580" s="23">
        <v>38418</v>
      </c>
      <c r="B1580" s="25">
        <f>VLOOKUP(Table2634[[#This Row],[Date]],'DB Money Supply'!$A:$D,4)</f>
        <v>1362.8</v>
      </c>
      <c r="C1580" s="31">
        <f>(Table2634[[#This Row],[M1 Money Stock, Billions of Dollars, Weekly, Seasonally Adjusted]]-B1579)/B1579</f>
        <v>-1.2821441506700504E-2</v>
      </c>
      <c r="D1580" s="35">
        <f>((1+Table2634[[#This Row],[Weekly change]])^52)-1</f>
        <v>-0.48881615081127305</v>
      </c>
      <c r="E1580" s="25">
        <f t="shared" si="24"/>
        <v>1373.375</v>
      </c>
      <c r="F1580" s="33">
        <f>(Table2634[[#This Row],[4 weeks average]]-B1528)/B1528</f>
        <v>4.1619264315510052E-2</v>
      </c>
    </row>
    <row r="1581" spans="1:6" x14ac:dyDescent="0.2">
      <c r="A1581" s="23">
        <v>38425</v>
      </c>
      <c r="B1581" s="25">
        <f>VLOOKUP(Table2634[[#This Row],[Date]],'DB Money Supply'!$A:$D,4)</f>
        <v>1370.1</v>
      </c>
      <c r="C1581" s="31">
        <f>(Table2634[[#This Row],[M1 Money Stock, Billions of Dollars, Weekly, Seasonally Adjusted]]-B1580)/B1580</f>
        <v>5.3566187261520071E-3</v>
      </c>
      <c r="D1581" s="35">
        <f>((1+Table2634[[#This Row],[Weekly change]])^52)-1</f>
        <v>0.32022318223502499</v>
      </c>
      <c r="E1581" s="25">
        <f t="shared" si="24"/>
        <v>1373.7249999999999</v>
      </c>
      <c r="F1581" s="33">
        <f>(Table2634[[#This Row],[4 weeks average]]-B1529)/B1529</f>
        <v>3.3108971948559725E-2</v>
      </c>
    </row>
    <row r="1582" spans="1:6" x14ac:dyDescent="0.2">
      <c r="A1582" s="23">
        <v>38432</v>
      </c>
      <c r="B1582" s="25">
        <f>VLOOKUP(Table2634[[#This Row],[Date]],'DB Money Supply'!$A:$D,4)</f>
        <v>1376.3</v>
      </c>
      <c r="C1582" s="31">
        <f>(Table2634[[#This Row],[M1 Money Stock, Billions of Dollars, Weekly, Seasonally Adjusted]]-B1581)/B1581</f>
        <v>4.5252171374352574E-3</v>
      </c>
      <c r="D1582" s="35">
        <f>((1+Table2634[[#This Row],[Weekly change]])^52)-1</f>
        <v>0.26463111957327845</v>
      </c>
      <c r="E1582" s="25">
        <f t="shared" si="24"/>
        <v>1372.425</v>
      </c>
      <c r="F1582" s="33">
        <f>(Table2634[[#This Row],[4 weeks average]]-B1530)/B1530</f>
        <v>2.7418026650696214E-2</v>
      </c>
    </row>
    <row r="1583" spans="1:6" x14ac:dyDescent="0.2">
      <c r="A1583" s="23">
        <v>38439</v>
      </c>
      <c r="B1583" s="25">
        <f>VLOOKUP(Table2634[[#This Row],[Date]],'DB Money Supply'!$A:$D,4)</f>
        <v>1378.4</v>
      </c>
      <c r="C1583" s="31">
        <f>(Table2634[[#This Row],[M1 Money Stock, Billions of Dollars, Weekly, Seasonally Adjusted]]-B1582)/B1582</f>
        <v>1.5258301242462664E-3</v>
      </c>
      <c r="D1583" s="35">
        <f>((1+Table2634[[#This Row],[Weekly change]])^52)-1</f>
        <v>8.2510300007939463E-2</v>
      </c>
      <c r="E1583" s="25">
        <f t="shared" si="24"/>
        <v>1371.9</v>
      </c>
      <c r="F1583" s="33">
        <f>(Table2634[[#This Row],[4 weeks average]]-B1531)/B1531</f>
        <v>2.8333708117832385E-2</v>
      </c>
    </row>
    <row r="1584" spans="1:6" x14ac:dyDescent="0.2">
      <c r="A1584" s="23">
        <v>38446</v>
      </c>
      <c r="B1584" s="25">
        <f>VLOOKUP(Table2634[[#This Row],[Date]],'DB Money Supply'!$A:$D,4)</f>
        <v>1361.1</v>
      </c>
      <c r="C1584" s="31">
        <f>(Table2634[[#This Row],[M1 Money Stock, Billions of Dollars, Weekly, Seasonally Adjusted]]-B1583)/B1583</f>
        <v>-1.2550783517121432E-2</v>
      </c>
      <c r="D1584" s="35">
        <f>((1+Table2634[[#This Row],[Weekly change]])^52)-1</f>
        <v>-0.48147701035319967</v>
      </c>
      <c r="E1584" s="25">
        <f t="shared" si="24"/>
        <v>1371.4749999999999</v>
      </c>
      <c r="F1584" s="33">
        <f>(Table2634[[#This Row],[4 weeks average]]-B1532)/B1532</f>
        <v>3.7502836825780934E-2</v>
      </c>
    </row>
    <row r="1585" spans="1:6" x14ac:dyDescent="0.2">
      <c r="A1585" s="23">
        <v>38453</v>
      </c>
      <c r="B1585" s="25">
        <f>VLOOKUP(Table2634[[#This Row],[Date]],'DB Money Supply'!$A:$D,4)</f>
        <v>1355.3</v>
      </c>
      <c r="C1585" s="31">
        <f>(Table2634[[#This Row],[M1 Money Stock, Billions of Dollars, Weekly, Seasonally Adjusted]]-B1584)/B1584</f>
        <v>-4.2612592755858899E-3</v>
      </c>
      <c r="D1585" s="35">
        <f>((1+Table2634[[#This Row],[Weekly change]])^52)-1</f>
        <v>-0.19913184377762683</v>
      </c>
      <c r="E1585" s="25">
        <f t="shared" si="24"/>
        <v>1367.7749999999999</v>
      </c>
      <c r="F1585" s="33">
        <f>(Table2634[[#This Row],[4 weeks average]]-B1533)/B1533</f>
        <v>2.8324937974588345E-2</v>
      </c>
    </row>
    <row r="1586" spans="1:6" x14ac:dyDescent="0.2">
      <c r="A1586" s="23">
        <v>38460</v>
      </c>
      <c r="B1586" s="25">
        <f>VLOOKUP(Table2634[[#This Row],[Date]],'DB Money Supply'!$A:$D,4)</f>
        <v>1355.1</v>
      </c>
      <c r="C1586" s="31">
        <f>(Table2634[[#This Row],[M1 Money Stock, Billions of Dollars, Weekly, Seasonally Adjusted]]-B1585)/B1585</f>
        <v>-1.4756880395487749E-4</v>
      </c>
      <c r="D1586" s="35">
        <f>((1+Table2634[[#This Row],[Weekly change]])^52)-1</f>
        <v>-7.6447729888569071E-3</v>
      </c>
      <c r="E1586" s="25">
        <f t="shared" si="24"/>
        <v>1362.4749999999999</v>
      </c>
      <c r="F1586" s="33">
        <f>(Table2634[[#This Row],[4 weeks average]]-B1534)/B1534</f>
        <v>2.6655866174365158E-2</v>
      </c>
    </row>
    <row r="1587" spans="1:6" x14ac:dyDescent="0.2">
      <c r="A1587" s="23">
        <v>38467</v>
      </c>
      <c r="B1587" s="25">
        <f>VLOOKUP(Table2634[[#This Row],[Date]],'DB Money Supply'!$A:$D,4)</f>
        <v>1361.7</v>
      </c>
      <c r="C1587" s="31">
        <f>(Table2634[[#This Row],[M1 Money Stock, Billions of Dollars, Weekly, Seasonally Adjusted]]-B1586)/B1586</f>
        <v>4.8704892627851352E-3</v>
      </c>
      <c r="D1587" s="35">
        <f>((1+Table2634[[#This Row],[Weekly change]])^52)-1</f>
        <v>0.28743346390089819</v>
      </c>
      <c r="E1587" s="25">
        <f t="shared" si="24"/>
        <v>1358.3</v>
      </c>
      <c r="F1587" s="33">
        <f>(Table2634[[#This Row],[4 weeks average]]-B1535)/B1535</f>
        <v>1.7758129776712157E-2</v>
      </c>
    </row>
    <row r="1588" spans="1:6" x14ac:dyDescent="0.2">
      <c r="A1588" s="23">
        <v>38474</v>
      </c>
      <c r="B1588" s="25">
        <f>VLOOKUP(Table2634[[#This Row],[Date]],'DB Money Supply'!$A:$D,4)</f>
        <v>1360.4</v>
      </c>
      <c r="C1588" s="31">
        <f>(Table2634[[#This Row],[M1 Money Stock, Billions of Dollars, Weekly, Seasonally Adjusted]]-B1587)/B1587</f>
        <v>-9.5468899170151613E-4</v>
      </c>
      <c r="D1588" s="35">
        <f>((1+Table2634[[#This Row],[Weekly change]])^52)-1</f>
        <v>-4.8454277065225204E-2</v>
      </c>
      <c r="E1588" s="25">
        <f t="shared" si="24"/>
        <v>1358.125</v>
      </c>
      <c r="F1588" s="33">
        <f>(Table2634[[#This Row],[4 weeks average]]-B1536)/B1536</f>
        <v>3.1302938793544564E-4</v>
      </c>
    </row>
    <row r="1589" spans="1:6" x14ac:dyDescent="0.2">
      <c r="A1589" s="23">
        <v>38481</v>
      </c>
      <c r="B1589" s="25">
        <f>VLOOKUP(Table2634[[#This Row],[Date]],'DB Money Supply'!$A:$D,4)</f>
        <v>1361.8</v>
      </c>
      <c r="C1589" s="31">
        <f>(Table2634[[#This Row],[M1 Money Stock, Billions of Dollars, Weekly, Seasonally Adjusted]]-B1588)/B1588</f>
        <v>1.0291090855629693E-3</v>
      </c>
      <c r="D1589" s="35">
        <f>((1+Table2634[[#This Row],[Weekly change]])^52)-1</f>
        <v>5.4942386646316121E-2</v>
      </c>
      <c r="E1589" s="25">
        <f t="shared" si="24"/>
        <v>1359.75</v>
      </c>
      <c r="F1589" s="33">
        <f>(Table2634[[#This Row],[4 weeks average]]-B1537)/B1537</f>
        <v>2.3908132530120481E-2</v>
      </c>
    </row>
    <row r="1590" spans="1:6" x14ac:dyDescent="0.2">
      <c r="A1590" s="23">
        <v>38488</v>
      </c>
      <c r="B1590" s="25">
        <f>VLOOKUP(Table2634[[#This Row],[Date]],'DB Money Supply'!$A:$D,4)</f>
        <v>1357.6</v>
      </c>
      <c r="C1590" s="31">
        <f>(Table2634[[#This Row],[M1 Money Stock, Billions of Dollars, Weekly, Seasonally Adjusted]]-B1589)/B1589</f>
        <v>-3.0841533264796927E-3</v>
      </c>
      <c r="D1590" s="35">
        <f>((1+Table2634[[#This Row],[Weekly change]])^52)-1</f>
        <v>-0.14838760805458862</v>
      </c>
      <c r="E1590" s="25">
        <f t="shared" si="24"/>
        <v>1360.375</v>
      </c>
      <c r="F1590" s="33">
        <f>(Table2634[[#This Row],[4 weeks average]]-B1538)/B1538</f>
        <v>1.8244760479041916E-2</v>
      </c>
    </row>
    <row r="1591" spans="1:6" x14ac:dyDescent="0.2">
      <c r="A1591" s="23">
        <v>38495</v>
      </c>
      <c r="B1591" s="25">
        <f>VLOOKUP(Table2634[[#This Row],[Date]],'DB Money Supply'!$A:$D,4)</f>
        <v>1367.4</v>
      </c>
      <c r="C1591" s="31">
        <f>(Table2634[[#This Row],[M1 Money Stock, Billions of Dollars, Weekly, Seasonally Adjusted]]-B1590)/B1590</f>
        <v>7.2186210960519907E-3</v>
      </c>
      <c r="D1591" s="35">
        <f>((1+Table2634[[#This Row],[Weekly change]])^52)-1</f>
        <v>0.45356616495151947</v>
      </c>
      <c r="E1591" s="25">
        <f t="shared" si="24"/>
        <v>1361.8</v>
      </c>
      <c r="F1591" s="33">
        <f>(Table2634[[#This Row],[4 weeks average]]-B1539)/B1539</f>
        <v>1.9616651692123427E-2</v>
      </c>
    </row>
    <row r="1592" spans="1:6" x14ac:dyDescent="0.2">
      <c r="A1592" s="23">
        <v>38502</v>
      </c>
      <c r="B1592" s="25">
        <f>VLOOKUP(Table2634[[#This Row],[Date]],'DB Money Supply'!$A:$D,4)</f>
        <v>1379.4</v>
      </c>
      <c r="C1592" s="31">
        <f>(Table2634[[#This Row],[M1 Money Stock, Billions of Dollars, Weekly, Seasonally Adjusted]]-B1591)/B1591</f>
        <v>8.7757788503729697E-3</v>
      </c>
      <c r="D1592" s="35">
        <f>((1+Table2634[[#This Row],[Weekly change]])^52)-1</f>
        <v>0.57514883607781209</v>
      </c>
      <c r="E1592" s="25">
        <f t="shared" si="24"/>
        <v>1366.55</v>
      </c>
      <c r="F1592" s="33">
        <f>(Table2634[[#This Row],[4 weeks average]]-B1540)/B1540</f>
        <v>3.2839543496334403E-2</v>
      </c>
    </row>
    <row r="1593" spans="1:6" x14ac:dyDescent="0.2">
      <c r="A1593" s="23">
        <v>38509</v>
      </c>
      <c r="B1593" s="25">
        <f>VLOOKUP(Table2634[[#This Row],[Date]],'DB Money Supply'!$A:$D,4)</f>
        <v>1361.7</v>
      </c>
      <c r="C1593" s="31">
        <f>(Table2634[[#This Row],[M1 Money Stock, Billions of Dollars, Weekly, Seasonally Adjusted]]-B1592)/B1592</f>
        <v>-1.2831665941713821E-2</v>
      </c>
      <c r="D1593" s="35">
        <f>((1+Table2634[[#This Row],[Weekly change]])^52)-1</f>
        <v>-0.48909138943393005</v>
      </c>
      <c r="E1593" s="25">
        <f t="shared" si="24"/>
        <v>1366.5249999999999</v>
      </c>
      <c r="F1593" s="33">
        <f>(Table2634[[#This Row],[4 weeks average]]-B1541)/B1541</f>
        <v>2.9164783852989842E-2</v>
      </c>
    </row>
    <row r="1594" spans="1:6" x14ac:dyDescent="0.2">
      <c r="A1594" s="23">
        <v>38516</v>
      </c>
      <c r="B1594" s="25">
        <f>VLOOKUP(Table2634[[#This Row],[Date]],'DB Money Supply'!$A:$D,4)</f>
        <v>1372.6</v>
      </c>
      <c r="C1594" s="31">
        <f>(Table2634[[#This Row],[M1 Money Stock, Billions of Dollars, Weekly, Seasonally Adjusted]]-B1593)/B1593</f>
        <v>8.0047000073436604E-3</v>
      </c>
      <c r="D1594" s="35">
        <f>((1+Table2634[[#This Row],[Weekly change]])^52)-1</f>
        <v>0.5137458614178203</v>
      </c>
      <c r="E1594" s="25">
        <f t="shared" si="24"/>
        <v>1370.2750000000001</v>
      </c>
      <c r="F1594" s="33">
        <f>(Table2634[[#This Row],[4 weeks average]]-B1542)/B1542</f>
        <v>1.8261871145128963E-2</v>
      </c>
    </row>
    <row r="1595" spans="1:6" x14ac:dyDescent="0.2">
      <c r="A1595" s="23">
        <v>38523</v>
      </c>
      <c r="B1595" s="25">
        <f>VLOOKUP(Table2634[[#This Row],[Date]],'DB Money Supply'!$A:$D,4)</f>
        <v>1389.9</v>
      </c>
      <c r="C1595" s="31">
        <f>(Table2634[[#This Row],[M1 Money Stock, Billions of Dollars, Weekly, Seasonally Adjusted]]-B1594)/B1594</f>
        <v>1.2603817572490298E-2</v>
      </c>
      <c r="D1595" s="35">
        <f>((1+Table2634[[#This Row],[Weekly change]])^52)-1</f>
        <v>0.91803769977298777</v>
      </c>
      <c r="E1595" s="25">
        <f t="shared" si="24"/>
        <v>1375.9</v>
      </c>
      <c r="F1595" s="33">
        <f>(Table2634[[#This Row],[4 weeks average]]-B1543)/B1543</f>
        <v>2.0697329376854666E-2</v>
      </c>
    </row>
    <row r="1596" spans="1:6" x14ac:dyDescent="0.2">
      <c r="A1596" s="23">
        <v>38530</v>
      </c>
      <c r="B1596" s="25">
        <f>VLOOKUP(Table2634[[#This Row],[Date]],'DB Money Supply'!$A:$D,4)</f>
        <v>1395.5</v>
      </c>
      <c r="C1596" s="31">
        <f>(Table2634[[#This Row],[M1 Money Stock, Billions of Dollars, Weekly, Seasonally Adjusted]]-B1595)/B1595</f>
        <v>4.0290668393408941E-3</v>
      </c>
      <c r="D1596" s="35">
        <f>((1+Table2634[[#This Row],[Weekly change]])^52)-1</f>
        <v>0.23255658675417124</v>
      </c>
      <c r="E1596" s="25">
        <f t="shared" si="24"/>
        <v>1379.9250000000002</v>
      </c>
      <c r="F1596" s="33">
        <f>(Table2634[[#This Row],[4 weeks average]]-B1544)/B1544</f>
        <v>1.9900221729490155E-2</v>
      </c>
    </row>
    <row r="1597" spans="1:6" x14ac:dyDescent="0.2">
      <c r="A1597" s="23">
        <v>38537</v>
      </c>
      <c r="B1597" s="25">
        <f>VLOOKUP(Table2634[[#This Row],[Date]],'DB Money Supply'!$A:$D,4)</f>
        <v>1375.6</v>
      </c>
      <c r="C1597" s="31">
        <f>(Table2634[[#This Row],[M1 Money Stock, Billions of Dollars, Weekly, Seasonally Adjusted]]-B1596)/B1596</f>
        <v>-1.4260121820136216E-2</v>
      </c>
      <c r="D1597" s="35">
        <f>((1+Table2634[[#This Row],[Weekly change]])^52)-1</f>
        <v>-0.52614990839715237</v>
      </c>
      <c r="E1597" s="25">
        <f t="shared" si="24"/>
        <v>1383.4</v>
      </c>
      <c r="F1597" s="33">
        <f>(Table2634[[#This Row],[4 weeks average]]-B1545)/B1545</f>
        <v>4.0072175024434394E-2</v>
      </c>
    </row>
    <row r="1598" spans="1:6" x14ac:dyDescent="0.2">
      <c r="A1598" s="23">
        <v>38544</v>
      </c>
      <c r="B1598" s="25">
        <f>VLOOKUP(Table2634[[#This Row],[Date]],'DB Money Supply'!$A:$D,4)</f>
        <v>1364.8</v>
      </c>
      <c r="C1598" s="31">
        <f>(Table2634[[#This Row],[M1 Money Stock, Billions of Dollars, Weekly, Seasonally Adjusted]]-B1597)/B1597</f>
        <v>-7.8511195114858642E-3</v>
      </c>
      <c r="D1598" s="35">
        <f>((1+Table2634[[#This Row],[Weekly change]])^52)-1</f>
        <v>-0.33626300157374966</v>
      </c>
      <c r="E1598" s="25">
        <f t="shared" si="24"/>
        <v>1381.45</v>
      </c>
      <c r="F1598" s="33">
        <f>(Table2634[[#This Row],[4 weeks average]]-B1546)/B1546</f>
        <v>3.008724181641946E-2</v>
      </c>
    </row>
    <row r="1599" spans="1:6" x14ac:dyDescent="0.2">
      <c r="A1599" s="23">
        <v>38551</v>
      </c>
      <c r="B1599" s="25">
        <f>VLOOKUP(Table2634[[#This Row],[Date]],'DB Money Supply'!$A:$D,4)</f>
        <v>1364.4</v>
      </c>
      <c r="C1599" s="31">
        <f>(Table2634[[#This Row],[M1 Money Stock, Billions of Dollars, Weekly, Seasonally Adjusted]]-B1598)/B1598</f>
        <v>-2.9308323563882152E-4</v>
      </c>
      <c r="D1599" s="35">
        <f>((1+Table2634[[#This Row],[Weekly change]])^52)-1</f>
        <v>-1.5126982172950054E-2</v>
      </c>
      <c r="E1599" s="25">
        <f t="shared" si="24"/>
        <v>1375.0749999999998</v>
      </c>
      <c r="F1599" s="33">
        <f>(Table2634[[#This Row],[4 weeks average]]-B1547)/B1547</f>
        <v>2.8324110080765609E-2</v>
      </c>
    </row>
    <row r="1600" spans="1:6" x14ac:dyDescent="0.2">
      <c r="A1600" s="23">
        <v>38558</v>
      </c>
      <c r="B1600" s="25">
        <f>VLOOKUP(Table2634[[#This Row],[Date]],'DB Money Supply'!$A:$D,4)</f>
        <v>1379.6</v>
      </c>
      <c r="C1600" s="31">
        <f>(Table2634[[#This Row],[M1 Money Stock, Billions of Dollars, Weekly, Seasonally Adjusted]]-B1599)/B1599</f>
        <v>1.1140428026971429E-2</v>
      </c>
      <c r="D1600" s="35">
        <f>((1+Table2634[[#This Row],[Weekly change]])^52)-1</f>
        <v>0.77908499955943467</v>
      </c>
      <c r="E1600" s="25">
        <f t="shared" si="24"/>
        <v>1371.1</v>
      </c>
      <c r="F1600" s="33">
        <f>(Table2634[[#This Row],[4 weeks average]]-B1548)/B1548</f>
        <v>1.7438409023449095E-2</v>
      </c>
    </row>
    <row r="1601" spans="1:6" x14ac:dyDescent="0.2">
      <c r="A1601" s="23">
        <v>38565</v>
      </c>
      <c r="B1601" s="25">
        <f>VLOOKUP(Table2634[[#This Row],[Date]],'DB Money Supply'!$A:$D,4)</f>
        <v>1362.4</v>
      </c>
      <c r="C1601" s="31">
        <f>(Table2634[[#This Row],[M1 Money Stock, Billions of Dollars, Weekly, Seasonally Adjusted]]-B1600)/B1600</f>
        <v>-1.2467381849811408E-2</v>
      </c>
      <c r="D1601" s="35">
        <f>((1+Table2634[[#This Row],[Weekly change]])^52)-1</f>
        <v>-0.47919474044080113</v>
      </c>
      <c r="E1601" s="25">
        <f t="shared" si="24"/>
        <v>1367.7999999999997</v>
      </c>
      <c r="F1601" s="33">
        <f>(Table2634[[#This Row],[4 weeks average]]-B1549)/B1549</f>
        <v>1.5592515592515423E-2</v>
      </c>
    </row>
    <row r="1602" spans="1:6" x14ac:dyDescent="0.2">
      <c r="A1602" s="23">
        <v>38572</v>
      </c>
      <c r="B1602" s="25">
        <f>VLOOKUP(Table2634[[#This Row],[Date]],'DB Money Supply'!$A:$D,4)</f>
        <v>1366.5</v>
      </c>
      <c r="C1602" s="31">
        <f>(Table2634[[#This Row],[M1 Money Stock, Billions of Dollars, Weekly, Seasonally Adjusted]]-B1601)/B1601</f>
        <v>3.0093951849676369E-3</v>
      </c>
      <c r="D1602" s="35">
        <f>((1+Table2634[[#This Row],[Weekly change]])^52)-1</f>
        <v>0.16912260007985513</v>
      </c>
      <c r="E1602" s="25">
        <f t="shared" si="24"/>
        <v>1368.2249999999999</v>
      </c>
      <c r="F1602" s="33">
        <f>(Table2634[[#This Row],[4 weeks average]]-B1550)/B1550</f>
        <v>1.2000739644970346E-2</v>
      </c>
    </row>
    <row r="1603" spans="1:6" x14ac:dyDescent="0.2">
      <c r="A1603" s="23">
        <v>38579</v>
      </c>
      <c r="B1603" s="25">
        <f>VLOOKUP(Table2634[[#This Row],[Date]],'DB Money Supply'!$A:$D,4)</f>
        <v>1375.6</v>
      </c>
      <c r="C1603" s="31">
        <f>(Table2634[[#This Row],[M1 Money Stock, Billions of Dollars, Weekly, Seasonally Adjusted]]-B1602)/B1602</f>
        <v>6.659348701061038E-3</v>
      </c>
      <c r="D1603" s="35">
        <f>((1+Table2634[[#This Row],[Weekly change]])^52)-1</f>
        <v>0.41218507846194608</v>
      </c>
      <c r="E1603" s="25">
        <f t="shared" si="24"/>
        <v>1371.0250000000001</v>
      </c>
      <c r="F1603" s="33">
        <f>(Table2634[[#This Row],[4 weeks average]]-B1551)/B1551</f>
        <v>1.1677243211334154E-2</v>
      </c>
    </row>
    <row r="1604" spans="1:6" x14ac:dyDescent="0.2">
      <c r="A1604" s="23">
        <v>38586</v>
      </c>
      <c r="B1604" s="25">
        <f>VLOOKUP(Table2634[[#This Row],[Date]],'DB Money Supply'!$A:$D,4)</f>
        <v>1388.5</v>
      </c>
      <c r="C1604" s="31">
        <f>(Table2634[[#This Row],[M1 Money Stock, Billions of Dollars, Weekly, Seasonally Adjusted]]-B1603)/B1603</f>
        <v>9.3777260831637774E-3</v>
      </c>
      <c r="D1604" s="35">
        <f>((1+Table2634[[#This Row],[Weekly change]])^52)-1</f>
        <v>0.62477519685465266</v>
      </c>
      <c r="E1604" s="25">
        <f t="shared" si="24"/>
        <v>1373.25</v>
      </c>
      <c r="F1604" s="33">
        <f>(Table2634[[#This Row],[4 weeks average]]-B1552)/B1552</f>
        <v>7.8899082568807347E-3</v>
      </c>
    </row>
    <row r="1605" spans="1:6" x14ac:dyDescent="0.2">
      <c r="A1605" s="23">
        <v>38593</v>
      </c>
      <c r="B1605" s="25">
        <f>VLOOKUP(Table2634[[#This Row],[Date]],'DB Money Supply'!$A:$D,4)</f>
        <v>1386.5</v>
      </c>
      <c r="C1605" s="31">
        <f>(Table2634[[#This Row],[M1 Money Stock, Billions of Dollars, Weekly, Seasonally Adjusted]]-B1604)/B1604</f>
        <v>-1.4404033129276198E-3</v>
      </c>
      <c r="D1605" s="35">
        <f>((1+Table2634[[#This Row],[Weekly change]])^52)-1</f>
        <v>-7.221473452402738E-2</v>
      </c>
      <c r="E1605" s="25">
        <f t="shared" si="24"/>
        <v>1379.2750000000001</v>
      </c>
      <c r="F1605" s="33">
        <f>(Table2634[[#This Row],[4 weeks average]]-B1553)/B1553</f>
        <v>2.0626757436732278E-2</v>
      </c>
    </row>
    <row r="1606" spans="1:6" x14ac:dyDescent="0.2">
      <c r="A1606" s="23">
        <v>38600</v>
      </c>
      <c r="B1606" s="25">
        <f>VLOOKUP(Table2634[[#This Row],[Date]],'DB Money Supply'!$A:$D,4)</f>
        <v>1364.4</v>
      </c>
      <c r="C1606" s="31">
        <f>(Table2634[[#This Row],[M1 Money Stock, Billions of Dollars, Weekly, Seasonally Adjusted]]-B1605)/B1605</f>
        <v>-1.5939415795167621E-2</v>
      </c>
      <c r="D1606" s="35">
        <f>((1+Table2634[[#This Row],[Weekly change]])^52)-1</f>
        <v>-0.56635383029996766</v>
      </c>
      <c r="E1606" s="25">
        <f t="shared" si="24"/>
        <v>1378.75</v>
      </c>
      <c r="F1606" s="33">
        <f>(Table2634[[#This Row],[4 weeks average]]-B1554)/B1554</f>
        <v>2.7154883409074012E-2</v>
      </c>
    </row>
    <row r="1607" spans="1:6" x14ac:dyDescent="0.2">
      <c r="A1607" s="23">
        <v>38607</v>
      </c>
      <c r="B1607" s="25">
        <f>VLOOKUP(Table2634[[#This Row],[Date]],'DB Money Supply'!$A:$D,4)</f>
        <v>1366.9</v>
      </c>
      <c r="C1607" s="31">
        <f>(Table2634[[#This Row],[M1 Money Stock, Billions of Dollars, Weekly, Seasonally Adjusted]]-B1606)/B1606</f>
        <v>1.8323072412782175E-3</v>
      </c>
      <c r="D1607" s="35">
        <f>((1+Table2634[[#This Row],[Weekly change]])^52)-1</f>
        <v>9.9870880921368643E-2</v>
      </c>
      <c r="E1607" s="25">
        <f t="shared" si="24"/>
        <v>1376.5749999999998</v>
      </c>
      <c r="F1607" s="33">
        <f>(Table2634[[#This Row],[4 weeks average]]-B1555)/B1555</f>
        <v>1.2261931024339824E-2</v>
      </c>
    </row>
    <row r="1608" spans="1:6" x14ac:dyDescent="0.2">
      <c r="A1608" s="23">
        <v>38614</v>
      </c>
      <c r="B1608" s="25">
        <f>VLOOKUP(Table2634[[#This Row],[Date]],'DB Money Supply'!$A:$D,4)</f>
        <v>1380.1</v>
      </c>
      <c r="C1608" s="31">
        <f>(Table2634[[#This Row],[M1 Money Stock, Billions of Dollars, Weekly, Seasonally Adjusted]]-B1607)/B1607</f>
        <v>9.6568878484159897E-3</v>
      </c>
      <c r="D1608" s="35">
        <f>((1+Table2634[[#This Row],[Weekly change]])^52)-1</f>
        <v>0.64830753156958676</v>
      </c>
      <c r="E1608" s="25">
        <f t="shared" si="24"/>
        <v>1374.4749999999999</v>
      </c>
      <c r="F1608" s="33">
        <f>(Table2634[[#This Row],[4 weeks average]]-B1556)/B1556</f>
        <v>1.657921585774569E-3</v>
      </c>
    </row>
    <row r="1609" spans="1:6" x14ac:dyDescent="0.2">
      <c r="A1609" s="23">
        <v>38621</v>
      </c>
      <c r="B1609" s="25">
        <f>VLOOKUP(Table2634[[#This Row],[Date]],'DB Money Supply'!$A:$D,4)</f>
        <v>1388.5</v>
      </c>
      <c r="C1609" s="31">
        <f>(Table2634[[#This Row],[M1 Money Stock, Billions of Dollars, Weekly, Seasonally Adjusted]]-B1608)/B1608</f>
        <v>6.0865154698935527E-3</v>
      </c>
      <c r="D1609" s="35">
        <f>((1+Table2634[[#This Row],[Weekly change]])^52)-1</f>
        <v>0.37099877565440997</v>
      </c>
      <c r="E1609" s="25">
        <f t="shared" ref="E1609:E1672" si="25">AVERAGE(B1606:B1609)</f>
        <v>1374.9749999999999</v>
      </c>
      <c r="F1609" s="33">
        <f>(Table2634[[#This Row],[4 weeks average]]-B1557)/B1557</f>
        <v>2.1683673469387091E-3</v>
      </c>
    </row>
    <row r="1610" spans="1:6" x14ac:dyDescent="0.2">
      <c r="A1610" s="23">
        <v>38628</v>
      </c>
      <c r="B1610" s="25">
        <f>VLOOKUP(Table2634[[#This Row],[Date]],'DB Money Supply'!$A:$D,4)</f>
        <v>1396.7</v>
      </c>
      <c r="C1610" s="31">
        <f>(Table2634[[#This Row],[M1 Money Stock, Billions of Dollars, Weekly, Seasonally Adjusted]]-B1609)/B1609</f>
        <v>5.9056535830032736E-3</v>
      </c>
      <c r="D1610" s="35">
        <f>((1+Table2634[[#This Row],[Weekly change]])^52)-1</f>
        <v>0.35824136009575858</v>
      </c>
      <c r="E1610" s="25">
        <f t="shared" si="25"/>
        <v>1383.05</v>
      </c>
      <c r="F1610" s="33">
        <f>(Table2634[[#This Row],[4 weeks average]]-B1558)/B1558</f>
        <v>1.3669012019935402E-2</v>
      </c>
    </row>
    <row r="1611" spans="1:6" x14ac:dyDescent="0.2">
      <c r="A1611" s="23">
        <v>38635</v>
      </c>
      <c r="B1611" s="25">
        <f>VLOOKUP(Table2634[[#This Row],[Date]],'DB Money Supply'!$A:$D,4)</f>
        <v>1372.5</v>
      </c>
      <c r="C1611" s="31">
        <f>(Table2634[[#This Row],[M1 Money Stock, Billions of Dollars, Weekly, Seasonally Adjusted]]-B1610)/B1610</f>
        <v>-1.7326555452137214E-2</v>
      </c>
      <c r="D1611" s="35">
        <f>((1+Table2634[[#This Row],[Weekly change]])^52)-1</f>
        <v>-0.59702376147818459</v>
      </c>
      <c r="E1611" s="25">
        <f t="shared" si="25"/>
        <v>1384.45</v>
      </c>
      <c r="F1611" s="33">
        <f>(Table2634[[#This Row],[4 weeks average]]-B1559)/B1559</f>
        <v>1.3877700476016145E-2</v>
      </c>
    </row>
    <row r="1612" spans="1:6" x14ac:dyDescent="0.2">
      <c r="A1612" s="23">
        <v>38642</v>
      </c>
      <c r="B1612" s="25">
        <f>VLOOKUP(Table2634[[#This Row],[Date]],'DB Money Supply'!$A:$D,4)</f>
        <v>1365.5</v>
      </c>
      <c r="C1612" s="31">
        <f>(Table2634[[#This Row],[M1 Money Stock, Billions of Dollars, Weekly, Seasonally Adjusted]]-B1611)/B1611</f>
        <v>-5.1001821493624772E-3</v>
      </c>
      <c r="D1612" s="35">
        <f>((1+Table2634[[#This Row],[Weekly change]])^52)-1</f>
        <v>-0.23347509429793067</v>
      </c>
      <c r="E1612" s="25">
        <f t="shared" si="25"/>
        <v>1380.8</v>
      </c>
      <c r="F1612" s="33">
        <f>(Table2634[[#This Row],[4 weeks average]]-B1560)/B1560</f>
        <v>1.551812899904384E-2</v>
      </c>
    </row>
    <row r="1613" spans="1:6" x14ac:dyDescent="0.2">
      <c r="A1613" s="23">
        <v>38649</v>
      </c>
      <c r="B1613" s="25">
        <f>VLOOKUP(Table2634[[#This Row],[Date]],'DB Money Supply'!$A:$D,4)</f>
        <v>1382</v>
      </c>
      <c r="C1613" s="31">
        <f>(Table2634[[#This Row],[M1 Money Stock, Billions of Dollars, Weekly, Seasonally Adjusted]]-B1612)/B1612</f>
        <v>1.2083485902599781E-2</v>
      </c>
      <c r="D1613" s="35">
        <f>((1+Table2634[[#This Row],[Weekly change]])^52)-1</f>
        <v>0.86745267720771957</v>
      </c>
      <c r="E1613" s="25">
        <f t="shared" si="25"/>
        <v>1379.175</v>
      </c>
      <c r="F1613" s="33">
        <f>(Table2634[[#This Row],[4 weeks average]]-B1561)/B1561</f>
        <v>7.8005115089513737E-3</v>
      </c>
    </row>
    <row r="1614" spans="1:6" x14ac:dyDescent="0.2">
      <c r="A1614" s="23">
        <v>38656</v>
      </c>
      <c r="B1614" s="25">
        <f>VLOOKUP(Table2634[[#This Row],[Date]],'DB Money Supply'!$A:$D,4)</f>
        <v>1377.3</v>
      </c>
      <c r="C1614" s="31">
        <f>(Table2634[[#This Row],[M1 Money Stock, Billions of Dollars, Weekly, Seasonally Adjusted]]-B1613)/B1613</f>
        <v>-3.4008683068017694E-3</v>
      </c>
      <c r="D1614" s="35">
        <f>((1+Table2634[[#This Row],[Weekly change]])^52)-1</f>
        <v>-0.16234298229179189</v>
      </c>
      <c r="E1614" s="25">
        <f t="shared" si="25"/>
        <v>1374.325</v>
      </c>
      <c r="F1614" s="33">
        <f>(Table2634[[#This Row],[4 weeks average]]-B1562)/B1562</f>
        <v>1.5911442933175705E-2</v>
      </c>
    </row>
    <row r="1615" spans="1:6" x14ac:dyDescent="0.2">
      <c r="A1615" s="23">
        <v>38663</v>
      </c>
      <c r="B1615" s="25">
        <f>VLOOKUP(Table2634[[#This Row],[Date]],'DB Money Supply'!$A:$D,4)</f>
        <v>1360.5</v>
      </c>
      <c r="C1615" s="31">
        <f>(Table2634[[#This Row],[M1 Money Stock, Billions of Dollars, Weekly, Seasonally Adjusted]]-B1614)/B1614</f>
        <v>-1.2197778261816564E-2</v>
      </c>
      <c r="D1615" s="35">
        <f>((1+Table2634[[#This Row],[Weekly change]])^52)-1</f>
        <v>-0.47174948543842365</v>
      </c>
      <c r="E1615" s="25">
        <f t="shared" si="25"/>
        <v>1371.325</v>
      </c>
      <c r="F1615" s="33">
        <f>(Table2634[[#This Row],[4 weeks average]]-B1563)/B1563</f>
        <v>5.4439475034826264E-3</v>
      </c>
    </row>
    <row r="1616" spans="1:6" x14ac:dyDescent="0.2">
      <c r="A1616" s="23">
        <v>38670</v>
      </c>
      <c r="B1616" s="25">
        <f>VLOOKUP(Table2634[[#This Row],[Date]],'DB Money Supply'!$A:$D,4)</f>
        <v>1370.9</v>
      </c>
      <c r="C1616" s="31">
        <f>(Table2634[[#This Row],[M1 Money Stock, Billions of Dollars, Weekly, Seasonally Adjusted]]-B1615)/B1615</f>
        <v>7.6442484380743045E-3</v>
      </c>
      <c r="D1616" s="35">
        <f>((1+Table2634[[#This Row],[Weekly change]])^52)-1</f>
        <v>0.48585344760799365</v>
      </c>
      <c r="E1616" s="25">
        <f t="shared" si="25"/>
        <v>1372.6750000000002</v>
      </c>
      <c r="F1616" s="33">
        <f>(Table2634[[#This Row],[4 weeks average]]-B1564)/B1564</f>
        <v>1.0757001166862138E-3</v>
      </c>
    </row>
    <row r="1617" spans="1:6" x14ac:dyDescent="0.2">
      <c r="A1617" s="23">
        <v>38677</v>
      </c>
      <c r="B1617" s="25">
        <f>VLOOKUP(Table2634[[#This Row],[Date]],'DB Money Supply'!$A:$D,4)</f>
        <v>1388</v>
      </c>
      <c r="C1617" s="31">
        <f>(Table2634[[#This Row],[M1 Money Stock, Billions of Dollars, Weekly, Seasonally Adjusted]]-B1616)/B1616</f>
        <v>1.2473557516959595E-2</v>
      </c>
      <c r="D1617" s="35">
        <f>((1+Table2634[[#This Row],[Weekly change]])^52)-1</f>
        <v>0.90524953308131351</v>
      </c>
      <c r="E1617" s="25">
        <f t="shared" si="25"/>
        <v>1374.1750000000002</v>
      </c>
      <c r="F1617" s="33">
        <f>(Table2634[[#This Row],[4 weeks average]]-B1565)/B1565</f>
        <v>-3.6434164733177665E-3</v>
      </c>
    </row>
    <row r="1618" spans="1:6" x14ac:dyDescent="0.2">
      <c r="A1618" s="23">
        <v>38684</v>
      </c>
      <c r="B1618" s="25">
        <f>VLOOKUP(Table2634[[#This Row],[Date]],'DB Money Supply'!$A:$D,4)</f>
        <v>1386.3</v>
      </c>
      <c r="C1618" s="31">
        <f>(Table2634[[#This Row],[M1 Money Stock, Billions of Dollars, Weekly, Seasonally Adjusted]]-B1617)/B1617</f>
        <v>-1.2247838616715025E-3</v>
      </c>
      <c r="D1618" s="35">
        <f>((1+Table2634[[#This Row],[Weekly change]])^52)-1</f>
        <v>-6.173963621978773E-2</v>
      </c>
      <c r="E1618" s="25">
        <f t="shared" si="25"/>
        <v>1376.425</v>
      </c>
      <c r="F1618" s="33">
        <f>(Table2634[[#This Row],[4 weeks average]]-B1566)/B1566</f>
        <v>-7.9819819819820139E-3</v>
      </c>
    </row>
    <row r="1619" spans="1:6" x14ac:dyDescent="0.2">
      <c r="A1619" s="23">
        <v>38691</v>
      </c>
      <c r="B1619" s="25">
        <f>VLOOKUP(Table2634[[#This Row],[Date]],'DB Money Supply'!$A:$D,4)</f>
        <v>1371.5</v>
      </c>
      <c r="C1619" s="31">
        <f>(Table2634[[#This Row],[M1 Money Stock, Billions of Dollars, Weekly, Seasonally Adjusted]]-B1618)/B1618</f>
        <v>-1.0675899877371388E-2</v>
      </c>
      <c r="D1619" s="35">
        <f>((1+Table2634[[#This Row],[Weekly change]])^52)-1</f>
        <v>-0.42772257741911002</v>
      </c>
      <c r="E1619" s="25">
        <f t="shared" si="25"/>
        <v>1379.175</v>
      </c>
      <c r="F1619" s="33">
        <f>(Table2634[[#This Row],[4 weeks average]]-B1567)/B1567</f>
        <v>1.4397616946160669E-2</v>
      </c>
    </row>
    <row r="1620" spans="1:6" x14ac:dyDescent="0.2">
      <c r="A1620" s="23">
        <v>38698</v>
      </c>
      <c r="B1620" s="25">
        <f>VLOOKUP(Table2634[[#This Row],[Date]],'DB Money Supply'!$A:$D,4)</f>
        <v>1368</v>
      </c>
      <c r="C1620" s="31">
        <f>(Table2634[[#This Row],[M1 Money Stock, Billions of Dollars, Weekly, Seasonally Adjusted]]-B1619)/B1619</f>
        <v>-2.5519504192489974E-3</v>
      </c>
      <c r="D1620" s="35">
        <f>((1+Table2634[[#This Row],[Weekly change]])^52)-1</f>
        <v>-0.12442199550934518</v>
      </c>
      <c r="E1620" s="25">
        <f t="shared" si="25"/>
        <v>1378.45</v>
      </c>
      <c r="F1620" s="33">
        <f>(Table2634[[#This Row],[4 weeks average]]-B1568)/B1568</f>
        <v>6.3882602029641522E-3</v>
      </c>
    </row>
    <row r="1621" spans="1:6" x14ac:dyDescent="0.2">
      <c r="A1621" s="23">
        <v>38705</v>
      </c>
      <c r="B1621" s="25">
        <f>VLOOKUP(Table2634[[#This Row],[Date]],'DB Money Supply'!$A:$D,4)</f>
        <v>1373.1</v>
      </c>
      <c r="C1621" s="31">
        <f>(Table2634[[#This Row],[M1 Money Stock, Billions of Dollars, Weekly, Seasonally Adjusted]]-B1620)/B1620</f>
        <v>3.72807017543853E-3</v>
      </c>
      <c r="D1621" s="35">
        <f>((1+Table2634[[#This Row],[Weekly change]])^52)-1</f>
        <v>0.21348839579962942</v>
      </c>
      <c r="E1621" s="25">
        <f t="shared" si="25"/>
        <v>1374.7249999999999</v>
      </c>
      <c r="F1621" s="33">
        <f>(Table2634[[#This Row],[4 weeks average]]-B1569)/B1569</f>
        <v>-3.8224637681160078E-3</v>
      </c>
    </row>
    <row r="1622" spans="1:6" x14ac:dyDescent="0.2">
      <c r="A1622" s="23">
        <v>38712</v>
      </c>
      <c r="B1622" s="25">
        <f>VLOOKUP(Table2634[[#This Row],[Date]],'DB Money Supply'!$A:$D,4)</f>
        <v>1383</v>
      </c>
      <c r="C1622" s="31">
        <f>(Table2634[[#This Row],[M1 Money Stock, Billions of Dollars, Weekly, Seasonally Adjusted]]-B1621)/B1621</f>
        <v>7.2099628577671632E-3</v>
      </c>
      <c r="D1622" s="35">
        <f>((1+Table2634[[#This Row],[Weekly change]])^52)-1</f>
        <v>0.45291656087559007</v>
      </c>
      <c r="E1622" s="25">
        <f t="shared" si="25"/>
        <v>1373.9</v>
      </c>
      <c r="F1622" s="33">
        <f>(Table2634[[#This Row],[4 weeks average]]-B1570)/B1570</f>
        <v>-9.8018018018017367E-3</v>
      </c>
    </row>
    <row r="1623" spans="1:6" x14ac:dyDescent="0.2">
      <c r="A1623" s="23">
        <v>38719</v>
      </c>
      <c r="B1623" s="25">
        <f>VLOOKUP(Table2634[[#This Row],[Date]],'DB Money Supply'!$A:$D,4)</f>
        <v>1375.5</v>
      </c>
      <c r="C1623" s="31">
        <f>(Table2634[[#This Row],[M1 Money Stock, Billions of Dollars, Weekly, Seasonally Adjusted]]-B1622)/B1622</f>
        <v>-5.4229934924078091E-3</v>
      </c>
      <c r="D1623" s="35">
        <f>((1+Table2634[[#This Row],[Weekly change]])^52)-1</f>
        <v>-0.24630165774172574</v>
      </c>
      <c r="E1623" s="25">
        <f t="shared" si="25"/>
        <v>1374.9</v>
      </c>
      <c r="F1623" s="33">
        <f>(Table2634[[#This Row],[4 weeks average]]-B1571)/B1571</f>
        <v>8.7355317754971636E-4</v>
      </c>
    </row>
    <row r="1624" spans="1:6" x14ac:dyDescent="0.2">
      <c r="A1624" s="23">
        <v>38726</v>
      </c>
      <c r="B1624" s="25">
        <f>VLOOKUP(Table2634[[#This Row],[Date]],'DB Money Supply'!$A:$D,4)</f>
        <v>1372</v>
      </c>
      <c r="C1624" s="31">
        <f>(Table2634[[#This Row],[M1 Money Stock, Billions of Dollars, Weekly, Seasonally Adjusted]]-B1623)/B1623</f>
        <v>-2.5445292620865142E-3</v>
      </c>
      <c r="D1624" s="35">
        <f>((1+Table2634[[#This Row],[Weekly change]])^52)-1</f>
        <v>-0.12408318105586302</v>
      </c>
      <c r="E1624" s="25">
        <f t="shared" si="25"/>
        <v>1375.9</v>
      </c>
      <c r="F1624" s="33">
        <f>(Table2634[[#This Row],[4 weeks average]]-B1572)/B1572</f>
        <v>2.1076066790352573E-2</v>
      </c>
    </row>
    <row r="1625" spans="1:6" x14ac:dyDescent="0.2">
      <c r="A1625" s="23">
        <v>38733</v>
      </c>
      <c r="B1625" s="25">
        <f>VLOOKUP(Table2634[[#This Row],[Date]],'DB Money Supply'!$A:$D,4)</f>
        <v>1375.8</v>
      </c>
      <c r="C1625" s="31">
        <f>(Table2634[[#This Row],[M1 Money Stock, Billions of Dollars, Weekly, Seasonally Adjusted]]-B1624)/B1624</f>
        <v>2.7696793002915119E-3</v>
      </c>
      <c r="D1625" s="35">
        <f>((1+Table2634[[#This Row],[Weekly change]])^52)-1</f>
        <v>0.1546811461438018</v>
      </c>
      <c r="E1625" s="25">
        <f t="shared" si="25"/>
        <v>1376.575</v>
      </c>
      <c r="F1625" s="33">
        <f>(Table2634[[#This Row],[4 weeks average]]-B1573)/B1573</f>
        <v>2.0819428995179863E-2</v>
      </c>
    </row>
    <row r="1626" spans="1:6" x14ac:dyDescent="0.2">
      <c r="A1626" s="23">
        <v>38740</v>
      </c>
      <c r="B1626" s="25">
        <f>VLOOKUP(Table2634[[#This Row],[Date]],'DB Money Supply'!$A:$D,4)</f>
        <v>1383.1</v>
      </c>
      <c r="C1626" s="31">
        <f>(Table2634[[#This Row],[M1 Money Stock, Billions of Dollars, Weekly, Seasonally Adjusted]]-B1625)/B1625</f>
        <v>5.3060037796190977E-3</v>
      </c>
      <c r="D1626" s="35">
        <f>((1+Table2634[[#This Row],[Weekly change]])^52)-1</f>
        <v>0.31677133235703225</v>
      </c>
      <c r="E1626" s="25">
        <f t="shared" si="25"/>
        <v>1376.6</v>
      </c>
      <c r="F1626" s="33">
        <f>(Table2634[[#This Row],[4 weeks average]]-B1574)/B1574</f>
        <v>1.0200337565127953E-2</v>
      </c>
    </row>
    <row r="1627" spans="1:6" x14ac:dyDescent="0.2">
      <c r="A1627" s="23">
        <v>38747</v>
      </c>
      <c r="B1627" s="25">
        <f>VLOOKUP(Table2634[[#This Row],[Date]],'DB Money Supply'!$A:$D,4)</f>
        <v>1389.8</v>
      </c>
      <c r="C1627" s="31">
        <f>(Table2634[[#This Row],[M1 Money Stock, Billions of Dollars, Weekly, Seasonally Adjusted]]-B1626)/B1626</f>
        <v>4.8441905863639981E-3</v>
      </c>
      <c r="D1627" s="35">
        <f>((1+Table2634[[#This Row],[Weekly change]])^52)-1</f>
        <v>0.28568256071543963</v>
      </c>
      <c r="E1627" s="25">
        <f t="shared" si="25"/>
        <v>1380.175</v>
      </c>
      <c r="F1627" s="33">
        <f>(Table2634[[#This Row],[4 weeks average]]-B1575)/B1575</f>
        <v>1.1191296065645734E-2</v>
      </c>
    </row>
    <row r="1628" spans="1:6" x14ac:dyDescent="0.2">
      <c r="A1628" s="23">
        <v>38754</v>
      </c>
      <c r="B1628" s="25">
        <f>VLOOKUP(Table2634[[#This Row],[Date]],'DB Money Supply'!$A:$D,4)</f>
        <v>1369.2</v>
      </c>
      <c r="C1628" s="31">
        <f>(Table2634[[#This Row],[M1 Money Stock, Billions of Dollars, Weekly, Seasonally Adjusted]]-B1627)/B1627</f>
        <v>-1.4822276586559152E-2</v>
      </c>
      <c r="D1628" s="35">
        <f>((1+Table2634[[#This Row],[Weekly change]])^52)-1</f>
        <v>-0.53999948027295042</v>
      </c>
      <c r="E1628" s="25">
        <f t="shared" si="25"/>
        <v>1379.4749999999999</v>
      </c>
      <c r="F1628" s="33">
        <f>(Table2634[[#This Row],[4 weeks average]]-B1576)/B1576</f>
        <v>1.9040407771293389E-2</v>
      </c>
    </row>
    <row r="1629" spans="1:6" x14ac:dyDescent="0.2">
      <c r="A1629" s="23">
        <v>38761</v>
      </c>
      <c r="B1629" s="25">
        <f>VLOOKUP(Table2634[[#This Row],[Date]],'DB Money Supply'!$A:$D,4)</f>
        <v>1368.6</v>
      </c>
      <c r="C1629" s="31">
        <f>(Table2634[[#This Row],[M1 Money Stock, Billions of Dollars, Weekly, Seasonally Adjusted]]-B1628)/B1628</f>
        <v>-4.3821209465391209E-4</v>
      </c>
      <c r="D1629" s="35">
        <f>((1+Table2634[[#This Row],[Weekly change]])^52)-1</f>
        <v>-2.2534247123581652E-2</v>
      </c>
      <c r="E1629" s="25">
        <f t="shared" si="25"/>
        <v>1377.6749999999997</v>
      </c>
      <c r="F1629" s="33">
        <f>(Table2634[[#This Row],[4 weeks average]]-B1577)/B1577</f>
        <v>6.5573171622705347E-3</v>
      </c>
    </row>
    <row r="1630" spans="1:6" x14ac:dyDescent="0.2">
      <c r="A1630" s="23">
        <v>38768</v>
      </c>
      <c r="B1630" s="25">
        <f>VLOOKUP(Table2634[[#This Row],[Date]],'DB Money Supply'!$A:$D,4)</f>
        <v>1383.3</v>
      </c>
      <c r="C1630" s="31">
        <f>(Table2634[[#This Row],[M1 Money Stock, Billions of Dollars, Weekly, Seasonally Adjusted]]-B1629)/B1629</f>
        <v>1.0740903112669916E-2</v>
      </c>
      <c r="D1630" s="35">
        <f>((1+Table2634[[#This Row],[Weekly change]])^52)-1</f>
        <v>0.74289709685016048</v>
      </c>
      <c r="E1630" s="25">
        <f t="shared" si="25"/>
        <v>1377.7250000000001</v>
      </c>
      <c r="F1630" s="33">
        <f>(Table2634[[#This Row],[4 weeks average]]-B1578)/B1578</f>
        <v>-2.7325370973578455E-3</v>
      </c>
    </row>
    <row r="1631" spans="1:6" x14ac:dyDescent="0.2">
      <c r="A1631" s="23">
        <v>38775</v>
      </c>
      <c r="B1631" s="25">
        <f>VLOOKUP(Table2634[[#This Row],[Date]],'DB Money Supply'!$A:$D,4)</f>
        <v>1393</v>
      </c>
      <c r="C1631" s="31">
        <f>(Table2634[[#This Row],[M1 Money Stock, Billions of Dollars, Weekly, Seasonally Adjusted]]-B1630)/B1630</f>
        <v>7.0122171618593552E-3</v>
      </c>
      <c r="D1631" s="35">
        <f>((1+Table2634[[#This Row],[Weekly change]])^52)-1</f>
        <v>0.43815750910020257</v>
      </c>
      <c r="E1631" s="25">
        <f t="shared" si="25"/>
        <v>1378.5250000000001</v>
      </c>
      <c r="F1631" s="33">
        <f>(Table2634[[#This Row],[4 weeks average]]-B1579)/B1579</f>
        <v>-1.4306410720752692E-3</v>
      </c>
    </row>
    <row r="1632" spans="1:6" x14ac:dyDescent="0.2">
      <c r="A1632" s="23">
        <v>38782</v>
      </c>
      <c r="B1632" s="25">
        <f>VLOOKUP(Table2634[[#This Row],[Date]],'DB Money Supply'!$A:$D,4)</f>
        <v>1366.2</v>
      </c>
      <c r="C1632" s="31">
        <f>(Table2634[[#This Row],[M1 Money Stock, Billions of Dollars, Weekly, Seasonally Adjusted]]-B1631)/B1631</f>
        <v>-1.9239052404881517E-2</v>
      </c>
      <c r="D1632" s="35">
        <f>((1+Table2634[[#This Row],[Weekly change]])^52)-1</f>
        <v>-0.63584644178146899</v>
      </c>
      <c r="E1632" s="25">
        <f t="shared" si="25"/>
        <v>1377.7749999999999</v>
      </c>
      <c r="F1632" s="33">
        <f>(Table2634[[#This Row],[4 weeks average]]-B1580)/B1580</f>
        <v>1.0988406222483057E-2</v>
      </c>
    </row>
    <row r="1633" spans="1:6" x14ac:dyDescent="0.2">
      <c r="A1633" s="23">
        <v>38789</v>
      </c>
      <c r="B1633" s="25">
        <f>VLOOKUP(Table2634[[#This Row],[Date]],'DB Money Supply'!$A:$D,4)</f>
        <v>1371</v>
      </c>
      <c r="C1633" s="31">
        <f>(Table2634[[#This Row],[M1 Money Stock, Billions of Dollars, Weekly, Seasonally Adjusted]]-B1632)/B1632</f>
        <v>3.5133948177426106E-3</v>
      </c>
      <c r="D1633" s="35">
        <f>((1+Table2634[[#This Row],[Weekly change]])^52)-1</f>
        <v>0.20006573895674307</v>
      </c>
      <c r="E1633" s="25">
        <f t="shared" si="25"/>
        <v>1378.375</v>
      </c>
      <c r="F1633" s="33">
        <f>(Table2634[[#This Row],[4 weeks average]]-B1581)/B1581</f>
        <v>6.0397051310124017E-3</v>
      </c>
    </row>
    <row r="1634" spans="1:6" x14ac:dyDescent="0.2">
      <c r="A1634" s="23">
        <v>38796</v>
      </c>
      <c r="B1634" s="25">
        <f>VLOOKUP(Table2634[[#This Row],[Date]],'DB Money Supply'!$A:$D,4)</f>
        <v>1387.9</v>
      </c>
      <c r="C1634" s="31">
        <f>(Table2634[[#This Row],[M1 Money Stock, Billions of Dollars, Weekly, Seasonally Adjusted]]-B1633)/B1633</f>
        <v>1.2326768781911079E-2</v>
      </c>
      <c r="D1634" s="35">
        <f>((1+Table2634[[#This Row],[Weekly change]])^52)-1</f>
        <v>0.89093887610841538</v>
      </c>
      <c r="E1634" s="25">
        <f t="shared" si="25"/>
        <v>1379.5250000000001</v>
      </c>
      <c r="F1634" s="33">
        <f>(Table2634[[#This Row],[4 weeks average]]-B1582)/B1582</f>
        <v>2.3432391193781419E-3</v>
      </c>
    </row>
    <row r="1635" spans="1:6" x14ac:dyDescent="0.2">
      <c r="A1635" s="23">
        <v>38803</v>
      </c>
      <c r="B1635" s="25">
        <f>VLOOKUP(Table2634[[#This Row],[Date]],'DB Money Supply'!$A:$D,4)</f>
        <v>1394.8</v>
      </c>
      <c r="C1635" s="31">
        <f>(Table2634[[#This Row],[M1 Money Stock, Billions of Dollars, Weekly, Seasonally Adjusted]]-B1634)/B1634</f>
        <v>4.9715397362921415E-3</v>
      </c>
      <c r="D1635" s="35">
        <f>((1+Table2634[[#This Row],[Weekly change]])^52)-1</f>
        <v>0.29418294672816558</v>
      </c>
      <c r="E1635" s="25">
        <f t="shared" si="25"/>
        <v>1379.9750000000001</v>
      </c>
      <c r="F1635" s="33">
        <f>(Table2634[[#This Row],[4 weeks average]]-B1583)/B1583</f>
        <v>1.1426291352292842E-3</v>
      </c>
    </row>
    <row r="1636" spans="1:6" x14ac:dyDescent="0.2">
      <c r="A1636" s="23">
        <v>38810</v>
      </c>
      <c r="B1636" s="25">
        <f>VLOOKUP(Table2634[[#This Row],[Date]],'DB Money Supply'!$A:$D,4)</f>
        <v>1401.4</v>
      </c>
      <c r="C1636" s="31">
        <f>(Table2634[[#This Row],[M1 Money Stock, Billions of Dollars, Weekly, Seasonally Adjusted]]-B1635)/B1635</f>
        <v>4.7318611987382684E-3</v>
      </c>
      <c r="D1636" s="35">
        <f>((1+Table2634[[#This Row],[Weekly change]])^52)-1</f>
        <v>0.27823019244104596</v>
      </c>
      <c r="E1636" s="25">
        <f t="shared" si="25"/>
        <v>1388.7750000000001</v>
      </c>
      <c r="F1636" s="33">
        <f>(Table2634[[#This Row],[4 weeks average]]-B1584)/B1584</f>
        <v>2.0332819043420897E-2</v>
      </c>
    </row>
    <row r="1637" spans="1:6" x14ac:dyDescent="0.2">
      <c r="A1637" s="23">
        <v>38817</v>
      </c>
      <c r="B1637" s="25">
        <f>VLOOKUP(Table2634[[#This Row],[Date]],'DB Money Supply'!$A:$D,4)</f>
        <v>1375.7</v>
      </c>
      <c r="C1637" s="31">
        <f>(Table2634[[#This Row],[M1 Money Stock, Billions of Dollars, Weekly, Seasonally Adjusted]]-B1636)/B1636</f>
        <v>-1.83388040530898E-2</v>
      </c>
      <c r="D1637" s="35">
        <f>((1+Table2634[[#This Row],[Weekly change]])^52)-1</f>
        <v>-0.61805181174435464</v>
      </c>
      <c r="E1637" s="25">
        <f t="shared" si="25"/>
        <v>1389.95</v>
      </c>
      <c r="F1637" s="33">
        <f>(Table2634[[#This Row],[4 weeks average]]-B1585)/B1585</f>
        <v>2.5566295285176781E-2</v>
      </c>
    </row>
    <row r="1638" spans="1:6" x14ac:dyDescent="0.2">
      <c r="A1638" s="23">
        <v>38824</v>
      </c>
      <c r="B1638" s="25">
        <f>VLOOKUP(Table2634[[#This Row],[Date]],'DB Money Supply'!$A:$D,4)</f>
        <v>1379.4</v>
      </c>
      <c r="C1638" s="31">
        <f>(Table2634[[#This Row],[M1 Money Stock, Billions of Dollars, Weekly, Seasonally Adjusted]]-B1637)/B1637</f>
        <v>2.6895398706113581E-3</v>
      </c>
      <c r="D1638" s="35">
        <f>((1+Table2634[[#This Row],[Weekly change]])^52)-1</f>
        <v>0.1498923572151043</v>
      </c>
      <c r="E1638" s="25">
        <f t="shared" si="25"/>
        <v>1387.8249999999998</v>
      </c>
      <c r="F1638" s="33">
        <f>(Table2634[[#This Row],[4 weeks average]]-B1586)/B1586</f>
        <v>2.4149509261309064E-2</v>
      </c>
    </row>
    <row r="1639" spans="1:6" x14ac:dyDescent="0.2">
      <c r="A1639" s="23">
        <v>38831</v>
      </c>
      <c r="B1639" s="25">
        <f>VLOOKUP(Table2634[[#This Row],[Date]],'DB Money Supply'!$A:$D,4)</f>
        <v>1388.1</v>
      </c>
      <c r="C1639" s="31">
        <f>(Table2634[[#This Row],[M1 Money Stock, Billions of Dollars, Weekly, Seasonally Adjusted]]-B1638)/B1638</f>
        <v>6.307090039147323E-3</v>
      </c>
      <c r="D1639" s="35">
        <f>((1+Table2634[[#This Row],[Weekly change]])^52)-1</f>
        <v>0.3867165331453688</v>
      </c>
      <c r="E1639" s="25">
        <f t="shared" si="25"/>
        <v>1386.15</v>
      </c>
      <c r="F1639" s="33">
        <f>(Table2634[[#This Row],[4 weeks average]]-B1587)/B1587</f>
        <v>1.7955496805463791E-2</v>
      </c>
    </row>
    <row r="1640" spans="1:6" x14ac:dyDescent="0.2">
      <c r="A1640" s="23">
        <v>38838</v>
      </c>
      <c r="B1640" s="25">
        <f>VLOOKUP(Table2634[[#This Row],[Date]],'DB Money Supply'!$A:$D,4)</f>
        <v>1372.5</v>
      </c>
      <c r="C1640" s="31">
        <f>(Table2634[[#This Row],[M1 Money Stock, Billions of Dollars, Weekly, Seasonally Adjusted]]-B1639)/B1639</f>
        <v>-1.1238383401772143E-2</v>
      </c>
      <c r="D1640" s="35">
        <f>((1+Table2634[[#This Row],[Weekly change]])^52)-1</f>
        <v>-0.44439884110703265</v>
      </c>
      <c r="E1640" s="25">
        <f t="shared" si="25"/>
        <v>1378.9250000000002</v>
      </c>
      <c r="F1640" s="33">
        <f>(Table2634[[#This Row],[4 weeks average]]-B1588)/B1588</f>
        <v>1.3617318435754255E-2</v>
      </c>
    </row>
    <row r="1641" spans="1:6" x14ac:dyDescent="0.2">
      <c r="A1641" s="23">
        <v>38845</v>
      </c>
      <c r="B1641" s="25">
        <f>VLOOKUP(Table2634[[#This Row],[Date]],'DB Money Supply'!$A:$D,4)</f>
        <v>1373.8</v>
      </c>
      <c r="C1641" s="31">
        <f>(Table2634[[#This Row],[M1 Money Stock, Billions of Dollars, Weekly, Seasonally Adjusted]]-B1640)/B1640</f>
        <v>9.4717668488156974E-4</v>
      </c>
      <c r="D1641" s="35">
        <f>((1+Table2634[[#This Row],[Weekly change]])^52)-1</f>
        <v>5.0461799570981958E-2</v>
      </c>
      <c r="E1641" s="25">
        <f t="shared" si="25"/>
        <v>1378.45</v>
      </c>
      <c r="F1641" s="33">
        <f>(Table2634[[#This Row],[4 weeks average]]-B1589)/B1589</f>
        <v>1.2226464972830146E-2</v>
      </c>
    </row>
    <row r="1642" spans="1:6" x14ac:dyDescent="0.2">
      <c r="A1642" s="23">
        <v>38852</v>
      </c>
      <c r="B1642" s="25">
        <f>VLOOKUP(Table2634[[#This Row],[Date]],'DB Money Supply'!$A:$D,4)</f>
        <v>1389.4</v>
      </c>
      <c r="C1642" s="31">
        <f>(Table2634[[#This Row],[M1 Money Stock, Billions of Dollars, Weekly, Seasonally Adjusted]]-B1641)/B1641</f>
        <v>1.1355364681904307E-2</v>
      </c>
      <c r="D1642" s="35">
        <f>((1+Table2634[[#This Row],[Weekly change]])^52)-1</f>
        <v>0.79885720453677811</v>
      </c>
      <c r="E1642" s="25">
        <f t="shared" si="25"/>
        <v>1380.9499999999998</v>
      </c>
      <c r="F1642" s="33">
        <f>(Table2634[[#This Row],[4 weeks average]]-B1590)/B1590</f>
        <v>1.7199469652327572E-2</v>
      </c>
    </row>
    <row r="1643" spans="1:6" x14ac:dyDescent="0.2">
      <c r="A1643" s="23">
        <v>38859</v>
      </c>
      <c r="B1643" s="25">
        <f>VLOOKUP(Table2634[[#This Row],[Date]],'DB Money Supply'!$A:$D,4)</f>
        <v>1394.8</v>
      </c>
      <c r="C1643" s="31">
        <f>(Table2634[[#This Row],[M1 Money Stock, Billions of Dollars, Weekly, Seasonally Adjusted]]-B1642)/B1642</f>
        <v>3.8865697423347222E-3</v>
      </c>
      <c r="D1643" s="35">
        <f>((1+Table2634[[#This Row],[Weekly change]])^52)-1</f>
        <v>0.22349302156817275</v>
      </c>
      <c r="E1643" s="25">
        <f t="shared" si="25"/>
        <v>1382.6250000000002</v>
      </c>
      <c r="F1643" s="33">
        <f>(Table2634[[#This Row],[4 weeks average]]-B1591)/B1591</f>
        <v>1.1134269416410806E-2</v>
      </c>
    </row>
    <row r="1644" spans="1:6" x14ac:dyDescent="0.2">
      <c r="A1644" s="23">
        <v>38866</v>
      </c>
      <c r="B1644" s="25">
        <f>VLOOKUP(Table2634[[#This Row],[Date]],'DB Money Supply'!$A:$D,4)</f>
        <v>1397.9</v>
      </c>
      <c r="C1644" s="31">
        <f>(Table2634[[#This Row],[M1 Money Stock, Billions of Dollars, Weekly, Seasonally Adjusted]]-B1643)/B1643</f>
        <v>2.2225408660740869E-3</v>
      </c>
      <c r="D1644" s="35">
        <f>((1+Table2634[[#This Row],[Weekly change]])^52)-1</f>
        <v>0.12237152880442026</v>
      </c>
      <c r="E1644" s="25">
        <f t="shared" si="25"/>
        <v>1388.9749999999999</v>
      </c>
      <c r="F1644" s="33">
        <f>(Table2634[[#This Row],[4 weeks average]]-B1592)/B1592</f>
        <v>6.9414238074523831E-3</v>
      </c>
    </row>
    <row r="1645" spans="1:6" x14ac:dyDescent="0.2">
      <c r="A1645" s="23">
        <v>38873</v>
      </c>
      <c r="B1645" s="25">
        <f>VLOOKUP(Table2634[[#This Row],[Date]],'DB Money Supply'!$A:$D,4)</f>
        <v>1369.1</v>
      </c>
      <c r="C1645" s="31">
        <f>(Table2634[[#This Row],[M1 Money Stock, Billions of Dollars, Weekly, Seasonally Adjusted]]-B1644)/B1644</f>
        <v>-2.0602332069532998E-2</v>
      </c>
      <c r="D1645" s="35">
        <f>((1+Table2634[[#This Row],[Weekly change]])^52)-1</f>
        <v>-0.66125615731984722</v>
      </c>
      <c r="E1645" s="25">
        <f t="shared" si="25"/>
        <v>1387.8000000000002</v>
      </c>
      <c r="F1645" s="33">
        <f>(Table2634[[#This Row],[4 weeks average]]-B1593)/B1593</f>
        <v>1.9167217448777363E-2</v>
      </c>
    </row>
    <row r="1646" spans="1:6" x14ac:dyDescent="0.2">
      <c r="A1646" s="23">
        <v>38880</v>
      </c>
      <c r="B1646" s="25">
        <f>VLOOKUP(Table2634[[#This Row],[Date]],'DB Money Supply'!$A:$D,4)</f>
        <v>1367.7</v>
      </c>
      <c r="C1646" s="31">
        <f>(Table2634[[#This Row],[M1 Money Stock, Billions of Dollars, Weekly, Seasonally Adjusted]]-B1645)/B1645</f>
        <v>-1.0225695712510873E-3</v>
      </c>
      <c r="D1646" s="35">
        <f>((1+Table2634[[#This Row],[Weekly change]])^52)-1</f>
        <v>-5.1810425022914663E-2</v>
      </c>
      <c r="E1646" s="25">
        <f t="shared" si="25"/>
        <v>1382.3749999999998</v>
      </c>
      <c r="F1646" s="33">
        <f>(Table2634[[#This Row],[4 weeks average]]-B1594)/B1594</f>
        <v>7.1215212006410199E-3</v>
      </c>
    </row>
    <row r="1647" spans="1:6" x14ac:dyDescent="0.2">
      <c r="A1647" s="23">
        <v>38887</v>
      </c>
      <c r="B1647" s="25">
        <f>VLOOKUP(Table2634[[#This Row],[Date]],'DB Money Supply'!$A:$D,4)</f>
        <v>1370.9</v>
      </c>
      <c r="C1647" s="31">
        <f>(Table2634[[#This Row],[M1 Money Stock, Billions of Dollars, Weekly, Seasonally Adjusted]]-B1646)/B1646</f>
        <v>2.3396943774219824E-3</v>
      </c>
      <c r="D1647" s="35">
        <f>((1+Table2634[[#This Row],[Weekly change]])^52)-1</f>
        <v>0.12921420929737648</v>
      </c>
      <c r="E1647" s="25">
        <f t="shared" si="25"/>
        <v>1376.4</v>
      </c>
      <c r="F1647" s="33">
        <f>(Table2634[[#This Row],[4 weeks average]]-B1595)/B1595</f>
        <v>-9.7129289876969564E-3</v>
      </c>
    </row>
    <row r="1648" spans="1:6" x14ac:dyDescent="0.2">
      <c r="A1648" s="23">
        <v>38894</v>
      </c>
      <c r="B1648" s="25">
        <f>VLOOKUP(Table2634[[#This Row],[Date]],'DB Money Supply'!$A:$D,4)</f>
        <v>1383.6</v>
      </c>
      <c r="C1648" s="31">
        <f>(Table2634[[#This Row],[M1 Money Stock, Billions of Dollars, Weekly, Seasonally Adjusted]]-B1647)/B1647</f>
        <v>9.2639871617184455E-3</v>
      </c>
      <c r="D1648" s="35">
        <f>((1+Table2634[[#This Row],[Weekly change]])^52)-1</f>
        <v>0.61528217100284133</v>
      </c>
      <c r="E1648" s="25">
        <f t="shared" si="25"/>
        <v>1372.8250000000003</v>
      </c>
      <c r="F1648" s="33">
        <f>(Table2634[[#This Row],[4 weeks average]]-B1596)/B1596</f>
        <v>-1.6248656395556952E-2</v>
      </c>
    </row>
    <row r="1649" spans="1:6" x14ac:dyDescent="0.2">
      <c r="A1649" s="23">
        <v>38901</v>
      </c>
      <c r="B1649" s="25">
        <f>VLOOKUP(Table2634[[#This Row],[Date]],'DB Money Supply'!$A:$D,4)</f>
        <v>1390.5</v>
      </c>
      <c r="C1649" s="31">
        <f>(Table2634[[#This Row],[M1 Money Stock, Billions of Dollars, Weekly, Seasonally Adjusted]]-B1648)/B1648</f>
        <v>4.9869904596704911E-3</v>
      </c>
      <c r="D1649" s="35">
        <f>((1+Table2634[[#This Row],[Weekly change]])^52)-1</f>
        <v>0.29521800391157593</v>
      </c>
      <c r="E1649" s="25">
        <f t="shared" si="25"/>
        <v>1378.1750000000002</v>
      </c>
      <c r="F1649" s="33">
        <f>(Table2634[[#This Row],[4 weeks average]]-B1597)/B1597</f>
        <v>1.8719104390813267E-3</v>
      </c>
    </row>
    <row r="1650" spans="1:6" x14ac:dyDescent="0.2">
      <c r="A1650" s="23">
        <v>38908</v>
      </c>
      <c r="B1650" s="25">
        <f>VLOOKUP(Table2634[[#This Row],[Date]],'DB Money Supply'!$A:$D,4)</f>
        <v>1372.4</v>
      </c>
      <c r="C1650" s="31">
        <f>(Table2634[[#This Row],[M1 Money Stock, Billions of Dollars, Weekly, Seasonally Adjusted]]-B1649)/B1649</f>
        <v>-1.3016900395541106E-2</v>
      </c>
      <c r="D1650" s="35">
        <f>((1+Table2634[[#This Row],[Weekly change]])^52)-1</f>
        <v>-0.49405274783700348</v>
      </c>
      <c r="E1650" s="25">
        <f t="shared" si="25"/>
        <v>1379.35</v>
      </c>
      <c r="F1650" s="33">
        <f>(Table2634[[#This Row],[4 weeks average]]-B1598)/B1598</f>
        <v>1.0660902696365734E-2</v>
      </c>
    </row>
    <row r="1651" spans="1:6" x14ac:dyDescent="0.2">
      <c r="A1651" s="23">
        <v>38915</v>
      </c>
      <c r="B1651" s="25">
        <f>VLOOKUP(Table2634[[#This Row],[Date]],'DB Money Supply'!$A:$D,4)</f>
        <v>1359.2</v>
      </c>
      <c r="C1651" s="31">
        <f>(Table2634[[#This Row],[M1 Money Stock, Billions of Dollars, Weekly, Seasonally Adjusted]]-B1650)/B1650</f>
        <v>-9.6181871174584998E-3</v>
      </c>
      <c r="D1651" s="35">
        <f>((1+Table2634[[#This Row],[Weekly change]])^52)-1</f>
        <v>-0.39502401295987655</v>
      </c>
      <c r="E1651" s="25">
        <f t="shared" si="25"/>
        <v>1376.425</v>
      </c>
      <c r="F1651" s="33">
        <f>(Table2634[[#This Row],[4 weeks average]]-B1599)/B1599</f>
        <v>8.8133978305481257E-3</v>
      </c>
    </row>
    <row r="1652" spans="1:6" x14ac:dyDescent="0.2">
      <c r="A1652" s="23">
        <v>38922</v>
      </c>
      <c r="B1652" s="25">
        <f>VLOOKUP(Table2634[[#This Row],[Date]],'DB Money Supply'!$A:$D,4)</f>
        <v>1377.5</v>
      </c>
      <c r="C1652" s="31">
        <f>(Table2634[[#This Row],[M1 Money Stock, Billions of Dollars, Weekly, Seasonally Adjusted]]-B1651)/B1651</f>
        <v>1.3463802236609736E-2</v>
      </c>
      <c r="D1652" s="35">
        <f>((1+Table2634[[#This Row],[Weekly change]])^52)-1</f>
        <v>1.0046038793005305</v>
      </c>
      <c r="E1652" s="25">
        <f t="shared" si="25"/>
        <v>1374.9</v>
      </c>
      <c r="F1652" s="33">
        <f>(Table2634[[#This Row],[4 weeks average]]-B1600)/B1600</f>
        <v>-3.4067845752390681E-3</v>
      </c>
    </row>
    <row r="1653" spans="1:6" x14ac:dyDescent="0.2">
      <c r="A1653" s="23">
        <v>38929</v>
      </c>
      <c r="B1653" s="25">
        <f>VLOOKUP(Table2634[[#This Row],[Date]],'DB Money Supply'!$A:$D,4)</f>
        <v>1372.9</v>
      </c>
      <c r="C1653" s="31">
        <f>(Table2634[[#This Row],[M1 Money Stock, Billions of Dollars, Weekly, Seasonally Adjusted]]-B1652)/B1652</f>
        <v>-3.3393829401088268E-3</v>
      </c>
      <c r="D1653" s="35">
        <f>((1+Table2634[[#This Row],[Weekly change]])^52)-1</f>
        <v>-0.15965142116760267</v>
      </c>
      <c r="E1653" s="25">
        <f t="shared" si="25"/>
        <v>1370.5</v>
      </c>
      <c r="F1653" s="33">
        <f>(Table2634[[#This Row],[4 weeks average]]-B1601)/B1601</f>
        <v>5.9453904873751533E-3</v>
      </c>
    </row>
    <row r="1654" spans="1:6" x14ac:dyDescent="0.2">
      <c r="A1654" s="23">
        <v>38936</v>
      </c>
      <c r="B1654" s="25">
        <f>VLOOKUP(Table2634[[#This Row],[Date]],'DB Money Supply'!$A:$D,4)</f>
        <v>1357.2</v>
      </c>
      <c r="C1654" s="31">
        <f>(Table2634[[#This Row],[M1 Money Stock, Billions of Dollars, Weekly, Seasonally Adjusted]]-B1653)/B1653</f>
        <v>-1.1435647170223646E-2</v>
      </c>
      <c r="D1654" s="35">
        <f>((1+Table2634[[#This Row],[Weekly change]])^52)-1</f>
        <v>-0.45013359137119546</v>
      </c>
      <c r="E1654" s="25">
        <f t="shared" si="25"/>
        <v>1366.7</v>
      </c>
      <c r="F1654" s="33">
        <f>(Table2634[[#This Row],[4 weeks average]]-B1602)/B1602</f>
        <v>1.4635931211126634E-4</v>
      </c>
    </row>
    <row r="1655" spans="1:6" x14ac:dyDescent="0.2">
      <c r="A1655" s="23">
        <v>38943</v>
      </c>
      <c r="B1655" s="25">
        <f>VLOOKUP(Table2634[[#This Row],[Date]],'DB Money Supply'!$A:$D,4)</f>
        <v>1364.8</v>
      </c>
      <c r="C1655" s="31">
        <f>(Table2634[[#This Row],[M1 Money Stock, Billions of Dollars, Weekly, Seasonally Adjusted]]-B1654)/B1654</f>
        <v>5.5997642204538081E-3</v>
      </c>
      <c r="D1655" s="35">
        <f>((1+Table2634[[#This Row],[Weekly change]])^52)-1</f>
        <v>0.33692938273075512</v>
      </c>
      <c r="E1655" s="25">
        <f t="shared" si="25"/>
        <v>1368.1000000000001</v>
      </c>
      <c r="F1655" s="33">
        <f>(Table2634[[#This Row],[4 weeks average]]-B1603)/B1603</f>
        <v>-5.4521663274205972E-3</v>
      </c>
    </row>
    <row r="1656" spans="1:6" x14ac:dyDescent="0.2">
      <c r="A1656" s="23">
        <v>38950</v>
      </c>
      <c r="B1656" s="25">
        <f>VLOOKUP(Table2634[[#This Row],[Date]],'DB Money Supply'!$A:$D,4)</f>
        <v>1382.8</v>
      </c>
      <c r="C1656" s="31">
        <f>(Table2634[[#This Row],[M1 Money Stock, Billions of Dollars, Weekly, Seasonally Adjusted]]-B1655)/B1655</f>
        <v>1.3188745603751465E-2</v>
      </c>
      <c r="D1656" s="35">
        <f>((1+Table2634[[#This Row],[Weekly change]])^52)-1</f>
        <v>0.97650795417983738</v>
      </c>
      <c r="E1656" s="25">
        <f t="shared" si="25"/>
        <v>1369.4250000000002</v>
      </c>
      <c r="F1656" s="33">
        <f>(Table2634[[#This Row],[4 weeks average]]-B1604)/B1604</f>
        <v>-1.3737846597047042E-2</v>
      </c>
    </row>
    <row r="1657" spans="1:6" x14ac:dyDescent="0.2">
      <c r="A1657" s="23">
        <v>38957</v>
      </c>
      <c r="B1657" s="25">
        <f>VLOOKUP(Table2634[[#This Row],[Date]],'DB Money Supply'!$A:$D,4)</f>
        <v>1384</v>
      </c>
      <c r="C1657" s="31">
        <f>(Table2634[[#This Row],[M1 Money Stock, Billions of Dollars, Weekly, Seasonally Adjusted]]-B1656)/B1656</f>
        <v>8.6780445472956717E-4</v>
      </c>
      <c r="D1657" s="35">
        <f>((1+Table2634[[#This Row],[Weekly change]])^52)-1</f>
        <v>4.6139019630029532E-2</v>
      </c>
      <c r="E1657" s="25">
        <f t="shared" si="25"/>
        <v>1372.2</v>
      </c>
      <c r="F1657" s="33">
        <f>(Table2634[[#This Row],[4 weeks average]]-B1605)/B1605</f>
        <v>-1.0313739632167295E-2</v>
      </c>
    </row>
    <row r="1658" spans="1:6" x14ac:dyDescent="0.2">
      <c r="A1658" s="23">
        <v>38964</v>
      </c>
      <c r="B1658" s="25">
        <f>VLOOKUP(Table2634[[#This Row],[Date]],'DB Money Supply'!$A:$D,4)</f>
        <v>1373.8</v>
      </c>
      <c r="C1658" s="31">
        <f>(Table2634[[#This Row],[M1 Money Stock, Billions of Dollars, Weekly, Seasonally Adjusted]]-B1657)/B1657</f>
        <v>-7.3699421965318247E-3</v>
      </c>
      <c r="D1658" s="35">
        <f>((1+Table2634[[#This Row],[Weekly change]])^52)-1</f>
        <v>-0.31931537694762968</v>
      </c>
      <c r="E1658" s="25">
        <f t="shared" si="25"/>
        <v>1376.3500000000001</v>
      </c>
      <c r="F1658" s="33">
        <f>(Table2634[[#This Row],[4 weeks average]]-B1606)/B1606</f>
        <v>8.7584286133099119E-3</v>
      </c>
    </row>
    <row r="1659" spans="1:6" x14ac:dyDescent="0.2">
      <c r="A1659" s="23">
        <v>38971</v>
      </c>
      <c r="B1659" s="25">
        <f>VLOOKUP(Table2634[[#This Row],[Date]],'DB Money Supply'!$A:$D,4)</f>
        <v>1365.4</v>
      </c>
      <c r="C1659" s="31">
        <f>(Table2634[[#This Row],[M1 Money Stock, Billions of Dollars, Weekly, Seasonally Adjusted]]-B1658)/B1658</f>
        <v>-6.1144271364098586E-3</v>
      </c>
      <c r="D1659" s="35">
        <f>((1+Table2634[[#This Row],[Weekly change]])^52)-1</f>
        <v>-0.27307082955717699</v>
      </c>
      <c r="E1659" s="25">
        <f t="shared" si="25"/>
        <v>1376.5</v>
      </c>
      <c r="F1659" s="33">
        <f>(Table2634[[#This Row],[4 weeks average]]-B1607)/B1607</f>
        <v>7.0231911624843869E-3</v>
      </c>
    </row>
    <row r="1660" spans="1:6" x14ac:dyDescent="0.2">
      <c r="A1660" s="23">
        <v>38978</v>
      </c>
      <c r="B1660" s="25">
        <f>VLOOKUP(Table2634[[#This Row],[Date]],'DB Money Supply'!$A:$D,4)</f>
        <v>1357.6</v>
      </c>
      <c r="C1660" s="31">
        <f>(Table2634[[#This Row],[M1 Money Stock, Billions of Dollars, Weekly, Seasonally Adjusted]]-B1659)/B1659</f>
        <v>-5.712611688882512E-3</v>
      </c>
      <c r="D1660" s="35">
        <f>((1+Table2634[[#This Row],[Weekly change]])^52)-1</f>
        <v>-0.25763002043530259</v>
      </c>
      <c r="E1660" s="25">
        <f t="shared" si="25"/>
        <v>1370.2000000000003</v>
      </c>
      <c r="F1660" s="33">
        <f>(Table2634[[#This Row],[4 weeks average]]-B1608)/B1608</f>
        <v>-7.1733932323742025E-3</v>
      </c>
    </row>
    <row r="1661" spans="1:6" x14ac:dyDescent="0.2">
      <c r="A1661" s="23">
        <v>38985</v>
      </c>
      <c r="B1661" s="25">
        <f>VLOOKUP(Table2634[[#This Row],[Date]],'DB Money Supply'!$A:$D,4)</f>
        <v>1364.9</v>
      </c>
      <c r="C1661" s="31">
        <f>(Table2634[[#This Row],[M1 Money Stock, Billions of Dollars, Weekly, Seasonally Adjusted]]-B1660)/B1660</f>
        <v>5.3771361225693742E-3</v>
      </c>
      <c r="D1661" s="35">
        <f>((1+Table2634[[#This Row],[Weekly change]])^52)-1</f>
        <v>0.32162495892440157</v>
      </c>
      <c r="E1661" s="25">
        <f t="shared" si="25"/>
        <v>1365.4249999999997</v>
      </c>
      <c r="F1661" s="33">
        <f>(Table2634[[#This Row],[4 weeks average]]-B1609)/B1609</f>
        <v>-1.661865322290261E-2</v>
      </c>
    </row>
    <row r="1662" spans="1:6" x14ac:dyDescent="0.2">
      <c r="A1662" s="23">
        <v>38992</v>
      </c>
      <c r="B1662" s="25">
        <f>VLOOKUP(Table2634[[#This Row],[Date]],'DB Money Supply'!$A:$D,4)</f>
        <v>1364.3</v>
      </c>
      <c r="C1662" s="31">
        <f>(Table2634[[#This Row],[M1 Money Stock, Billions of Dollars, Weekly, Seasonally Adjusted]]-B1661)/B1661</f>
        <v>-4.3959264414985448E-4</v>
      </c>
      <c r="D1662" s="35">
        <f>((1+Table2634[[#This Row],[Weekly change]])^52)-1</f>
        <v>-2.2604446286709434E-2</v>
      </c>
      <c r="E1662" s="25">
        <f t="shared" si="25"/>
        <v>1363.05</v>
      </c>
      <c r="F1662" s="33">
        <f>(Table2634[[#This Row],[4 weeks average]]-B1610)/B1610</f>
        <v>-2.4092503758860236E-2</v>
      </c>
    </row>
    <row r="1663" spans="1:6" x14ac:dyDescent="0.2">
      <c r="A1663" s="23">
        <v>38999</v>
      </c>
      <c r="B1663" s="25">
        <f>VLOOKUP(Table2634[[#This Row],[Date]],'DB Money Supply'!$A:$D,4)</f>
        <v>1368.1</v>
      </c>
      <c r="C1663" s="31">
        <f>(Table2634[[#This Row],[M1 Money Stock, Billions of Dollars, Weekly, Seasonally Adjusted]]-B1662)/B1662</f>
        <v>2.7853111485743273E-3</v>
      </c>
      <c r="D1663" s="35">
        <f>((1+Table2634[[#This Row],[Weekly change]])^52)-1</f>
        <v>0.15561751552325997</v>
      </c>
      <c r="E1663" s="25">
        <f t="shared" si="25"/>
        <v>1363.7249999999999</v>
      </c>
      <c r="F1663" s="33">
        <f>(Table2634[[#This Row],[4 weeks average]]-B1611)/B1611</f>
        <v>-6.3934426229508862E-3</v>
      </c>
    </row>
    <row r="1664" spans="1:6" x14ac:dyDescent="0.2">
      <c r="A1664" s="23">
        <v>39006</v>
      </c>
      <c r="B1664" s="25">
        <f>VLOOKUP(Table2634[[#This Row],[Date]],'DB Money Supply'!$A:$D,4)</f>
        <v>1360.6</v>
      </c>
      <c r="C1664" s="31">
        <f>(Table2634[[#This Row],[M1 Money Stock, Billions of Dollars, Weekly, Seasonally Adjusted]]-B1663)/B1663</f>
        <v>-5.4820554053066298E-3</v>
      </c>
      <c r="D1664" s="35">
        <f>((1+Table2634[[#This Row],[Weekly change]])^52)-1</f>
        <v>-0.24862553134426546</v>
      </c>
      <c r="E1664" s="25">
        <f t="shared" si="25"/>
        <v>1364.4749999999999</v>
      </c>
      <c r="F1664" s="33">
        <f>(Table2634[[#This Row],[4 weeks average]]-B1612)/B1612</f>
        <v>-7.5064079091914388E-4</v>
      </c>
    </row>
    <row r="1665" spans="1:6" x14ac:dyDescent="0.2">
      <c r="A1665" s="23">
        <v>39013</v>
      </c>
      <c r="B1665" s="25">
        <f>VLOOKUP(Table2634[[#This Row],[Date]],'DB Money Supply'!$A:$D,4)</f>
        <v>1380.3</v>
      </c>
      <c r="C1665" s="31">
        <f>(Table2634[[#This Row],[M1 Money Stock, Billions of Dollars, Weekly, Seasonally Adjusted]]-B1664)/B1664</f>
        <v>1.4478906364839075E-2</v>
      </c>
      <c r="D1665" s="35">
        <f>((1+Table2634[[#This Row],[Weekly change]])^52)-1</f>
        <v>1.1117237809710301</v>
      </c>
      <c r="E1665" s="25">
        <f t="shared" si="25"/>
        <v>1368.3249999999998</v>
      </c>
      <c r="F1665" s="33">
        <f>(Table2634[[#This Row],[4 weeks average]]-B1613)/B1613</f>
        <v>-9.895079594790291E-3</v>
      </c>
    </row>
    <row r="1666" spans="1:6" x14ac:dyDescent="0.2">
      <c r="A1666" s="23">
        <v>39020</v>
      </c>
      <c r="B1666" s="25">
        <f>VLOOKUP(Table2634[[#This Row],[Date]],'DB Money Supply'!$A:$D,4)</f>
        <v>1376.4</v>
      </c>
      <c r="C1666" s="31">
        <f>(Table2634[[#This Row],[M1 Money Stock, Billions of Dollars, Weekly, Seasonally Adjusted]]-B1665)/B1665</f>
        <v>-2.8254727233209182E-3</v>
      </c>
      <c r="D1666" s="35">
        <f>((1+Table2634[[#This Row],[Weekly change]])^52)-1</f>
        <v>-0.13682043522790011</v>
      </c>
      <c r="E1666" s="25">
        <f t="shared" si="25"/>
        <v>1371.35</v>
      </c>
      <c r="F1666" s="33">
        <f>(Table2634[[#This Row],[4 weeks average]]-B1614)/B1614</f>
        <v>-4.3200464677267446E-3</v>
      </c>
    </row>
    <row r="1667" spans="1:6" x14ac:dyDescent="0.2">
      <c r="A1667" s="23">
        <v>39027</v>
      </c>
      <c r="B1667" s="25">
        <f>VLOOKUP(Table2634[[#This Row],[Date]],'DB Money Supply'!$A:$D,4)</f>
        <v>1351.1</v>
      </c>
      <c r="C1667" s="31">
        <f>(Table2634[[#This Row],[M1 Money Stock, Billions of Dollars, Weekly, Seasonally Adjusted]]-B1666)/B1666</f>
        <v>-1.8381284510316901E-2</v>
      </c>
      <c r="D1667" s="35">
        <f>((1+Table2634[[#This Row],[Weekly change]])^52)-1</f>
        <v>-0.61891034317397053</v>
      </c>
      <c r="E1667" s="25">
        <f t="shared" si="25"/>
        <v>1367.1</v>
      </c>
      <c r="F1667" s="33">
        <f>(Table2634[[#This Row],[4 weeks average]]-B1615)/B1615</f>
        <v>4.8511576626239688E-3</v>
      </c>
    </row>
    <row r="1668" spans="1:6" x14ac:dyDescent="0.2">
      <c r="A1668" s="23">
        <v>39034</v>
      </c>
      <c r="B1668" s="25">
        <f>VLOOKUP(Table2634[[#This Row],[Date]],'DB Money Supply'!$A:$D,4)</f>
        <v>1361.3</v>
      </c>
      <c r="C1668" s="31">
        <f>(Table2634[[#This Row],[M1 Money Stock, Billions of Dollars, Weekly, Seasonally Adjusted]]-B1667)/B1667</f>
        <v>7.5494041891792218E-3</v>
      </c>
      <c r="D1668" s="35">
        <f>((1+Table2634[[#This Row],[Weekly change]])^52)-1</f>
        <v>0.47859838624186213</v>
      </c>
      <c r="E1668" s="25">
        <f t="shared" si="25"/>
        <v>1367.2749999999999</v>
      </c>
      <c r="F1668" s="33">
        <f>(Table2634[[#This Row],[4 weeks average]]-B1616)/B1616</f>
        <v>-2.644248304034012E-3</v>
      </c>
    </row>
    <row r="1669" spans="1:6" x14ac:dyDescent="0.2">
      <c r="A1669" s="23">
        <v>39041</v>
      </c>
      <c r="B1669" s="25">
        <f>VLOOKUP(Table2634[[#This Row],[Date]],'DB Money Supply'!$A:$D,4)</f>
        <v>1380.2</v>
      </c>
      <c r="C1669" s="31">
        <f>(Table2634[[#This Row],[M1 Money Stock, Billions of Dollars, Weekly, Seasonally Adjusted]]-B1668)/B1668</f>
        <v>1.3883787556012703E-2</v>
      </c>
      <c r="D1669" s="35">
        <f>((1+Table2634[[#This Row],[Weekly change]])^52)-1</f>
        <v>1.0482609473111641</v>
      </c>
      <c r="E1669" s="25">
        <f t="shared" si="25"/>
        <v>1367.25</v>
      </c>
      <c r="F1669" s="33">
        <f>(Table2634[[#This Row],[4 weeks average]]-B1617)/B1617</f>
        <v>-1.494956772334294E-2</v>
      </c>
    </row>
    <row r="1670" spans="1:6" x14ac:dyDescent="0.2">
      <c r="A1670" s="23">
        <v>39048</v>
      </c>
      <c r="B1670" s="25">
        <f>VLOOKUP(Table2634[[#This Row],[Date]],'DB Money Supply'!$A:$D,4)</f>
        <v>1386.4</v>
      </c>
      <c r="C1670" s="31">
        <f>(Table2634[[#This Row],[M1 Money Stock, Billions of Dollars, Weekly, Seasonally Adjusted]]-B1669)/B1669</f>
        <v>4.492102593827014E-3</v>
      </c>
      <c r="D1670" s="35">
        <f>((1+Table2634[[#This Row],[Weekly change]])^52)-1</f>
        <v>0.26246511130360539</v>
      </c>
      <c r="E1670" s="25">
        <f t="shared" si="25"/>
        <v>1369.75</v>
      </c>
      <c r="F1670" s="33">
        <f>(Table2634[[#This Row],[4 weeks average]]-B1618)/B1618</f>
        <v>-1.1938252903411927E-2</v>
      </c>
    </row>
    <row r="1671" spans="1:6" x14ac:dyDescent="0.2">
      <c r="A1671" s="23">
        <v>39055</v>
      </c>
      <c r="B1671" s="25">
        <f>VLOOKUP(Table2634[[#This Row],[Date]],'DB Money Supply'!$A:$D,4)</f>
        <v>1374.1</v>
      </c>
      <c r="C1671" s="31">
        <f>(Table2634[[#This Row],[M1 Money Stock, Billions of Dollars, Weekly, Seasonally Adjusted]]-B1670)/B1670</f>
        <v>-8.8718984420082091E-3</v>
      </c>
      <c r="D1671" s="35">
        <f>((1+Table2634[[#This Row],[Weekly change]])^52)-1</f>
        <v>-0.37085742541510525</v>
      </c>
      <c r="E1671" s="25">
        <f t="shared" si="25"/>
        <v>1375.5</v>
      </c>
      <c r="F1671" s="33">
        <f>(Table2634[[#This Row],[4 weeks average]]-B1619)/B1619</f>
        <v>2.9165147648559969E-3</v>
      </c>
    </row>
    <row r="1672" spans="1:6" x14ac:dyDescent="0.2">
      <c r="A1672" s="23">
        <v>39062</v>
      </c>
      <c r="B1672" s="25">
        <f>VLOOKUP(Table2634[[#This Row],[Date]],'DB Money Supply'!$A:$D,4)</f>
        <v>1360.3</v>
      </c>
      <c r="C1672" s="31">
        <f>(Table2634[[#This Row],[M1 Money Stock, Billions of Dollars, Weekly, Seasonally Adjusted]]-B1671)/B1671</f>
        <v>-1.0042937195255043E-2</v>
      </c>
      <c r="D1672" s="35">
        <f>((1+Table2634[[#This Row],[Weekly change]])^52)-1</f>
        <v>-0.40836938519071631</v>
      </c>
      <c r="E1672" s="25">
        <f t="shared" si="25"/>
        <v>1375.2500000000002</v>
      </c>
      <c r="F1672" s="33">
        <f>(Table2634[[#This Row],[4 weeks average]]-B1620)/B1620</f>
        <v>5.2997076023393475E-3</v>
      </c>
    </row>
    <row r="1673" spans="1:6" x14ac:dyDescent="0.2">
      <c r="A1673" s="23">
        <v>39069</v>
      </c>
      <c r="B1673" s="25">
        <f>VLOOKUP(Table2634[[#This Row],[Date]],'DB Money Supply'!$A:$D,4)</f>
        <v>1359.2</v>
      </c>
      <c r="C1673" s="31">
        <f>(Table2634[[#This Row],[M1 Money Stock, Billions of Dollars, Weekly, Seasonally Adjusted]]-B1672)/B1672</f>
        <v>-8.0864515180468209E-4</v>
      </c>
      <c r="D1673" s="35">
        <f>((1+Table2634[[#This Row],[Weekly change]])^52)-1</f>
        <v>-4.1194038378330577E-2</v>
      </c>
      <c r="E1673" s="25">
        <f t="shared" ref="E1673:E1736" si="26">AVERAGE(B1670:B1673)</f>
        <v>1370</v>
      </c>
      <c r="F1673" s="33">
        <f>(Table2634[[#This Row],[4 weeks average]]-B1621)/B1621</f>
        <v>-2.2576651372805396E-3</v>
      </c>
    </row>
    <row r="1674" spans="1:6" x14ac:dyDescent="0.2">
      <c r="A1674" s="23">
        <v>39076</v>
      </c>
      <c r="B1674" s="25">
        <f>VLOOKUP(Table2634[[#This Row],[Date]],'DB Money Supply'!$A:$D,4)</f>
        <v>1380.4</v>
      </c>
      <c r="C1674" s="31">
        <f>(Table2634[[#This Row],[M1 Money Stock, Billions of Dollars, Weekly, Seasonally Adjusted]]-B1673)/B1673</f>
        <v>1.5597410241318456E-2</v>
      </c>
      <c r="D1674" s="35">
        <f>((1+Table2634[[#This Row],[Weekly change]])^52)-1</f>
        <v>1.2362605756935161</v>
      </c>
      <c r="E1674" s="25">
        <f t="shared" si="26"/>
        <v>1368.5</v>
      </c>
      <c r="F1674" s="33">
        <f>(Table2634[[#This Row],[4 weeks average]]-B1622)/B1622</f>
        <v>-1.0484454085321764E-2</v>
      </c>
    </row>
    <row r="1675" spans="1:6" x14ac:dyDescent="0.2">
      <c r="A1675" s="23">
        <v>39083</v>
      </c>
      <c r="B1675" s="25">
        <f>VLOOKUP(Table2634[[#This Row],[Date]],'DB Money Supply'!$A:$D,4)</f>
        <v>1361.3</v>
      </c>
      <c r="C1675" s="31">
        <f>(Table2634[[#This Row],[M1 Money Stock, Billions of Dollars, Weekly, Seasonally Adjusted]]-B1674)/B1674</f>
        <v>-1.3836569110402879E-2</v>
      </c>
      <c r="D1675" s="35">
        <f>((1+Table2634[[#This Row],[Weekly change]])^52)-1</f>
        <v>-0.51544566562287186</v>
      </c>
      <c r="E1675" s="25">
        <f t="shared" si="26"/>
        <v>1365.3</v>
      </c>
      <c r="F1675" s="33">
        <f>(Table2634[[#This Row],[4 weeks average]]-B1623)/B1623</f>
        <v>-7.4154852780807306E-3</v>
      </c>
    </row>
    <row r="1676" spans="1:6" x14ac:dyDescent="0.2">
      <c r="A1676" s="23">
        <v>39090</v>
      </c>
      <c r="B1676" s="25">
        <f>VLOOKUP(Table2634[[#This Row],[Date]],'DB Money Supply'!$A:$D,4)</f>
        <v>1355.7</v>
      </c>
      <c r="C1676" s="31">
        <f>(Table2634[[#This Row],[M1 Money Stock, Billions of Dollars, Weekly, Seasonally Adjusted]]-B1675)/B1675</f>
        <v>-4.1137148314110842E-3</v>
      </c>
      <c r="D1676" s="35">
        <f>((1+Table2634[[#This Row],[Weekly change]])^52)-1</f>
        <v>-0.19293766475782437</v>
      </c>
      <c r="E1676" s="25">
        <f t="shared" si="26"/>
        <v>1364.15</v>
      </c>
      <c r="F1676" s="33">
        <f>(Table2634[[#This Row],[4 weeks average]]-B1624)/B1624</f>
        <v>-5.721574344023257E-3</v>
      </c>
    </row>
    <row r="1677" spans="1:6" x14ac:dyDescent="0.2">
      <c r="A1677" s="23">
        <v>39097</v>
      </c>
      <c r="B1677" s="25">
        <f>VLOOKUP(Table2634[[#This Row],[Date]],'DB Money Supply'!$A:$D,4)</f>
        <v>1382.9</v>
      </c>
      <c r="C1677" s="31">
        <f>(Table2634[[#This Row],[M1 Money Stock, Billions of Dollars, Weekly, Seasonally Adjusted]]-B1676)/B1676</f>
        <v>2.0063435863391637E-2</v>
      </c>
      <c r="D1677" s="35">
        <f>((1+Table2634[[#This Row],[Weekly change]])^52)-1</f>
        <v>1.8093987824605571</v>
      </c>
      <c r="E1677" s="25">
        <f t="shared" si="26"/>
        <v>1370.0749999999998</v>
      </c>
      <c r="F1677" s="33">
        <f>(Table2634[[#This Row],[4 weeks average]]-B1625)/B1625</f>
        <v>-4.1612152929205821E-3</v>
      </c>
    </row>
    <row r="1678" spans="1:6" x14ac:dyDescent="0.2">
      <c r="A1678" s="23">
        <v>39104</v>
      </c>
      <c r="B1678" s="25">
        <f>VLOOKUP(Table2634[[#This Row],[Date]],'DB Money Supply'!$A:$D,4)</f>
        <v>1373.2</v>
      </c>
      <c r="C1678" s="31">
        <f>(Table2634[[#This Row],[M1 Money Stock, Billions of Dollars, Weekly, Seasonally Adjusted]]-B1677)/B1677</f>
        <v>-7.0142454262781435E-3</v>
      </c>
      <c r="D1678" s="35">
        <f>((1+Table2634[[#This Row],[Weekly change]])^52)-1</f>
        <v>-0.3065152061389147</v>
      </c>
      <c r="E1678" s="25">
        <f t="shared" si="26"/>
        <v>1368.2749999999999</v>
      </c>
      <c r="F1678" s="33">
        <f>(Table2634[[#This Row],[4 weeks average]]-B1626)/B1626</f>
        <v>-1.0718675439230748E-2</v>
      </c>
    </row>
    <row r="1679" spans="1:6" x14ac:dyDescent="0.2">
      <c r="A1679" s="23">
        <v>39111</v>
      </c>
      <c r="B1679" s="25">
        <f>VLOOKUP(Table2634[[#This Row],[Date]],'DB Money Supply'!$A:$D,4)</f>
        <v>1377</v>
      </c>
      <c r="C1679" s="31">
        <f>(Table2634[[#This Row],[M1 Money Stock, Billions of Dollars, Weekly, Seasonally Adjusted]]-B1678)/B1678</f>
        <v>2.7672589571802754E-3</v>
      </c>
      <c r="D1679" s="35">
        <f>((1+Table2634[[#This Row],[Weekly change]])^52)-1</f>
        <v>0.15453623078006751</v>
      </c>
      <c r="E1679" s="25">
        <f t="shared" si="26"/>
        <v>1372.2</v>
      </c>
      <c r="F1679" s="33">
        <f>(Table2634[[#This Row],[4 weeks average]]-B1627)/B1627</f>
        <v>-1.2663692617642761E-2</v>
      </c>
    </row>
    <row r="1680" spans="1:6" x14ac:dyDescent="0.2">
      <c r="A1680" s="23">
        <v>39118</v>
      </c>
      <c r="B1680" s="25">
        <f>VLOOKUP(Table2634[[#This Row],[Date]],'DB Money Supply'!$A:$D,4)</f>
        <v>1369.9</v>
      </c>
      <c r="C1680" s="31">
        <f>(Table2634[[#This Row],[M1 Money Stock, Billions of Dollars, Weekly, Seasonally Adjusted]]-B1679)/B1679</f>
        <v>-5.1561365286854821E-3</v>
      </c>
      <c r="D1680" s="35">
        <f>((1+Table2634[[#This Row],[Weekly change]])^52)-1</f>
        <v>-0.23571361769829824</v>
      </c>
      <c r="E1680" s="25">
        <f t="shared" si="26"/>
        <v>1375.75</v>
      </c>
      <c r="F1680" s="33">
        <f>(Table2634[[#This Row],[4 weeks average]]-B1628)/B1628</f>
        <v>4.7838153666374195E-3</v>
      </c>
    </row>
    <row r="1681" spans="1:6" x14ac:dyDescent="0.2">
      <c r="A1681" s="23">
        <v>39125</v>
      </c>
      <c r="B1681" s="25">
        <f>VLOOKUP(Table2634[[#This Row],[Date]],'DB Money Supply'!$A:$D,4)</f>
        <v>1361.7</v>
      </c>
      <c r="C1681" s="31">
        <f>(Table2634[[#This Row],[M1 Money Stock, Billions of Dollars, Weekly, Seasonally Adjusted]]-B1680)/B1680</f>
        <v>-5.9858383823637087E-3</v>
      </c>
      <c r="D1681" s="35">
        <f>((1+Table2634[[#This Row],[Weekly change]])^52)-1</f>
        <v>-0.26816406085664357</v>
      </c>
      <c r="E1681" s="25">
        <f t="shared" si="26"/>
        <v>1370.45</v>
      </c>
      <c r="F1681" s="33">
        <f>(Table2634[[#This Row],[4 weeks average]]-B1629)/B1629</f>
        <v>1.35174631009801E-3</v>
      </c>
    </row>
    <row r="1682" spans="1:6" x14ac:dyDescent="0.2">
      <c r="A1682" s="23">
        <v>39132</v>
      </c>
      <c r="B1682" s="25">
        <f>VLOOKUP(Table2634[[#This Row],[Date]],'DB Money Supply'!$A:$D,4)</f>
        <v>1361.7</v>
      </c>
      <c r="C1682" s="31">
        <f>(Table2634[[#This Row],[M1 Money Stock, Billions of Dollars, Weekly, Seasonally Adjusted]]-B1681)/B1681</f>
        <v>0</v>
      </c>
      <c r="D1682" s="35">
        <f>((1+Table2634[[#This Row],[Weekly change]])^52)-1</f>
        <v>0</v>
      </c>
      <c r="E1682" s="25">
        <f t="shared" si="26"/>
        <v>1367.575</v>
      </c>
      <c r="F1682" s="33">
        <f>(Table2634[[#This Row],[4 weeks average]]-B1630)/B1630</f>
        <v>-1.1367743801055381E-2</v>
      </c>
    </row>
    <row r="1683" spans="1:6" x14ac:dyDescent="0.2">
      <c r="A1683" s="23">
        <v>39139</v>
      </c>
      <c r="B1683" s="25">
        <f>VLOOKUP(Table2634[[#This Row],[Date]],'DB Money Supply'!$A:$D,4)</f>
        <v>1362</v>
      </c>
      <c r="C1683" s="31">
        <f>(Table2634[[#This Row],[M1 Money Stock, Billions of Dollars, Weekly, Seasonally Adjusted]]-B1682)/B1682</f>
        <v>2.2031284423878572E-4</v>
      </c>
      <c r="D1683" s="35">
        <f>((1+Table2634[[#This Row],[Weekly change]])^52)-1</f>
        <v>1.1520865921317958E-2</v>
      </c>
      <c r="E1683" s="25">
        <f t="shared" si="26"/>
        <v>1363.825</v>
      </c>
      <c r="F1683" s="33">
        <f>(Table2634[[#This Row],[4 weeks average]]-B1631)/B1631</f>
        <v>-2.0944005743000687E-2</v>
      </c>
    </row>
    <row r="1684" spans="1:6" x14ac:dyDescent="0.2">
      <c r="A1684" s="23">
        <v>39146</v>
      </c>
      <c r="B1684" s="25">
        <f>VLOOKUP(Table2634[[#This Row],[Date]],'DB Money Supply'!$A:$D,4)</f>
        <v>1358.6</v>
      </c>
      <c r="C1684" s="31">
        <f>(Table2634[[#This Row],[M1 Money Stock, Billions of Dollars, Weekly, Seasonally Adjusted]]-B1683)/B1683</f>
        <v>-2.4963289280470567E-3</v>
      </c>
      <c r="D1684" s="35">
        <f>((1+Table2634[[#This Row],[Weekly change]])^52)-1</f>
        <v>-0.12187945301089864</v>
      </c>
      <c r="E1684" s="25">
        <f t="shared" si="26"/>
        <v>1361</v>
      </c>
      <c r="F1684" s="33">
        <f>(Table2634[[#This Row],[4 weeks average]]-B1632)/B1632</f>
        <v>-3.8061777192212307E-3</v>
      </c>
    </row>
    <row r="1685" spans="1:6" x14ac:dyDescent="0.2">
      <c r="A1685" s="23">
        <v>39153</v>
      </c>
      <c r="B1685" s="25">
        <f>VLOOKUP(Table2634[[#This Row],[Date]],'DB Money Supply'!$A:$D,4)</f>
        <v>1363.5</v>
      </c>
      <c r="C1685" s="31">
        <f>(Table2634[[#This Row],[M1 Money Stock, Billions of Dollars, Weekly, Seasonally Adjusted]]-B1684)/B1684</f>
        <v>3.6066539084352212E-3</v>
      </c>
      <c r="D1685" s="35">
        <f>((1+Table2634[[#This Row],[Weekly change]])^52)-1</f>
        <v>0.20587881415294618</v>
      </c>
      <c r="E1685" s="25">
        <f t="shared" si="26"/>
        <v>1361.4499999999998</v>
      </c>
      <c r="F1685" s="33">
        <f>(Table2634[[#This Row],[4 weeks average]]-B1633)/B1633</f>
        <v>-6.9657184536835752E-3</v>
      </c>
    </row>
    <row r="1686" spans="1:6" x14ac:dyDescent="0.2">
      <c r="A1686" s="23">
        <v>39160</v>
      </c>
      <c r="B1686" s="25">
        <f>VLOOKUP(Table2634[[#This Row],[Date]],'DB Money Supply'!$A:$D,4)</f>
        <v>1360.2</v>
      </c>
      <c r="C1686" s="31">
        <f>(Table2634[[#This Row],[M1 Money Stock, Billions of Dollars, Weekly, Seasonally Adjusted]]-B1685)/B1685</f>
        <v>-2.420242024202387E-3</v>
      </c>
      <c r="D1686" s="35">
        <f>((1+Table2634[[#This Row],[Weekly change]])^52)-1</f>
        <v>-0.1183896743846391</v>
      </c>
      <c r="E1686" s="25">
        <f t="shared" si="26"/>
        <v>1361.075</v>
      </c>
      <c r="F1686" s="33">
        <f>(Table2634[[#This Row],[4 weeks average]]-B1634)/B1634</f>
        <v>-1.932776136609269E-2</v>
      </c>
    </row>
    <row r="1687" spans="1:6" x14ac:dyDescent="0.2">
      <c r="A1687" s="23">
        <v>39167</v>
      </c>
      <c r="B1687" s="25">
        <f>VLOOKUP(Table2634[[#This Row],[Date]],'DB Money Supply'!$A:$D,4)</f>
        <v>1373.6</v>
      </c>
      <c r="C1687" s="31">
        <f>(Table2634[[#This Row],[M1 Money Stock, Billions of Dollars, Weekly, Seasonally Adjusted]]-B1686)/B1686</f>
        <v>9.8514924275840774E-3</v>
      </c>
      <c r="D1687" s="35">
        <f>((1+Table2634[[#This Row],[Weekly change]])^52)-1</f>
        <v>0.66490940038684077</v>
      </c>
      <c r="E1687" s="25">
        <f t="shared" si="26"/>
        <v>1363.9749999999999</v>
      </c>
      <c r="F1687" s="33">
        <f>(Table2634[[#This Row],[4 weeks average]]-B1635)/B1635</f>
        <v>-2.2099942644106717E-2</v>
      </c>
    </row>
    <row r="1688" spans="1:6" x14ac:dyDescent="0.2">
      <c r="A1688" s="23">
        <v>39174</v>
      </c>
      <c r="B1688" s="25">
        <f>VLOOKUP(Table2634[[#This Row],[Date]],'DB Money Supply'!$A:$D,4)</f>
        <v>1377.5</v>
      </c>
      <c r="C1688" s="31">
        <f>(Table2634[[#This Row],[M1 Money Stock, Billions of Dollars, Weekly, Seasonally Adjusted]]-B1687)/B1687</f>
        <v>2.8392545136867293E-3</v>
      </c>
      <c r="D1688" s="35">
        <f>((1+Table2634[[#This Row],[Weekly change]])^52)-1</f>
        <v>0.15885452069584649</v>
      </c>
      <c r="E1688" s="25">
        <f t="shared" si="26"/>
        <v>1368.6999999999998</v>
      </c>
      <c r="F1688" s="33">
        <f>(Table2634[[#This Row],[4 weeks average]]-B1636)/B1636</f>
        <v>-2.3333809048094956E-2</v>
      </c>
    </row>
    <row r="1689" spans="1:6" x14ac:dyDescent="0.2">
      <c r="A1689" s="23">
        <v>39181</v>
      </c>
      <c r="B1689" s="25">
        <f>VLOOKUP(Table2634[[#This Row],[Date]],'DB Money Supply'!$A:$D,4)</f>
        <v>1379.6</v>
      </c>
      <c r="C1689" s="31">
        <f>(Table2634[[#This Row],[M1 Money Stock, Billions of Dollars, Weekly, Seasonally Adjusted]]-B1688)/B1688</f>
        <v>1.5245009074409503E-3</v>
      </c>
      <c r="D1689" s="35">
        <f>((1+Table2634[[#This Row],[Weekly change]])^52)-1</f>
        <v>8.2435594202591611E-2</v>
      </c>
      <c r="E1689" s="25">
        <f t="shared" si="26"/>
        <v>1372.7249999999999</v>
      </c>
      <c r="F1689" s="33">
        <f>(Table2634[[#This Row],[4 weeks average]]-B1637)/B1637</f>
        <v>-2.1625354365051512E-3</v>
      </c>
    </row>
    <row r="1690" spans="1:6" x14ac:dyDescent="0.2">
      <c r="A1690" s="23">
        <v>39188</v>
      </c>
      <c r="B1690" s="25">
        <f>VLOOKUP(Table2634[[#This Row],[Date]],'DB Money Supply'!$A:$D,4)</f>
        <v>1374.5</v>
      </c>
      <c r="C1690" s="31">
        <f>(Table2634[[#This Row],[M1 Money Stock, Billions of Dollars, Weekly, Seasonally Adjusted]]-B1689)/B1689</f>
        <v>-3.696723688025449E-3</v>
      </c>
      <c r="D1690" s="35">
        <f>((1+Table2634[[#This Row],[Weekly change]])^52)-1</f>
        <v>-0.17517647101103884</v>
      </c>
      <c r="E1690" s="25">
        <f t="shared" si="26"/>
        <v>1376.3</v>
      </c>
      <c r="F1690" s="33">
        <f>(Table2634[[#This Row],[4 weeks average]]-B1638)/B1638</f>
        <v>-2.2473539219951691E-3</v>
      </c>
    </row>
    <row r="1691" spans="1:6" x14ac:dyDescent="0.2">
      <c r="A1691" s="23">
        <v>39195</v>
      </c>
      <c r="B1691" s="25">
        <f>VLOOKUP(Table2634[[#This Row],[Date]],'DB Money Supply'!$A:$D,4)</f>
        <v>1375.7</v>
      </c>
      <c r="C1691" s="31">
        <f>(Table2634[[#This Row],[M1 Money Stock, Billions of Dollars, Weekly, Seasonally Adjusted]]-B1690)/B1690</f>
        <v>8.7304474354313972E-4</v>
      </c>
      <c r="D1691" s="35">
        <f>((1+Table2634[[#This Row],[Weekly change]])^52)-1</f>
        <v>4.6423878162965782E-2</v>
      </c>
      <c r="E1691" s="25">
        <f t="shared" si="26"/>
        <v>1376.825</v>
      </c>
      <c r="F1691" s="33">
        <f>(Table2634[[#This Row],[4 weeks average]]-B1639)/B1639</f>
        <v>-8.1226136445500061E-3</v>
      </c>
    </row>
    <row r="1692" spans="1:6" x14ac:dyDescent="0.2">
      <c r="A1692" s="23">
        <v>39202</v>
      </c>
      <c r="B1692" s="25">
        <f>VLOOKUP(Table2634[[#This Row],[Date]],'DB Money Supply'!$A:$D,4)</f>
        <v>1382.5</v>
      </c>
      <c r="C1692" s="31">
        <f>(Table2634[[#This Row],[M1 Money Stock, Billions of Dollars, Weekly, Seasonally Adjusted]]-B1691)/B1691</f>
        <v>4.9429381405829429E-3</v>
      </c>
      <c r="D1692" s="35">
        <f>((1+Table2634[[#This Row],[Weekly change]])^52)-1</f>
        <v>0.29226904175685609</v>
      </c>
      <c r="E1692" s="25">
        <f t="shared" si="26"/>
        <v>1378.075</v>
      </c>
      <c r="F1692" s="33">
        <f>(Table2634[[#This Row],[4 weeks average]]-B1640)/B1640</f>
        <v>4.0619307832422914E-3</v>
      </c>
    </row>
    <row r="1693" spans="1:6" x14ac:dyDescent="0.2">
      <c r="A1693" s="23">
        <v>39209</v>
      </c>
      <c r="B1693" s="25">
        <f>VLOOKUP(Table2634[[#This Row],[Date]],'DB Money Supply'!$A:$D,4)</f>
        <v>1367.2</v>
      </c>
      <c r="C1693" s="31">
        <f>(Table2634[[#This Row],[M1 Money Stock, Billions of Dollars, Weekly, Seasonally Adjusted]]-B1692)/B1692</f>
        <v>-1.1066907775768502E-2</v>
      </c>
      <c r="D1693" s="35">
        <f>((1+Table2634[[#This Row],[Weekly change]])^52)-1</f>
        <v>-0.43936616267321427</v>
      </c>
      <c r="E1693" s="25">
        <f t="shared" si="26"/>
        <v>1374.9749999999999</v>
      </c>
      <c r="F1693" s="33">
        <f>(Table2634[[#This Row],[4 weeks average]]-B1641)/B1641</f>
        <v>8.5529189110493127E-4</v>
      </c>
    </row>
    <row r="1694" spans="1:6" x14ac:dyDescent="0.2">
      <c r="A1694" s="23">
        <v>39216</v>
      </c>
      <c r="B1694" s="25">
        <f>VLOOKUP(Table2634[[#This Row],[Date]],'DB Money Supply'!$A:$D,4)</f>
        <v>1382.3</v>
      </c>
      <c r="C1694" s="31">
        <f>(Table2634[[#This Row],[M1 Money Stock, Billions of Dollars, Weekly, Seasonally Adjusted]]-B1693)/B1693</f>
        <v>1.1044470450555814E-2</v>
      </c>
      <c r="D1694" s="35">
        <f>((1+Table2634[[#This Row],[Weekly change]])^52)-1</f>
        <v>0.7703267512678913</v>
      </c>
      <c r="E1694" s="25">
        <f t="shared" si="26"/>
        <v>1376.925</v>
      </c>
      <c r="F1694" s="33">
        <f>(Table2634[[#This Row],[4 weeks average]]-B1642)/B1642</f>
        <v>-8.9786958399310033E-3</v>
      </c>
    </row>
    <row r="1695" spans="1:6" x14ac:dyDescent="0.2">
      <c r="A1695" s="23">
        <v>39223</v>
      </c>
      <c r="B1695" s="25">
        <f>VLOOKUP(Table2634[[#This Row],[Date]],'DB Money Supply'!$A:$D,4)</f>
        <v>1384.1</v>
      </c>
      <c r="C1695" s="31">
        <f>(Table2634[[#This Row],[M1 Money Stock, Billions of Dollars, Weekly, Seasonally Adjusted]]-B1694)/B1694</f>
        <v>1.3021775302032516E-3</v>
      </c>
      <c r="D1695" s="35">
        <f>((1+Table2634[[#This Row],[Weekly change]])^52)-1</f>
        <v>7.0011271448048085E-2</v>
      </c>
      <c r="E1695" s="25">
        <f t="shared" si="26"/>
        <v>1379.0250000000001</v>
      </c>
      <c r="F1695" s="33">
        <f>(Table2634[[#This Row],[4 weeks average]]-B1643)/B1643</f>
        <v>-1.1309865213650605E-2</v>
      </c>
    </row>
    <row r="1696" spans="1:6" x14ac:dyDescent="0.2">
      <c r="A1696" s="23">
        <v>39230</v>
      </c>
      <c r="B1696" s="25">
        <f>VLOOKUP(Table2634[[#This Row],[Date]],'DB Money Supply'!$A:$D,4)</f>
        <v>1388.5</v>
      </c>
      <c r="C1696" s="31">
        <f>(Table2634[[#This Row],[M1 Money Stock, Billions of Dollars, Weekly, Seasonally Adjusted]]-B1695)/B1695</f>
        <v>3.1789610577271088E-3</v>
      </c>
      <c r="D1696" s="35">
        <f>((1+Table2634[[#This Row],[Weekly change]])^52)-1</f>
        <v>0.17944475355245615</v>
      </c>
      <c r="E1696" s="25">
        <f t="shared" si="26"/>
        <v>1380.5250000000001</v>
      </c>
      <c r="F1696" s="33">
        <f>(Table2634[[#This Row],[4 weeks average]]-B1644)/B1644</f>
        <v>-1.2429358323199084E-2</v>
      </c>
    </row>
    <row r="1697" spans="1:6" x14ac:dyDescent="0.2">
      <c r="A1697" s="23">
        <v>39237</v>
      </c>
      <c r="B1697" s="25">
        <f>VLOOKUP(Table2634[[#This Row],[Date]],'DB Money Supply'!$A:$D,4)</f>
        <v>1384.6</v>
      </c>
      <c r="C1697" s="31">
        <f>(Table2634[[#This Row],[M1 Money Stock, Billions of Dollars, Weekly, Seasonally Adjusted]]-B1696)/B1696</f>
        <v>-2.8087864602089241E-3</v>
      </c>
      <c r="D1697" s="35">
        <f>((1+Table2634[[#This Row],[Weekly change]])^52)-1</f>
        <v>-0.13606902390847697</v>
      </c>
      <c r="E1697" s="25">
        <f t="shared" si="26"/>
        <v>1384.875</v>
      </c>
      <c r="F1697" s="33">
        <f>(Table2634[[#This Row],[4 weeks average]]-B1645)/B1645</f>
        <v>1.1522167847491121E-2</v>
      </c>
    </row>
    <row r="1698" spans="1:6" x14ac:dyDescent="0.2">
      <c r="A1698" s="23">
        <v>39244</v>
      </c>
      <c r="B1698" s="25">
        <f>VLOOKUP(Table2634[[#This Row],[Date]],'DB Money Supply'!$A:$D,4)</f>
        <v>1370.7</v>
      </c>
      <c r="C1698" s="31">
        <f>(Table2634[[#This Row],[M1 Money Stock, Billions of Dollars, Weekly, Seasonally Adjusted]]-B1697)/B1697</f>
        <v>-1.0039000433338051E-2</v>
      </c>
      <c r="D1698" s="35">
        <f>((1+Table2634[[#This Row],[Weekly change]])^52)-1</f>
        <v>-0.40824703044583721</v>
      </c>
      <c r="E1698" s="25">
        <f t="shared" si="26"/>
        <v>1381.9749999999999</v>
      </c>
      <c r="F1698" s="33">
        <f>(Table2634[[#This Row],[4 weeks average]]-B1646)/B1646</f>
        <v>1.0437230386780627E-2</v>
      </c>
    </row>
    <row r="1699" spans="1:6" x14ac:dyDescent="0.2">
      <c r="A1699" s="23">
        <v>39251</v>
      </c>
      <c r="B1699" s="25">
        <f>VLOOKUP(Table2634[[#This Row],[Date]],'DB Money Supply'!$A:$D,4)</f>
        <v>1356.3</v>
      </c>
      <c r="C1699" s="31">
        <f>(Table2634[[#This Row],[M1 Money Stock, Billions of Dollars, Weekly, Seasonally Adjusted]]-B1698)/B1698</f>
        <v>-1.0505581089954105E-2</v>
      </c>
      <c r="D1699" s="35">
        <f>((1+Table2634[[#This Row],[Weekly change]])^52)-1</f>
        <v>-0.42257690943781001</v>
      </c>
      <c r="E1699" s="25">
        <f t="shared" si="26"/>
        <v>1375.0250000000001</v>
      </c>
      <c r="F1699" s="33">
        <f>(Table2634[[#This Row],[4 weeks average]]-B1647)/B1647</f>
        <v>3.0089722080385147E-3</v>
      </c>
    </row>
    <row r="1700" spans="1:6" x14ac:dyDescent="0.2">
      <c r="A1700" s="23">
        <v>39258</v>
      </c>
      <c r="B1700" s="25">
        <f>VLOOKUP(Table2634[[#This Row],[Date]],'DB Money Supply'!$A:$D,4)</f>
        <v>1362.9</v>
      </c>
      <c r="C1700" s="31">
        <f>(Table2634[[#This Row],[M1 Money Stock, Billions of Dollars, Weekly, Seasonally Adjusted]]-B1699)/B1699</f>
        <v>4.8661800486619012E-3</v>
      </c>
      <c r="D1700" s="35">
        <f>((1+Table2634[[#This Row],[Weekly change]])^52)-1</f>
        <v>0.28714640657877699</v>
      </c>
      <c r="E1700" s="25">
        <f t="shared" si="26"/>
        <v>1368.625</v>
      </c>
      <c r="F1700" s="33">
        <f>(Table2634[[#This Row],[4 weeks average]]-B1648)/B1648</f>
        <v>-1.0823214801965821E-2</v>
      </c>
    </row>
    <row r="1701" spans="1:6" x14ac:dyDescent="0.2">
      <c r="A1701" s="23">
        <v>39265</v>
      </c>
      <c r="B1701" s="25">
        <f>VLOOKUP(Table2634[[#This Row],[Date]],'DB Money Supply'!$A:$D,4)</f>
        <v>1375.8</v>
      </c>
      <c r="C1701" s="31">
        <f>(Table2634[[#This Row],[M1 Money Stock, Billions of Dollars, Weekly, Seasonally Adjusted]]-B1700)/B1700</f>
        <v>9.4651111600263134E-3</v>
      </c>
      <c r="D1701" s="35">
        <f>((1+Table2634[[#This Row],[Weekly change]])^52)-1</f>
        <v>0.63210579243877563</v>
      </c>
      <c r="E1701" s="25">
        <f t="shared" si="26"/>
        <v>1366.425</v>
      </c>
      <c r="F1701" s="33">
        <f>(Table2634[[#This Row],[4 weeks average]]-B1649)/B1649</f>
        <v>-1.7313915857605212E-2</v>
      </c>
    </row>
    <row r="1702" spans="1:6" x14ac:dyDescent="0.2">
      <c r="A1702" s="23">
        <v>39272</v>
      </c>
      <c r="B1702" s="25">
        <f>VLOOKUP(Table2634[[#This Row],[Date]],'DB Money Supply'!$A:$D,4)</f>
        <v>1370.5</v>
      </c>
      <c r="C1702" s="31">
        <f>(Table2634[[#This Row],[M1 Money Stock, Billions of Dollars, Weekly, Seasonally Adjusted]]-B1701)/B1701</f>
        <v>-3.8523041139700209E-3</v>
      </c>
      <c r="D1702" s="35">
        <f>((1+Table2634[[#This Row],[Weekly change]])^52)-1</f>
        <v>-0.18184760203530326</v>
      </c>
      <c r="E1702" s="25">
        <f t="shared" si="26"/>
        <v>1366.375</v>
      </c>
      <c r="F1702" s="33">
        <f>(Table2634[[#This Row],[4 weeks average]]-B1650)/B1650</f>
        <v>-4.3901194986884946E-3</v>
      </c>
    </row>
    <row r="1703" spans="1:6" x14ac:dyDescent="0.2">
      <c r="A1703" s="23">
        <v>39279</v>
      </c>
      <c r="B1703" s="25">
        <f>VLOOKUP(Table2634[[#This Row],[Date]],'DB Money Supply'!$A:$D,4)</f>
        <v>1373.5</v>
      </c>
      <c r="C1703" s="31">
        <f>(Table2634[[#This Row],[M1 Money Stock, Billions of Dollars, Weekly, Seasonally Adjusted]]-B1702)/B1702</f>
        <v>2.1889821233126595E-3</v>
      </c>
      <c r="D1703" s="35">
        <f>((1+Table2634[[#This Row],[Weekly change]])^52)-1</f>
        <v>0.12041894030424727</v>
      </c>
      <c r="E1703" s="25">
        <f t="shared" si="26"/>
        <v>1370.675</v>
      </c>
      <c r="F1703" s="33">
        <f>(Table2634[[#This Row],[4 weeks average]]-B1651)/B1651</f>
        <v>8.4424661565626162E-3</v>
      </c>
    </row>
    <row r="1704" spans="1:6" x14ac:dyDescent="0.2">
      <c r="A1704" s="23">
        <v>39286</v>
      </c>
      <c r="B1704" s="25">
        <f>VLOOKUP(Table2634[[#This Row],[Date]],'DB Money Supply'!$A:$D,4)</f>
        <v>1373.2</v>
      </c>
      <c r="C1704" s="31">
        <f>(Table2634[[#This Row],[M1 Money Stock, Billions of Dollars, Weekly, Seasonally Adjusted]]-B1703)/B1703</f>
        <v>-2.1842009464867457E-4</v>
      </c>
      <c r="D1704" s="35">
        <f>((1+Table2634[[#This Row],[Weekly change]])^52)-1</f>
        <v>-1.1294814664332353E-2</v>
      </c>
      <c r="E1704" s="25">
        <f t="shared" si="26"/>
        <v>1373.25</v>
      </c>
      <c r="F1704" s="33">
        <f>(Table2634[[#This Row],[4 weeks average]]-B1652)/B1652</f>
        <v>-3.0852994555353903E-3</v>
      </c>
    </row>
    <row r="1705" spans="1:6" x14ac:dyDescent="0.2">
      <c r="A1705" s="23">
        <v>39293</v>
      </c>
      <c r="B1705" s="25">
        <f>VLOOKUP(Table2634[[#This Row],[Date]],'DB Money Supply'!$A:$D,4)</f>
        <v>1370.4</v>
      </c>
      <c r="C1705" s="31">
        <f>(Table2634[[#This Row],[M1 Money Stock, Billions of Dollars, Weekly, Seasonally Adjusted]]-B1704)/B1704</f>
        <v>-2.0390329158170364E-3</v>
      </c>
      <c r="D1705" s="35">
        <f>((1+Table2634[[#This Row],[Weekly change]])^52)-1</f>
        <v>-0.10069942603681725</v>
      </c>
      <c r="E1705" s="25">
        <f t="shared" si="26"/>
        <v>1371.9</v>
      </c>
      <c r="F1705" s="33">
        <f>(Table2634[[#This Row],[4 weeks average]]-B1653)/B1653</f>
        <v>-7.2838517007793721E-4</v>
      </c>
    </row>
    <row r="1706" spans="1:6" x14ac:dyDescent="0.2">
      <c r="A1706" s="23">
        <v>39300</v>
      </c>
      <c r="B1706" s="25">
        <f>VLOOKUP(Table2634[[#This Row],[Date]],'DB Money Supply'!$A:$D,4)</f>
        <v>1359.9</v>
      </c>
      <c r="C1706" s="31">
        <f>(Table2634[[#This Row],[M1 Money Stock, Billions of Dollars, Weekly, Seasonally Adjusted]]-B1705)/B1705</f>
        <v>-7.661996497373029E-3</v>
      </c>
      <c r="D1706" s="35">
        <f>((1+Table2634[[#This Row],[Weekly change]])^52)-1</f>
        <v>-0.32965181370003727</v>
      </c>
      <c r="E1706" s="25">
        <f t="shared" si="26"/>
        <v>1369.25</v>
      </c>
      <c r="F1706" s="33">
        <f>(Table2634[[#This Row],[4 weeks average]]-B1654)/B1654</f>
        <v>8.8785735337459145E-3</v>
      </c>
    </row>
    <row r="1707" spans="1:6" x14ac:dyDescent="0.2">
      <c r="A1707" s="23">
        <v>39307</v>
      </c>
      <c r="B1707" s="25">
        <f>VLOOKUP(Table2634[[#This Row],[Date]],'DB Money Supply'!$A:$D,4)</f>
        <v>1364.1</v>
      </c>
      <c r="C1707" s="31">
        <f>(Table2634[[#This Row],[M1 Money Stock, Billions of Dollars, Weekly, Seasonally Adjusted]]-B1706)/B1706</f>
        <v>3.0884623869400821E-3</v>
      </c>
      <c r="D1707" s="35">
        <f>((1+Table2634[[#This Row],[Weekly change]])^52)-1</f>
        <v>0.17392466515893235</v>
      </c>
      <c r="E1707" s="25">
        <f t="shared" si="26"/>
        <v>1366.9</v>
      </c>
      <c r="F1707" s="33">
        <f>(Table2634[[#This Row],[4 weeks average]]-B1655)/B1655</f>
        <v>1.5386869871044377E-3</v>
      </c>
    </row>
    <row r="1708" spans="1:6" x14ac:dyDescent="0.2">
      <c r="A1708" s="23">
        <v>39314</v>
      </c>
      <c r="B1708" s="25">
        <f>VLOOKUP(Table2634[[#This Row],[Date]],'DB Money Supply'!$A:$D,4)</f>
        <v>1372.8</v>
      </c>
      <c r="C1708" s="31">
        <f>(Table2634[[#This Row],[M1 Money Stock, Billions of Dollars, Weekly, Seasonally Adjusted]]-B1707)/B1707</f>
        <v>6.3778315372773594E-3</v>
      </c>
      <c r="D1708" s="35">
        <f>((1+Table2634[[#This Row],[Weekly change]])^52)-1</f>
        <v>0.39179477626679393</v>
      </c>
      <c r="E1708" s="25">
        <f t="shared" si="26"/>
        <v>1366.8</v>
      </c>
      <c r="F1708" s="33">
        <f>(Table2634[[#This Row],[4 weeks average]]-B1656)/B1656</f>
        <v>-1.1570726063060458E-2</v>
      </c>
    </row>
    <row r="1709" spans="1:6" x14ac:dyDescent="0.2">
      <c r="A1709" s="23">
        <v>39321</v>
      </c>
      <c r="B1709" s="25">
        <f>VLOOKUP(Table2634[[#This Row],[Date]],'DB Money Supply'!$A:$D,4)</f>
        <v>1385.6</v>
      </c>
      <c r="C1709" s="31">
        <f>(Table2634[[#This Row],[M1 Money Stock, Billions of Dollars, Weekly, Seasonally Adjusted]]-B1708)/B1708</f>
        <v>9.324009324009291E-3</v>
      </c>
      <c r="D1709" s="35">
        <f>((1+Table2634[[#This Row],[Weekly change]])^52)-1</f>
        <v>0.62028501972780825</v>
      </c>
      <c r="E1709" s="25">
        <f t="shared" si="26"/>
        <v>1370.6</v>
      </c>
      <c r="F1709" s="33">
        <f>(Table2634[[#This Row],[4 weeks average]]-B1657)/B1657</f>
        <v>-9.6820809248555576E-3</v>
      </c>
    </row>
    <row r="1710" spans="1:6" x14ac:dyDescent="0.2">
      <c r="A1710" s="23">
        <v>39328</v>
      </c>
      <c r="B1710" s="25">
        <f>VLOOKUP(Table2634[[#This Row],[Date]],'DB Money Supply'!$A:$D,4)</f>
        <v>1412.6</v>
      </c>
      <c r="C1710" s="31">
        <f>(Table2634[[#This Row],[M1 Money Stock, Billions of Dollars, Weekly, Seasonally Adjusted]]-B1709)/B1709</f>
        <v>1.9486143187066977E-2</v>
      </c>
      <c r="D1710" s="35">
        <f>((1+Table2634[[#This Row],[Weekly change]])^52)-1</f>
        <v>1.7279035851395417</v>
      </c>
      <c r="E1710" s="25">
        <f t="shared" si="26"/>
        <v>1383.7750000000001</v>
      </c>
      <c r="F1710" s="33">
        <f>(Table2634[[#This Row],[4 weeks average]]-B1658)/B1658</f>
        <v>7.2608822244869245E-3</v>
      </c>
    </row>
    <row r="1711" spans="1:6" x14ac:dyDescent="0.2">
      <c r="A1711" s="23">
        <v>39335</v>
      </c>
      <c r="B1711" s="25">
        <f>VLOOKUP(Table2634[[#This Row],[Date]],'DB Money Supply'!$A:$D,4)</f>
        <v>1382.1</v>
      </c>
      <c r="C1711" s="31">
        <f>(Table2634[[#This Row],[M1 Money Stock, Billions of Dollars, Weekly, Seasonally Adjusted]]-B1710)/B1710</f>
        <v>-2.1591391759875407E-2</v>
      </c>
      <c r="D1711" s="35">
        <f>((1+Table2634[[#This Row],[Weekly change]])^52)-1</f>
        <v>-0.67859414573985521</v>
      </c>
      <c r="E1711" s="25">
        <f t="shared" si="26"/>
        <v>1388.2750000000001</v>
      </c>
      <c r="F1711" s="33">
        <f>(Table2634[[#This Row],[4 weeks average]]-B1659)/B1659</f>
        <v>1.6753332356818515E-2</v>
      </c>
    </row>
    <row r="1712" spans="1:6" x14ac:dyDescent="0.2">
      <c r="A1712" s="23">
        <v>39342</v>
      </c>
      <c r="B1712" s="25">
        <f>VLOOKUP(Table2634[[#This Row],[Date]],'DB Money Supply'!$A:$D,4)</f>
        <v>1373.5</v>
      </c>
      <c r="C1712" s="31">
        <f>(Table2634[[#This Row],[M1 Money Stock, Billions of Dollars, Weekly, Seasonally Adjusted]]-B1711)/B1711</f>
        <v>-6.2224151653280588E-3</v>
      </c>
      <c r="D1712" s="35">
        <f>((1+Table2634[[#This Row],[Weekly change]])^52)-1</f>
        <v>-0.27716656511370585</v>
      </c>
      <c r="E1712" s="25">
        <f t="shared" si="26"/>
        <v>1388.4499999999998</v>
      </c>
      <c r="F1712" s="33">
        <f>(Table2634[[#This Row],[4 weeks average]]-B1660)/B1660</f>
        <v>2.272392457277542E-2</v>
      </c>
    </row>
    <row r="1713" spans="1:6" x14ac:dyDescent="0.2">
      <c r="A1713" s="23">
        <v>39349</v>
      </c>
      <c r="B1713" s="25">
        <f>VLOOKUP(Table2634[[#This Row],[Date]],'DB Money Supply'!$A:$D,4)</f>
        <v>1365.4</v>
      </c>
      <c r="C1713" s="31">
        <f>(Table2634[[#This Row],[M1 Money Stock, Billions of Dollars, Weekly, Seasonally Adjusted]]-B1712)/B1712</f>
        <v>-5.8973425555150409E-3</v>
      </c>
      <c r="D1713" s="35">
        <f>((1+Table2634[[#This Row],[Weekly change]])^52)-1</f>
        <v>-0.26476832743044465</v>
      </c>
      <c r="E1713" s="25">
        <f t="shared" si="26"/>
        <v>1383.4</v>
      </c>
      <c r="F1713" s="33">
        <f>(Table2634[[#This Row],[4 weeks average]]-B1661)/B1661</f>
        <v>1.3554106527950764E-2</v>
      </c>
    </row>
    <row r="1714" spans="1:6" x14ac:dyDescent="0.2">
      <c r="A1714" s="23">
        <v>39356</v>
      </c>
      <c r="B1714" s="25">
        <f>VLOOKUP(Table2634[[#This Row],[Date]],'DB Money Supply'!$A:$D,4)</f>
        <v>1364.1</v>
      </c>
      <c r="C1714" s="31">
        <f>(Table2634[[#This Row],[M1 Money Stock, Billions of Dollars, Weekly, Seasonally Adjusted]]-B1713)/B1713</f>
        <v>-9.5210194814719629E-4</v>
      </c>
      <c r="D1714" s="35">
        <f>((1+Table2634[[#This Row],[Weekly change]])^52)-1</f>
        <v>-4.8326138387660533E-2</v>
      </c>
      <c r="E1714" s="25">
        <f t="shared" si="26"/>
        <v>1371.2750000000001</v>
      </c>
      <c r="F1714" s="33">
        <f>(Table2634[[#This Row],[4 weeks average]]-B1662)/B1662</f>
        <v>5.1125119108701433E-3</v>
      </c>
    </row>
    <row r="1715" spans="1:6" x14ac:dyDescent="0.2">
      <c r="A1715" s="23">
        <v>39363</v>
      </c>
      <c r="B1715" s="25">
        <f>VLOOKUP(Table2634[[#This Row],[Date]],'DB Money Supply'!$A:$D,4)</f>
        <v>1376.8</v>
      </c>
      <c r="C1715" s="31">
        <f>(Table2634[[#This Row],[M1 Money Stock, Billions of Dollars, Weekly, Seasonally Adjusted]]-B1714)/B1714</f>
        <v>9.3101678762554409E-3</v>
      </c>
      <c r="D1715" s="35">
        <f>((1+Table2634[[#This Row],[Weekly change]])^52)-1</f>
        <v>0.61912998827434373</v>
      </c>
      <c r="E1715" s="25">
        <f t="shared" si="26"/>
        <v>1369.95</v>
      </c>
      <c r="F1715" s="33">
        <f>(Table2634[[#This Row],[4 weeks average]]-B1663)/B1663</f>
        <v>1.3522403333090685E-3</v>
      </c>
    </row>
    <row r="1716" spans="1:6" x14ac:dyDescent="0.2">
      <c r="A1716" s="23">
        <v>39370</v>
      </c>
      <c r="B1716" s="25">
        <f>VLOOKUP(Table2634[[#This Row],[Date]],'DB Money Supply'!$A:$D,4)</f>
        <v>1382.9</v>
      </c>
      <c r="C1716" s="31">
        <f>(Table2634[[#This Row],[M1 Money Stock, Billions of Dollars, Weekly, Seasonally Adjusted]]-B1715)/B1715</f>
        <v>4.4305636257990534E-3</v>
      </c>
      <c r="D1716" s="35">
        <f>((1+Table2634[[#This Row],[Weekly change]])^52)-1</f>
        <v>0.25844953291862827</v>
      </c>
      <c r="E1716" s="25">
        <f t="shared" si="26"/>
        <v>1372.3000000000002</v>
      </c>
      <c r="F1716" s="33">
        <f>(Table2634[[#This Row],[4 weeks average]]-B1664)/B1664</f>
        <v>8.5991474349553683E-3</v>
      </c>
    </row>
    <row r="1717" spans="1:6" x14ac:dyDescent="0.2">
      <c r="A1717" s="23">
        <v>39377</v>
      </c>
      <c r="B1717" s="25">
        <f>VLOOKUP(Table2634[[#This Row],[Date]],'DB Money Supply'!$A:$D,4)</f>
        <v>1383.1</v>
      </c>
      <c r="C1717" s="31">
        <f>(Table2634[[#This Row],[M1 Money Stock, Billions of Dollars, Weekly, Seasonally Adjusted]]-B1716)/B1716</f>
        <v>1.4462361703653054E-4</v>
      </c>
      <c r="D1717" s="35">
        <f>((1+Table2634[[#This Row],[Weekly change]])^52)-1</f>
        <v>7.5482296593556431E-3</v>
      </c>
      <c r="E1717" s="25">
        <f t="shared" si="26"/>
        <v>1376.7249999999999</v>
      </c>
      <c r="F1717" s="33">
        <f>(Table2634[[#This Row],[4 weeks average]]-B1665)/B1665</f>
        <v>-2.5900166630442988E-3</v>
      </c>
    </row>
    <row r="1718" spans="1:6" x14ac:dyDescent="0.2">
      <c r="A1718" s="23">
        <v>39384</v>
      </c>
      <c r="B1718" s="25">
        <f>VLOOKUP(Table2634[[#This Row],[Date]],'DB Money Supply'!$A:$D,4)</f>
        <v>1379.7</v>
      </c>
      <c r="C1718" s="31">
        <f>(Table2634[[#This Row],[M1 Money Stock, Billions of Dollars, Weekly, Seasonally Adjusted]]-B1717)/B1717</f>
        <v>-2.4582459691995257E-3</v>
      </c>
      <c r="D1718" s="35">
        <f>((1+Table2634[[#This Row],[Weekly change]])^52)-1</f>
        <v>-0.1201344485865764</v>
      </c>
      <c r="E1718" s="25">
        <f t="shared" si="26"/>
        <v>1380.6249999999998</v>
      </c>
      <c r="F1718" s="33">
        <f>(Table2634[[#This Row],[4 weeks average]]-B1666)/B1666</f>
        <v>3.069601859924209E-3</v>
      </c>
    </row>
    <row r="1719" spans="1:6" x14ac:dyDescent="0.2">
      <c r="A1719" s="23">
        <v>39391</v>
      </c>
      <c r="B1719" s="25">
        <f>VLOOKUP(Table2634[[#This Row],[Date]],'DB Money Supply'!$A:$D,4)</f>
        <v>1369.6</v>
      </c>
      <c r="C1719" s="31">
        <f>(Table2634[[#This Row],[M1 Money Stock, Billions of Dollars, Weekly, Seasonally Adjusted]]-B1718)/B1718</f>
        <v>-7.320431977966323E-3</v>
      </c>
      <c r="D1719" s="35">
        <f>((1+Table2634[[#This Row],[Weekly change]])^52)-1</f>
        <v>-0.31754767441021692</v>
      </c>
      <c r="E1719" s="25">
        <f t="shared" si="26"/>
        <v>1378.8249999999998</v>
      </c>
      <c r="F1719" s="33">
        <f>(Table2634[[#This Row],[4 weeks average]]-B1667)/B1667</f>
        <v>2.0520316778920814E-2</v>
      </c>
    </row>
    <row r="1720" spans="1:6" x14ac:dyDescent="0.2">
      <c r="A1720" s="23">
        <v>39398</v>
      </c>
      <c r="B1720" s="25">
        <f>VLOOKUP(Table2634[[#This Row],[Date]],'DB Money Supply'!$A:$D,4)</f>
        <v>1367.8</v>
      </c>
      <c r="C1720" s="31">
        <f>(Table2634[[#This Row],[M1 Money Stock, Billions of Dollars, Weekly, Seasonally Adjusted]]-B1719)/B1719</f>
        <v>-1.3142523364485651E-3</v>
      </c>
      <c r="D1720" s="35">
        <f>((1+Table2634[[#This Row],[Weekly change]])^52)-1</f>
        <v>-6.6100146393104353E-2</v>
      </c>
      <c r="E1720" s="25">
        <f t="shared" si="26"/>
        <v>1375.05</v>
      </c>
      <c r="F1720" s="33">
        <f>(Table2634[[#This Row],[4 weeks average]]-B1668)/B1668</f>
        <v>1.0100639094982737E-2</v>
      </c>
    </row>
    <row r="1721" spans="1:6" x14ac:dyDescent="0.2">
      <c r="A1721" s="23">
        <v>39405</v>
      </c>
      <c r="B1721" s="25">
        <f>VLOOKUP(Table2634[[#This Row],[Date]],'DB Money Supply'!$A:$D,4)</f>
        <v>1367.2</v>
      </c>
      <c r="C1721" s="31">
        <f>(Table2634[[#This Row],[M1 Money Stock, Billions of Dollars, Weekly, Seasonally Adjusted]]-B1720)/B1720</f>
        <v>-4.3866062289801806E-4</v>
      </c>
      <c r="D1721" s="35">
        <f>((1+Table2634[[#This Row],[Weekly change]])^52)-1</f>
        <v>-2.2557054749183569E-2</v>
      </c>
      <c r="E1721" s="25">
        <f t="shared" si="26"/>
        <v>1371.075</v>
      </c>
      <c r="F1721" s="33">
        <f>(Table2634[[#This Row],[4 weeks average]]-B1669)/B1669</f>
        <v>-6.6113606723663234E-3</v>
      </c>
    </row>
    <row r="1722" spans="1:6" x14ac:dyDescent="0.2">
      <c r="A1722" s="23">
        <v>39412</v>
      </c>
      <c r="B1722" s="25">
        <f>VLOOKUP(Table2634[[#This Row],[Date]],'DB Money Supply'!$A:$D,4)</f>
        <v>1374.5</v>
      </c>
      <c r="C1722" s="31">
        <f>(Table2634[[#This Row],[M1 Money Stock, Billions of Dollars, Weekly, Seasonally Adjusted]]-B1721)/B1721</f>
        <v>5.3393797542422138E-3</v>
      </c>
      <c r="D1722" s="35">
        <f>((1+Table2634[[#This Row],[Weekly change]])^52)-1</f>
        <v>0.31904651940283668</v>
      </c>
      <c r="E1722" s="25">
        <f t="shared" si="26"/>
        <v>1369.7749999999999</v>
      </c>
      <c r="F1722" s="33">
        <f>(Table2634[[#This Row],[4 weeks average]]-B1670)/B1670</f>
        <v>-1.1991488747836286E-2</v>
      </c>
    </row>
    <row r="1723" spans="1:6" x14ac:dyDescent="0.2">
      <c r="A1723" s="23">
        <v>39419</v>
      </c>
      <c r="B1723" s="25">
        <f>VLOOKUP(Table2634[[#This Row],[Date]],'DB Money Supply'!$A:$D,4)</f>
        <v>1384.8</v>
      </c>
      <c r="C1723" s="31">
        <f>(Table2634[[#This Row],[M1 Money Stock, Billions of Dollars, Weekly, Seasonally Adjusted]]-B1722)/B1722</f>
        <v>7.4936340487449654E-3</v>
      </c>
      <c r="D1723" s="35">
        <f>((1+Table2634[[#This Row],[Weekly change]])^52)-1</f>
        <v>0.47434851186520155</v>
      </c>
      <c r="E1723" s="25">
        <f t="shared" si="26"/>
        <v>1373.575</v>
      </c>
      <c r="F1723" s="33">
        <f>(Table2634[[#This Row],[4 weeks average]]-B1671)/B1671</f>
        <v>-3.8206826286286559E-4</v>
      </c>
    </row>
    <row r="1724" spans="1:6" x14ac:dyDescent="0.2">
      <c r="A1724" s="23">
        <v>39426</v>
      </c>
      <c r="B1724" s="25">
        <f>VLOOKUP(Table2634[[#This Row],[Date]],'DB Money Supply'!$A:$D,4)</f>
        <v>1377.6</v>
      </c>
      <c r="C1724" s="31">
        <f>(Table2634[[#This Row],[M1 Money Stock, Billions of Dollars, Weekly, Seasonally Adjusted]]-B1723)/B1723</f>
        <v>-5.1993067590988202E-3</v>
      </c>
      <c r="D1724" s="35">
        <f>((1+Table2634[[#This Row],[Weekly change]])^52)-1</f>
        <v>-0.23743631280909427</v>
      </c>
      <c r="E1724" s="25">
        <f t="shared" si="26"/>
        <v>1376.0250000000001</v>
      </c>
      <c r="F1724" s="33">
        <f>(Table2634[[#This Row],[4 weeks average]]-B1672)/B1672</f>
        <v>1.155995001102708E-2</v>
      </c>
    </row>
    <row r="1725" spans="1:6" x14ac:dyDescent="0.2">
      <c r="A1725" s="23">
        <v>39433</v>
      </c>
      <c r="B1725" s="25">
        <f>VLOOKUP(Table2634[[#This Row],[Date]],'DB Money Supply'!$A:$D,4)</f>
        <v>1365.1</v>
      </c>
      <c r="C1725" s="31">
        <f>(Table2634[[#This Row],[M1 Money Stock, Billions of Dollars, Weekly, Seasonally Adjusted]]-B1724)/B1724</f>
        <v>-9.0737514518002323E-3</v>
      </c>
      <c r="D1725" s="35">
        <f>((1+Table2634[[#This Row],[Weekly change]])^52)-1</f>
        <v>-0.37748575698259668</v>
      </c>
      <c r="E1725" s="25">
        <f t="shared" si="26"/>
        <v>1375.5</v>
      </c>
      <c r="F1725" s="33">
        <f>(Table2634[[#This Row],[4 weeks average]]-B1673)/B1673</f>
        <v>1.1992348440258942E-2</v>
      </c>
    </row>
    <row r="1726" spans="1:6" x14ac:dyDescent="0.2">
      <c r="A1726" s="23">
        <v>39440</v>
      </c>
      <c r="B1726" s="25">
        <f>VLOOKUP(Table2634[[#This Row],[Date]],'DB Money Supply'!$A:$D,4)</f>
        <v>1378.1</v>
      </c>
      <c r="C1726" s="31">
        <f>(Table2634[[#This Row],[M1 Money Stock, Billions of Dollars, Weekly, Seasonally Adjusted]]-B1725)/B1725</f>
        <v>9.5231118599370009E-3</v>
      </c>
      <c r="D1726" s="35">
        <f>((1+Table2634[[#This Row],[Weekly change]])^52)-1</f>
        <v>0.63698927926266546</v>
      </c>
      <c r="E1726" s="25">
        <f t="shared" si="26"/>
        <v>1376.4</v>
      </c>
      <c r="F1726" s="33">
        <f>(Table2634[[#This Row],[4 weeks average]]-B1674)/B1674</f>
        <v>-2.8977108084613152E-3</v>
      </c>
    </row>
    <row r="1727" spans="1:6" x14ac:dyDescent="0.2">
      <c r="A1727" s="23">
        <v>39447</v>
      </c>
      <c r="B1727" s="25">
        <f>VLOOKUP(Table2634[[#This Row],[Date]],'DB Money Supply'!$A:$D,4)</f>
        <v>1367.9</v>
      </c>
      <c r="C1727" s="31">
        <f>(Table2634[[#This Row],[M1 Money Stock, Billions of Dollars, Weekly, Seasonally Adjusted]]-B1726)/B1726</f>
        <v>-7.4014948116971329E-3</v>
      </c>
      <c r="D1727" s="35">
        <f>((1+Table2634[[#This Row],[Weekly change]])^52)-1</f>
        <v>-0.32043958124684324</v>
      </c>
      <c r="E1727" s="25">
        <f t="shared" si="26"/>
        <v>1372.1749999999997</v>
      </c>
      <c r="F1727" s="33">
        <f>(Table2634[[#This Row],[4 weeks average]]-B1675)/B1675</f>
        <v>7.9886872842134526E-3</v>
      </c>
    </row>
    <row r="1728" spans="1:6" x14ac:dyDescent="0.2">
      <c r="A1728" s="23">
        <v>39454</v>
      </c>
      <c r="B1728" s="25">
        <f>VLOOKUP(Table2634[[#This Row],[Date]],'DB Money Supply'!$A:$D,4)</f>
        <v>1367.3</v>
      </c>
      <c r="C1728" s="31">
        <f>(Table2634[[#This Row],[M1 Money Stock, Billions of Dollars, Weekly, Seasonally Adjusted]]-B1727)/B1727</f>
        <v>-4.3862855471901192E-4</v>
      </c>
      <c r="D1728" s="35">
        <f>((1+Table2634[[#This Row],[Weekly change]])^52)-1</f>
        <v>-2.2555424102152499E-2</v>
      </c>
      <c r="E1728" s="25">
        <f t="shared" si="26"/>
        <v>1369.6000000000001</v>
      </c>
      <c r="F1728" s="33">
        <f>(Table2634[[#This Row],[4 weeks average]]-B1676)/B1676</f>
        <v>1.0253005827247983E-2</v>
      </c>
    </row>
    <row r="1729" spans="1:6" x14ac:dyDescent="0.2">
      <c r="A1729" s="23">
        <v>39461</v>
      </c>
      <c r="B1729" s="25">
        <f>VLOOKUP(Table2634[[#This Row],[Date]],'DB Money Supply'!$A:$D,4)</f>
        <v>1370.2</v>
      </c>
      <c r="C1729" s="31">
        <f>(Table2634[[#This Row],[M1 Money Stock, Billions of Dollars, Weekly, Seasonally Adjusted]]-B1728)/B1728</f>
        <v>2.1209683317487682E-3</v>
      </c>
      <c r="D1729" s="35">
        <f>((1+Table2634[[#This Row],[Weekly change]])^52)-1</f>
        <v>0.11647182536364808</v>
      </c>
      <c r="E1729" s="25">
        <f t="shared" si="26"/>
        <v>1370.875</v>
      </c>
      <c r="F1729" s="33">
        <f>(Table2634[[#This Row],[4 weeks average]]-B1677)/B1677</f>
        <v>-8.6954949743293739E-3</v>
      </c>
    </row>
    <row r="1730" spans="1:6" x14ac:dyDescent="0.2">
      <c r="A1730" s="23">
        <v>39468</v>
      </c>
      <c r="B1730" s="25">
        <f>VLOOKUP(Table2634[[#This Row],[Date]],'DB Money Supply'!$A:$D,4)</f>
        <v>1390</v>
      </c>
      <c r="C1730" s="31">
        <f>(Table2634[[#This Row],[M1 Money Stock, Billions of Dollars, Weekly, Seasonally Adjusted]]-B1729)/B1729</f>
        <v>1.4450445190483108E-2</v>
      </c>
      <c r="D1730" s="35">
        <f>((1+Table2634[[#This Row],[Weekly change]])^52)-1</f>
        <v>1.1086452779227809</v>
      </c>
      <c r="E1730" s="25">
        <f t="shared" si="26"/>
        <v>1373.85</v>
      </c>
      <c r="F1730" s="33">
        <f>(Table2634[[#This Row],[4 weeks average]]-B1678)/B1678</f>
        <v>4.7334692688600608E-4</v>
      </c>
    </row>
    <row r="1731" spans="1:6" x14ac:dyDescent="0.2">
      <c r="A1731" s="23">
        <v>39475</v>
      </c>
      <c r="B1731" s="25">
        <f>VLOOKUP(Table2634[[#This Row],[Date]],'DB Money Supply'!$A:$D,4)</f>
        <v>1379.6</v>
      </c>
      <c r="C1731" s="31">
        <f>(Table2634[[#This Row],[M1 Money Stock, Billions of Dollars, Weekly, Seasonally Adjusted]]-B1730)/B1730</f>
        <v>-7.4820143884892741E-3</v>
      </c>
      <c r="D1731" s="35">
        <f>((1+Table2634[[#This Row],[Weekly change]])^52)-1</f>
        <v>-0.32330020807353188</v>
      </c>
      <c r="E1731" s="25">
        <f t="shared" si="26"/>
        <v>1376.7750000000001</v>
      </c>
      <c r="F1731" s="33">
        <f>(Table2634[[#This Row],[4 weeks average]]-B1679)/B1679</f>
        <v>-1.6339869281039148E-4</v>
      </c>
    </row>
    <row r="1732" spans="1:6" x14ac:dyDescent="0.2">
      <c r="A1732" s="23">
        <v>39482</v>
      </c>
      <c r="B1732" s="25">
        <f>VLOOKUP(Table2634[[#This Row],[Date]],'DB Money Supply'!$A:$D,4)</f>
        <v>1386.1</v>
      </c>
      <c r="C1732" s="31">
        <f>(Table2634[[#This Row],[M1 Money Stock, Billions of Dollars, Weekly, Seasonally Adjusted]]-B1731)/B1731</f>
        <v>4.7115105827776173E-3</v>
      </c>
      <c r="D1732" s="35">
        <f>((1+Table2634[[#This Row],[Weekly change]])^52)-1</f>
        <v>0.27688459390602937</v>
      </c>
      <c r="E1732" s="25">
        <f t="shared" si="26"/>
        <v>1381.4749999999999</v>
      </c>
      <c r="F1732" s="33">
        <f>(Table2634[[#This Row],[4 weeks average]]-B1680)/B1680</f>
        <v>8.4495218629095682E-3</v>
      </c>
    </row>
    <row r="1733" spans="1:6" x14ac:dyDescent="0.2">
      <c r="A1733" s="23">
        <v>39489</v>
      </c>
      <c r="B1733" s="25">
        <f>VLOOKUP(Table2634[[#This Row],[Date]],'DB Money Supply'!$A:$D,4)</f>
        <v>1374.4</v>
      </c>
      <c r="C1733" s="31">
        <f>(Table2634[[#This Row],[M1 Money Stock, Billions of Dollars, Weekly, Seasonally Adjusted]]-B1732)/B1732</f>
        <v>-8.4409494264481768E-3</v>
      </c>
      <c r="D1733" s="35">
        <f>((1+Table2634[[#This Row],[Weekly change]])^52)-1</f>
        <v>-0.35647367998903101</v>
      </c>
      <c r="E1733" s="25">
        <f t="shared" si="26"/>
        <v>1382.5250000000001</v>
      </c>
      <c r="F1733" s="33">
        <f>(Table2634[[#This Row],[4 weeks average]]-B1681)/B1681</f>
        <v>1.5293383270911393E-2</v>
      </c>
    </row>
    <row r="1734" spans="1:6" x14ac:dyDescent="0.2">
      <c r="A1734" s="23">
        <v>39496</v>
      </c>
      <c r="B1734" s="25">
        <f>VLOOKUP(Table2634[[#This Row],[Date]],'DB Money Supply'!$A:$D,4)</f>
        <v>1375</v>
      </c>
      <c r="C1734" s="31">
        <f>(Table2634[[#This Row],[M1 Money Stock, Billions of Dollars, Weekly, Seasonally Adjusted]]-B1733)/B1733</f>
        <v>4.3655413271239014E-4</v>
      </c>
      <c r="D1734" s="35">
        <f>((1+Table2634[[#This Row],[Weekly change]])^52)-1</f>
        <v>2.2955371888422116E-2</v>
      </c>
      <c r="E1734" s="25">
        <f t="shared" si="26"/>
        <v>1378.7750000000001</v>
      </c>
      <c r="F1734" s="33">
        <f>(Table2634[[#This Row],[4 weeks average]]-B1682)/B1682</f>
        <v>1.2539472717926155E-2</v>
      </c>
    </row>
    <row r="1735" spans="1:6" x14ac:dyDescent="0.2">
      <c r="A1735" s="23">
        <v>39503</v>
      </c>
      <c r="B1735" s="25">
        <f>VLOOKUP(Table2634[[#This Row],[Date]],'DB Money Supply'!$A:$D,4)</f>
        <v>1376.9</v>
      </c>
      <c r="C1735" s="31">
        <f>(Table2634[[#This Row],[M1 Money Stock, Billions of Dollars, Weekly, Seasonally Adjusted]]-B1734)/B1734</f>
        <v>1.3818181818182479E-3</v>
      </c>
      <c r="D1735" s="35">
        <f>((1+Table2634[[#This Row],[Weekly change]])^52)-1</f>
        <v>7.444574887781874E-2</v>
      </c>
      <c r="E1735" s="25">
        <f t="shared" si="26"/>
        <v>1378.1</v>
      </c>
      <c r="F1735" s="33">
        <f>(Table2634[[#This Row],[4 weeks average]]-B1683)/B1683</f>
        <v>1.1820851688693032E-2</v>
      </c>
    </row>
    <row r="1736" spans="1:6" x14ac:dyDescent="0.2">
      <c r="A1736" s="23">
        <v>39510</v>
      </c>
      <c r="B1736" s="25">
        <f>VLOOKUP(Table2634[[#This Row],[Date]],'DB Money Supply'!$A:$D,4)</f>
        <v>1401</v>
      </c>
      <c r="C1736" s="31">
        <f>(Table2634[[#This Row],[M1 Money Stock, Billions of Dollars, Weekly, Seasonally Adjusted]]-B1735)/B1735</f>
        <v>1.7503086643910166E-2</v>
      </c>
      <c r="D1736" s="35">
        <f>((1+Table2634[[#This Row],[Weekly change]])^52)-1</f>
        <v>1.4652345081146145</v>
      </c>
      <c r="E1736" s="25">
        <f t="shared" si="26"/>
        <v>1381.825</v>
      </c>
      <c r="F1736" s="33">
        <f>(Table2634[[#This Row],[4 weeks average]]-B1684)/B1684</f>
        <v>1.7094803474164682E-2</v>
      </c>
    </row>
    <row r="1737" spans="1:6" x14ac:dyDescent="0.2">
      <c r="A1737" s="23">
        <v>39517</v>
      </c>
      <c r="B1737" s="25">
        <f>VLOOKUP(Table2634[[#This Row],[Date]],'DB Money Supply'!$A:$D,4)</f>
        <v>1391.3</v>
      </c>
      <c r="C1737" s="31">
        <f>(Table2634[[#This Row],[M1 Money Stock, Billions of Dollars, Weekly, Seasonally Adjusted]]-B1736)/B1736</f>
        <v>-6.9236259814418593E-3</v>
      </c>
      <c r="D1737" s="35">
        <f>((1+Table2634[[#This Row],[Weekly change]])^52)-1</f>
        <v>-0.3032166059350565</v>
      </c>
      <c r="E1737" s="25">
        <f t="shared" ref="E1737:E1800" si="27">AVERAGE(B1734:B1737)</f>
        <v>1386.05</v>
      </c>
      <c r="F1737" s="33">
        <f>(Table2634[[#This Row],[4 weeks average]]-B1685)/B1685</f>
        <v>1.6538320498716504E-2</v>
      </c>
    </row>
    <row r="1738" spans="1:6" x14ac:dyDescent="0.2">
      <c r="A1738" s="23">
        <v>39524</v>
      </c>
      <c r="B1738" s="25">
        <f>VLOOKUP(Table2634[[#This Row],[Date]],'DB Money Supply'!$A:$D,4)</f>
        <v>1381.5</v>
      </c>
      <c r="C1738" s="31">
        <f>(Table2634[[#This Row],[M1 Money Stock, Billions of Dollars, Weekly, Seasonally Adjusted]]-B1737)/B1737</f>
        <v>-7.0437720117875044E-3</v>
      </c>
      <c r="D1738" s="35">
        <f>((1+Table2634[[#This Row],[Weekly change]])^52)-1</f>
        <v>-0.30758667913905491</v>
      </c>
      <c r="E1738" s="25">
        <f t="shared" si="27"/>
        <v>1387.675</v>
      </c>
      <c r="F1738" s="33">
        <f>(Table2634[[#This Row],[4 weeks average]]-B1686)/B1686</f>
        <v>2.019923540655779E-2</v>
      </c>
    </row>
    <row r="1739" spans="1:6" x14ac:dyDescent="0.2">
      <c r="A1739" s="23">
        <v>39531</v>
      </c>
      <c r="B1739" s="25">
        <f>VLOOKUP(Table2634[[#This Row],[Date]],'DB Money Supply'!$A:$D,4)</f>
        <v>1387.1</v>
      </c>
      <c r="C1739" s="31">
        <f>(Table2634[[#This Row],[M1 Money Stock, Billions of Dollars, Weekly, Seasonally Adjusted]]-B1738)/B1738</f>
        <v>4.0535649656170169E-3</v>
      </c>
      <c r="D1739" s="35">
        <f>((1+Table2634[[#This Row],[Weekly change]])^52)-1</f>
        <v>0.23412141629221517</v>
      </c>
      <c r="E1739" s="25">
        <f t="shared" si="27"/>
        <v>1390.2249999999999</v>
      </c>
      <c r="F1739" s="33">
        <f>(Table2634[[#This Row],[4 weeks average]]-B1687)/B1687</f>
        <v>1.2103232382061737E-2</v>
      </c>
    </row>
    <row r="1740" spans="1:6" x14ac:dyDescent="0.2">
      <c r="A1740" s="23">
        <v>39538</v>
      </c>
      <c r="B1740" s="25">
        <f>VLOOKUP(Table2634[[#This Row],[Date]],'DB Money Supply'!$A:$D,4)</f>
        <v>1389.7</v>
      </c>
      <c r="C1740" s="31">
        <f>(Table2634[[#This Row],[M1 Money Stock, Billions of Dollars, Weekly, Seasonally Adjusted]]-B1739)/B1739</f>
        <v>1.8744142455483647E-3</v>
      </c>
      <c r="D1740" s="35">
        <f>((1+Table2634[[#This Row],[Weekly change]])^52)-1</f>
        <v>0.10227729243948858</v>
      </c>
      <c r="E1740" s="25">
        <f t="shared" si="27"/>
        <v>1387.3999999999999</v>
      </c>
      <c r="F1740" s="33">
        <f>(Table2634[[#This Row],[4 weeks average]]-B1688)/B1688</f>
        <v>7.1869328493646923E-3</v>
      </c>
    </row>
    <row r="1741" spans="1:6" x14ac:dyDescent="0.2">
      <c r="A1741" s="23">
        <v>39545</v>
      </c>
      <c r="B1741" s="25">
        <f>VLOOKUP(Table2634[[#This Row],[Date]],'DB Money Supply'!$A:$D,4)</f>
        <v>1374.2</v>
      </c>
      <c r="C1741" s="31">
        <f>(Table2634[[#This Row],[M1 Money Stock, Billions of Dollars, Weekly, Seasonally Adjusted]]-B1740)/B1740</f>
        <v>-1.1153486363963445E-2</v>
      </c>
      <c r="D1741" s="35">
        <f>((1+Table2634[[#This Row],[Weekly change]])^52)-1</f>
        <v>-0.44191274093232669</v>
      </c>
      <c r="E1741" s="25">
        <f t="shared" si="27"/>
        <v>1383.125</v>
      </c>
      <c r="F1741" s="33">
        <f>(Table2634[[#This Row],[4 weeks average]]-B1689)/B1689</f>
        <v>2.555088431429466E-3</v>
      </c>
    </row>
    <row r="1742" spans="1:6" x14ac:dyDescent="0.2">
      <c r="A1742" s="23">
        <v>39552</v>
      </c>
      <c r="B1742" s="25">
        <f>VLOOKUP(Table2634[[#This Row],[Date]],'DB Money Supply'!$A:$D,4)</f>
        <v>1389.2</v>
      </c>
      <c r="C1742" s="31">
        <f>(Table2634[[#This Row],[M1 Money Stock, Billions of Dollars, Weekly, Seasonally Adjusted]]-B1741)/B1741</f>
        <v>1.091544171154126E-2</v>
      </c>
      <c r="D1742" s="35">
        <f>((1+Table2634[[#This Row],[Weekly change]])^52)-1</f>
        <v>0.75861665794309685</v>
      </c>
      <c r="E1742" s="25">
        <f t="shared" si="27"/>
        <v>1385.05</v>
      </c>
      <c r="F1742" s="33">
        <f>(Table2634[[#This Row],[4 weeks average]]-B1690)/B1690</f>
        <v>7.675518370316446E-3</v>
      </c>
    </row>
    <row r="1743" spans="1:6" x14ac:dyDescent="0.2">
      <c r="A1743" s="23">
        <v>39559</v>
      </c>
      <c r="B1743" s="25">
        <f>VLOOKUP(Table2634[[#This Row],[Date]],'DB Money Supply'!$A:$D,4)</f>
        <v>1403.8</v>
      </c>
      <c r="C1743" s="31">
        <f>(Table2634[[#This Row],[M1 Money Stock, Billions of Dollars, Weekly, Seasonally Adjusted]]-B1742)/B1742</f>
        <v>1.0509645839331923E-2</v>
      </c>
      <c r="D1743" s="35">
        <f>((1+Table2634[[#This Row],[Weekly change]])^52)-1</f>
        <v>0.72228134985394576</v>
      </c>
      <c r="E1743" s="25">
        <f t="shared" si="27"/>
        <v>1389.2250000000001</v>
      </c>
      <c r="F1743" s="33">
        <f>(Table2634[[#This Row],[4 weeks average]]-B1691)/B1691</f>
        <v>9.8313585810860579E-3</v>
      </c>
    </row>
    <row r="1744" spans="1:6" x14ac:dyDescent="0.2">
      <c r="A1744" s="23">
        <v>39566</v>
      </c>
      <c r="B1744" s="25">
        <f>VLOOKUP(Table2634[[#This Row],[Date]],'DB Money Supply'!$A:$D,4)</f>
        <v>1397.7</v>
      </c>
      <c r="C1744" s="31">
        <f>(Table2634[[#This Row],[M1 Money Stock, Billions of Dollars, Weekly, Seasonally Adjusted]]-B1743)/B1743</f>
        <v>-4.3453483402193394E-3</v>
      </c>
      <c r="D1744" s="35">
        <f>((1+Table2634[[#This Row],[Weekly change]])^52)-1</f>
        <v>-0.20264116857886305</v>
      </c>
      <c r="E1744" s="25">
        <f t="shared" si="27"/>
        <v>1391.2249999999999</v>
      </c>
      <c r="F1744" s="33">
        <f>(Table2634[[#This Row],[4 weeks average]]-B1692)/B1692</f>
        <v>6.3110307414104222E-3</v>
      </c>
    </row>
    <row r="1745" spans="1:6" x14ac:dyDescent="0.2">
      <c r="A1745" s="23">
        <v>39573</v>
      </c>
      <c r="B1745" s="25">
        <f>VLOOKUP(Table2634[[#This Row],[Date]],'DB Money Supply'!$A:$D,4)</f>
        <v>1393.5</v>
      </c>
      <c r="C1745" s="31">
        <f>(Table2634[[#This Row],[M1 Money Stock, Billions of Dollars, Weekly, Seasonally Adjusted]]-B1744)/B1744</f>
        <v>-3.0049366816913823E-3</v>
      </c>
      <c r="D1745" s="35">
        <f>((1+Table2634[[#This Row],[Weekly change]])^52)-1</f>
        <v>-0.14486159810202803</v>
      </c>
      <c r="E1745" s="25">
        <f t="shared" si="27"/>
        <v>1396.05</v>
      </c>
      <c r="F1745" s="33">
        <f>(Table2634[[#This Row],[4 weeks average]]-B1693)/B1693</f>
        <v>2.110152135751895E-2</v>
      </c>
    </row>
    <row r="1746" spans="1:6" x14ac:dyDescent="0.2">
      <c r="A1746" s="23">
        <v>39580</v>
      </c>
      <c r="B1746" s="25">
        <f>VLOOKUP(Table2634[[#This Row],[Date]],'DB Money Supply'!$A:$D,4)</f>
        <v>1392</v>
      </c>
      <c r="C1746" s="31">
        <f>(Table2634[[#This Row],[M1 Money Stock, Billions of Dollars, Weekly, Seasonally Adjusted]]-B1745)/B1745</f>
        <v>-1.076426264800861E-3</v>
      </c>
      <c r="D1746" s="35">
        <f>((1+Table2634[[#This Row],[Weekly change]])^52)-1</f>
        <v>-5.4464942624464219E-2</v>
      </c>
      <c r="E1746" s="25">
        <f t="shared" si="27"/>
        <v>1396.75</v>
      </c>
      <c r="F1746" s="33">
        <f>(Table2634[[#This Row],[4 weeks average]]-B1694)/B1694</f>
        <v>1.045359183968751E-2</v>
      </c>
    </row>
    <row r="1747" spans="1:6" x14ac:dyDescent="0.2">
      <c r="A1747" s="23">
        <v>39587</v>
      </c>
      <c r="B1747" s="25">
        <f>VLOOKUP(Table2634[[#This Row],[Date]],'DB Money Supply'!$A:$D,4)</f>
        <v>1385.7</v>
      </c>
      <c r="C1747" s="31">
        <f>(Table2634[[#This Row],[M1 Money Stock, Billions of Dollars, Weekly, Seasonally Adjusted]]-B1746)/B1746</f>
        <v>-4.5258620689654847E-3</v>
      </c>
      <c r="D1747" s="35">
        <f>((1+Table2634[[#This Row],[Weekly change]])^52)-1</f>
        <v>-0.21012376398339772</v>
      </c>
      <c r="E1747" s="25">
        <f t="shared" si="27"/>
        <v>1392.2249999999999</v>
      </c>
      <c r="F1747" s="33">
        <f>(Table2634[[#This Row],[4 weeks average]]-B1695)/B1695</f>
        <v>5.8702405895527787E-3</v>
      </c>
    </row>
    <row r="1748" spans="1:6" x14ac:dyDescent="0.2">
      <c r="A1748" s="23">
        <v>39594</v>
      </c>
      <c r="B1748" s="25">
        <f>VLOOKUP(Table2634[[#This Row],[Date]],'DB Money Supply'!$A:$D,4)</f>
        <v>1394</v>
      </c>
      <c r="C1748" s="31">
        <f>(Table2634[[#This Row],[M1 Money Stock, Billions of Dollars, Weekly, Seasonally Adjusted]]-B1747)/B1747</f>
        <v>5.9897524716749327E-3</v>
      </c>
      <c r="D1748" s="35">
        <f>((1+Table2634[[#This Row],[Weekly change]])^52)-1</f>
        <v>0.36415887678779391</v>
      </c>
      <c r="E1748" s="25">
        <f t="shared" si="27"/>
        <v>1391.3</v>
      </c>
      <c r="F1748" s="33">
        <f>(Table2634[[#This Row],[4 weeks average]]-B1696)/B1696</f>
        <v>2.0165646380986349E-3</v>
      </c>
    </row>
    <row r="1749" spans="1:6" x14ac:dyDescent="0.2">
      <c r="A1749" s="23">
        <v>39601</v>
      </c>
      <c r="B1749" s="25">
        <f>VLOOKUP(Table2634[[#This Row],[Date]],'DB Money Supply'!$A:$D,4)</f>
        <v>1405.2</v>
      </c>
      <c r="C1749" s="31">
        <f>(Table2634[[#This Row],[M1 Money Stock, Billions of Dollars, Weekly, Seasonally Adjusted]]-B1748)/B1748</f>
        <v>8.034433285509358E-3</v>
      </c>
      <c r="D1749" s="35">
        <f>((1+Table2634[[#This Row],[Weekly change]])^52)-1</f>
        <v>0.51606947150699645</v>
      </c>
      <c r="E1749" s="25">
        <f t="shared" si="27"/>
        <v>1394.2249999999999</v>
      </c>
      <c r="F1749" s="33">
        <f>(Table2634[[#This Row],[4 weeks average]]-B1697)/B1697</f>
        <v>6.9514661274014157E-3</v>
      </c>
    </row>
    <row r="1750" spans="1:6" x14ac:dyDescent="0.2">
      <c r="A1750" s="23">
        <v>39608</v>
      </c>
      <c r="B1750" s="25">
        <f>VLOOKUP(Table2634[[#This Row],[Date]],'DB Money Supply'!$A:$D,4)</f>
        <v>1410.9</v>
      </c>
      <c r="C1750" s="31">
        <f>(Table2634[[#This Row],[M1 Money Stock, Billions of Dollars, Weekly, Seasonally Adjusted]]-B1749)/B1749</f>
        <v>4.0563620836891866E-3</v>
      </c>
      <c r="D1750" s="35">
        <f>((1+Table2634[[#This Row],[Weekly change]])^52)-1</f>
        <v>0.23430020743540414</v>
      </c>
      <c r="E1750" s="25">
        <f t="shared" si="27"/>
        <v>1398.9499999999998</v>
      </c>
      <c r="F1750" s="33">
        <f>(Table2634[[#This Row],[4 weeks average]]-B1698)/B1698</f>
        <v>2.0609907346611053E-2</v>
      </c>
    </row>
    <row r="1751" spans="1:6" x14ac:dyDescent="0.2">
      <c r="A1751" s="23">
        <v>39615</v>
      </c>
      <c r="B1751" s="25">
        <f>VLOOKUP(Table2634[[#This Row],[Date]],'DB Money Supply'!$A:$D,4)</f>
        <v>1403.7</v>
      </c>
      <c r="C1751" s="31">
        <f>(Table2634[[#This Row],[M1 Money Stock, Billions of Dollars, Weekly, Seasonally Adjusted]]-B1750)/B1750</f>
        <v>-5.1031256644695194E-3</v>
      </c>
      <c r="D1751" s="35">
        <f>((1+Table2634[[#This Row],[Weekly change]])^52)-1</f>
        <v>-0.2335930132923657</v>
      </c>
      <c r="E1751" s="25">
        <f t="shared" si="27"/>
        <v>1403.45</v>
      </c>
      <c r="F1751" s="33">
        <f>(Table2634[[#This Row],[4 weeks average]]-B1699)/B1699</f>
        <v>3.4763695347637021E-2</v>
      </c>
    </row>
    <row r="1752" spans="1:6" x14ac:dyDescent="0.2">
      <c r="A1752" s="23">
        <v>39622</v>
      </c>
      <c r="B1752" s="25">
        <f>VLOOKUP(Table2634[[#This Row],[Date]],'DB Money Supply'!$A:$D,4)</f>
        <v>1398.9</v>
      </c>
      <c r="C1752" s="31">
        <f>(Table2634[[#This Row],[M1 Money Stock, Billions of Dollars, Weekly, Seasonally Adjusted]]-B1751)/B1751</f>
        <v>-3.4195340884804119E-3</v>
      </c>
      <c r="D1752" s="35">
        <f>((1+Table2634[[#This Row],[Weekly change]])^52)-1</f>
        <v>-0.16315841447446289</v>
      </c>
      <c r="E1752" s="25">
        <f t="shared" si="27"/>
        <v>1404.6750000000002</v>
      </c>
      <c r="F1752" s="33">
        <f>(Table2634[[#This Row],[4 weeks average]]-B1700)/B1700</f>
        <v>3.0651551837992581E-2</v>
      </c>
    </row>
    <row r="1753" spans="1:6" x14ac:dyDescent="0.2">
      <c r="A1753" s="23">
        <v>39629</v>
      </c>
      <c r="B1753" s="25">
        <f>VLOOKUP(Table2634[[#This Row],[Date]],'DB Money Supply'!$A:$D,4)</f>
        <v>1404.6</v>
      </c>
      <c r="C1753" s="31">
        <f>(Table2634[[#This Row],[M1 Money Stock, Billions of Dollars, Weekly, Seasonally Adjusted]]-B1752)/B1752</f>
        <v>4.0746300664806761E-3</v>
      </c>
      <c r="D1753" s="35">
        <f>((1+Table2634[[#This Row],[Weekly change]])^52)-1</f>
        <v>0.23546851759433918</v>
      </c>
      <c r="E1753" s="25">
        <f t="shared" si="27"/>
        <v>1404.5250000000001</v>
      </c>
      <c r="F1753" s="33">
        <f>(Table2634[[#This Row],[4 weeks average]]-B1701)/B1701</f>
        <v>2.0878761447884968E-2</v>
      </c>
    </row>
    <row r="1754" spans="1:6" x14ac:dyDescent="0.2">
      <c r="A1754" s="23">
        <v>39636</v>
      </c>
      <c r="B1754" s="25">
        <f>VLOOKUP(Table2634[[#This Row],[Date]],'DB Money Supply'!$A:$D,4)</f>
        <v>1412.6</v>
      </c>
      <c r="C1754" s="31">
        <f>(Table2634[[#This Row],[M1 Money Stock, Billions of Dollars, Weekly, Seasonally Adjusted]]-B1753)/B1753</f>
        <v>5.695571693008686E-3</v>
      </c>
      <c r="D1754" s="35">
        <f>((1+Table2634[[#This Row],[Weekly change]])^52)-1</f>
        <v>0.34356897695513733</v>
      </c>
      <c r="E1754" s="25">
        <f t="shared" si="27"/>
        <v>1404.9500000000003</v>
      </c>
      <c r="F1754" s="33">
        <f>(Table2634[[#This Row],[4 weeks average]]-B1702)/B1702</f>
        <v>2.5136811382707239E-2</v>
      </c>
    </row>
    <row r="1755" spans="1:6" x14ac:dyDescent="0.2">
      <c r="A1755" s="23">
        <v>39643</v>
      </c>
      <c r="B1755" s="25">
        <f>VLOOKUP(Table2634[[#This Row],[Date]],'DB Money Supply'!$A:$D,4)</f>
        <v>1421.5</v>
      </c>
      <c r="C1755" s="31">
        <f>(Table2634[[#This Row],[M1 Money Stock, Billions of Dollars, Weekly, Seasonally Adjusted]]-B1754)/B1754</f>
        <v>6.3004389069801015E-3</v>
      </c>
      <c r="D1755" s="35">
        <f>((1+Table2634[[#This Row],[Weekly change]])^52)-1</f>
        <v>0.38624001121983143</v>
      </c>
      <c r="E1755" s="25">
        <f t="shared" si="27"/>
        <v>1409.4</v>
      </c>
      <c r="F1755" s="33">
        <f>(Table2634[[#This Row],[4 weeks average]]-B1703)/B1703</f>
        <v>2.6137604659628753E-2</v>
      </c>
    </row>
    <row r="1756" spans="1:6" x14ac:dyDescent="0.2">
      <c r="A1756" s="23">
        <v>39650</v>
      </c>
      <c r="B1756" s="25">
        <f>VLOOKUP(Table2634[[#This Row],[Date]],'DB Money Supply'!$A:$D,4)</f>
        <v>1426.9</v>
      </c>
      <c r="C1756" s="31">
        <f>(Table2634[[#This Row],[M1 Money Stock, Billions of Dollars, Weekly, Seasonally Adjusted]]-B1755)/B1755</f>
        <v>3.7988040801970389E-3</v>
      </c>
      <c r="D1756" s="35">
        <f>((1+Table2634[[#This Row],[Weekly change]])^52)-1</f>
        <v>0.21794322629580276</v>
      </c>
      <c r="E1756" s="25">
        <f t="shared" si="27"/>
        <v>1416.4</v>
      </c>
      <c r="F1756" s="33">
        <f>(Table2634[[#This Row],[4 weeks average]]-B1704)/B1704</f>
        <v>3.1459364986891961E-2</v>
      </c>
    </row>
    <row r="1757" spans="1:6" x14ac:dyDescent="0.2">
      <c r="A1757" s="23">
        <v>39657</v>
      </c>
      <c r="B1757" s="25">
        <f>VLOOKUP(Table2634[[#This Row],[Date]],'DB Money Supply'!$A:$D,4)</f>
        <v>1422.3</v>
      </c>
      <c r="C1757" s="31">
        <f>(Table2634[[#This Row],[M1 Money Stock, Billions of Dollars, Weekly, Seasonally Adjusted]]-B1756)/B1756</f>
        <v>-3.2237718130213302E-3</v>
      </c>
      <c r="D1757" s="35">
        <f>((1+Table2634[[#This Row],[Weekly change]])^52)-1</f>
        <v>-0.15456748181484692</v>
      </c>
      <c r="E1757" s="25">
        <f t="shared" si="27"/>
        <v>1420.825</v>
      </c>
      <c r="F1757" s="33">
        <f>(Table2634[[#This Row],[4 weeks average]]-B1705)/B1705</f>
        <v>3.6795826036193774E-2</v>
      </c>
    </row>
    <row r="1758" spans="1:6" x14ac:dyDescent="0.2">
      <c r="A1758" s="23">
        <v>39664</v>
      </c>
      <c r="B1758" s="25">
        <f>VLOOKUP(Table2634[[#This Row],[Date]],'DB Money Supply'!$A:$D,4)</f>
        <v>1423.5</v>
      </c>
      <c r="C1758" s="31">
        <f>(Table2634[[#This Row],[M1 Money Stock, Billions of Dollars, Weekly, Seasonally Adjusted]]-B1757)/B1757</f>
        <v>8.4370385994519124E-4</v>
      </c>
      <c r="D1758" s="35">
        <f>((1+Table2634[[#This Row],[Weekly change]])^52)-1</f>
        <v>4.4829906615303949E-2</v>
      </c>
      <c r="E1758" s="25">
        <f t="shared" si="27"/>
        <v>1423.55</v>
      </c>
      <c r="F1758" s="33">
        <f>(Table2634[[#This Row],[4 weeks average]]-B1706)/B1706</f>
        <v>4.680491212589151E-2</v>
      </c>
    </row>
    <row r="1759" spans="1:6" x14ac:dyDescent="0.2">
      <c r="A1759" s="23">
        <v>39671</v>
      </c>
      <c r="B1759" s="25">
        <f>VLOOKUP(Table2634[[#This Row],[Date]],'DB Money Supply'!$A:$D,4)</f>
        <v>1412.7</v>
      </c>
      <c r="C1759" s="31">
        <f>(Table2634[[#This Row],[M1 Money Stock, Billions of Dollars, Weekly, Seasonally Adjusted]]-B1758)/B1758</f>
        <v>-7.5869336143308428E-3</v>
      </c>
      <c r="D1759" s="35">
        <f>((1+Table2634[[#This Row],[Weekly change]])^52)-1</f>
        <v>-0.32700996859546905</v>
      </c>
      <c r="E1759" s="25">
        <f t="shared" si="27"/>
        <v>1421.35</v>
      </c>
      <c r="F1759" s="33">
        <f>(Table2634[[#This Row],[4 weeks average]]-B1707)/B1707</f>
        <v>4.1969063851623786E-2</v>
      </c>
    </row>
    <row r="1760" spans="1:6" x14ac:dyDescent="0.2">
      <c r="A1760" s="23">
        <v>39678</v>
      </c>
      <c r="B1760" s="25">
        <f>VLOOKUP(Table2634[[#This Row],[Date]],'DB Money Supply'!$A:$D,4)</f>
        <v>1394.4</v>
      </c>
      <c r="C1760" s="31">
        <f>(Table2634[[#This Row],[M1 Money Stock, Billions of Dollars, Weekly, Seasonally Adjusted]]-B1759)/B1759</f>
        <v>-1.2953918029305553E-2</v>
      </c>
      <c r="D1760" s="35">
        <f>((1+Table2634[[#This Row],[Weekly change]])^52)-1</f>
        <v>-0.49237114002427107</v>
      </c>
      <c r="E1760" s="25">
        <f t="shared" si="27"/>
        <v>1413.2249999999999</v>
      </c>
      <c r="F1760" s="33">
        <f>(Table2634[[#This Row],[4 weeks average]]-B1708)/B1708</f>
        <v>2.9447115384615353E-2</v>
      </c>
    </row>
    <row r="1761" spans="1:6" x14ac:dyDescent="0.2">
      <c r="A1761" s="23">
        <v>39685</v>
      </c>
      <c r="B1761" s="25">
        <f>VLOOKUP(Table2634[[#This Row],[Date]],'DB Money Supply'!$A:$D,4)</f>
        <v>1404.9</v>
      </c>
      <c r="C1761" s="31">
        <f>(Table2634[[#This Row],[M1 Money Stock, Billions of Dollars, Weekly, Seasonally Adjusted]]-B1760)/B1760</f>
        <v>7.5301204819277099E-3</v>
      </c>
      <c r="D1761" s="35">
        <f>((1+Table2634[[#This Row],[Weekly change]])^52)-1</f>
        <v>0.47712754496490861</v>
      </c>
      <c r="E1761" s="25">
        <f t="shared" si="27"/>
        <v>1408.875</v>
      </c>
      <c r="F1761" s="33">
        <f>(Table2634[[#This Row],[4 weeks average]]-B1709)/B1709</f>
        <v>1.6797777136258726E-2</v>
      </c>
    </row>
    <row r="1762" spans="1:6" x14ac:dyDescent="0.2">
      <c r="A1762" s="23">
        <v>39692</v>
      </c>
      <c r="B1762" s="25">
        <f>VLOOKUP(Table2634[[#This Row],[Date]],'DB Money Supply'!$A:$D,4)</f>
        <v>1408.4</v>
      </c>
      <c r="C1762" s="31">
        <f>(Table2634[[#This Row],[M1 Money Stock, Billions of Dollars, Weekly, Seasonally Adjusted]]-B1761)/B1761</f>
        <v>2.4912805181863478E-3</v>
      </c>
      <c r="D1762" s="35">
        <f>((1+Table2634[[#This Row],[Weekly change]])^52)-1</f>
        <v>0.13812877233457321</v>
      </c>
      <c r="E1762" s="25">
        <f t="shared" si="27"/>
        <v>1405.1</v>
      </c>
      <c r="F1762" s="33">
        <f>(Table2634[[#This Row],[4 weeks average]]-B1710)/B1710</f>
        <v>-5.3093586294775596E-3</v>
      </c>
    </row>
    <row r="1763" spans="1:6" x14ac:dyDescent="0.2">
      <c r="A1763" s="23">
        <v>39699</v>
      </c>
      <c r="B1763" s="25">
        <f>VLOOKUP(Table2634[[#This Row],[Date]],'DB Money Supply'!$A:$D,4)</f>
        <v>1423.9</v>
      </c>
      <c r="C1763" s="31">
        <f>(Table2634[[#This Row],[M1 Money Stock, Billions of Dollars, Weekly, Seasonally Adjusted]]-B1762)/B1762</f>
        <v>1.1005396194262993E-2</v>
      </c>
      <c r="D1763" s="35">
        <f>((1+Table2634[[#This Row],[Weekly change]])^52)-1</f>
        <v>0.76677249038628292</v>
      </c>
      <c r="E1763" s="25">
        <f t="shared" si="27"/>
        <v>1407.9</v>
      </c>
      <c r="F1763" s="33">
        <f>(Table2634[[#This Row],[4 weeks average]]-B1711)/B1711</f>
        <v>1.8667245495984506E-2</v>
      </c>
    </row>
    <row r="1764" spans="1:6" x14ac:dyDescent="0.2">
      <c r="A1764" s="23">
        <v>39706</v>
      </c>
      <c r="B1764" s="25">
        <f>VLOOKUP(Table2634[[#This Row],[Date]],'DB Money Supply'!$A:$D,4)</f>
        <v>1437</v>
      </c>
      <c r="C1764" s="31">
        <f>(Table2634[[#This Row],[M1 Money Stock, Billions of Dollars, Weekly, Seasonally Adjusted]]-B1763)/B1763</f>
        <v>9.2000842755810865E-3</v>
      </c>
      <c r="D1764" s="35">
        <f>((1+Table2634[[#This Row],[Weekly change]])^52)-1</f>
        <v>0.60997251462305391</v>
      </c>
      <c r="E1764" s="25">
        <f t="shared" si="27"/>
        <v>1418.5500000000002</v>
      </c>
      <c r="F1764" s="33">
        <f>(Table2634[[#This Row],[4 weeks average]]-B1712)/B1712</f>
        <v>3.2799417546414404E-2</v>
      </c>
    </row>
    <row r="1765" spans="1:6" x14ac:dyDescent="0.2">
      <c r="A1765" s="23">
        <v>39713</v>
      </c>
      <c r="B1765" s="25">
        <f>VLOOKUP(Table2634[[#This Row],[Date]],'DB Money Supply'!$A:$D,4)</f>
        <v>1490.1</v>
      </c>
      <c r="C1765" s="31">
        <f>(Table2634[[#This Row],[M1 Money Stock, Billions of Dollars, Weekly, Seasonally Adjusted]]-B1764)/B1764</f>
        <v>3.6951983298538556E-2</v>
      </c>
      <c r="D1765" s="35">
        <f>((1+Table2634[[#This Row],[Weekly change]])^52)-1</f>
        <v>5.5985668698645137</v>
      </c>
      <c r="E1765" s="25">
        <f t="shared" si="27"/>
        <v>1439.85</v>
      </c>
      <c r="F1765" s="33">
        <f>(Table2634[[#This Row],[4 weeks average]]-B1713)/B1713</f>
        <v>5.4526146184268209E-2</v>
      </c>
    </row>
    <row r="1766" spans="1:6" x14ac:dyDescent="0.2">
      <c r="A1766" s="23">
        <v>39720</v>
      </c>
      <c r="B1766" s="25">
        <f>VLOOKUP(Table2634[[#This Row],[Date]],'DB Money Supply'!$A:$D,4)</f>
        <v>1504.6</v>
      </c>
      <c r="C1766" s="31">
        <f>(Table2634[[#This Row],[M1 Money Stock, Billions of Dollars, Weekly, Seasonally Adjusted]]-B1765)/B1765</f>
        <v>9.7308905442587759E-3</v>
      </c>
      <c r="D1766" s="35">
        <f>((1+Table2634[[#This Row],[Weekly change]])^52)-1</f>
        <v>0.65460153902823048</v>
      </c>
      <c r="E1766" s="25">
        <f t="shared" si="27"/>
        <v>1463.9</v>
      </c>
      <c r="F1766" s="33">
        <f>(Table2634[[#This Row],[4 weeks average]]-B1714)/B1714</f>
        <v>7.316179165750325E-2</v>
      </c>
    </row>
    <row r="1767" spans="1:6" x14ac:dyDescent="0.2">
      <c r="A1767" s="23">
        <v>39727</v>
      </c>
      <c r="B1767" s="25">
        <f>VLOOKUP(Table2634[[#This Row],[Date]],'DB Money Supply'!$A:$D,4)</f>
        <v>1461</v>
      </c>
      <c r="C1767" s="31">
        <f>(Table2634[[#This Row],[M1 Money Stock, Billions of Dollars, Weekly, Seasonally Adjusted]]-B1766)/B1766</f>
        <v>-2.8977801409012304E-2</v>
      </c>
      <c r="D1767" s="35">
        <f>((1+Table2634[[#This Row],[Weekly change]])^52)-1</f>
        <v>-0.78327139307963456</v>
      </c>
      <c r="E1767" s="25">
        <f t="shared" si="27"/>
        <v>1473.175</v>
      </c>
      <c r="F1767" s="33">
        <f>(Table2634[[#This Row],[4 weeks average]]-B1715)/B1715</f>
        <v>6.9999273678094137E-2</v>
      </c>
    </row>
    <row r="1768" spans="1:6" x14ac:dyDescent="0.2">
      <c r="A1768" s="23">
        <v>39734</v>
      </c>
      <c r="B1768" s="25">
        <f>VLOOKUP(Table2634[[#This Row],[Date]],'DB Money Supply'!$A:$D,4)</f>
        <v>1464.9</v>
      </c>
      <c r="C1768" s="31">
        <f>(Table2634[[#This Row],[M1 Money Stock, Billions of Dollars, Weekly, Seasonally Adjusted]]-B1767)/B1767</f>
        <v>2.6694045174538612E-3</v>
      </c>
      <c r="D1768" s="35">
        <f>((1+Table2634[[#This Row],[Weekly change]])^52)-1</f>
        <v>0.14869221994105986</v>
      </c>
      <c r="E1768" s="25">
        <f t="shared" si="27"/>
        <v>1480.15</v>
      </c>
      <c r="F1768" s="33">
        <f>(Table2634[[#This Row],[4 weeks average]]-B1716)/B1716</f>
        <v>7.0323233784076941E-2</v>
      </c>
    </row>
    <row r="1769" spans="1:6" x14ac:dyDescent="0.2">
      <c r="A1769" s="23">
        <v>39741</v>
      </c>
      <c r="B1769" s="25">
        <f>VLOOKUP(Table2634[[#This Row],[Date]],'DB Money Supply'!$A:$D,4)</f>
        <v>1457.4</v>
      </c>
      <c r="C1769" s="31">
        <f>(Table2634[[#This Row],[M1 Money Stock, Billions of Dollars, Weekly, Seasonally Adjusted]]-B1768)/B1768</f>
        <v>-5.1198033995494569E-3</v>
      </c>
      <c r="D1769" s="35">
        <f>((1+Table2634[[#This Row],[Weekly change]])^52)-1</f>
        <v>-0.23426079754022244</v>
      </c>
      <c r="E1769" s="25">
        <f t="shared" si="27"/>
        <v>1471.9749999999999</v>
      </c>
      <c r="F1769" s="33">
        <f>(Table2634[[#This Row],[4 weeks average]]-B1717)/B1717</f>
        <v>6.425782662135783E-2</v>
      </c>
    </row>
    <row r="1770" spans="1:6" x14ac:dyDescent="0.2">
      <c r="A1770" s="23">
        <v>39748</v>
      </c>
      <c r="B1770" s="25">
        <f>VLOOKUP(Table2634[[#This Row],[Date]],'DB Money Supply'!$A:$D,4)</f>
        <v>1483.7</v>
      </c>
      <c r="C1770" s="31">
        <f>(Table2634[[#This Row],[M1 Money Stock, Billions of Dollars, Weekly, Seasonally Adjusted]]-B1769)/B1769</f>
        <v>1.804583504871686E-2</v>
      </c>
      <c r="D1770" s="35">
        <f>((1+Table2634[[#This Row],[Weekly change]])^52)-1</f>
        <v>1.5345521872588246</v>
      </c>
      <c r="E1770" s="25">
        <f t="shared" si="27"/>
        <v>1466.75</v>
      </c>
      <c r="F1770" s="33">
        <f>(Table2634[[#This Row],[4 weeks average]]-B1718)/B1718</f>
        <v>6.3093426107124706E-2</v>
      </c>
    </row>
    <row r="1771" spans="1:6" x14ac:dyDescent="0.2">
      <c r="A1771" s="23">
        <v>39755</v>
      </c>
      <c r="B1771" s="25">
        <f>VLOOKUP(Table2634[[#This Row],[Date]],'DB Money Supply'!$A:$D,4)</f>
        <v>1520</v>
      </c>
      <c r="C1771" s="31">
        <f>(Table2634[[#This Row],[M1 Money Stock, Billions of Dollars, Weekly, Seasonally Adjusted]]-B1770)/B1770</f>
        <v>2.4465862371099246E-2</v>
      </c>
      <c r="D1771" s="35">
        <f>((1+Table2634[[#This Row],[Weekly change]])^52)-1</f>
        <v>2.514548536676775</v>
      </c>
      <c r="E1771" s="25">
        <f t="shared" si="27"/>
        <v>1481.5</v>
      </c>
      <c r="F1771" s="33">
        <f>(Table2634[[#This Row],[4 weeks average]]-B1719)/B1719</f>
        <v>8.1702686915887918E-2</v>
      </c>
    </row>
    <row r="1772" spans="1:6" x14ac:dyDescent="0.2">
      <c r="A1772" s="23">
        <v>39762</v>
      </c>
      <c r="B1772" s="25">
        <f>VLOOKUP(Table2634[[#This Row],[Date]],'DB Money Supply'!$A:$D,4)</f>
        <v>1505.5</v>
      </c>
      <c r="C1772" s="31">
        <f>(Table2634[[#This Row],[M1 Money Stock, Billions of Dollars, Weekly, Seasonally Adjusted]]-B1771)/B1771</f>
        <v>-9.5394736842105265E-3</v>
      </c>
      <c r="D1772" s="35">
        <f>((1+Table2634[[#This Row],[Weekly change]])^52)-1</f>
        <v>-0.39251866454103157</v>
      </c>
      <c r="E1772" s="25">
        <f t="shared" si="27"/>
        <v>1491.65</v>
      </c>
      <c r="F1772" s="33">
        <f>(Table2634[[#This Row],[4 weeks average]]-B1720)/B1720</f>
        <v>9.0546863576546385E-2</v>
      </c>
    </row>
    <row r="1773" spans="1:6" x14ac:dyDescent="0.2">
      <c r="A1773" s="23">
        <v>39769</v>
      </c>
      <c r="B1773" s="25">
        <f>VLOOKUP(Table2634[[#This Row],[Date]],'DB Money Supply'!$A:$D,4)</f>
        <v>1506.8</v>
      </c>
      <c r="C1773" s="31">
        <f>(Table2634[[#This Row],[M1 Money Stock, Billions of Dollars, Weekly, Seasonally Adjusted]]-B1772)/B1772</f>
        <v>8.6350049817333408E-4</v>
      </c>
      <c r="D1773" s="35">
        <f>((1+Table2634[[#This Row],[Weekly change]])^52)-1</f>
        <v>4.5905116365991372E-2</v>
      </c>
      <c r="E1773" s="25">
        <f t="shared" si="27"/>
        <v>1504</v>
      </c>
      <c r="F1773" s="33">
        <f>(Table2634[[#This Row],[4 weeks average]]-B1721)/B1721</f>
        <v>0.10005851375073138</v>
      </c>
    </row>
    <row r="1774" spans="1:6" x14ac:dyDescent="0.2">
      <c r="A1774" s="23">
        <v>39776</v>
      </c>
      <c r="B1774" s="25">
        <f>VLOOKUP(Table2634[[#This Row],[Date]],'DB Money Supply'!$A:$D,4)</f>
        <v>1518.3</v>
      </c>
      <c r="C1774" s="31">
        <f>(Table2634[[#This Row],[M1 Money Stock, Billions of Dollars, Weekly, Seasonally Adjusted]]-B1773)/B1773</f>
        <v>7.6320679585877354E-3</v>
      </c>
      <c r="D1774" s="35">
        <f>((1+Table2634[[#This Row],[Weekly change]])^52)-1</f>
        <v>0.48491975781502084</v>
      </c>
      <c r="E1774" s="25">
        <f t="shared" si="27"/>
        <v>1512.65</v>
      </c>
      <c r="F1774" s="33">
        <f>(Table2634[[#This Row],[4 weeks average]]-B1722)/B1722</f>
        <v>0.10050927610040021</v>
      </c>
    </row>
    <row r="1775" spans="1:6" x14ac:dyDescent="0.2">
      <c r="A1775" s="23">
        <v>39783</v>
      </c>
      <c r="B1775" s="25">
        <f>VLOOKUP(Table2634[[#This Row],[Date]],'DB Money Supply'!$A:$D,4)</f>
        <v>1527.2</v>
      </c>
      <c r="C1775" s="31">
        <f>(Table2634[[#This Row],[M1 Money Stock, Billions of Dollars, Weekly, Seasonally Adjusted]]-B1774)/B1774</f>
        <v>5.8618191398274984E-3</v>
      </c>
      <c r="D1775" s="35">
        <f>((1+Table2634[[#This Row],[Weekly change]])^52)-1</f>
        <v>0.35516699084823578</v>
      </c>
      <c r="E1775" s="25">
        <f t="shared" si="27"/>
        <v>1514.45</v>
      </c>
      <c r="F1775" s="33">
        <f>(Table2634[[#This Row],[4 weeks average]]-B1723)/B1723</f>
        <v>9.3623627960716424E-2</v>
      </c>
    </row>
    <row r="1776" spans="1:6" x14ac:dyDescent="0.2">
      <c r="A1776" s="23">
        <v>39790</v>
      </c>
      <c r="B1776" s="25">
        <f>VLOOKUP(Table2634[[#This Row],[Date]],'DB Money Supply'!$A:$D,4)</f>
        <v>1590</v>
      </c>
      <c r="C1776" s="31">
        <f>(Table2634[[#This Row],[M1 Money Stock, Billions of Dollars, Weekly, Seasonally Adjusted]]-B1775)/B1775</f>
        <v>4.1121005762179121E-2</v>
      </c>
      <c r="D1776" s="35">
        <f>((1+Table2634[[#This Row],[Weekly change]])^52)-1</f>
        <v>7.1294818280593262</v>
      </c>
      <c r="E1776" s="25">
        <f t="shared" si="27"/>
        <v>1535.575</v>
      </c>
      <c r="F1776" s="33">
        <f>(Table2634[[#This Row],[4 weeks average]]-B1724)/B1724</f>
        <v>0.11467407084785144</v>
      </c>
    </row>
    <row r="1777" spans="1:6" x14ac:dyDescent="0.2">
      <c r="A1777" s="23">
        <v>39797</v>
      </c>
      <c r="B1777" s="25">
        <f>VLOOKUP(Table2634[[#This Row],[Date]],'DB Money Supply'!$A:$D,4)</f>
        <v>1612</v>
      </c>
      <c r="C1777" s="31">
        <f>(Table2634[[#This Row],[M1 Money Stock, Billions of Dollars, Weekly, Seasonally Adjusted]]-B1776)/B1776</f>
        <v>1.3836477987421384E-2</v>
      </c>
      <c r="D1777" s="35">
        <f>((1+Table2634[[#This Row],[Weekly change]])^52)-1</f>
        <v>1.0432969358413531</v>
      </c>
      <c r="E1777" s="25">
        <f t="shared" si="27"/>
        <v>1561.875</v>
      </c>
      <c r="F1777" s="33">
        <f>(Table2634[[#This Row],[4 weeks average]]-B1725)/B1725</f>
        <v>0.14414694894146957</v>
      </c>
    </row>
    <row r="1778" spans="1:6" x14ac:dyDescent="0.2">
      <c r="A1778" s="23">
        <v>39804</v>
      </c>
      <c r="B1778" s="25">
        <f>VLOOKUP(Table2634[[#This Row],[Date]],'DB Money Supply'!$A:$D,4)</f>
        <v>1610.2</v>
      </c>
      <c r="C1778" s="31">
        <f>(Table2634[[#This Row],[M1 Money Stock, Billions of Dollars, Weekly, Seasonally Adjusted]]-B1777)/B1777</f>
        <v>-1.1166253101736691E-3</v>
      </c>
      <c r="D1778" s="35">
        <f>((1+Table2634[[#This Row],[Weekly change]])^52)-1</f>
        <v>-5.6441542950824042E-2</v>
      </c>
      <c r="E1778" s="25">
        <f t="shared" si="27"/>
        <v>1584.85</v>
      </c>
      <c r="F1778" s="33">
        <f>(Table2634[[#This Row],[4 weeks average]]-B1726)/B1726</f>
        <v>0.15002539728611858</v>
      </c>
    </row>
    <row r="1779" spans="1:6" x14ac:dyDescent="0.2">
      <c r="A1779" s="23">
        <v>39811</v>
      </c>
      <c r="B1779" s="25">
        <f>VLOOKUP(Table2634[[#This Row],[Date]],'DB Money Supply'!$A:$D,4)</f>
        <v>1597.3</v>
      </c>
      <c r="C1779" s="31">
        <f>(Table2634[[#This Row],[M1 Money Stock, Billions of Dollars, Weekly, Seasonally Adjusted]]-B1778)/B1778</f>
        <v>-8.011427151906652E-3</v>
      </c>
      <c r="D1779" s="35">
        <f>((1+Table2634[[#This Row],[Weekly change]])^52)-1</f>
        <v>-0.34181677938766042</v>
      </c>
      <c r="E1779" s="25">
        <f t="shared" si="27"/>
        <v>1602.375</v>
      </c>
      <c r="F1779" s="33">
        <f>(Table2634[[#This Row],[4 weeks average]]-B1727)/B1727</f>
        <v>0.17141238394619482</v>
      </c>
    </row>
    <row r="1780" spans="1:6" x14ac:dyDescent="0.2">
      <c r="A1780" s="23">
        <v>39818</v>
      </c>
      <c r="B1780" s="25">
        <f>VLOOKUP(Table2634[[#This Row],[Date]],'DB Money Supply'!$A:$D,4)</f>
        <v>1629.7</v>
      </c>
      <c r="C1780" s="31">
        <f>(Table2634[[#This Row],[M1 Money Stock, Billions of Dollars, Weekly, Seasonally Adjusted]]-B1779)/B1779</f>
        <v>2.0284229637513362E-2</v>
      </c>
      <c r="D1780" s="35">
        <f>((1+Table2634[[#This Row],[Weekly change]])^52)-1</f>
        <v>1.8411950027090866</v>
      </c>
      <c r="E1780" s="25">
        <f t="shared" si="27"/>
        <v>1612.3</v>
      </c>
      <c r="F1780" s="33">
        <f>(Table2634[[#This Row],[4 weeks average]]-B1728)/B1728</f>
        <v>0.17918525561325241</v>
      </c>
    </row>
    <row r="1781" spans="1:6" x14ac:dyDescent="0.2">
      <c r="A1781" s="23">
        <v>39825</v>
      </c>
      <c r="B1781" s="25">
        <f>VLOOKUP(Table2634[[#This Row],[Date]],'DB Money Supply'!$A:$D,4)</f>
        <v>1609.5</v>
      </c>
      <c r="C1781" s="31">
        <f>(Table2634[[#This Row],[M1 Money Stock, Billions of Dollars, Weekly, Seasonally Adjusted]]-B1780)/B1780</f>
        <v>-1.2394919310302538E-2</v>
      </c>
      <c r="D1781" s="35">
        <f>((1+Table2634[[#This Row],[Weekly change]])^52)-1</f>
        <v>-0.47720382113547288</v>
      </c>
      <c r="E1781" s="25">
        <f t="shared" si="27"/>
        <v>1611.675</v>
      </c>
      <c r="F1781" s="33">
        <f>(Table2634[[#This Row],[4 weeks average]]-B1729)/B1729</f>
        <v>0.17623339658444015</v>
      </c>
    </row>
    <row r="1782" spans="1:6" x14ac:dyDescent="0.2">
      <c r="A1782" s="23">
        <v>39832</v>
      </c>
      <c r="B1782" s="25">
        <f>VLOOKUP(Table2634[[#This Row],[Date]],'DB Money Supply'!$A:$D,4)</f>
        <v>1561.1</v>
      </c>
      <c r="C1782" s="31">
        <f>(Table2634[[#This Row],[M1 Money Stock, Billions of Dollars, Weekly, Seasonally Adjusted]]-B1781)/B1781</f>
        <v>-3.007145076110599E-2</v>
      </c>
      <c r="D1782" s="35">
        <f>((1+Table2634[[#This Row],[Weekly change]])^52)-1</f>
        <v>-0.7956067164147812</v>
      </c>
      <c r="E1782" s="25">
        <f t="shared" si="27"/>
        <v>1599.4</v>
      </c>
      <c r="F1782" s="33">
        <f>(Table2634[[#This Row],[4 weeks average]]-B1730)/B1730</f>
        <v>0.15064748201438855</v>
      </c>
    </row>
    <row r="1783" spans="1:6" x14ac:dyDescent="0.2">
      <c r="A1783" s="23">
        <v>39839</v>
      </c>
      <c r="B1783" s="25">
        <f>VLOOKUP(Table2634[[#This Row],[Date]],'DB Money Supply'!$A:$D,4)</f>
        <v>1555.1</v>
      </c>
      <c r="C1783" s="31">
        <f>(Table2634[[#This Row],[M1 Money Stock, Billions of Dollars, Weekly, Seasonally Adjusted]]-B1782)/B1782</f>
        <v>-3.8434437255781182E-3</v>
      </c>
      <c r="D1783" s="35">
        <f>((1+Table2634[[#This Row],[Weekly change]])^52)-1</f>
        <v>-0.18146910273300243</v>
      </c>
      <c r="E1783" s="25">
        <f t="shared" si="27"/>
        <v>1588.85</v>
      </c>
      <c r="F1783" s="33">
        <f>(Table2634[[#This Row],[4 weeks average]]-B1731)/B1731</f>
        <v>0.15167439837634097</v>
      </c>
    </row>
    <row r="1784" spans="1:6" x14ac:dyDescent="0.2">
      <c r="A1784" s="23">
        <v>39846</v>
      </c>
      <c r="B1784" s="25">
        <f>VLOOKUP(Table2634[[#This Row],[Date]],'DB Money Supply'!$A:$D,4)</f>
        <v>1567.4</v>
      </c>
      <c r="C1784" s="31">
        <f>(Table2634[[#This Row],[M1 Money Stock, Billions of Dollars, Weekly, Seasonally Adjusted]]-B1783)/B1783</f>
        <v>7.90945919876547E-3</v>
      </c>
      <c r="D1784" s="35">
        <f>((1+Table2634[[#This Row],[Weekly change]])^52)-1</f>
        <v>0.50632642620157098</v>
      </c>
      <c r="E1784" s="25">
        <f t="shared" si="27"/>
        <v>1573.2750000000001</v>
      </c>
      <c r="F1784" s="33">
        <f>(Table2634[[#This Row],[4 weeks average]]-B1732)/B1732</f>
        <v>0.13503715460644988</v>
      </c>
    </row>
    <row r="1785" spans="1:6" x14ac:dyDescent="0.2">
      <c r="A1785" s="23">
        <v>39853</v>
      </c>
      <c r="B1785" s="25">
        <f>VLOOKUP(Table2634[[#This Row],[Date]],'DB Money Supply'!$A:$D,4)</f>
        <v>1575.7</v>
      </c>
      <c r="C1785" s="31">
        <f>(Table2634[[#This Row],[M1 Money Stock, Billions of Dollars, Weekly, Seasonally Adjusted]]-B1784)/B1784</f>
        <v>5.2953936455275965E-3</v>
      </c>
      <c r="D1785" s="35">
        <f>((1+Table2634[[#This Row],[Weekly change]])^52)-1</f>
        <v>0.31604886300949531</v>
      </c>
      <c r="E1785" s="25">
        <f t="shared" si="27"/>
        <v>1564.825</v>
      </c>
      <c r="F1785" s="33">
        <f>(Table2634[[#This Row],[4 weeks average]]-B1733)/B1733</f>
        <v>0.13855136786961578</v>
      </c>
    </row>
    <row r="1786" spans="1:6" x14ac:dyDescent="0.2">
      <c r="A1786" s="23">
        <v>39860</v>
      </c>
      <c r="B1786" s="25">
        <f>VLOOKUP(Table2634[[#This Row],[Date]],'DB Money Supply'!$A:$D,4)</f>
        <v>1565</v>
      </c>
      <c r="C1786" s="31">
        <f>(Table2634[[#This Row],[M1 Money Stock, Billions of Dollars, Weekly, Seasonally Adjusted]]-B1785)/B1785</f>
        <v>-6.7906327346576416E-3</v>
      </c>
      <c r="D1786" s="35">
        <f>((1+Table2634[[#This Row],[Weekly change]])^52)-1</f>
        <v>-0.29834769359534863</v>
      </c>
      <c r="E1786" s="25">
        <f t="shared" si="27"/>
        <v>1565.8</v>
      </c>
      <c r="F1786" s="33">
        <f>(Table2634[[#This Row],[4 weeks average]]-B1734)/B1734</f>
        <v>0.13876363636363634</v>
      </c>
    </row>
    <row r="1787" spans="1:6" x14ac:dyDescent="0.2">
      <c r="A1787" s="23">
        <v>39867</v>
      </c>
      <c r="B1787" s="25">
        <f>VLOOKUP(Table2634[[#This Row],[Date]],'DB Money Supply'!$A:$D,4)</f>
        <v>1558.9</v>
      </c>
      <c r="C1787" s="31">
        <f>(Table2634[[#This Row],[M1 Money Stock, Billions of Dollars, Weekly, Seasonally Adjusted]]-B1786)/B1786</f>
        <v>-3.8977635782747023E-3</v>
      </c>
      <c r="D1787" s="35">
        <f>((1+Table2634[[#This Row],[Weekly change]])^52)-1</f>
        <v>-0.18378684771393006</v>
      </c>
      <c r="E1787" s="25">
        <f t="shared" si="27"/>
        <v>1566.75</v>
      </c>
      <c r="F1787" s="33">
        <f>(Table2634[[#This Row],[4 weeks average]]-B1735)/B1735</f>
        <v>0.13788219914300232</v>
      </c>
    </row>
    <row r="1788" spans="1:6" x14ac:dyDescent="0.2">
      <c r="A1788" s="23">
        <v>39874</v>
      </c>
      <c r="B1788" s="25">
        <f>VLOOKUP(Table2634[[#This Row],[Date]],'DB Money Supply'!$A:$D,4)</f>
        <v>1570.1</v>
      </c>
      <c r="C1788" s="31">
        <f>(Table2634[[#This Row],[M1 Money Stock, Billions of Dollars, Weekly, Seasonally Adjusted]]-B1787)/B1787</f>
        <v>7.1845532105970986E-3</v>
      </c>
      <c r="D1788" s="35">
        <f>((1+Table2634[[#This Row],[Weekly change]])^52)-1</f>
        <v>0.4510117876318589</v>
      </c>
      <c r="E1788" s="25">
        <f t="shared" si="27"/>
        <v>1567.4250000000002</v>
      </c>
      <c r="F1788" s="33">
        <f>(Table2634[[#This Row],[4 weeks average]]-B1736)/B1736</f>
        <v>0.11879014989293375</v>
      </c>
    </row>
    <row r="1789" spans="1:6" x14ac:dyDescent="0.2">
      <c r="A1789" s="23">
        <v>39881</v>
      </c>
      <c r="B1789" s="25">
        <f>VLOOKUP(Table2634[[#This Row],[Date]],'DB Money Supply'!$A:$D,4)</f>
        <v>1583.8</v>
      </c>
      <c r="C1789" s="31">
        <f>(Table2634[[#This Row],[M1 Money Stock, Billions of Dollars, Weekly, Seasonally Adjusted]]-B1788)/B1788</f>
        <v>8.7255588815999281E-3</v>
      </c>
      <c r="D1789" s="35">
        <f>((1+Table2634[[#This Row],[Weekly change]])^52)-1</f>
        <v>0.57107638836701669</v>
      </c>
      <c r="E1789" s="25">
        <f t="shared" si="27"/>
        <v>1569.45</v>
      </c>
      <c r="F1789" s="33">
        <f>(Table2634[[#This Row],[4 weeks average]]-B1737)/B1737</f>
        <v>0.12804571264285208</v>
      </c>
    </row>
    <row r="1790" spans="1:6" x14ac:dyDescent="0.2">
      <c r="A1790" s="23">
        <v>39888</v>
      </c>
      <c r="B1790" s="25">
        <f>VLOOKUP(Table2634[[#This Row],[Date]],'DB Money Supply'!$A:$D,4)</f>
        <v>1575.7</v>
      </c>
      <c r="C1790" s="31">
        <f>(Table2634[[#This Row],[M1 Money Stock, Billions of Dollars, Weekly, Seasonally Adjusted]]-B1789)/B1789</f>
        <v>-5.1142821063264992E-3</v>
      </c>
      <c r="D1790" s="35">
        <f>((1+Table2634[[#This Row],[Weekly change]])^52)-1</f>
        <v>-0.23403978561241023</v>
      </c>
      <c r="E1790" s="25">
        <f t="shared" si="27"/>
        <v>1572.125</v>
      </c>
      <c r="F1790" s="33">
        <f>(Table2634[[#This Row],[4 weeks average]]-B1738)/B1738</f>
        <v>0.13798407528049222</v>
      </c>
    </row>
    <row r="1791" spans="1:6" x14ac:dyDescent="0.2">
      <c r="A1791" s="23">
        <v>39895</v>
      </c>
      <c r="B1791" s="25">
        <f>VLOOKUP(Table2634[[#This Row],[Date]],'DB Money Supply'!$A:$D,4)</f>
        <v>1575.1</v>
      </c>
      <c r="C1791" s="31">
        <f>(Table2634[[#This Row],[M1 Money Stock, Billions of Dollars, Weekly, Seasonally Adjusted]]-B1790)/B1790</f>
        <v>-3.8078314399957885E-4</v>
      </c>
      <c r="D1791" s="35">
        <f>((1+Table2634[[#This Row],[Weekly change]])^52)-1</f>
        <v>-1.9609673566869268E-2</v>
      </c>
      <c r="E1791" s="25">
        <f t="shared" si="27"/>
        <v>1576.1749999999997</v>
      </c>
      <c r="F1791" s="33">
        <f>(Table2634[[#This Row],[4 weeks average]]-B1739)/B1739</f>
        <v>0.13630956672193772</v>
      </c>
    </row>
    <row r="1792" spans="1:6" x14ac:dyDescent="0.2">
      <c r="A1792" s="23">
        <v>39902</v>
      </c>
      <c r="B1792" s="25">
        <f>VLOOKUP(Table2634[[#This Row],[Date]],'DB Money Supply'!$A:$D,4)</f>
        <v>1572.3</v>
      </c>
      <c r="C1792" s="31">
        <f>(Table2634[[#This Row],[M1 Money Stock, Billions of Dollars, Weekly, Seasonally Adjusted]]-B1791)/B1791</f>
        <v>-1.7776649101644052E-3</v>
      </c>
      <c r="D1792" s="35">
        <f>((1+Table2634[[#This Row],[Weekly change]])^52)-1</f>
        <v>-8.8369783264023227E-2</v>
      </c>
      <c r="E1792" s="25">
        <f t="shared" si="27"/>
        <v>1576.7250000000001</v>
      </c>
      <c r="F1792" s="33">
        <f>(Table2634[[#This Row],[4 weeks average]]-B1740)/B1740</f>
        <v>0.13457940562711382</v>
      </c>
    </row>
    <row r="1793" spans="1:6" x14ac:dyDescent="0.2">
      <c r="A1793" s="23">
        <v>39909</v>
      </c>
      <c r="B1793" s="25">
        <f>VLOOKUP(Table2634[[#This Row],[Date]],'DB Money Supply'!$A:$D,4)</f>
        <v>1655.6</v>
      </c>
      <c r="C1793" s="31">
        <f>(Table2634[[#This Row],[M1 Money Stock, Billions of Dollars, Weekly, Seasonally Adjusted]]-B1792)/B1792</f>
        <v>5.2979711251033491E-2</v>
      </c>
      <c r="D1793" s="35">
        <f>((1+Table2634[[#This Row],[Weekly change]])^52)-1</f>
        <v>13.650085926178718</v>
      </c>
      <c r="E1793" s="25">
        <f t="shared" si="27"/>
        <v>1594.6750000000002</v>
      </c>
      <c r="F1793" s="33">
        <f>(Table2634[[#This Row],[4 weeks average]]-B1741)/B1741</f>
        <v>0.16043880075680406</v>
      </c>
    </row>
    <row r="1794" spans="1:6" x14ac:dyDescent="0.2">
      <c r="A1794" s="23">
        <v>39916</v>
      </c>
      <c r="B1794" s="25">
        <f>VLOOKUP(Table2634[[#This Row],[Date]],'DB Money Supply'!$A:$D,4)</f>
        <v>1604.1</v>
      </c>
      <c r="C1794" s="31">
        <f>(Table2634[[#This Row],[M1 Money Stock, Billions of Dollars, Weekly, Seasonally Adjusted]]-B1793)/B1793</f>
        <v>-3.1106547475235564E-2</v>
      </c>
      <c r="D1794" s="35">
        <f>((1+Table2634[[#This Row],[Weekly change]])^52)-1</f>
        <v>-0.80664602858188894</v>
      </c>
      <c r="E1794" s="25">
        <f t="shared" si="27"/>
        <v>1601.7750000000001</v>
      </c>
      <c r="F1794" s="33">
        <f>(Table2634[[#This Row],[4 weeks average]]-B1742)/B1742</f>
        <v>0.15301972358191768</v>
      </c>
    </row>
    <row r="1795" spans="1:6" x14ac:dyDescent="0.2">
      <c r="A1795" s="23">
        <v>39923</v>
      </c>
      <c r="B1795" s="25">
        <f>VLOOKUP(Table2634[[#This Row],[Date]],'DB Money Supply'!$A:$D,4)</f>
        <v>1595.4</v>
      </c>
      <c r="C1795" s="31">
        <f>(Table2634[[#This Row],[M1 Money Stock, Billions of Dollars, Weekly, Seasonally Adjusted]]-B1794)/B1794</f>
        <v>-5.4236020198240873E-3</v>
      </c>
      <c r="D1795" s="35">
        <f>((1+Table2634[[#This Row],[Weekly change]])^52)-1</f>
        <v>-0.24632563700647481</v>
      </c>
      <c r="E1795" s="25">
        <f t="shared" si="27"/>
        <v>1606.85</v>
      </c>
      <c r="F1795" s="33">
        <f>(Table2634[[#This Row],[4 weeks average]]-B1743)/B1743</f>
        <v>0.14464311155435244</v>
      </c>
    </row>
    <row r="1796" spans="1:6" x14ac:dyDescent="0.2">
      <c r="A1796" s="23">
        <v>39930</v>
      </c>
      <c r="B1796" s="25">
        <f>VLOOKUP(Table2634[[#This Row],[Date]],'DB Money Supply'!$A:$D,4)</f>
        <v>1598</v>
      </c>
      <c r="C1796" s="31">
        <f>(Table2634[[#This Row],[M1 Money Stock, Billions of Dollars, Weekly, Seasonally Adjusted]]-B1795)/B1795</f>
        <v>1.6296853453678756E-3</v>
      </c>
      <c r="D1796" s="35">
        <f>((1+Table2634[[#This Row],[Weekly change]])^52)-1</f>
        <v>8.8362921271782691E-2</v>
      </c>
      <c r="E1796" s="25">
        <f t="shared" si="27"/>
        <v>1613.2750000000001</v>
      </c>
      <c r="F1796" s="33">
        <f>(Table2634[[#This Row],[4 weeks average]]-B1744)/B1744</f>
        <v>0.15423552979895547</v>
      </c>
    </row>
    <row r="1797" spans="1:6" x14ac:dyDescent="0.2">
      <c r="A1797" s="23">
        <v>39937</v>
      </c>
      <c r="B1797" s="25">
        <f>VLOOKUP(Table2634[[#This Row],[Date]],'DB Money Supply'!$A:$D,4)</f>
        <v>1611.3</v>
      </c>
      <c r="C1797" s="31">
        <f>(Table2634[[#This Row],[M1 Money Stock, Billions of Dollars, Weekly, Seasonally Adjusted]]-B1796)/B1796</f>
        <v>8.3229036295368927E-3</v>
      </c>
      <c r="D1797" s="35">
        <f>((1+Table2634[[#This Row],[Weekly change]])^52)-1</f>
        <v>0.53879536710453446</v>
      </c>
      <c r="E1797" s="25">
        <f t="shared" si="27"/>
        <v>1602.2</v>
      </c>
      <c r="F1797" s="33">
        <f>(Table2634[[#This Row],[4 weeks average]]-B1745)/B1745</f>
        <v>0.14976677430929317</v>
      </c>
    </row>
    <row r="1798" spans="1:6" x14ac:dyDescent="0.2">
      <c r="A1798" s="23">
        <v>39944</v>
      </c>
      <c r="B1798" s="25">
        <f>VLOOKUP(Table2634[[#This Row],[Date]],'DB Money Supply'!$A:$D,4)</f>
        <v>1617.5</v>
      </c>
      <c r="C1798" s="31">
        <f>(Table2634[[#This Row],[M1 Money Stock, Billions of Dollars, Weekly, Seasonally Adjusted]]-B1797)/B1797</f>
        <v>3.8478247377893909E-3</v>
      </c>
      <c r="D1798" s="35">
        <f>((1+Table2634[[#This Row],[Weekly change]])^52)-1</f>
        <v>0.22103995939180687</v>
      </c>
      <c r="E1798" s="25">
        <f t="shared" si="27"/>
        <v>1605.55</v>
      </c>
      <c r="F1798" s="33">
        <f>(Table2634[[#This Row],[4 weeks average]]-B1746)/B1746</f>
        <v>0.15341235632183906</v>
      </c>
    </row>
    <row r="1799" spans="1:6" x14ac:dyDescent="0.2">
      <c r="A1799" s="23">
        <v>39951</v>
      </c>
      <c r="B1799" s="25">
        <f>VLOOKUP(Table2634[[#This Row],[Date]],'DB Money Supply'!$A:$D,4)</f>
        <v>1617.1</v>
      </c>
      <c r="C1799" s="31">
        <f>(Table2634[[#This Row],[M1 Money Stock, Billions of Dollars, Weekly, Seasonally Adjusted]]-B1798)/B1798</f>
        <v>-2.4729520865538851E-4</v>
      </c>
      <c r="D1799" s="35">
        <f>((1+Table2634[[#This Row],[Weekly change]])^52)-1</f>
        <v>-1.2778592641116804E-2</v>
      </c>
      <c r="E1799" s="25">
        <f t="shared" si="27"/>
        <v>1610.9749999999999</v>
      </c>
      <c r="F1799" s="33">
        <f>(Table2634[[#This Row],[4 weeks average]]-B1747)/B1747</f>
        <v>0.16257126362127433</v>
      </c>
    </row>
    <row r="1800" spans="1:6" x14ac:dyDescent="0.2">
      <c r="A1800" s="23">
        <v>39958</v>
      </c>
      <c r="B1800" s="25">
        <f>VLOOKUP(Table2634[[#This Row],[Date]],'DB Money Supply'!$A:$D,4)</f>
        <v>1623.4</v>
      </c>
      <c r="C1800" s="31">
        <f>(Table2634[[#This Row],[M1 Money Stock, Billions of Dollars, Weekly, Seasonally Adjusted]]-B1799)/B1799</f>
        <v>3.8958629645663113E-3</v>
      </c>
      <c r="D1800" s="35">
        <f>((1+Table2634[[#This Row],[Weekly change]])^52)-1</f>
        <v>0.2240821215941784</v>
      </c>
      <c r="E1800" s="25">
        <f t="shared" si="27"/>
        <v>1617.3249999999998</v>
      </c>
      <c r="F1800" s="33">
        <f>(Table2634[[#This Row],[4 weeks average]]-B1748)/B1748</f>
        <v>0.16020444763271149</v>
      </c>
    </row>
    <row r="1801" spans="1:6" x14ac:dyDescent="0.2">
      <c r="A1801" s="23">
        <v>39965</v>
      </c>
      <c r="B1801" s="25">
        <f>VLOOKUP(Table2634[[#This Row],[Date]],'DB Money Supply'!$A:$D,4)</f>
        <v>1615.5</v>
      </c>
      <c r="C1801" s="31">
        <f>(Table2634[[#This Row],[M1 Money Stock, Billions of Dollars, Weekly, Seasonally Adjusted]]-B1800)/B1800</f>
        <v>-4.8663299248491382E-3</v>
      </c>
      <c r="D1801" s="35">
        <f>((1+Table2634[[#This Row],[Weekly change]])^52)-1</f>
        <v>-0.22404974966814095</v>
      </c>
      <c r="E1801" s="25">
        <f t="shared" ref="E1801:E1864" si="28">AVERAGE(B1798:B1801)</f>
        <v>1618.375</v>
      </c>
      <c r="F1801" s="33">
        <f>(Table2634[[#This Row],[4 weeks average]]-B1749)/B1749</f>
        <v>0.15170438371762024</v>
      </c>
    </row>
    <row r="1802" spans="1:6" x14ac:dyDescent="0.2">
      <c r="A1802" s="23">
        <v>39972</v>
      </c>
      <c r="B1802" s="25">
        <f>VLOOKUP(Table2634[[#This Row],[Date]],'DB Money Supply'!$A:$D,4)</f>
        <v>1650.5</v>
      </c>
      <c r="C1802" s="31">
        <f>(Table2634[[#This Row],[M1 Money Stock, Billions of Dollars, Weekly, Seasonally Adjusted]]-B1801)/B1801</f>
        <v>2.1665119158155371E-2</v>
      </c>
      <c r="D1802" s="35">
        <f>((1+Table2634[[#This Row],[Weekly change]])^52)-1</f>
        <v>2.048213963904812</v>
      </c>
      <c r="E1802" s="25">
        <f t="shared" si="28"/>
        <v>1626.625</v>
      </c>
      <c r="F1802" s="33">
        <f>(Table2634[[#This Row],[4 weeks average]]-B1750)/B1750</f>
        <v>0.15289885888439994</v>
      </c>
    </row>
    <row r="1803" spans="1:6" x14ac:dyDescent="0.2">
      <c r="A1803" s="23">
        <v>39979</v>
      </c>
      <c r="B1803" s="25">
        <f>VLOOKUP(Table2634[[#This Row],[Date]],'DB Money Supply'!$A:$D,4)</f>
        <v>1659.5</v>
      </c>
      <c r="C1803" s="31">
        <f>(Table2634[[#This Row],[M1 Money Stock, Billions of Dollars, Weekly, Seasonally Adjusted]]-B1802)/B1802</f>
        <v>5.4528930627082703E-3</v>
      </c>
      <c r="D1803" s="35">
        <f>((1+Table2634[[#This Row],[Weekly change]])^52)-1</f>
        <v>0.32681343389396922</v>
      </c>
      <c r="E1803" s="25">
        <f t="shared" si="28"/>
        <v>1637.2249999999999</v>
      </c>
      <c r="F1803" s="33">
        <f>(Table2634[[#This Row],[4 weeks average]]-B1751)/B1751</f>
        <v>0.16636389541924904</v>
      </c>
    </row>
    <row r="1804" spans="1:6" x14ac:dyDescent="0.2">
      <c r="A1804" s="23">
        <v>39986</v>
      </c>
      <c r="B1804" s="25">
        <f>VLOOKUP(Table2634[[#This Row],[Date]],'DB Money Supply'!$A:$D,4)</f>
        <v>1671.6</v>
      </c>
      <c r="C1804" s="31">
        <f>(Table2634[[#This Row],[M1 Money Stock, Billions of Dollars, Weekly, Seasonally Adjusted]]-B1803)/B1803</f>
        <v>7.291352817113534E-3</v>
      </c>
      <c r="D1804" s="35">
        <f>((1+Table2634[[#This Row],[Weekly change]])^52)-1</f>
        <v>0.45903428686399783</v>
      </c>
      <c r="E1804" s="25">
        <f t="shared" si="28"/>
        <v>1649.2750000000001</v>
      </c>
      <c r="F1804" s="33">
        <f>(Table2634[[#This Row],[4 weeks average]]-B1752)/B1752</f>
        <v>0.17897991278861961</v>
      </c>
    </row>
    <row r="1805" spans="1:6" x14ac:dyDescent="0.2">
      <c r="A1805" s="23">
        <v>39993</v>
      </c>
      <c r="B1805" s="25">
        <f>VLOOKUP(Table2634[[#This Row],[Date]],'DB Money Supply'!$A:$D,4)</f>
        <v>1660.7</v>
      </c>
      <c r="C1805" s="31">
        <f>(Table2634[[#This Row],[M1 Money Stock, Billions of Dollars, Weekly, Seasonally Adjusted]]-B1804)/B1804</f>
        <v>-6.5206987317539267E-3</v>
      </c>
      <c r="D1805" s="35">
        <f>((1+Table2634[[#This Row],[Weekly change]])^52)-1</f>
        <v>-0.28836253155458458</v>
      </c>
      <c r="E1805" s="25">
        <f t="shared" si="28"/>
        <v>1660.575</v>
      </c>
      <c r="F1805" s="33">
        <f>(Table2634[[#This Row],[4 weeks average]]-B1753)/B1753</f>
        <v>0.18224049551473739</v>
      </c>
    </row>
    <row r="1806" spans="1:6" x14ac:dyDescent="0.2">
      <c r="A1806" s="23">
        <v>40000</v>
      </c>
      <c r="B1806" s="25">
        <f>VLOOKUP(Table2634[[#This Row],[Date]],'DB Money Supply'!$A:$D,4)</f>
        <v>1653.2</v>
      </c>
      <c r="C1806" s="31">
        <f>(Table2634[[#This Row],[M1 Money Stock, Billions of Dollars, Weekly, Seasonally Adjusted]]-B1805)/B1805</f>
        <v>-4.5161678810140297E-3</v>
      </c>
      <c r="D1806" s="35">
        <f>((1+Table2634[[#This Row],[Weekly change]])^52)-1</f>
        <v>-0.2097236795112758</v>
      </c>
      <c r="E1806" s="25">
        <f t="shared" si="28"/>
        <v>1661.25</v>
      </c>
      <c r="F1806" s="33">
        <f>(Table2634[[#This Row],[4 weeks average]]-B1754)/B1754</f>
        <v>0.17602293642927941</v>
      </c>
    </row>
    <row r="1807" spans="1:6" x14ac:dyDescent="0.2">
      <c r="A1807" s="23">
        <v>40007</v>
      </c>
      <c r="B1807" s="25">
        <f>VLOOKUP(Table2634[[#This Row],[Date]],'DB Money Supply'!$A:$D,4)</f>
        <v>1663.9</v>
      </c>
      <c r="C1807" s="31">
        <f>(Table2634[[#This Row],[M1 Money Stock, Billions of Dollars, Weekly, Seasonally Adjusted]]-B1806)/B1806</f>
        <v>6.4722961529155854E-3</v>
      </c>
      <c r="D1807" s="35">
        <f>((1+Table2634[[#This Row],[Weekly change]])^52)-1</f>
        <v>0.39860445381292209</v>
      </c>
      <c r="E1807" s="25">
        <f t="shared" si="28"/>
        <v>1662.35</v>
      </c>
      <c r="F1807" s="33">
        <f>(Table2634[[#This Row],[4 weeks average]]-B1755)/B1755</f>
        <v>0.16943369679915576</v>
      </c>
    </row>
    <row r="1808" spans="1:6" x14ac:dyDescent="0.2">
      <c r="A1808" s="23">
        <v>40014</v>
      </c>
      <c r="B1808" s="25">
        <f>VLOOKUP(Table2634[[#This Row],[Date]],'DB Money Supply'!$A:$D,4)</f>
        <v>1662.6</v>
      </c>
      <c r="C1808" s="31">
        <f>(Table2634[[#This Row],[M1 Money Stock, Billions of Dollars, Weekly, Seasonally Adjusted]]-B1807)/B1807</f>
        <v>-7.8129695294199279E-4</v>
      </c>
      <c r="D1808" s="35">
        <f>((1+Table2634[[#This Row],[Weekly change]])^52)-1</f>
        <v>-3.9828457973731579E-2</v>
      </c>
      <c r="E1808" s="25">
        <f t="shared" si="28"/>
        <v>1660.1</v>
      </c>
      <c r="F1808" s="33">
        <f>(Table2634[[#This Row],[4 weeks average]]-B1756)/B1756</f>
        <v>0.16343121452098941</v>
      </c>
    </row>
    <row r="1809" spans="1:6" x14ac:dyDescent="0.2">
      <c r="A1809" s="23">
        <v>40021</v>
      </c>
      <c r="B1809" s="25">
        <f>VLOOKUP(Table2634[[#This Row],[Date]],'DB Money Supply'!$A:$D,4)</f>
        <v>1659.2</v>
      </c>
      <c r="C1809" s="31">
        <f>(Table2634[[#This Row],[M1 Money Stock, Billions of Dollars, Weekly, Seasonally Adjusted]]-B1808)/B1808</f>
        <v>-2.044989775051043E-3</v>
      </c>
      <c r="D1809" s="35">
        <f>((1+Table2634[[#This Row],[Weekly change]])^52)-1</f>
        <v>-0.10097851707675698</v>
      </c>
      <c r="E1809" s="25">
        <f t="shared" si="28"/>
        <v>1659.7250000000001</v>
      </c>
      <c r="F1809" s="33">
        <f>(Table2634[[#This Row],[4 weeks average]]-B1757)/B1757</f>
        <v>0.16693032412289965</v>
      </c>
    </row>
    <row r="1810" spans="1:6" x14ac:dyDescent="0.2">
      <c r="A1810" s="23">
        <v>40028</v>
      </c>
      <c r="B1810" s="25">
        <f>VLOOKUP(Table2634[[#This Row],[Date]],'DB Money Supply'!$A:$D,4)</f>
        <v>1679.3</v>
      </c>
      <c r="C1810" s="31">
        <f>(Table2634[[#This Row],[M1 Money Stock, Billions of Dollars, Weekly, Seasonally Adjusted]]-B1809)/B1809</f>
        <v>1.2114271938283456E-2</v>
      </c>
      <c r="D1810" s="35">
        <f>((1+Table2634[[#This Row],[Weekly change]])^52)-1</f>
        <v>0.87040883279910908</v>
      </c>
      <c r="E1810" s="25">
        <f t="shared" si="28"/>
        <v>1666.25</v>
      </c>
      <c r="F1810" s="33">
        <f>(Table2634[[#This Row],[4 weeks average]]-B1758)/B1758</f>
        <v>0.17053038285914998</v>
      </c>
    </row>
    <row r="1811" spans="1:6" x14ac:dyDescent="0.2">
      <c r="A1811" s="23">
        <v>40035</v>
      </c>
      <c r="B1811" s="25">
        <f>VLOOKUP(Table2634[[#This Row],[Date]],'DB Money Supply'!$A:$D,4)</f>
        <v>1669.5</v>
      </c>
      <c r="C1811" s="31">
        <f>(Table2634[[#This Row],[M1 Money Stock, Billions of Dollars, Weekly, Seasonally Adjusted]]-B1810)/B1810</f>
        <v>-5.8357649020424904E-3</v>
      </c>
      <c r="D1811" s="35">
        <f>((1+Table2634[[#This Row],[Weekly change]])^52)-1</f>
        <v>-0.26239637701600182</v>
      </c>
      <c r="E1811" s="25">
        <f t="shared" si="28"/>
        <v>1667.65</v>
      </c>
      <c r="F1811" s="33">
        <f>(Table2634[[#This Row],[4 weeks average]]-B1759)/B1759</f>
        <v>0.18047002194379561</v>
      </c>
    </row>
    <row r="1812" spans="1:6" x14ac:dyDescent="0.2">
      <c r="A1812" s="23">
        <v>40042</v>
      </c>
      <c r="B1812" s="25">
        <f>VLOOKUP(Table2634[[#This Row],[Date]],'DB Money Supply'!$A:$D,4)</f>
        <v>1668.9</v>
      </c>
      <c r="C1812" s="31">
        <f>(Table2634[[#This Row],[M1 Money Stock, Billions of Dollars, Weekly, Seasonally Adjusted]]-B1811)/B1811</f>
        <v>-3.5938903863426717E-4</v>
      </c>
      <c r="D1812" s="35">
        <f>((1+Table2634[[#This Row],[Weekly change]])^52)-1</f>
        <v>-1.8517984567076207E-2</v>
      </c>
      <c r="E1812" s="25">
        <f t="shared" si="28"/>
        <v>1669.2249999999999</v>
      </c>
      <c r="F1812" s="33">
        <f>(Table2634[[#This Row],[4 weeks average]]-B1760)/B1760</f>
        <v>0.19709193918531254</v>
      </c>
    </row>
    <row r="1813" spans="1:6" x14ac:dyDescent="0.2">
      <c r="A1813" s="23">
        <v>40049</v>
      </c>
      <c r="B1813" s="25">
        <f>VLOOKUP(Table2634[[#This Row],[Date]],'DB Money Supply'!$A:$D,4)</f>
        <v>1649.2</v>
      </c>
      <c r="C1813" s="31">
        <f>(Table2634[[#This Row],[M1 Money Stock, Billions of Dollars, Weekly, Seasonally Adjusted]]-B1812)/B1812</f>
        <v>-1.1804182395589936E-2</v>
      </c>
      <c r="D1813" s="35">
        <f>((1+Table2634[[#This Row],[Weekly change]])^52)-1</f>
        <v>-0.46069233057358572</v>
      </c>
      <c r="E1813" s="25">
        <f t="shared" si="28"/>
        <v>1666.7250000000001</v>
      </c>
      <c r="F1813" s="33">
        <f>(Table2634[[#This Row],[4 weeks average]]-B1761)/B1761</f>
        <v>0.18636557762118303</v>
      </c>
    </row>
    <row r="1814" spans="1:6" x14ac:dyDescent="0.2">
      <c r="A1814" s="23">
        <v>40056</v>
      </c>
      <c r="B1814" s="25">
        <f>VLOOKUP(Table2634[[#This Row],[Date]],'DB Money Supply'!$A:$D,4)</f>
        <v>1644.2</v>
      </c>
      <c r="C1814" s="31">
        <f>(Table2634[[#This Row],[M1 Money Stock, Billions of Dollars, Weekly, Seasonally Adjusted]]-B1813)/B1813</f>
        <v>-3.0317729808391949E-3</v>
      </c>
      <c r="D1814" s="35">
        <f>((1+Table2634[[#This Row],[Weekly change]])^52)-1</f>
        <v>-0.14605770861292</v>
      </c>
      <c r="E1814" s="25">
        <f t="shared" si="28"/>
        <v>1657.95</v>
      </c>
      <c r="F1814" s="33">
        <f>(Table2634[[#This Row],[4 weeks average]]-B1762)/B1762</f>
        <v>0.17718687872763414</v>
      </c>
    </row>
    <row r="1815" spans="1:6" x14ac:dyDescent="0.2">
      <c r="A1815" s="23">
        <v>40063</v>
      </c>
      <c r="B1815" s="25">
        <f>VLOOKUP(Table2634[[#This Row],[Date]],'DB Money Supply'!$A:$D,4)</f>
        <v>1660.5</v>
      </c>
      <c r="C1815" s="31">
        <f>(Table2634[[#This Row],[M1 Money Stock, Billions of Dollars, Weekly, Seasonally Adjusted]]-B1814)/B1814</f>
        <v>9.9136358107285941E-3</v>
      </c>
      <c r="D1815" s="35">
        <f>((1+Table2634[[#This Row],[Weekly change]])^52)-1</f>
        <v>0.67024536558462544</v>
      </c>
      <c r="E1815" s="25">
        <f t="shared" si="28"/>
        <v>1655.7</v>
      </c>
      <c r="F1815" s="33">
        <f>(Table2634[[#This Row],[4 weeks average]]-B1763)/B1763</f>
        <v>0.16279233092211529</v>
      </c>
    </row>
    <row r="1816" spans="1:6" x14ac:dyDescent="0.2">
      <c r="A1816" s="23">
        <v>40070</v>
      </c>
      <c r="B1816" s="25">
        <f>VLOOKUP(Table2634[[#This Row],[Date]],'DB Money Supply'!$A:$D,4)</f>
        <v>1674.9</v>
      </c>
      <c r="C1816" s="31">
        <f>(Table2634[[#This Row],[M1 Money Stock, Billions of Dollars, Weekly, Seasonally Adjusted]]-B1815)/B1815</f>
        <v>8.6720867208672642E-3</v>
      </c>
      <c r="D1816" s="35">
        <f>((1+Table2634[[#This Row],[Weekly change]])^52)-1</f>
        <v>0.56675156454755249</v>
      </c>
      <c r="E1816" s="25">
        <f t="shared" si="28"/>
        <v>1657.1999999999998</v>
      </c>
      <c r="F1816" s="33">
        <f>(Table2634[[#This Row],[4 weeks average]]-B1764)/B1764</f>
        <v>0.15323590814196231</v>
      </c>
    </row>
    <row r="1817" spans="1:6" x14ac:dyDescent="0.2">
      <c r="A1817" s="23">
        <v>40077</v>
      </c>
      <c r="B1817" s="25">
        <f>VLOOKUP(Table2634[[#This Row],[Date]],'DB Money Supply'!$A:$D,4)</f>
        <v>1662.9</v>
      </c>
      <c r="C1817" s="31">
        <f>(Table2634[[#This Row],[M1 Money Stock, Billions of Dollars, Weekly, Seasonally Adjusted]]-B1816)/B1816</f>
        <v>-7.1646068421995336E-3</v>
      </c>
      <c r="D1817" s="35">
        <f>((1+Table2634[[#This Row],[Weekly change]])^52)-1</f>
        <v>-0.31195469044704516</v>
      </c>
      <c r="E1817" s="25">
        <f t="shared" si="28"/>
        <v>1660.625</v>
      </c>
      <c r="F1817" s="33">
        <f>(Table2634[[#This Row],[4 weeks average]]-B1765)/B1765</f>
        <v>0.11443862827998127</v>
      </c>
    </row>
    <row r="1818" spans="1:6" x14ac:dyDescent="0.2">
      <c r="A1818" s="23">
        <v>40084</v>
      </c>
      <c r="B1818" s="25">
        <f>VLOOKUP(Table2634[[#This Row],[Date]],'DB Money Supply'!$A:$D,4)</f>
        <v>1662.1</v>
      </c>
      <c r="C1818" s="31">
        <f>(Table2634[[#This Row],[M1 Money Stock, Billions of Dollars, Weekly, Seasonally Adjusted]]-B1817)/B1817</f>
        <v>-4.8108725720138427E-4</v>
      </c>
      <c r="D1818" s="35">
        <f>((1+Table2634[[#This Row],[Weekly change]])^52)-1</f>
        <v>-2.471208766617361E-2</v>
      </c>
      <c r="E1818" s="25">
        <f t="shared" si="28"/>
        <v>1665.1</v>
      </c>
      <c r="F1818" s="33">
        <f>(Table2634[[#This Row],[4 weeks average]]-B1766)/B1766</f>
        <v>0.10667286986574505</v>
      </c>
    </row>
    <row r="1819" spans="1:6" x14ac:dyDescent="0.2">
      <c r="A1819" s="23">
        <v>40091</v>
      </c>
      <c r="B1819" s="25">
        <f>VLOOKUP(Table2634[[#This Row],[Date]],'DB Money Supply'!$A:$D,4)</f>
        <v>1662.2</v>
      </c>
      <c r="C1819" s="31">
        <f>(Table2634[[#This Row],[M1 Money Stock, Billions of Dollars, Weekly, Seasonally Adjusted]]-B1818)/B1818</f>
        <v>6.0164851693722657E-5</v>
      </c>
      <c r="D1819" s="35">
        <f>((1+Table2634[[#This Row],[Weekly change]])^52)-1</f>
        <v>3.1333769719184001E-3</v>
      </c>
      <c r="E1819" s="25">
        <f t="shared" si="28"/>
        <v>1665.5249999999999</v>
      </c>
      <c r="F1819" s="33">
        <f>(Table2634[[#This Row],[4 weeks average]]-B1767)/B1767</f>
        <v>0.13998973305954815</v>
      </c>
    </row>
    <row r="1820" spans="1:6" x14ac:dyDescent="0.2">
      <c r="A1820" s="23">
        <v>40098</v>
      </c>
      <c r="B1820" s="25">
        <f>VLOOKUP(Table2634[[#This Row],[Date]],'DB Money Supply'!$A:$D,4)</f>
        <v>1674.6</v>
      </c>
      <c r="C1820" s="31">
        <f>(Table2634[[#This Row],[M1 Money Stock, Billions of Dollars, Weekly, Seasonally Adjusted]]-B1819)/B1819</f>
        <v>7.4599927806520651E-3</v>
      </c>
      <c r="D1820" s="35">
        <f>((1+Table2634[[#This Row],[Weekly change]])^52)-1</f>
        <v>0.47179072822305246</v>
      </c>
      <c r="E1820" s="25">
        <f t="shared" si="28"/>
        <v>1665.4499999999998</v>
      </c>
      <c r="F1820" s="33">
        <f>(Table2634[[#This Row],[4 weeks average]]-B1768)/B1768</f>
        <v>0.13690354290395229</v>
      </c>
    </row>
    <row r="1821" spans="1:6" x14ac:dyDescent="0.2">
      <c r="A1821" s="23">
        <v>40105</v>
      </c>
      <c r="B1821" s="25">
        <f>VLOOKUP(Table2634[[#This Row],[Date]],'DB Money Supply'!$A:$D,4)</f>
        <v>1680.9</v>
      </c>
      <c r="C1821" s="31">
        <f>(Table2634[[#This Row],[M1 Money Stock, Billions of Dollars, Weekly, Seasonally Adjusted]]-B1820)/B1820</f>
        <v>3.7620924399857768E-3</v>
      </c>
      <c r="D1821" s="35">
        <f>((1+Table2634[[#This Row],[Weekly change]])^52)-1</f>
        <v>0.21562912409286961</v>
      </c>
      <c r="E1821" s="25">
        <f t="shared" si="28"/>
        <v>1669.9499999999998</v>
      </c>
      <c r="F1821" s="33">
        <f>(Table2634[[#This Row],[4 weeks average]]-B1769)/B1769</f>
        <v>0.14584191025113197</v>
      </c>
    </row>
    <row r="1822" spans="1:6" x14ac:dyDescent="0.2">
      <c r="A1822" s="23">
        <v>40112</v>
      </c>
      <c r="B1822" s="25">
        <f>VLOOKUP(Table2634[[#This Row],[Date]],'DB Money Supply'!$A:$D,4)</f>
        <v>1685.4</v>
      </c>
      <c r="C1822" s="31">
        <f>(Table2634[[#This Row],[M1 Money Stock, Billions of Dollars, Weekly, Seasonally Adjusted]]-B1821)/B1821</f>
        <v>2.6771372479029091E-3</v>
      </c>
      <c r="D1822" s="35">
        <f>((1+Table2634[[#This Row],[Weekly change]])^52)-1</f>
        <v>0.14915297227368707</v>
      </c>
      <c r="E1822" s="25">
        <f t="shared" si="28"/>
        <v>1675.7750000000001</v>
      </c>
      <c r="F1822" s="33">
        <f>(Table2634[[#This Row],[4 weeks average]]-B1770)/B1770</f>
        <v>0.12945676349666377</v>
      </c>
    </row>
    <row r="1823" spans="1:6" x14ac:dyDescent="0.2">
      <c r="A1823" s="23">
        <v>40119</v>
      </c>
      <c r="B1823" s="25">
        <f>VLOOKUP(Table2634[[#This Row],[Date]],'DB Money Supply'!$A:$D,4)</f>
        <v>1682.6</v>
      </c>
      <c r="C1823" s="31">
        <f>(Table2634[[#This Row],[M1 Money Stock, Billions of Dollars, Weekly, Seasonally Adjusted]]-B1822)/B1822</f>
        <v>-1.6613266880266891E-3</v>
      </c>
      <c r="D1823" s="35">
        <f>((1+Table2634[[#This Row],[Weekly change]])^52)-1</f>
        <v>-8.2828524037745321E-2</v>
      </c>
      <c r="E1823" s="25">
        <f t="shared" si="28"/>
        <v>1680.875</v>
      </c>
      <c r="F1823" s="33">
        <f>(Table2634[[#This Row],[4 weeks average]]-B1771)/B1771</f>
        <v>0.10583881578947368</v>
      </c>
    </row>
    <row r="1824" spans="1:6" x14ac:dyDescent="0.2">
      <c r="A1824" s="23">
        <v>40126</v>
      </c>
      <c r="B1824" s="25">
        <f>VLOOKUP(Table2634[[#This Row],[Date]],'DB Money Supply'!$A:$D,4)</f>
        <v>1680.4</v>
      </c>
      <c r="C1824" s="31">
        <f>(Table2634[[#This Row],[M1 Money Stock, Billions of Dollars, Weekly, Seasonally Adjusted]]-B1823)/B1823</f>
        <v>-1.3075002971590505E-3</v>
      </c>
      <c r="D1824" s="35">
        <f>((1+Table2634[[#This Row],[Weekly change]])^52)-1</f>
        <v>-6.5771760391689194E-2</v>
      </c>
      <c r="E1824" s="25">
        <f t="shared" si="28"/>
        <v>1682.3249999999998</v>
      </c>
      <c r="F1824" s="33">
        <f>(Table2634[[#This Row],[4 weeks average]]-B1772)/B1772</f>
        <v>0.11745267353038845</v>
      </c>
    </row>
    <row r="1825" spans="1:6" x14ac:dyDescent="0.2">
      <c r="A1825" s="23">
        <v>40133</v>
      </c>
      <c r="B1825" s="25">
        <f>VLOOKUP(Table2634[[#This Row],[Date]],'DB Money Supply'!$A:$D,4)</f>
        <v>1680.8</v>
      </c>
      <c r="C1825" s="31">
        <f>(Table2634[[#This Row],[M1 Money Stock, Billions of Dollars, Weekly, Seasonally Adjusted]]-B1824)/B1824</f>
        <v>2.3803856224700282E-4</v>
      </c>
      <c r="D1825" s="35">
        <f>((1+Table2634[[#This Row],[Weekly change]])^52)-1</f>
        <v>1.2453438474514744E-2</v>
      </c>
      <c r="E1825" s="25">
        <f t="shared" si="28"/>
        <v>1682.3</v>
      </c>
      <c r="F1825" s="33">
        <f>(Table2634[[#This Row],[4 weeks average]]-B1773)/B1773</f>
        <v>0.1164719936288824</v>
      </c>
    </row>
    <row r="1826" spans="1:6" x14ac:dyDescent="0.2">
      <c r="A1826" s="23">
        <v>40140</v>
      </c>
      <c r="B1826" s="25">
        <f>VLOOKUP(Table2634[[#This Row],[Date]],'DB Money Supply'!$A:$D,4)</f>
        <v>1683</v>
      </c>
      <c r="C1826" s="31">
        <f>(Table2634[[#This Row],[M1 Money Stock, Billions of Dollars, Weekly, Seasonally Adjusted]]-B1825)/B1825</f>
        <v>1.3089005235602366E-3</v>
      </c>
      <c r="D1826" s="35">
        <f>((1+Table2634[[#This Row],[Weekly change]])^52)-1</f>
        <v>7.0384920234992876E-2</v>
      </c>
      <c r="E1826" s="25">
        <f t="shared" si="28"/>
        <v>1681.7</v>
      </c>
      <c r="F1826" s="33">
        <f>(Table2634[[#This Row],[4 weeks average]]-B1774)/B1774</f>
        <v>0.10762036488177573</v>
      </c>
    </row>
    <row r="1827" spans="1:6" x14ac:dyDescent="0.2">
      <c r="A1827" s="23">
        <v>40147</v>
      </c>
      <c r="B1827" s="25">
        <f>VLOOKUP(Table2634[[#This Row],[Date]],'DB Money Supply'!$A:$D,4)</f>
        <v>1688.2</v>
      </c>
      <c r="C1827" s="31">
        <f>(Table2634[[#This Row],[M1 Money Stock, Billions of Dollars, Weekly, Seasonally Adjusted]]-B1826)/B1826</f>
        <v>3.0897207367795872E-3</v>
      </c>
      <c r="D1827" s="35">
        <f>((1+Table2634[[#This Row],[Weekly change]])^52)-1</f>
        <v>0.17400124591097699</v>
      </c>
      <c r="E1827" s="25">
        <f t="shared" si="28"/>
        <v>1683.1</v>
      </c>
      <c r="F1827" s="33">
        <f>(Table2634[[#This Row],[4 weeks average]]-B1775)/B1775</f>
        <v>0.10208224201152427</v>
      </c>
    </row>
    <row r="1828" spans="1:6" x14ac:dyDescent="0.2">
      <c r="A1828" s="23">
        <v>40154</v>
      </c>
      <c r="B1828" s="25">
        <f>VLOOKUP(Table2634[[#This Row],[Date]],'DB Money Supply'!$A:$D,4)</f>
        <v>1684.8</v>
      </c>
      <c r="C1828" s="31">
        <f>(Table2634[[#This Row],[M1 Money Stock, Billions of Dollars, Weekly, Seasonally Adjusted]]-B1827)/B1827</f>
        <v>-2.0139793863286877E-3</v>
      </c>
      <c r="D1828" s="35">
        <f>((1+Table2634[[#This Row],[Weekly change]])^52)-1</f>
        <v>-9.9524686391055051E-2</v>
      </c>
      <c r="E1828" s="25">
        <f t="shared" si="28"/>
        <v>1684.2</v>
      </c>
      <c r="F1828" s="33">
        <f>(Table2634[[#This Row],[4 weeks average]]-B1776)/B1776</f>
        <v>5.9245283018867952E-2</v>
      </c>
    </row>
    <row r="1829" spans="1:6" x14ac:dyDescent="0.2">
      <c r="A1829" s="23">
        <v>40161</v>
      </c>
      <c r="B1829" s="25">
        <f>VLOOKUP(Table2634[[#This Row],[Date]],'DB Money Supply'!$A:$D,4)</f>
        <v>1691.1</v>
      </c>
      <c r="C1829" s="31">
        <f>(Table2634[[#This Row],[M1 Money Stock, Billions of Dollars, Weekly, Seasonally Adjusted]]-B1828)/B1828</f>
        <v>3.7393162393162126E-3</v>
      </c>
      <c r="D1829" s="35">
        <f>((1+Table2634[[#This Row],[Weekly change]])^52)-1</f>
        <v>0.21419560440246532</v>
      </c>
      <c r="E1829" s="25">
        <f t="shared" si="28"/>
        <v>1686.7750000000001</v>
      </c>
      <c r="F1829" s="33">
        <f>(Table2634[[#This Row],[4 weeks average]]-B1777)/B1777</f>
        <v>4.6386476426799064E-2</v>
      </c>
    </row>
    <row r="1830" spans="1:6" x14ac:dyDescent="0.2">
      <c r="A1830" s="23">
        <v>40168</v>
      </c>
      <c r="B1830" s="25">
        <f>VLOOKUP(Table2634[[#This Row],[Date]],'DB Money Supply'!$A:$D,4)</f>
        <v>1698.6</v>
      </c>
      <c r="C1830" s="31">
        <f>(Table2634[[#This Row],[M1 Money Stock, Billions of Dollars, Weekly, Seasonally Adjusted]]-B1829)/B1829</f>
        <v>4.4349831470640415E-3</v>
      </c>
      <c r="D1830" s="35">
        <f>((1+Table2634[[#This Row],[Weekly change]])^52)-1</f>
        <v>0.2587375002256922</v>
      </c>
      <c r="E1830" s="25">
        <f t="shared" si="28"/>
        <v>1690.6750000000002</v>
      </c>
      <c r="F1830" s="33">
        <f>(Table2634[[#This Row],[4 weeks average]]-B1778)/B1778</f>
        <v>4.997826356974297E-2</v>
      </c>
    </row>
    <row r="1831" spans="1:6" x14ac:dyDescent="0.2">
      <c r="A1831" s="23">
        <v>40175</v>
      </c>
      <c r="B1831" s="25">
        <f>VLOOKUP(Table2634[[#This Row],[Date]],'DB Money Supply'!$A:$D,4)</f>
        <v>1690.1</v>
      </c>
      <c r="C1831" s="31">
        <f>(Table2634[[#This Row],[M1 Money Stock, Billions of Dollars, Weekly, Seasonally Adjusted]]-B1830)/B1830</f>
        <v>-5.0041210408571764E-3</v>
      </c>
      <c r="D1831" s="35">
        <f>((1+Table2634[[#This Row],[Weekly change]])^52)-1</f>
        <v>-0.22961704703119201</v>
      </c>
      <c r="E1831" s="25">
        <f t="shared" si="28"/>
        <v>1691.15</v>
      </c>
      <c r="F1831" s="33">
        <f>(Table2634[[#This Row],[4 weeks average]]-B1779)/B1779</f>
        <v>5.8755399737056367E-2</v>
      </c>
    </row>
    <row r="1832" spans="1:6" x14ac:dyDescent="0.2">
      <c r="A1832" s="23">
        <v>40182</v>
      </c>
      <c r="B1832" s="25">
        <f>VLOOKUP(Table2634[[#This Row],[Date]],'DB Money Supply'!$A:$D,4)</f>
        <v>1708.6</v>
      </c>
      <c r="C1832" s="31">
        <f>(Table2634[[#This Row],[M1 Money Stock, Billions of Dollars, Weekly, Seasonally Adjusted]]-B1831)/B1831</f>
        <v>1.0946097864031714E-2</v>
      </c>
      <c r="D1832" s="35">
        <f>((1+Table2634[[#This Row],[Weekly change]])^52)-1</f>
        <v>0.76139197892718258</v>
      </c>
      <c r="E1832" s="25">
        <f t="shared" si="28"/>
        <v>1697.1</v>
      </c>
      <c r="F1832" s="33">
        <f>(Table2634[[#This Row],[4 weeks average]]-B1780)/B1780</f>
        <v>4.1357305025464725E-2</v>
      </c>
    </row>
    <row r="1833" spans="1:6" x14ac:dyDescent="0.2">
      <c r="A1833" s="23">
        <v>40189</v>
      </c>
      <c r="B1833" s="25">
        <f>VLOOKUP(Table2634[[#This Row],[Date]],'DB Money Supply'!$A:$D,4)</f>
        <v>1665.4</v>
      </c>
      <c r="C1833" s="31">
        <f>(Table2634[[#This Row],[M1 Money Stock, Billions of Dollars, Weekly, Seasonally Adjusted]]-B1832)/B1832</f>
        <v>-2.5283858129462614E-2</v>
      </c>
      <c r="D1833" s="35">
        <f>((1+Table2634[[#This Row],[Weekly change]])^52)-1</f>
        <v>-0.7359633394142191</v>
      </c>
      <c r="E1833" s="25">
        <f t="shared" si="28"/>
        <v>1690.6749999999997</v>
      </c>
      <c r="F1833" s="33">
        <f>(Table2634[[#This Row],[4 weeks average]]-B1781)/B1781</f>
        <v>5.043491767629682E-2</v>
      </c>
    </row>
    <row r="1834" spans="1:6" x14ac:dyDescent="0.2">
      <c r="A1834" s="23">
        <v>40196</v>
      </c>
      <c r="B1834" s="25">
        <f>VLOOKUP(Table2634[[#This Row],[Date]],'DB Money Supply'!$A:$D,4)</f>
        <v>1669.7</v>
      </c>
      <c r="C1834" s="31">
        <f>(Table2634[[#This Row],[M1 Money Stock, Billions of Dollars, Weekly, Seasonally Adjusted]]-B1833)/B1833</f>
        <v>2.5819622913413921E-3</v>
      </c>
      <c r="D1834" s="35">
        <f>((1+Table2634[[#This Row],[Weekly change]])^52)-1</f>
        <v>0.14349459432842915</v>
      </c>
      <c r="E1834" s="25">
        <f t="shared" si="28"/>
        <v>1683.45</v>
      </c>
      <c r="F1834" s="33">
        <f>(Table2634[[#This Row],[4 weeks average]]-B1782)/B1782</f>
        <v>7.8374223304080545E-2</v>
      </c>
    </row>
    <row r="1835" spans="1:6" x14ac:dyDescent="0.2">
      <c r="A1835" s="23">
        <v>40203</v>
      </c>
      <c r="B1835" s="25">
        <f>VLOOKUP(Table2634[[#This Row],[Date]],'DB Money Supply'!$A:$D,4)</f>
        <v>1672.6</v>
      </c>
      <c r="C1835" s="31">
        <f>(Table2634[[#This Row],[M1 Money Stock, Billions of Dollars, Weekly, Seasonally Adjusted]]-B1834)/B1834</f>
        <v>1.7368389531052665E-3</v>
      </c>
      <c r="D1835" s="35">
        <f>((1+Table2634[[#This Row],[Weekly change]])^52)-1</f>
        <v>9.4433945010916176E-2</v>
      </c>
      <c r="E1835" s="25">
        <f t="shared" si="28"/>
        <v>1679.0749999999998</v>
      </c>
      <c r="F1835" s="33">
        <f>(Table2634[[#This Row],[4 weeks average]]-B1783)/B1783</f>
        <v>7.9721561314384876E-2</v>
      </c>
    </row>
    <row r="1836" spans="1:6" x14ac:dyDescent="0.2">
      <c r="A1836" s="23">
        <v>40210</v>
      </c>
      <c r="B1836" s="25">
        <f>VLOOKUP(Table2634[[#This Row],[Date]],'DB Money Supply'!$A:$D,4)</f>
        <v>1670.9</v>
      </c>
      <c r="C1836" s="31">
        <f>(Table2634[[#This Row],[M1 Money Stock, Billions of Dollars, Weekly, Seasonally Adjusted]]-B1835)/B1835</f>
        <v>-1.0163816812147662E-3</v>
      </c>
      <c r="D1836" s="35">
        <f>((1+Table2634[[#This Row],[Weekly change]])^52)-1</f>
        <v>-5.1504965245988243E-2</v>
      </c>
      <c r="E1836" s="25">
        <f t="shared" si="28"/>
        <v>1669.65</v>
      </c>
      <c r="F1836" s="33">
        <f>(Table2634[[#This Row],[4 weeks average]]-B1784)/B1784</f>
        <v>6.5235421717493941E-2</v>
      </c>
    </row>
    <row r="1837" spans="1:6" x14ac:dyDescent="0.2">
      <c r="A1837" s="23">
        <v>40217</v>
      </c>
      <c r="B1837" s="25">
        <f>VLOOKUP(Table2634[[#This Row],[Date]],'DB Money Supply'!$A:$D,4)</f>
        <v>1688.6</v>
      </c>
      <c r="C1837" s="31">
        <f>(Table2634[[#This Row],[M1 Money Stock, Billions of Dollars, Weekly, Seasonally Adjusted]]-B1836)/B1836</f>
        <v>1.0593093542402189E-2</v>
      </c>
      <c r="D1837" s="35">
        <f>((1+Table2634[[#This Row],[Weekly change]])^52)-1</f>
        <v>0.72969268056152226</v>
      </c>
      <c r="E1837" s="25">
        <f t="shared" si="28"/>
        <v>1675.4500000000003</v>
      </c>
      <c r="F1837" s="33">
        <f>(Table2634[[#This Row],[4 weeks average]]-B1785)/B1785</f>
        <v>6.3305197689915729E-2</v>
      </c>
    </row>
    <row r="1838" spans="1:6" x14ac:dyDescent="0.2">
      <c r="A1838" s="23">
        <v>40224</v>
      </c>
      <c r="B1838" s="25">
        <f>VLOOKUP(Table2634[[#This Row],[Date]],'DB Money Supply'!$A:$D,4)</f>
        <v>1717.2</v>
      </c>
      <c r="C1838" s="31">
        <f>(Table2634[[#This Row],[M1 Money Stock, Billions of Dollars, Weekly, Seasonally Adjusted]]-B1837)/B1837</f>
        <v>1.6937107663152991E-2</v>
      </c>
      <c r="D1838" s="35">
        <f>((1+Table2634[[#This Row],[Weekly change]])^52)-1</f>
        <v>1.3949306013717586</v>
      </c>
      <c r="E1838" s="25">
        <f t="shared" si="28"/>
        <v>1687.325</v>
      </c>
      <c r="F1838" s="33">
        <f>(Table2634[[#This Row],[4 weeks average]]-B1786)/B1786</f>
        <v>7.8162939297124631E-2</v>
      </c>
    </row>
    <row r="1839" spans="1:6" x14ac:dyDescent="0.2">
      <c r="A1839" s="23">
        <v>40231</v>
      </c>
      <c r="B1839" s="25">
        <f>VLOOKUP(Table2634[[#This Row],[Date]],'DB Money Supply'!$A:$D,4)</f>
        <v>1702.1</v>
      </c>
      <c r="C1839" s="31">
        <f>(Table2634[[#This Row],[M1 Money Stock, Billions of Dollars, Weekly, Seasonally Adjusted]]-B1838)/B1838</f>
        <v>-8.7933845795481816E-3</v>
      </c>
      <c r="D1839" s="35">
        <f>((1+Table2634[[#This Row],[Weekly change]])^52)-1</f>
        <v>-0.36826057741733143</v>
      </c>
      <c r="E1839" s="25">
        <f t="shared" si="28"/>
        <v>1694.6999999999998</v>
      </c>
      <c r="F1839" s="33">
        <f>(Table2634[[#This Row],[4 weeks average]]-B1787)/B1787</f>
        <v>8.7112707678491066E-2</v>
      </c>
    </row>
    <row r="1840" spans="1:6" x14ac:dyDescent="0.2">
      <c r="A1840" s="23">
        <v>40238</v>
      </c>
      <c r="B1840" s="25">
        <f>VLOOKUP(Table2634[[#This Row],[Date]],'DB Money Supply'!$A:$D,4)</f>
        <v>1694.9</v>
      </c>
      <c r="C1840" s="31">
        <f>(Table2634[[#This Row],[M1 Money Stock, Billions of Dollars, Weekly, Seasonally Adjusted]]-B1839)/B1839</f>
        <v>-4.230068738616896E-3</v>
      </c>
      <c r="D1840" s="35">
        <f>((1+Table2634[[#This Row],[Weekly change]])^52)-1</f>
        <v>-0.19782630806221302</v>
      </c>
      <c r="E1840" s="25">
        <f t="shared" si="28"/>
        <v>1700.6999999999998</v>
      </c>
      <c r="F1840" s="33">
        <f>(Table2634[[#This Row],[4 weeks average]]-B1788)/B1788</f>
        <v>8.3179415323864664E-2</v>
      </c>
    </row>
    <row r="1841" spans="1:6" x14ac:dyDescent="0.2">
      <c r="A1841" s="23">
        <v>40245</v>
      </c>
      <c r="B1841" s="25">
        <f>VLOOKUP(Table2634[[#This Row],[Date]],'DB Money Supply'!$A:$D,4)</f>
        <v>1704.2</v>
      </c>
      <c r="C1841" s="31">
        <f>(Table2634[[#This Row],[M1 Money Stock, Billions of Dollars, Weekly, Seasonally Adjusted]]-B1840)/B1840</f>
        <v>5.4870493834444237E-3</v>
      </c>
      <c r="D1841" s="35">
        <f>((1+Table2634[[#This Row],[Weekly change]])^52)-1</f>
        <v>0.32915927624033769</v>
      </c>
      <c r="E1841" s="25">
        <f t="shared" si="28"/>
        <v>1704.6000000000001</v>
      </c>
      <c r="F1841" s="33">
        <f>(Table2634[[#This Row],[4 weeks average]]-B1789)/B1789</f>
        <v>7.6272256598055421E-2</v>
      </c>
    </row>
    <row r="1842" spans="1:6" x14ac:dyDescent="0.2">
      <c r="A1842" s="23">
        <v>40252</v>
      </c>
      <c r="B1842" s="25">
        <f>VLOOKUP(Table2634[[#This Row],[Date]],'DB Money Supply'!$A:$D,4)</f>
        <v>1722.9</v>
      </c>
      <c r="C1842" s="31">
        <f>(Table2634[[#This Row],[M1 Money Stock, Billions of Dollars, Weekly, Seasonally Adjusted]]-B1841)/B1841</f>
        <v>1.0972890505809204E-2</v>
      </c>
      <c r="D1842" s="35">
        <f>((1+Table2634[[#This Row],[Weekly change]])^52)-1</f>
        <v>0.76382105115326948</v>
      </c>
      <c r="E1842" s="25">
        <f t="shared" si="28"/>
        <v>1706.0250000000001</v>
      </c>
      <c r="F1842" s="33">
        <f>(Table2634[[#This Row],[4 weeks average]]-B1790)/B1790</f>
        <v>8.2709272069556417E-2</v>
      </c>
    </row>
    <row r="1843" spans="1:6" x14ac:dyDescent="0.2">
      <c r="A1843" s="23">
        <v>40259</v>
      </c>
      <c r="B1843" s="25">
        <f>VLOOKUP(Table2634[[#This Row],[Date]],'DB Money Supply'!$A:$D,4)</f>
        <v>1722.2</v>
      </c>
      <c r="C1843" s="31">
        <f>(Table2634[[#This Row],[M1 Money Stock, Billions of Dollars, Weekly, Seasonally Adjusted]]-B1842)/B1842</f>
        <v>-4.0629171745315773E-4</v>
      </c>
      <c r="D1843" s="35">
        <f>((1+Table2634[[#This Row],[Weekly change]])^52)-1</f>
        <v>-2.0909757412574836E-2</v>
      </c>
      <c r="E1843" s="25">
        <f t="shared" si="28"/>
        <v>1711.05</v>
      </c>
      <c r="F1843" s="33">
        <f>(Table2634[[#This Row],[4 weeks average]]-B1791)/B1791</f>
        <v>8.6311980191733889E-2</v>
      </c>
    </row>
    <row r="1844" spans="1:6" x14ac:dyDescent="0.2">
      <c r="A1844" s="23">
        <v>40266</v>
      </c>
      <c r="B1844" s="25">
        <f>VLOOKUP(Table2634[[#This Row],[Date]],'DB Money Supply'!$A:$D,4)</f>
        <v>1708.3</v>
      </c>
      <c r="C1844" s="31">
        <f>(Table2634[[#This Row],[M1 Money Stock, Billions of Dollars, Weekly, Seasonally Adjusted]]-B1843)/B1843</f>
        <v>-8.0710718847985669E-3</v>
      </c>
      <c r="D1844" s="35">
        <f>((1+Table2634[[#This Row],[Weekly change]])^52)-1</f>
        <v>-0.34387148621884434</v>
      </c>
      <c r="E1844" s="25">
        <f t="shared" si="28"/>
        <v>1714.4</v>
      </c>
      <c r="F1844" s="33">
        <f>(Table2634[[#This Row],[4 weeks average]]-B1792)/B1792</f>
        <v>9.0377154487057271E-2</v>
      </c>
    </row>
    <row r="1845" spans="1:6" x14ac:dyDescent="0.2">
      <c r="A1845" s="23">
        <v>40273</v>
      </c>
      <c r="B1845" s="25">
        <f>VLOOKUP(Table2634[[#This Row],[Date]],'DB Money Supply'!$A:$D,4)</f>
        <v>1686</v>
      </c>
      <c r="C1845" s="31">
        <f>(Table2634[[#This Row],[M1 Money Stock, Billions of Dollars, Weekly, Seasonally Adjusted]]-B1844)/B1844</f>
        <v>-1.3053913247087722E-2</v>
      </c>
      <c r="D1845" s="35">
        <f>((1+Table2634[[#This Row],[Weekly change]])^52)-1</f>
        <v>-0.4950384283490914</v>
      </c>
      <c r="E1845" s="25">
        <f t="shared" si="28"/>
        <v>1709.8500000000001</v>
      </c>
      <c r="F1845" s="33">
        <f>(Table2634[[#This Row],[4 weeks average]]-B1793)/B1793</f>
        <v>3.2767576709350224E-2</v>
      </c>
    </row>
    <row r="1846" spans="1:6" x14ac:dyDescent="0.2">
      <c r="A1846" s="23">
        <v>40280</v>
      </c>
      <c r="B1846" s="25">
        <f>VLOOKUP(Table2634[[#This Row],[Date]],'DB Money Supply'!$A:$D,4)</f>
        <v>1697.7</v>
      </c>
      <c r="C1846" s="31">
        <f>(Table2634[[#This Row],[M1 Money Stock, Billions of Dollars, Weekly, Seasonally Adjusted]]-B1845)/B1845</f>
        <v>6.9395017793594579E-3</v>
      </c>
      <c r="D1846" s="35">
        <f>((1+Table2634[[#This Row],[Weekly change]])^52)-1</f>
        <v>0.43276734612158307</v>
      </c>
      <c r="E1846" s="25">
        <f t="shared" si="28"/>
        <v>1703.55</v>
      </c>
      <c r="F1846" s="33">
        <f>(Table2634[[#This Row],[4 weeks average]]-B1794)/B1794</f>
        <v>6.1997381709369768E-2</v>
      </c>
    </row>
    <row r="1847" spans="1:6" x14ac:dyDescent="0.2">
      <c r="A1847" s="23">
        <v>40287</v>
      </c>
      <c r="B1847" s="25">
        <f>VLOOKUP(Table2634[[#This Row],[Date]],'DB Money Supply'!$A:$D,4)</f>
        <v>1699.4</v>
      </c>
      <c r="C1847" s="31">
        <f>(Table2634[[#This Row],[M1 Money Stock, Billions of Dollars, Weekly, Seasonally Adjusted]]-B1846)/B1846</f>
        <v>1.0013547741061703E-3</v>
      </c>
      <c r="D1847" s="35">
        <f>((1+Table2634[[#This Row],[Weekly change]])^52)-1</f>
        <v>5.3422508323816231E-2</v>
      </c>
      <c r="E1847" s="25">
        <f t="shared" si="28"/>
        <v>1697.85</v>
      </c>
      <c r="F1847" s="33">
        <f>(Table2634[[#This Row],[4 weeks average]]-B1795)/B1795</f>
        <v>6.4215870628055546E-2</v>
      </c>
    </row>
    <row r="1848" spans="1:6" x14ac:dyDescent="0.2">
      <c r="A1848" s="23">
        <v>40294</v>
      </c>
      <c r="B1848" s="25">
        <f>VLOOKUP(Table2634[[#This Row],[Date]],'DB Money Supply'!$A:$D,4)</f>
        <v>1692.3</v>
      </c>
      <c r="C1848" s="31">
        <f>(Table2634[[#This Row],[M1 Money Stock, Billions of Dollars, Weekly, Seasonally Adjusted]]-B1847)/B1847</f>
        <v>-4.177945157114356E-3</v>
      </c>
      <c r="D1848" s="35">
        <f>((1+Table2634[[#This Row],[Weekly change]])^52)-1</f>
        <v>-0.19563992218345672</v>
      </c>
      <c r="E1848" s="25">
        <f t="shared" si="28"/>
        <v>1693.8500000000001</v>
      </c>
      <c r="F1848" s="33">
        <f>(Table2634[[#This Row],[4 weeks average]]-B1796)/B1796</f>
        <v>5.9981226533166544E-2</v>
      </c>
    </row>
    <row r="1849" spans="1:6" x14ac:dyDescent="0.2">
      <c r="A1849" s="23">
        <v>40301</v>
      </c>
      <c r="B1849" s="25">
        <f>VLOOKUP(Table2634[[#This Row],[Date]],'DB Money Supply'!$A:$D,4)</f>
        <v>1728.3</v>
      </c>
      <c r="C1849" s="31">
        <f>(Table2634[[#This Row],[M1 Money Stock, Billions of Dollars, Weekly, Seasonally Adjusted]]-B1848)/B1848</f>
        <v>2.1272823967381671E-2</v>
      </c>
      <c r="D1849" s="35">
        <f>((1+Table2634[[#This Row],[Weekly change]])^52)-1</f>
        <v>1.9879431219731223</v>
      </c>
      <c r="E1849" s="25">
        <f t="shared" si="28"/>
        <v>1704.4250000000002</v>
      </c>
      <c r="F1849" s="33">
        <f>(Table2634[[#This Row],[4 weeks average]]-B1797)/B1797</f>
        <v>5.7794948178489562E-2</v>
      </c>
    </row>
    <row r="1850" spans="1:6" x14ac:dyDescent="0.2">
      <c r="A1850" s="23">
        <v>40308</v>
      </c>
      <c r="B1850" s="25">
        <f>VLOOKUP(Table2634[[#This Row],[Date]],'DB Money Supply'!$A:$D,4)</f>
        <v>1710.7</v>
      </c>
      <c r="C1850" s="31">
        <f>(Table2634[[#This Row],[M1 Money Stock, Billions of Dollars, Weekly, Seasonally Adjusted]]-B1849)/B1849</f>
        <v>-1.0183417230804785E-2</v>
      </c>
      <c r="D1850" s="35">
        <f>((1+Table2634[[#This Row],[Weekly change]])^52)-1</f>
        <v>-0.41271930825823777</v>
      </c>
      <c r="E1850" s="25">
        <f t="shared" si="28"/>
        <v>1707.675</v>
      </c>
      <c r="F1850" s="33">
        <f>(Table2634[[#This Row],[4 weeks average]]-B1798)/B1798</f>
        <v>5.5749613601236446E-2</v>
      </c>
    </row>
    <row r="1851" spans="1:6" x14ac:dyDescent="0.2">
      <c r="A1851" s="23">
        <v>40315</v>
      </c>
      <c r="B1851" s="25">
        <f>VLOOKUP(Table2634[[#This Row],[Date]],'DB Money Supply'!$A:$D,4)</f>
        <v>1702.8</v>
      </c>
      <c r="C1851" s="31">
        <f>(Table2634[[#This Row],[M1 Money Stock, Billions of Dollars, Weekly, Seasonally Adjusted]]-B1850)/B1850</f>
        <v>-4.6179926345940791E-3</v>
      </c>
      <c r="D1851" s="35">
        <f>((1+Table2634[[#This Row],[Weekly change]])^52)-1</f>
        <v>-0.21391614164195372</v>
      </c>
      <c r="E1851" s="25">
        <f t="shared" si="28"/>
        <v>1708.5250000000001</v>
      </c>
      <c r="F1851" s="33">
        <f>(Table2634[[#This Row],[4 weeks average]]-B1799)/B1799</f>
        <v>5.6536392307216736E-2</v>
      </c>
    </row>
    <row r="1852" spans="1:6" x14ac:dyDescent="0.2">
      <c r="A1852" s="23">
        <v>40322</v>
      </c>
      <c r="B1852" s="25">
        <f>VLOOKUP(Table2634[[#This Row],[Date]],'DB Money Supply'!$A:$D,4)</f>
        <v>1707.5</v>
      </c>
      <c r="C1852" s="31">
        <f>(Table2634[[#This Row],[M1 Money Stock, Billions of Dollars, Weekly, Seasonally Adjusted]]-B1851)/B1851</f>
        <v>2.7601597369039496E-3</v>
      </c>
      <c r="D1852" s="35">
        <f>((1+Table2634[[#This Row],[Weekly change]])^52)-1</f>
        <v>0.1541112757102614</v>
      </c>
      <c r="E1852" s="25">
        <f t="shared" si="28"/>
        <v>1712.325</v>
      </c>
      <c r="F1852" s="33">
        <f>(Table2634[[#This Row],[4 weeks average]]-B1800)/B1800</f>
        <v>5.4777011211038527E-2</v>
      </c>
    </row>
    <row r="1853" spans="1:6" x14ac:dyDescent="0.2">
      <c r="A1853" s="23">
        <v>40329</v>
      </c>
      <c r="B1853" s="25">
        <f>VLOOKUP(Table2634[[#This Row],[Date]],'DB Money Supply'!$A:$D,4)</f>
        <v>1711.5</v>
      </c>
      <c r="C1853" s="31">
        <f>(Table2634[[#This Row],[M1 Money Stock, Billions of Dollars, Weekly, Seasonally Adjusted]]-B1852)/B1852</f>
        <v>2.342606149341142E-3</v>
      </c>
      <c r="D1853" s="35">
        <f>((1+Table2634[[#This Row],[Weekly change]])^52)-1</f>
        <v>0.12938479957403182</v>
      </c>
      <c r="E1853" s="25">
        <f t="shared" si="28"/>
        <v>1708.125</v>
      </c>
      <c r="F1853" s="33">
        <f>(Table2634[[#This Row],[4 weeks average]]-B1801)/B1801</f>
        <v>5.7335190343546887E-2</v>
      </c>
    </row>
    <row r="1854" spans="1:6" x14ac:dyDescent="0.2">
      <c r="A1854" s="23">
        <v>40336</v>
      </c>
      <c r="B1854" s="25">
        <f>VLOOKUP(Table2634[[#This Row],[Date]],'DB Money Supply'!$A:$D,4)</f>
        <v>1717.9</v>
      </c>
      <c r="C1854" s="31">
        <f>(Table2634[[#This Row],[M1 Money Stock, Billions of Dollars, Weekly, Seasonally Adjusted]]-B1853)/B1853</f>
        <v>3.7394098743792526E-3</v>
      </c>
      <c r="D1854" s="35">
        <f>((1+Table2634[[#This Row],[Weekly change]])^52)-1</f>
        <v>0.21420149433886215</v>
      </c>
      <c r="E1854" s="25">
        <f t="shared" si="28"/>
        <v>1709.9250000000002</v>
      </c>
      <c r="F1854" s="33">
        <f>(Table2634[[#This Row],[4 weeks average]]-B1802)/B1802</f>
        <v>3.6004241139048883E-2</v>
      </c>
    </row>
    <row r="1855" spans="1:6" x14ac:dyDescent="0.2">
      <c r="A1855" s="23">
        <v>40343</v>
      </c>
      <c r="B1855" s="25">
        <f>VLOOKUP(Table2634[[#This Row],[Date]],'DB Money Supply'!$A:$D,4)</f>
        <v>1722.3</v>
      </c>
      <c r="C1855" s="31">
        <f>(Table2634[[#This Row],[M1 Money Stock, Billions of Dollars, Weekly, Seasonally Adjusted]]-B1854)/B1854</f>
        <v>2.56126666278588E-3</v>
      </c>
      <c r="D1855" s="35">
        <f>((1+Table2634[[#This Row],[Weekly change]])^52)-1</f>
        <v>0.14226781172561043</v>
      </c>
      <c r="E1855" s="25">
        <f t="shared" si="28"/>
        <v>1714.8</v>
      </c>
      <c r="F1855" s="33">
        <f>(Table2634[[#This Row],[4 weeks average]]-B1803)/B1803</f>
        <v>3.3323290147634806E-2</v>
      </c>
    </row>
    <row r="1856" spans="1:6" x14ac:dyDescent="0.2">
      <c r="A1856" s="23">
        <v>40350</v>
      </c>
      <c r="B1856" s="25">
        <f>VLOOKUP(Table2634[[#This Row],[Date]],'DB Money Supply'!$A:$D,4)</f>
        <v>1741.3</v>
      </c>
      <c r="C1856" s="31">
        <f>(Table2634[[#This Row],[M1 Money Stock, Billions of Dollars, Weekly, Seasonally Adjusted]]-B1855)/B1855</f>
        <v>1.1031759856006504E-2</v>
      </c>
      <c r="D1856" s="35">
        <f>((1+Table2634[[#This Row],[Weekly change]])^52)-1</f>
        <v>0.76916980506836996</v>
      </c>
      <c r="E1856" s="25">
        <f t="shared" si="28"/>
        <v>1723.25</v>
      </c>
      <c r="F1856" s="33">
        <f>(Table2634[[#This Row],[4 weeks average]]-B1804)/B1804</f>
        <v>3.0898540320650928E-2</v>
      </c>
    </row>
    <row r="1857" spans="1:6" x14ac:dyDescent="0.2">
      <c r="A1857" s="23">
        <v>40357</v>
      </c>
      <c r="B1857" s="25">
        <f>VLOOKUP(Table2634[[#This Row],[Date]],'DB Money Supply'!$A:$D,4)</f>
        <v>1748.3</v>
      </c>
      <c r="C1857" s="31">
        <f>(Table2634[[#This Row],[M1 Money Stock, Billions of Dollars, Weekly, Seasonally Adjusted]]-B1856)/B1856</f>
        <v>4.0199850686268883E-3</v>
      </c>
      <c r="D1857" s="35">
        <f>((1+Table2634[[#This Row],[Weekly change]])^52)-1</f>
        <v>0.2319769788641397</v>
      </c>
      <c r="E1857" s="25">
        <f t="shared" si="28"/>
        <v>1732.45</v>
      </c>
      <c r="F1857" s="33">
        <f>(Table2634[[#This Row],[4 weeks average]]-B1805)/B1805</f>
        <v>4.3204672728367553E-2</v>
      </c>
    </row>
    <row r="1858" spans="1:6" x14ac:dyDescent="0.2">
      <c r="A1858" s="23">
        <v>40364</v>
      </c>
      <c r="B1858" s="25">
        <f>VLOOKUP(Table2634[[#This Row],[Date]],'DB Money Supply'!$A:$D,4)</f>
        <v>1719.3</v>
      </c>
      <c r="C1858" s="31">
        <f>(Table2634[[#This Row],[M1 Money Stock, Billions of Dollars, Weekly, Seasonally Adjusted]]-B1857)/B1857</f>
        <v>-1.6587542183835728E-2</v>
      </c>
      <c r="D1858" s="35">
        <f>((1+Table2634[[#This Row],[Weekly change]])^52)-1</f>
        <v>-0.58095883197589604</v>
      </c>
      <c r="E1858" s="25">
        <f t="shared" si="28"/>
        <v>1732.8</v>
      </c>
      <c r="F1858" s="33">
        <f>(Table2634[[#This Row],[4 weeks average]]-B1806)/B1806</f>
        <v>4.8149044277764279E-2</v>
      </c>
    </row>
    <row r="1859" spans="1:6" x14ac:dyDescent="0.2">
      <c r="A1859" s="23">
        <v>40371</v>
      </c>
      <c r="B1859" s="25">
        <f>VLOOKUP(Table2634[[#This Row],[Date]],'DB Money Supply'!$A:$D,4)</f>
        <v>1722.3</v>
      </c>
      <c r="C1859" s="31">
        <f>(Table2634[[#This Row],[M1 Money Stock, Billions of Dollars, Weekly, Seasonally Adjusted]]-B1858)/B1858</f>
        <v>1.7448961786773688E-3</v>
      </c>
      <c r="D1859" s="35">
        <f>((1+Table2634[[#This Row],[Weekly change]])^52)-1</f>
        <v>9.4891785137940277E-2</v>
      </c>
      <c r="E1859" s="25">
        <f t="shared" si="28"/>
        <v>1732.8</v>
      </c>
      <c r="F1859" s="33">
        <f>(Table2634[[#This Row],[4 weeks average]]-B1807)/B1807</f>
        <v>4.1408738505919744E-2</v>
      </c>
    </row>
    <row r="1860" spans="1:6" x14ac:dyDescent="0.2">
      <c r="A1860" s="23">
        <v>40378</v>
      </c>
      <c r="B1860" s="25">
        <f>VLOOKUP(Table2634[[#This Row],[Date]],'DB Money Supply'!$A:$D,4)</f>
        <v>1718.8</v>
      </c>
      <c r="C1860" s="31">
        <f>(Table2634[[#This Row],[M1 Money Stock, Billions of Dollars, Weekly, Seasonally Adjusted]]-B1859)/B1859</f>
        <v>-2.0321662892643557E-3</v>
      </c>
      <c r="D1860" s="35">
        <f>((1+Table2634[[#This Row],[Weekly change]])^52)-1</f>
        <v>-0.10037760510384774</v>
      </c>
      <c r="E1860" s="25">
        <f t="shared" si="28"/>
        <v>1727.175</v>
      </c>
      <c r="F1860" s="33">
        <f>(Table2634[[#This Row],[4 weeks average]]-B1808)/B1808</f>
        <v>3.8839769036448965E-2</v>
      </c>
    </row>
    <row r="1861" spans="1:6" x14ac:dyDescent="0.2">
      <c r="A1861" s="23">
        <v>40385</v>
      </c>
      <c r="B1861" s="25">
        <f>VLOOKUP(Table2634[[#This Row],[Date]],'DB Money Supply'!$A:$D,4)</f>
        <v>1730.6</v>
      </c>
      <c r="C1861" s="31">
        <f>(Table2634[[#This Row],[M1 Money Stock, Billions of Dollars, Weekly, Seasonally Adjusted]]-B1860)/B1860</f>
        <v>6.8652548289504043E-3</v>
      </c>
      <c r="D1861" s="35">
        <f>((1+Table2634[[#This Row],[Weekly change]])^52)-1</f>
        <v>0.42728409779699716</v>
      </c>
      <c r="E1861" s="25">
        <f t="shared" si="28"/>
        <v>1722.75</v>
      </c>
      <c r="F1861" s="33">
        <f>(Table2634[[#This Row],[4 weeks average]]-B1809)/B1809</f>
        <v>3.8301591128254549E-2</v>
      </c>
    </row>
    <row r="1862" spans="1:6" x14ac:dyDescent="0.2">
      <c r="A1862" s="23">
        <v>40392</v>
      </c>
      <c r="B1862" s="25">
        <f>VLOOKUP(Table2634[[#This Row],[Date]],'DB Money Supply'!$A:$D,4)</f>
        <v>1729.2</v>
      </c>
      <c r="C1862" s="31">
        <f>(Table2634[[#This Row],[M1 Money Stock, Billions of Dollars, Weekly, Seasonally Adjusted]]-B1861)/B1861</f>
        <v>-8.0896798798096826E-4</v>
      </c>
      <c r="D1862" s="35">
        <f>((1+Table2634[[#This Row],[Weekly change]])^52)-1</f>
        <v>-4.121014720906635E-2</v>
      </c>
      <c r="E1862" s="25">
        <f t="shared" si="28"/>
        <v>1725.2249999999999</v>
      </c>
      <c r="F1862" s="33">
        <f>(Table2634[[#This Row],[4 weeks average]]-B1810)/B1810</f>
        <v>2.7347704400643099E-2</v>
      </c>
    </row>
    <row r="1863" spans="1:6" x14ac:dyDescent="0.2">
      <c r="A1863" s="23">
        <v>40399</v>
      </c>
      <c r="B1863" s="25">
        <f>VLOOKUP(Table2634[[#This Row],[Date]],'DB Money Supply'!$A:$D,4)</f>
        <v>1743.4</v>
      </c>
      <c r="C1863" s="31">
        <f>(Table2634[[#This Row],[M1 Money Stock, Billions of Dollars, Weekly, Seasonally Adjusted]]-B1862)/B1862</f>
        <v>8.211889891279231E-3</v>
      </c>
      <c r="D1863" s="35">
        <f>((1+Table2634[[#This Row],[Weekly change]])^52)-1</f>
        <v>0.53001035104133232</v>
      </c>
      <c r="E1863" s="25">
        <f t="shared" si="28"/>
        <v>1730.5</v>
      </c>
      <c r="F1863" s="33">
        <f>(Table2634[[#This Row],[4 weeks average]]-B1811)/B1811</f>
        <v>3.6537885594489367E-2</v>
      </c>
    </row>
    <row r="1864" spans="1:6" x14ac:dyDescent="0.2">
      <c r="A1864" s="23">
        <v>40406</v>
      </c>
      <c r="B1864" s="25">
        <f>VLOOKUP(Table2634[[#This Row],[Date]],'DB Money Supply'!$A:$D,4)</f>
        <v>1742.1</v>
      </c>
      <c r="C1864" s="31">
        <f>(Table2634[[#This Row],[M1 Money Stock, Billions of Dollars, Weekly, Seasonally Adjusted]]-B1863)/B1863</f>
        <v>-7.4566938166810935E-4</v>
      </c>
      <c r="D1864" s="35">
        <f>((1+Table2634[[#This Row],[Weekly change]])^52)-1</f>
        <v>-3.8046601339668862E-2</v>
      </c>
      <c r="E1864" s="25">
        <f t="shared" si="28"/>
        <v>1736.3250000000003</v>
      </c>
      <c r="F1864" s="33">
        <f>(Table2634[[#This Row],[4 weeks average]]-B1812)/B1812</f>
        <v>4.040086284378943E-2</v>
      </c>
    </row>
    <row r="1865" spans="1:6" x14ac:dyDescent="0.2">
      <c r="A1865" s="23">
        <v>40413</v>
      </c>
      <c r="B1865" s="25">
        <f>VLOOKUP(Table2634[[#This Row],[Date]],'DB Money Supply'!$A:$D,4)</f>
        <v>1757.4</v>
      </c>
      <c r="C1865" s="31">
        <f>(Table2634[[#This Row],[M1 Money Stock, Billions of Dollars, Weekly, Seasonally Adjusted]]-B1864)/B1864</f>
        <v>8.7825038746341677E-3</v>
      </c>
      <c r="D1865" s="35">
        <f>((1+Table2634[[#This Row],[Weekly change]])^52)-1</f>
        <v>0.57569496852509383</v>
      </c>
      <c r="E1865" s="25">
        <f t="shared" ref="E1865:E1928" si="29">AVERAGE(B1862:B1865)</f>
        <v>1743.0250000000001</v>
      </c>
      <c r="F1865" s="33">
        <f>(Table2634[[#This Row],[4 weeks average]]-B1813)/B1813</f>
        <v>5.6891219985447515E-2</v>
      </c>
    </row>
    <row r="1866" spans="1:6" x14ac:dyDescent="0.2">
      <c r="A1866" s="23">
        <v>40420</v>
      </c>
      <c r="B1866" s="25">
        <f>VLOOKUP(Table2634[[#This Row],[Date]],'DB Money Supply'!$A:$D,4)</f>
        <v>1757.3</v>
      </c>
      <c r="C1866" s="31">
        <f>(Table2634[[#This Row],[M1 Money Stock, Billions of Dollars, Weekly, Seasonally Adjusted]]-B1865)/B1865</f>
        <v>-5.6902241948410388E-5</v>
      </c>
      <c r="D1866" s="35">
        <f>((1+Table2634[[#This Row],[Weekly change]])^52)-1</f>
        <v>-2.9546272410524432E-3</v>
      </c>
      <c r="E1866" s="25">
        <f t="shared" si="29"/>
        <v>1750.05</v>
      </c>
      <c r="F1866" s="33">
        <f>(Table2634[[#This Row],[4 weeks average]]-B1814)/B1814</f>
        <v>6.4377812918136421E-2</v>
      </c>
    </row>
    <row r="1867" spans="1:6" x14ac:dyDescent="0.2">
      <c r="A1867" s="23">
        <v>40427</v>
      </c>
      <c r="B1867" s="25">
        <f>VLOOKUP(Table2634[[#This Row],[Date]],'DB Money Supply'!$A:$D,4)</f>
        <v>1749.5</v>
      </c>
      <c r="C1867" s="31">
        <f>(Table2634[[#This Row],[M1 Money Stock, Billions of Dollars, Weekly, Seasonally Adjusted]]-B1866)/B1866</f>
        <v>-4.438627439822429E-3</v>
      </c>
      <c r="D1867" s="35">
        <f>((1+Table2634[[#This Row],[Weekly change]])^52)-1</f>
        <v>-0.20651638197430644</v>
      </c>
      <c r="E1867" s="25">
        <f t="shared" si="29"/>
        <v>1751.575</v>
      </c>
      <c r="F1867" s="33">
        <f>(Table2634[[#This Row],[4 weeks average]]-B1815)/B1815</f>
        <v>5.48479373682626E-2</v>
      </c>
    </row>
    <row r="1868" spans="1:6" x14ac:dyDescent="0.2">
      <c r="A1868" s="23">
        <v>40434</v>
      </c>
      <c r="B1868" s="25">
        <f>VLOOKUP(Table2634[[#This Row],[Date]],'DB Money Supply'!$A:$D,4)</f>
        <v>1768.6</v>
      </c>
      <c r="C1868" s="31">
        <f>(Table2634[[#This Row],[M1 Money Stock, Billions of Dollars, Weekly, Seasonally Adjusted]]-B1867)/B1867</f>
        <v>1.0917404972849333E-2</v>
      </c>
      <c r="D1868" s="35">
        <f>((1+Table2634[[#This Row],[Weekly change]])^52)-1</f>
        <v>0.75879426462915012</v>
      </c>
      <c r="E1868" s="25">
        <f t="shared" si="29"/>
        <v>1758.1999999999998</v>
      </c>
      <c r="F1868" s="33">
        <f>(Table2634[[#This Row],[4 weeks average]]-B1816)/B1816</f>
        <v>4.9734312496268265E-2</v>
      </c>
    </row>
    <row r="1869" spans="1:6" x14ac:dyDescent="0.2">
      <c r="A1869" s="23">
        <v>40441</v>
      </c>
      <c r="B1869" s="25">
        <f>VLOOKUP(Table2634[[#This Row],[Date]],'DB Money Supply'!$A:$D,4)</f>
        <v>1769.6</v>
      </c>
      <c r="C1869" s="31">
        <f>(Table2634[[#This Row],[M1 Money Stock, Billions of Dollars, Weekly, Seasonally Adjusted]]-B1868)/B1868</f>
        <v>5.6541897546081655E-4</v>
      </c>
      <c r="D1869" s="35">
        <f>((1+Table2634[[#This Row],[Weekly change]])^52)-1</f>
        <v>2.9829729789086601E-2</v>
      </c>
      <c r="E1869" s="25">
        <f t="shared" si="29"/>
        <v>1761.25</v>
      </c>
      <c r="F1869" s="33">
        <f>(Table2634[[#This Row],[4 weeks average]]-B1817)/B1817</f>
        <v>5.9143664682181671E-2</v>
      </c>
    </row>
    <row r="1870" spans="1:6" x14ac:dyDescent="0.2">
      <c r="A1870" s="23">
        <v>40448</v>
      </c>
      <c r="B1870" s="25">
        <f>VLOOKUP(Table2634[[#This Row],[Date]],'DB Money Supply'!$A:$D,4)</f>
        <v>1770.2</v>
      </c>
      <c r="C1870" s="31">
        <f>(Table2634[[#This Row],[M1 Money Stock, Billions of Dollars, Weekly, Seasonally Adjusted]]-B1869)/B1869</f>
        <v>3.3905967450278957E-4</v>
      </c>
      <c r="D1870" s="35">
        <f>((1+Table2634[[#This Row],[Weekly change]])^52)-1</f>
        <v>1.7784406994925561E-2</v>
      </c>
      <c r="E1870" s="25">
        <f t="shared" si="29"/>
        <v>1764.4749999999999</v>
      </c>
      <c r="F1870" s="33">
        <f>(Table2634[[#This Row],[4 weeks average]]-B1818)/B1818</f>
        <v>6.1593766921364541E-2</v>
      </c>
    </row>
    <row r="1871" spans="1:6" x14ac:dyDescent="0.2">
      <c r="A1871" s="23">
        <v>40455</v>
      </c>
      <c r="B1871" s="25">
        <f>VLOOKUP(Table2634[[#This Row],[Date]],'DB Money Supply'!$A:$D,4)</f>
        <v>1776.2</v>
      </c>
      <c r="C1871" s="31">
        <f>(Table2634[[#This Row],[M1 Money Stock, Billions of Dollars, Weekly, Seasonally Adjusted]]-B1870)/B1870</f>
        <v>3.3894475200542309E-3</v>
      </c>
      <c r="D1871" s="35">
        <f>((1+Table2634[[#This Row],[Weekly change]])^52)-1</f>
        <v>0.19238230996960826</v>
      </c>
      <c r="E1871" s="25">
        <f t="shared" si="29"/>
        <v>1771.1499999999999</v>
      </c>
      <c r="F1871" s="33">
        <f>(Table2634[[#This Row],[4 weeks average]]-B1819)/B1819</f>
        <v>6.5545662375165334E-2</v>
      </c>
    </row>
    <row r="1872" spans="1:6" x14ac:dyDescent="0.2">
      <c r="A1872" s="23">
        <v>40462</v>
      </c>
      <c r="B1872" s="25">
        <f>VLOOKUP(Table2634[[#This Row],[Date]],'DB Money Supply'!$A:$D,4)</f>
        <v>1789.5</v>
      </c>
      <c r="C1872" s="31">
        <f>(Table2634[[#This Row],[M1 Money Stock, Billions of Dollars, Weekly, Seasonally Adjusted]]-B1871)/B1871</f>
        <v>7.4878955072626699E-3</v>
      </c>
      <c r="D1872" s="35">
        <f>((1+Table2634[[#This Row],[Weekly change]])^52)-1</f>
        <v>0.4739118958751749</v>
      </c>
      <c r="E1872" s="25">
        <f t="shared" si="29"/>
        <v>1776.375</v>
      </c>
      <c r="F1872" s="33">
        <f>(Table2634[[#This Row],[4 weeks average]]-B1820)/B1820</f>
        <v>6.0775707631673295E-2</v>
      </c>
    </row>
    <row r="1873" spans="1:6" x14ac:dyDescent="0.2">
      <c r="A1873" s="23">
        <v>40469</v>
      </c>
      <c r="B1873" s="25">
        <f>VLOOKUP(Table2634[[#This Row],[Date]],'DB Money Supply'!$A:$D,4)</f>
        <v>1776.5</v>
      </c>
      <c r="C1873" s="31">
        <f>(Table2634[[#This Row],[M1 Money Stock, Billions of Dollars, Weekly, Seasonally Adjusted]]-B1872)/B1872</f>
        <v>-7.2645990500139705E-3</v>
      </c>
      <c r="D1873" s="35">
        <f>((1+Table2634[[#This Row],[Weekly change]])^52)-1</f>
        <v>-0.31554882534543527</v>
      </c>
      <c r="E1873" s="25">
        <f t="shared" si="29"/>
        <v>1778.1</v>
      </c>
      <c r="F1873" s="33">
        <f>(Table2634[[#This Row],[4 weeks average]]-B1821)/B1821</f>
        <v>5.7826164554702728E-2</v>
      </c>
    </row>
    <row r="1874" spans="1:6" x14ac:dyDescent="0.2">
      <c r="A1874" s="23">
        <v>40476</v>
      </c>
      <c r="B1874" s="25">
        <f>VLOOKUP(Table2634[[#This Row],[Date]],'DB Money Supply'!$A:$D,4)</f>
        <v>1789.5</v>
      </c>
      <c r="C1874" s="31">
        <f>(Table2634[[#This Row],[M1 Money Stock, Billions of Dollars, Weekly, Seasonally Adjusted]]-B1873)/B1873</f>
        <v>7.317759639741064E-3</v>
      </c>
      <c r="D1874" s="35">
        <f>((1+Table2634[[#This Row],[Weekly change]])^52)-1</f>
        <v>0.46102459463919243</v>
      </c>
      <c r="E1874" s="25">
        <f t="shared" si="29"/>
        <v>1782.925</v>
      </c>
      <c r="F1874" s="33">
        <f>(Table2634[[#This Row],[4 weeks average]]-B1822)/B1822</f>
        <v>5.7864601874925752E-2</v>
      </c>
    </row>
    <row r="1875" spans="1:6" x14ac:dyDescent="0.2">
      <c r="A1875" s="23">
        <v>40483</v>
      </c>
      <c r="B1875" s="25">
        <f>VLOOKUP(Table2634[[#This Row],[Date]],'DB Money Supply'!$A:$D,4)</f>
        <v>1766.4</v>
      </c>
      <c r="C1875" s="31">
        <f>(Table2634[[#This Row],[M1 Money Stock, Billions of Dollars, Weekly, Seasonally Adjusted]]-B1874)/B1874</f>
        <v>-1.2908633696563235E-2</v>
      </c>
      <c r="D1875" s="35">
        <f>((1+Table2634[[#This Row],[Weekly change]])^52)-1</f>
        <v>-0.4911586773794735</v>
      </c>
      <c r="E1875" s="25">
        <f t="shared" si="29"/>
        <v>1780.4749999999999</v>
      </c>
      <c r="F1875" s="33">
        <f>(Table2634[[#This Row],[4 weeks average]]-B1823)/B1823</f>
        <v>5.8168905265660292E-2</v>
      </c>
    </row>
    <row r="1876" spans="1:6" x14ac:dyDescent="0.2">
      <c r="A1876" s="23">
        <v>40490</v>
      </c>
      <c r="B1876" s="25">
        <f>VLOOKUP(Table2634[[#This Row],[Date]],'DB Money Supply'!$A:$D,4)</f>
        <v>1867.7</v>
      </c>
      <c r="C1876" s="31">
        <f>(Table2634[[#This Row],[M1 Money Stock, Billions of Dollars, Weekly, Seasonally Adjusted]]-B1875)/B1875</f>
        <v>5.734827898550722E-2</v>
      </c>
      <c r="D1876" s="35">
        <f>((1+Table2634[[#This Row],[Weekly change]])^52)-1</f>
        <v>17.169344618189221</v>
      </c>
      <c r="E1876" s="25">
        <f t="shared" si="29"/>
        <v>1800.0249999999999</v>
      </c>
      <c r="F1876" s="33">
        <f>(Table2634[[#This Row],[4 weeks average]]-B1824)/B1824</f>
        <v>7.1188407522018424E-2</v>
      </c>
    </row>
    <row r="1877" spans="1:6" x14ac:dyDescent="0.2">
      <c r="A1877" s="23">
        <v>40497</v>
      </c>
      <c r="B1877" s="25">
        <f>VLOOKUP(Table2634[[#This Row],[Date]],'DB Money Supply'!$A:$D,4)</f>
        <v>1802</v>
      </c>
      <c r="C1877" s="31">
        <f>(Table2634[[#This Row],[M1 Money Stock, Billions of Dollars, Weekly, Seasonally Adjusted]]-B1876)/B1876</f>
        <v>-3.5176955613856642E-2</v>
      </c>
      <c r="D1877" s="35">
        <f>((1+Table2634[[#This Row],[Weekly change]])^52)-1</f>
        <v>-0.84466163539162187</v>
      </c>
      <c r="E1877" s="25">
        <f t="shared" si="29"/>
        <v>1806.4</v>
      </c>
      <c r="F1877" s="33">
        <f>(Table2634[[#This Row],[4 weeks average]]-B1825)/B1825</f>
        <v>7.4726320799619314E-2</v>
      </c>
    </row>
    <row r="1878" spans="1:6" x14ac:dyDescent="0.2">
      <c r="A1878" s="23">
        <v>40504</v>
      </c>
      <c r="B1878" s="25">
        <f>VLOOKUP(Table2634[[#This Row],[Date]],'DB Money Supply'!$A:$D,4)</f>
        <v>1819</v>
      </c>
      <c r="C1878" s="31">
        <f>(Table2634[[#This Row],[M1 Money Stock, Billions of Dollars, Weekly, Seasonally Adjusted]]-B1877)/B1877</f>
        <v>9.433962264150943E-3</v>
      </c>
      <c r="D1878" s="35">
        <f>((1+Table2634[[#This Row],[Weekly change]])^52)-1</f>
        <v>0.62948904799809324</v>
      </c>
      <c r="E1878" s="25">
        <f t="shared" si="29"/>
        <v>1813.7750000000001</v>
      </c>
      <c r="F1878" s="33">
        <f>(Table2634[[#This Row],[4 weeks average]]-B1826)/B1826</f>
        <v>7.7703505644682175E-2</v>
      </c>
    </row>
    <row r="1879" spans="1:6" x14ac:dyDescent="0.2">
      <c r="A1879" s="23">
        <v>40511</v>
      </c>
      <c r="B1879" s="25">
        <f>VLOOKUP(Table2634[[#This Row],[Date]],'DB Money Supply'!$A:$D,4)</f>
        <v>1836.1</v>
      </c>
      <c r="C1879" s="31">
        <f>(Table2634[[#This Row],[M1 Money Stock, Billions of Dollars, Weekly, Seasonally Adjusted]]-B1878)/B1878</f>
        <v>9.4007696536558046E-3</v>
      </c>
      <c r="D1879" s="35">
        <f>((1+Table2634[[#This Row],[Weekly change]])^52)-1</f>
        <v>0.62670514449684633</v>
      </c>
      <c r="E1879" s="25">
        <f t="shared" si="29"/>
        <v>1831.1999999999998</v>
      </c>
      <c r="F1879" s="33">
        <f>(Table2634[[#This Row],[4 weeks average]]-B1827)/B1827</f>
        <v>8.4705603601468879E-2</v>
      </c>
    </row>
    <row r="1880" spans="1:6" x14ac:dyDescent="0.2">
      <c r="A1880" s="23">
        <v>40518</v>
      </c>
      <c r="B1880" s="25">
        <f>VLOOKUP(Table2634[[#This Row],[Date]],'DB Money Supply'!$A:$D,4)</f>
        <v>1812.3</v>
      </c>
      <c r="C1880" s="31">
        <f>(Table2634[[#This Row],[M1 Money Stock, Billions of Dollars, Weekly, Seasonally Adjusted]]-B1879)/B1879</f>
        <v>-1.2962256957682019E-2</v>
      </c>
      <c r="D1880" s="35">
        <f>((1+Table2634[[#This Row],[Weekly change]])^52)-1</f>
        <v>-0.49259410102490564</v>
      </c>
      <c r="E1880" s="25">
        <f t="shared" si="29"/>
        <v>1817.3500000000001</v>
      </c>
      <c r="F1880" s="33">
        <f>(Table2634[[#This Row],[4 weeks average]]-B1828)/B1828</f>
        <v>7.8674026590693363E-2</v>
      </c>
    </row>
    <row r="1881" spans="1:6" x14ac:dyDescent="0.2">
      <c r="A1881" s="23">
        <v>40525</v>
      </c>
      <c r="B1881" s="25">
        <f>VLOOKUP(Table2634[[#This Row],[Date]],'DB Money Supply'!$A:$D,4)</f>
        <v>1829</v>
      </c>
      <c r="C1881" s="31">
        <f>(Table2634[[#This Row],[M1 Money Stock, Billions of Dollars, Weekly, Seasonally Adjusted]]-B1880)/B1880</f>
        <v>9.2148099100590672E-3</v>
      </c>
      <c r="D1881" s="35">
        <f>((1+Table2634[[#This Row],[Weekly change]])^52)-1</f>
        <v>0.61119453977648686</v>
      </c>
      <c r="E1881" s="25">
        <f t="shared" si="29"/>
        <v>1824.1</v>
      </c>
      <c r="F1881" s="33">
        <f>(Table2634[[#This Row],[4 weeks average]]-B1829)/B1829</f>
        <v>7.8647034474602334E-2</v>
      </c>
    </row>
    <row r="1882" spans="1:6" x14ac:dyDescent="0.2">
      <c r="A1882" s="23">
        <v>40532</v>
      </c>
      <c r="B1882" s="25">
        <f>VLOOKUP(Table2634[[#This Row],[Date]],'DB Money Supply'!$A:$D,4)</f>
        <v>1840.8</v>
      </c>
      <c r="C1882" s="31">
        <f>(Table2634[[#This Row],[M1 Money Stock, Billions of Dollars, Weekly, Seasonally Adjusted]]-B1881)/B1881</f>
        <v>6.4516129032257813E-3</v>
      </c>
      <c r="D1882" s="35">
        <f>((1+Table2634[[#This Row],[Weekly change]])^52)-1</f>
        <v>0.3971106703931031</v>
      </c>
      <c r="E1882" s="25">
        <f t="shared" si="29"/>
        <v>1829.55</v>
      </c>
      <c r="F1882" s="33">
        <f>(Table2634[[#This Row],[4 weeks average]]-B1830)/B1830</f>
        <v>7.7092900035323236E-2</v>
      </c>
    </row>
    <row r="1883" spans="1:6" x14ac:dyDescent="0.2">
      <c r="A1883" s="23">
        <v>40539</v>
      </c>
      <c r="B1883" s="25">
        <f>VLOOKUP(Table2634[[#This Row],[Date]],'DB Money Supply'!$A:$D,4)</f>
        <v>1853.6</v>
      </c>
      <c r="C1883" s="31">
        <f>(Table2634[[#This Row],[M1 Money Stock, Billions of Dollars, Weekly, Seasonally Adjusted]]-B1882)/B1882</f>
        <v>6.953498478922183E-3</v>
      </c>
      <c r="D1883" s="35">
        <f>((1+Table2634[[#This Row],[Weekly change]])^52)-1</f>
        <v>0.43380333532076865</v>
      </c>
      <c r="E1883" s="25">
        <f t="shared" si="29"/>
        <v>1833.9250000000002</v>
      </c>
      <c r="F1883" s="33">
        <f>(Table2634[[#This Row],[4 weeks average]]-B1831)/B1831</f>
        <v>8.5098514880776452E-2</v>
      </c>
    </row>
    <row r="1884" spans="1:6" x14ac:dyDescent="0.2">
      <c r="A1884" s="23">
        <v>40546</v>
      </c>
      <c r="B1884" s="25">
        <f>VLOOKUP(Table2634[[#This Row],[Date]],'DB Money Supply'!$A:$D,4)</f>
        <v>1849.9</v>
      </c>
      <c r="C1884" s="31">
        <f>(Table2634[[#This Row],[M1 Money Stock, Billions of Dollars, Weekly, Seasonally Adjusted]]-B1883)/B1883</f>
        <v>-1.996115666810433E-3</v>
      </c>
      <c r="D1884" s="35">
        <f>((1+Table2634[[#This Row],[Weekly change]])^52)-1</f>
        <v>-9.8686152088803492E-2</v>
      </c>
      <c r="E1884" s="25">
        <f t="shared" si="29"/>
        <v>1843.3249999999998</v>
      </c>
      <c r="F1884" s="33">
        <f>(Table2634[[#This Row],[4 weeks average]]-B1832)/B1832</f>
        <v>7.8851106168793109E-2</v>
      </c>
    </row>
    <row r="1885" spans="1:6" x14ac:dyDescent="0.2">
      <c r="A1885" s="23">
        <v>40553</v>
      </c>
      <c r="B1885" s="25">
        <f>VLOOKUP(Table2634[[#This Row],[Date]],'DB Money Supply'!$A:$D,4)</f>
        <v>1834.5</v>
      </c>
      <c r="C1885" s="31">
        <f>(Table2634[[#This Row],[M1 Money Stock, Billions of Dollars, Weekly, Seasonally Adjusted]]-B1884)/B1884</f>
        <v>-8.324774312125029E-3</v>
      </c>
      <c r="D1885" s="35">
        <f>((1+Table2634[[#This Row],[Weekly change]])^52)-1</f>
        <v>-0.35254123810155602</v>
      </c>
      <c r="E1885" s="25">
        <f t="shared" si="29"/>
        <v>1844.6999999999998</v>
      </c>
      <c r="F1885" s="33">
        <f>(Table2634[[#This Row],[4 weeks average]]-B1833)/B1833</f>
        <v>0.10766182298546878</v>
      </c>
    </row>
    <row r="1886" spans="1:6" x14ac:dyDescent="0.2">
      <c r="A1886" s="23">
        <v>40560</v>
      </c>
      <c r="B1886" s="25">
        <f>VLOOKUP(Table2634[[#This Row],[Date]],'DB Money Supply'!$A:$D,4)</f>
        <v>1858.3</v>
      </c>
      <c r="C1886" s="31">
        <f>(Table2634[[#This Row],[M1 Money Stock, Billions of Dollars, Weekly, Seasonally Adjusted]]-B1885)/B1885</f>
        <v>1.297356227854999E-2</v>
      </c>
      <c r="D1886" s="35">
        <f>((1+Table2634[[#This Row],[Weekly change]])^52)-1</f>
        <v>0.95479744071513495</v>
      </c>
      <c r="E1886" s="25">
        <f t="shared" si="29"/>
        <v>1849.075</v>
      </c>
      <c r="F1886" s="33">
        <f>(Table2634[[#This Row],[4 weeks average]]-B1834)/B1834</f>
        <v>0.10742947834940408</v>
      </c>
    </row>
    <row r="1887" spans="1:6" x14ac:dyDescent="0.2">
      <c r="A1887" s="23">
        <v>40567</v>
      </c>
      <c r="B1887" s="25">
        <f>VLOOKUP(Table2634[[#This Row],[Date]],'DB Money Supply'!$A:$D,4)</f>
        <v>1854.1</v>
      </c>
      <c r="C1887" s="31">
        <f>(Table2634[[#This Row],[M1 Money Stock, Billions of Dollars, Weekly, Seasonally Adjusted]]-B1886)/B1886</f>
        <v>-2.2601302265511736E-3</v>
      </c>
      <c r="D1887" s="35">
        <f>((1+Table2634[[#This Row],[Weekly change]])^52)-1</f>
        <v>-0.11100154834615283</v>
      </c>
      <c r="E1887" s="25">
        <f t="shared" si="29"/>
        <v>1849.1999999999998</v>
      </c>
      <c r="F1887" s="33">
        <f>(Table2634[[#This Row],[4 weeks average]]-B1835)/B1835</f>
        <v>0.10558412053090992</v>
      </c>
    </row>
    <row r="1888" spans="1:6" x14ac:dyDescent="0.2">
      <c r="A1888" s="23">
        <v>40574</v>
      </c>
      <c r="B1888" s="25">
        <f>VLOOKUP(Table2634[[#This Row],[Date]],'DB Money Supply'!$A:$D,4)</f>
        <v>1868.8</v>
      </c>
      <c r="C1888" s="31">
        <f>(Table2634[[#This Row],[M1 Money Stock, Billions of Dollars, Weekly, Seasonally Adjusted]]-B1887)/B1887</f>
        <v>7.9283749528073176E-3</v>
      </c>
      <c r="D1888" s="35">
        <f>((1+Table2634[[#This Row],[Weekly change]])^52)-1</f>
        <v>0.50779715443692086</v>
      </c>
      <c r="E1888" s="25">
        <f t="shared" si="29"/>
        <v>1853.925</v>
      </c>
      <c r="F1888" s="33">
        <f>(Table2634[[#This Row],[4 weeks average]]-B1836)/B1836</f>
        <v>0.10953677658746774</v>
      </c>
    </row>
    <row r="1889" spans="1:6" x14ac:dyDescent="0.2">
      <c r="A1889" s="23">
        <v>40581</v>
      </c>
      <c r="B1889" s="25">
        <f>VLOOKUP(Table2634[[#This Row],[Date]],'DB Money Supply'!$A:$D,4)</f>
        <v>1850.4</v>
      </c>
      <c r="C1889" s="31">
        <f>(Table2634[[#This Row],[M1 Money Stock, Billions of Dollars, Weekly, Seasonally Adjusted]]-B1888)/B1888</f>
        <v>-9.8458904109588307E-3</v>
      </c>
      <c r="D1889" s="35">
        <f>((1+Table2634[[#This Row],[Weekly change]])^52)-1</f>
        <v>-0.40221459817844596</v>
      </c>
      <c r="E1889" s="25">
        <f t="shared" si="29"/>
        <v>1857.9</v>
      </c>
      <c r="F1889" s="33">
        <f>(Table2634[[#This Row],[4 weeks average]]-B1837)/B1837</f>
        <v>0.10026057088712555</v>
      </c>
    </row>
    <row r="1890" spans="1:6" x14ac:dyDescent="0.2">
      <c r="A1890" s="23">
        <v>40588</v>
      </c>
      <c r="B1890" s="25">
        <f>VLOOKUP(Table2634[[#This Row],[Date]],'DB Money Supply'!$A:$D,4)</f>
        <v>1859.1</v>
      </c>
      <c r="C1890" s="31">
        <f>(Table2634[[#This Row],[M1 Money Stock, Billions of Dollars, Weekly, Seasonally Adjusted]]-B1889)/B1889</f>
        <v>4.7016861219194867E-3</v>
      </c>
      <c r="D1890" s="35">
        <f>((1+Table2634[[#This Row],[Weekly change]])^52)-1</f>
        <v>0.27623549025360727</v>
      </c>
      <c r="E1890" s="25">
        <f t="shared" si="29"/>
        <v>1858.1</v>
      </c>
      <c r="F1890" s="33">
        <f>(Table2634[[#This Row],[4 weeks average]]-B1838)/B1838</f>
        <v>8.2052177964127573E-2</v>
      </c>
    </row>
    <row r="1891" spans="1:6" x14ac:dyDescent="0.2">
      <c r="A1891" s="23">
        <v>40595</v>
      </c>
      <c r="B1891" s="25">
        <f>VLOOKUP(Table2634[[#This Row],[Date]],'DB Money Supply'!$A:$D,4)</f>
        <v>1885.8</v>
      </c>
      <c r="C1891" s="31">
        <f>(Table2634[[#This Row],[M1 Money Stock, Billions of Dollars, Weekly, Seasonally Adjusted]]-B1890)/B1890</f>
        <v>1.4361787961917082E-2</v>
      </c>
      <c r="D1891" s="35">
        <f>((1+Table2634[[#This Row],[Weekly change]])^52)-1</f>
        <v>1.0990838519445463</v>
      </c>
      <c r="E1891" s="25">
        <f t="shared" si="29"/>
        <v>1866.0249999999999</v>
      </c>
      <c r="F1891" s="33">
        <f>(Table2634[[#This Row],[4 weeks average]]-B1839)/B1839</f>
        <v>9.6307502496915554E-2</v>
      </c>
    </row>
    <row r="1892" spans="1:6" x14ac:dyDescent="0.2">
      <c r="A1892" s="23">
        <v>40602</v>
      </c>
      <c r="B1892" s="25">
        <f>VLOOKUP(Table2634[[#This Row],[Date]],'DB Money Supply'!$A:$D,4)</f>
        <v>1895.2</v>
      </c>
      <c r="C1892" s="31">
        <f>(Table2634[[#This Row],[M1 Money Stock, Billions of Dollars, Weekly, Seasonally Adjusted]]-B1891)/B1891</f>
        <v>4.9846219111253001E-3</v>
      </c>
      <c r="D1892" s="35">
        <f>((1+Table2634[[#This Row],[Weekly change]])^52)-1</f>
        <v>0.29505928014292371</v>
      </c>
      <c r="E1892" s="25">
        <f t="shared" si="29"/>
        <v>1872.625</v>
      </c>
      <c r="F1892" s="33">
        <f>(Table2634[[#This Row],[4 weeks average]]-B1840)/B1840</f>
        <v>0.1048586937282435</v>
      </c>
    </row>
    <row r="1893" spans="1:6" x14ac:dyDescent="0.2">
      <c r="A1893" s="23">
        <v>40609</v>
      </c>
      <c r="B1893" s="25">
        <f>VLOOKUP(Table2634[[#This Row],[Date]],'DB Money Supply'!$A:$D,4)</f>
        <v>1875.6</v>
      </c>
      <c r="C1893" s="31">
        <f>(Table2634[[#This Row],[M1 Money Stock, Billions of Dollars, Weekly, Seasonally Adjusted]]-B1892)/B1892</f>
        <v>-1.0341916420430633E-2</v>
      </c>
      <c r="D1893" s="35">
        <f>((1+Table2634[[#This Row],[Weekly change]])^52)-1</f>
        <v>-0.4175895345366436</v>
      </c>
      <c r="E1893" s="25">
        <f t="shared" si="29"/>
        <v>1878.9249999999997</v>
      </c>
      <c r="F1893" s="33">
        <f>(Table2634[[#This Row],[4 weeks average]]-B1841)/B1841</f>
        <v>0.1025261119586901</v>
      </c>
    </row>
    <row r="1894" spans="1:6" x14ac:dyDescent="0.2">
      <c r="A1894" s="23">
        <v>40616</v>
      </c>
      <c r="B1894" s="25">
        <f>VLOOKUP(Table2634[[#This Row],[Date]],'DB Money Supply'!$A:$D,4)</f>
        <v>1889.6</v>
      </c>
      <c r="C1894" s="31">
        <f>(Table2634[[#This Row],[M1 Money Stock, Billions of Dollars, Weekly, Seasonally Adjusted]]-B1893)/B1893</f>
        <v>7.4642780976754107E-3</v>
      </c>
      <c r="D1894" s="35">
        <f>((1+Table2634[[#This Row],[Weekly change]])^52)-1</f>
        <v>0.47211630368144908</v>
      </c>
      <c r="E1894" s="25">
        <f t="shared" si="29"/>
        <v>1886.5500000000002</v>
      </c>
      <c r="F1894" s="33">
        <f>(Table2634[[#This Row],[4 weeks average]]-B1842)/B1842</f>
        <v>9.4985199373149976E-2</v>
      </c>
    </row>
    <row r="1895" spans="1:6" x14ac:dyDescent="0.2">
      <c r="A1895" s="23">
        <v>40623</v>
      </c>
      <c r="B1895" s="25">
        <f>VLOOKUP(Table2634[[#This Row],[Date]],'DB Money Supply'!$A:$D,4)</f>
        <v>1901.2</v>
      </c>
      <c r="C1895" s="31">
        <f>(Table2634[[#This Row],[M1 Money Stock, Billions of Dollars, Weekly, Seasonally Adjusted]]-B1894)/B1894</f>
        <v>6.1388653683319945E-3</v>
      </c>
      <c r="D1895" s="35">
        <f>((1+Table2634[[#This Row],[Weekly change]])^52)-1</f>
        <v>0.37471324933461414</v>
      </c>
      <c r="E1895" s="25">
        <f t="shared" si="29"/>
        <v>1890.3999999999999</v>
      </c>
      <c r="F1895" s="33">
        <f>(Table2634[[#This Row],[4 weeks average]]-B1843)/B1843</f>
        <v>9.7665776332597737E-2</v>
      </c>
    </row>
    <row r="1896" spans="1:6" x14ac:dyDescent="0.2">
      <c r="A1896" s="23">
        <v>40630</v>
      </c>
      <c r="B1896" s="25">
        <f>VLOOKUP(Table2634[[#This Row],[Date]],'DB Money Supply'!$A:$D,4)</f>
        <v>1897.1</v>
      </c>
      <c r="C1896" s="31">
        <f>(Table2634[[#This Row],[M1 Money Stock, Billions of Dollars, Weekly, Seasonally Adjusted]]-B1895)/B1895</f>
        <v>-2.1565327161793268E-3</v>
      </c>
      <c r="D1896" s="35">
        <f>((1+Table2634[[#This Row],[Weekly change]])^52)-1</f>
        <v>-0.10618887153765977</v>
      </c>
      <c r="E1896" s="25">
        <f t="shared" si="29"/>
        <v>1890.875</v>
      </c>
      <c r="F1896" s="33">
        <f>(Table2634[[#This Row],[4 weeks average]]-B1844)/B1844</f>
        <v>0.10687525610255813</v>
      </c>
    </row>
    <row r="1897" spans="1:6" x14ac:dyDescent="0.2">
      <c r="A1897" s="23">
        <v>40637</v>
      </c>
      <c r="B1897" s="25">
        <f>VLOOKUP(Table2634[[#This Row],[Date]],'DB Money Supply'!$A:$D,4)</f>
        <v>1895.4</v>
      </c>
      <c r="C1897" s="31">
        <f>(Table2634[[#This Row],[M1 Money Stock, Billions of Dollars, Weekly, Seasonally Adjusted]]-B1896)/B1896</f>
        <v>-8.9610458067567247E-4</v>
      </c>
      <c r="D1897" s="35">
        <f>((1+Table2634[[#This Row],[Weekly change]])^52)-1</f>
        <v>-4.5548385193157959E-2</v>
      </c>
      <c r="E1897" s="25">
        <f t="shared" si="29"/>
        <v>1895.8249999999998</v>
      </c>
      <c r="F1897" s="33">
        <f>(Table2634[[#This Row],[4 weeks average]]-B1845)/B1845</f>
        <v>0.12445136417556335</v>
      </c>
    </row>
    <row r="1898" spans="1:6" x14ac:dyDescent="0.2">
      <c r="A1898" s="23">
        <v>40644</v>
      </c>
      <c r="B1898" s="25">
        <f>VLOOKUP(Table2634[[#This Row],[Date]],'DB Money Supply'!$A:$D,4)</f>
        <v>1896.4</v>
      </c>
      <c r="C1898" s="31">
        <f>(Table2634[[#This Row],[M1 Money Stock, Billions of Dollars, Weekly, Seasonally Adjusted]]-B1897)/B1897</f>
        <v>5.2759312018571276E-4</v>
      </c>
      <c r="D1898" s="35">
        <f>((1+Table2634[[#This Row],[Weekly change]])^52)-1</f>
        <v>2.7807206960090092E-2</v>
      </c>
      <c r="E1898" s="25">
        <f t="shared" si="29"/>
        <v>1897.5250000000001</v>
      </c>
      <c r="F1898" s="33">
        <f>(Table2634[[#This Row],[4 weeks average]]-B1846)/B1846</f>
        <v>0.11770336337397658</v>
      </c>
    </row>
    <row r="1899" spans="1:6" x14ac:dyDescent="0.2">
      <c r="A1899" s="23">
        <v>40651</v>
      </c>
      <c r="B1899" s="25">
        <f>VLOOKUP(Table2634[[#This Row],[Date]],'DB Money Supply'!$A:$D,4)</f>
        <v>1892.8</v>
      </c>
      <c r="C1899" s="31">
        <f>(Table2634[[#This Row],[M1 Money Stock, Billions of Dollars, Weekly, Seasonally Adjusted]]-B1898)/B1898</f>
        <v>-1.8983336848766802E-3</v>
      </c>
      <c r="D1899" s="35">
        <f>((1+Table2634[[#This Row],[Weekly change]])^52)-1</f>
        <v>-9.4082616964585752E-2</v>
      </c>
      <c r="E1899" s="25">
        <f t="shared" si="29"/>
        <v>1895.425</v>
      </c>
      <c r="F1899" s="33">
        <f>(Table2634[[#This Row],[4 weeks average]]-B1847)/B1847</f>
        <v>0.11534953513004581</v>
      </c>
    </row>
    <row r="1900" spans="1:6" x14ac:dyDescent="0.2">
      <c r="A1900" s="23">
        <v>40658</v>
      </c>
      <c r="B1900" s="25">
        <f>VLOOKUP(Table2634[[#This Row],[Date]],'DB Money Supply'!$A:$D,4)</f>
        <v>1902.2</v>
      </c>
      <c r="C1900" s="31">
        <f>(Table2634[[#This Row],[M1 Money Stock, Billions of Dollars, Weekly, Seasonally Adjusted]]-B1899)/B1899</f>
        <v>4.9661876584953992E-3</v>
      </c>
      <c r="D1900" s="35">
        <f>((1+Table2634[[#This Row],[Weekly change]])^52)-1</f>
        <v>0.29382459566770724</v>
      </c>
      <c r="E1900" s="25">
        <f t="shared" si="29"/>
        <v>1896.7</v>
      </c>
      <c r="F1900" s="33">
        <f>(Table2634[[#This Row],[4 weeks average]]-B1848)/B1848</f>
        <v>0.1207823671925782</v>
      </c>
    </row>
    <row r="1901" spans="1:6" x14ac:dyDescent="0.2">
      <c r="A1901" s="23">
        <v>40665</v>
      </c>
      <c r="B1901" s="25">
        <f>VLOOKUP(Table2634[[#This Row],[Date]],'DB Money Supply'!$A:$D,4)</f>
        <v>1920.6</v>
      </c>
      <c r="C1901" s="31">
        <f>(Table2634[[#This Row],[M1 Money Stock, Billions of Dollars, Weekly, Seasonally Adjusted]]-B1900)/B1900</f>
        <v>9.6730101987172034E-3</v>
      </c>
      <c r="D1901" s="35">
        <f>((1+Table2634[[#This Row],[Weekly change]])^52)-1</f>
        <v>0.6496767507615675</v>
      </c>
      <c r="E1901" s="25">
        <f t="shared" si="29"/>
        <v>1903</v>
      </c>
      <c r="F1901" s="33">
        <f>(Table2634[[#This Row],[4 weeks average]]-B1849)/B1849</f>
        <v>0.10108198808077304</v>
      </c>
    </row>
    <row r="1902" spans="1:6" x14ac:dyDescent="0.2">
      <c r="A1902" s="23">
        <v>40672</v>
      </c>
      <c r="B1902" s="25">
        <f>VLOOKUP(Table2634[[#This Row],[Date]],'DB Money Supply'!$A:$D,4)</f>
        <v>1928.1</v>
      </c>
      <c r="C1902" s="31">
        <f>(Table2634[[#This Row],[M1 Money Stock, Billions of Dollars, Weekly, Seasonally Adjusted]]-B1901)/B1901</f>
        <v>3.9050296782255547E-3</v>
      </c>
      <c r="D1902" s="35">
        <f>((1+Table2634[[#This Row],[Weekly change]])^52)-1</f>
        <v>0.22466347473883408</v>
      </c>
      <c r="E1902" s="25">
        <f t="shared" si="29"/>
        <v>1910.9250000000002</v>
      </c>
      <c r="F1902" s="33">
        <f>(Table2634[[#This Row],[4 weeks average]]-B1850)/B1850</f>
        <v>0.11704273104577081</v>
      </c>
    </row>
    <row r="1903" spans="1:6" x14ac:dyDescent="0.2">
      <c r="A1903" s="23">
        <v>40679</v>
      </c>
      <c r="B1903" s="25">
        <f>VLOOKUP(Table2634[[#This Row],[Date]],'DB Money Supply'!$A:$D,4)</f>
        <v>1930.7</v>
      </c>
      <c r="C1903" s="31">
        <f>(Table2634[[#This Row],[M1 Money Stock, Billions of Dollars, Weekly, Seasonally Adjusted]]-B1902)/B1902</f>
        <v>1.3484777760490309E-3</v>
      </c>
      <c r="D1903" s="35">
        <f>((1+Table2634[[#This Row],[Weekly change]])^52)-1</f>
        <v>7.2587130000442812E-2</v>
      </c>
      <c r="E1903" s="25">
        <f t="shared" si="29"/>
        <v>1920.3999999999999</v>
      </c>
      <c r="F1903" s="33">
        <f>(Table2634[[#This Row],[4 weeks average]]-B1851)/B1851</f>
        <v>0.12778952313836031</v>
      </c>
    </row>
    <row r="1904" spans="1:6" x14ac:dyDescent="0.2">
      <c r="A1904" s="23">
        <v>40686</v>
      </c>
      <c r="B1904" s="25">
        <f>VLOOKUP(Table2634[[#This Row],[Date]],'DB Money Supply'!$A:$D,4)</f>
        <v>1942.2</v>
      </c>
      <c r="C1904" s="31">
        <f>(Table2634[[#This Row],[M1 Money Stock, Billions of Dollars, Weekly, Seasonally Adjusted]]-B1903)/B1903</f>
        <v>5.9563888745014764E-3</v>
      </c>
      <c r="D1904" s="35">
        <f>((1+Table2634[[#This Row],[Weekly change]])^52)-1</f>
        <v>0.36180826791377241</v>
      </c>
      <c r="E1904" s="25">
        <f t="shared" si="29"/>
        <v>1930.3999999999999</v>
      </c>
      <c r="F1904" s="33">
        <f>(Table2634[[#This Row],[4 weeks average]]-B1852)/B1852</f>
        <v>0.13054172767203506</v>
      </c>
    </row>
    <row r="1905" spans="1:6" x14ac:dyDescent="0.2">
      <c r="A1905" s="23">
        <v>40693</v>
      </c>
      <c r="B1905" s="25">
        <f>VLOOKUP(Table2634[[#This Row],[Date]],'DB Money Supply'!$A:$D,4)</f>
        <v>1956.5</v>
      </c>
      <c r="C1905" s="31">
        <f>(Table2634[[#This Row],[M1 Money Stock, Billions of Dollars, Weekly, Seasonally Adjusted]]-B1904)/B1904</f>
        <v>7.3627844712181824E-3</v>
      </c>
      <c r="D1905" s="35">
        <f>((1+Table2634[[#This Row],[Weekly change]])^52)-1</f>
        <v>0.46442430225228759</v>
      </c>
      <c r="E1905" s="25">
        <f t="shared" si="29"/>
        <v>1939.375</v>
      </c>
      <c r="F1905" s="33">
        <f>(Table2634[[#This Row],[4 weeks average]]-B1853)/B1853</f>
        <v>0.13314344142565002</v>
      </c>
    </row>
    <row r="1906" spans="1:6" x14ac:dyDescent="0.2">
      <c r="A1906" s="23">
        <v>40700</v>
      </c>
      <c r="B1906" s="25">
        <f>VLOOKUP(Table2634[[#This Row],[Date]],'DB Money Supply'!$A:$D,4)</f>
        <v>1936</v>
      </c>
      <c r="C1906" s="31">
        <f>(Table2634[[#This Row],[M1 Money Stock, Billions of Dollars, Weekly, Seasonally Adjusted]]-B1905)/B1905</f>
        <v>-1.0477894198824431E-2</v>
      </c>
      <c r="D1906" s="35">
        <f>((1+Table2634[[#This Row],[Weekly change]])^52)-1</f>
        <v>-0.42173615679213805</v>
      </c>
      <c r="E1906" s="25">
        <f t="shared" si="29"/>
        <v>1941.35</v>
      </c>
      <c r="F1906" s="33">
        <f>(Table2634[[#This Row],[4 weeks average]]-B1854)/B1854</f>
        <v>0.13007159904534596</v>
      </c>
    </row>
    <row r="1907" spans="1:6" x14ac:dyDescent="0.2">
      <c r="A1907" s="23">
        <v>40707</v>
      </c>
      <c r="B1907" s="25">
        <f>VLOOKUP(Table2634[[#This Row],[Date]],'DB Money Supply'!$A:$D,4)</f>
        <v>1951.5</v>
      </c>
      <c r="C1907" s="31">
        <f>(Table2634[[#This Row],[M1 Money Stock, Billions of Dollars, Weekly, Seasonally Adjusted]]-B1906)/B1906</f>
        <v>8.0061983471074374E-3</v>
      </c>
      <c r="D1907" s="35">
        <f>((1+Table2634[[#This Row],[Weekly change]])^52)-1</f>
        <v>0.51386287075579862</v>
      </c>
      <c r="E1907" s="25">
        <f t="shared" si="29"/>
        <v>1946.55</v>
      </c>
      <c r="F1907" s="33">
        <f>(Table2634[[#This Row],[4 weeks average]]-B1855)/B1855</f>
        <v>0.13020379724786624</v>
      </c>
    </row>
    <row r="1908" spans="1:6" x14ac:dyDescent="0.2">
      <c r="A1908" s="23">
        <v>40714</v>
      </c>
      <c r="B1908" s="25">
        <f>VLOOKUP(Table2634[[#This Row],[Date]],'DB Money Supply'!$A:$D,4)</f>
        <v>1961.5</v>
      </c>
      <c r="C1908" s="31">
        <f>(Table2634[[#This Row],[M1 Money Stock, Billions of Dollars, Weekly, Seasonally Adjusted]]-B1907)/B1907</f>
        <v>5.1242633871380989E-3</v>
      </c>
      <c r="D1908" s="35">
        <f>((1+Table2634[[#This Row],[Weekly change]])^52)-1</f>
        <v>0.30444975672832686</v>
      </c>
      <c r="E1908" s="25">
        <f t="shared" si="29"/>
        <v>1951.375</v>
      </c>
      <c r="F1908" s="33">
        <f>(Table2634[[#This Row],[4 weeks average]]-B1856)/B1856</f>
        <v>0.1206426233273991</v>
      </c>
    </row>
    <row r="1909" spans="1:6" x14ac:dyDescent="0.2">
      <c r="A1909" s="23">
        <v>40721</v>
      </c>
      <c r="B1909" s="25">
        <f>VLOOKUP(Table2634[[#This Row],[Date]],'DB Money Supply'!$A:$D,4)</f>
        <v>1959.4</v>
      </c>
      <c r="C1909" s="31">
        <f>(Table2634[[#This Row],[M1 Money Stock, Billions of Dollars, Weekly, Seasonally Adjusted]]-B1908)/B1908</f>
        <v>-1.0706092276318679E-3</v>
      </c>
      <c r="D1909" s="35">
        <f>((1+Table2634[[#This Row],[Weekly change]])^52)-1</f>
        <v>-5.4178580848186053E-2</v>
      </c>
      <c r="E1909" s="25">
        <f t="shared" si="29"/>
        <v>1952.1</v>
      </c>
      <c r="F1909" s="33">
        <f>(Table2634[[#This Row],[4 weeks average]]-B1857)/B1857</f>
        <v>0.11657038265743863</v>
      </c>
    </row>
    <row r="1910" spans="1:6" x14ac:dyDescent="0.2">
      <c r="A1910" s="23">
        <v>40728</v>
      </c>
      <c r="B1910" s="25">
        <f>VLOOKUP(Table2634[[#This Row],[Date]],'DB Money Supply'!$A:$D,4)</f>
        <v>1985.7</v>
      </c>
      <c r="C1910" s="31">
        <f>(Table2634[[#This Row],[M1 Money Stock, Billions of Dollars, Weekly, Seasonally Adjusted]]-B1909)/B1909</f>
        <v>1.3422476268245357E-2</v>
      </c>
      <c r="D1910" s="35">
        <f>((1+Table2634[[#This Row],[Weekly change]])^52)-1</f>
        <v>1.0003577306433589</v>
      </c>
      <c r="E1910" s="25">
        <f t="shared" si="29"/>
        <v>1964.5249999999999</v>
      </c>
      <c r="F1910" s="33">
        <f>(Table2634[[#This Row],[4 weeks average]]-B1858)/B1858</f>
        <v>0.14263072180538586</v>
      </c>
    </row>
    <row r="1911" spans="1:6" x14ac:dyDescent="0.2">
      <c r="A1911" s="23">
        <v>40735</v>
      </c>
      <c r="B1911" s="25">
        <f>VLOOKUP(Table2634[[#This Row],[Date]],'DB Money Supply'!$A:$D,4)</f>
        <v>1983.7</v>
      </c>
      <c r="C1911" s="31">
        <f>(Table2634[[#This Row],[M1 Money Stock, Billions of Dollars, Weekly, Seasonally Adjusted]]-B1910)/B1910</f>
        <v>-1.0072014906582062E-3</v>
      </c>
      <c r="D1911" s="35">
        <f>((1+Table2634[[#This Row],[Weekly change]])^52)-1</f>
        <v>-5.1051615362840974E-2</v>
      </c>
      <c r="E1911" s="25">
        <f t="shared" si="29"/>
        <v>1972.575</v>
      </c>
      <c r="F1911" s="33">
        <f>(Table2634[[#This Row],[4 weeks average]]-B1859)/B1859</f>
        <v>0.14531440515589625</v>
      </c>
    </row>
    <row r="1912" spans="1:6" x14ac:dyDescent="0.2">
      <c r="A1912" s="23">
        <v>40742</v>
      </c>
      <c r="B1912" s="25">
        <f>VLOOKUP(Table2634[[#This Row],[Date]],'DB Money Supply'!$A:$D,4)</f>
        <v>1975.8</v>
      </c>
      <c r="C1912" s="31">
        <f>(Table2634[[#This Row],[M1 Money Stock, Billions of Dollars, Weekly, Seasonally Adjusted]]-B1911)/B1911</f>
        <v>-3.9824570247517727E-3</v>
      </c>
      <c r="D1912" s="35">
        <f>((1+Table2634[[#This Row],[Weekly change]])^52)-1</f>
        <v>-0.18738775159059884</v>
      </c>
      <c r="E1912" s="25">
        <f t="shared" si="29"/>
        <v>1976.15</v>
      </c>
      <c r="F1912" s="33">
        <f>(Table2634[[#This Row],[4 weeks average]]-B1860)/B1860</f>
        <v>0.14972655340935545</v>
      </c>
    </row>
    <row r="1913" spans="1:6" x14ac:dyDescent="0.2">
      <c r="A1913" s="23">
        <v>40749</v>
      </c>
      <c r="B1913" s="25">
        <f>VLOOKUP(Table2634[[#This Row],[Date]],'DB Money Supply'!$A:$D,4)</f>
        <v>2001.2</v>
      </c>
      <c r="C1913" s="31">
        <f>(Table2634[[#This Row],[M1 Money Stock, Billions of Dollars, Weekly, Seasonally Adjusted]]-B1912)/B1912</f>
        <v>1.2855552181394924E-2</v>
      </c>
      <c r="D1913" s="35">
        <f>((1+Table2634[[#This Row],[Weekly change]])^52)-1</f>
        <v>0.9429905216724972</v>
      </c>
      <c r="E1913" s="25">
        <f t="shared" si="29"/>
        <v>1986.6</v>
      </c>
      <c r="F1913" s="33">
        <f>(Table2634[[#This Row],[4 weeks average]]-B1861)/B1861</f>
        <v>0.14792557494510575</v>
      </c>
    </row>
    <row r="1914" spans="1:6" x14ac:dyDescent="0.2">
      <c r="A1914" s="23">
        <v>40756</v>
      </c>
      <c r="B1914" s="25">
        <f>VLOOKUP(Table2634[[#This Row],[Date]],'DB Money Supply'!$A:$D,4)</f>
        <v>2063.5</v>
      </c>
      <c r="C1914" s="31">
        <f>(Table2634[[#This Row],[M1 Money Stock, Billions of Dollars, Weekly, Seasonally Adjusted]]-B1913)/B1913</f>
        <v>3.113132120727561E-2</v>
      </c>
      <c r="D1914" s="35">
        <f>((1+Table2634[[#This Row],[Weekly change]])^52)-1</f>
        <v>3.9241004987049743</v>
      </c>
      <c r="E1914" s="25">
        <f t="shared" si="29"/>
        <v>2006.05</v>
      </c>
      <c r="F1914" s="33">
        <f>(Table2634[[#This Row],[4 weeks average]]-B1862)/B1862</f>
        <v>0.16010293777469345</v>
      </c>
    </row>
    <row r="1915" spans="1:6" x14ac:dyDescent="0.2">
      <c r="A1915" s="23">
        <v>40763</v>
      </c>
      <c r="B1915" s="25">
        <f>VLOOKUP(Table2634[[#This Row],[Date]],'DB Money Supply'!$A:$D,4)</f>
        <v>2094.4</v>
      </c>
      <c r="C1915" s="31">
        <f>(Table2634[[#This Row],[M1 Money Stock, Billions of Dollars, Weekly, Seasonally Adjusted]]-B1914)/B1914</f>
        <v>1.497455779016239E-2</v>
      </c>
      <c r="D1915" s="35">
        <f>((1+Table2634[[#This Row],[Weekly change]])^52)-1</f>
        <v>1.1660481756185641</v>
      </c>
      <c r="E1915" s="25">
        <f t="shared" si="29"/>
        <v>2033.7249999999999</v>
      </c>
      <c r="F1915" s="33">
        <f>(Table2634[[#This Row],[4 weeks average]]-B1863)/B1863</f>
        <v>0.16652804864058723</v>
      </c>
    </row>
    <row r="1916" spans="1:6" x14ac:dyDescent="0.2">
      <c r="A1916" s="23">
        <v>40770</v>
      </c>
      <c r="B1916" s="25">
        <f>VLOOKUP(Table2634[[#This Row],[Date]],'DB Money Supply'!$A:$D,4)</f>
        <v>2109.1</v>
      </c>
      <c r="C1916" s="31">
        <f>(Table2634[[#This Row],[M1 Money Stock, Billions of Dollars, Weekly, Seasonally Adjusted]]-B1915)/B1915</f>
        <v>7.0187165775400196E-3</v>
      </c>
      <c r="D1916" s="35">
        <f>((1+Table2634[[#This Row],[Weekly change]])^52)-1</f>
        <v>0.43864025750754787</v>
      </c>
      <c r="E1916" s="25">
        <f t="shared" si="29"/>
        <v>2067.0500000000002</v>
      </c>
      <c r="F1916" s="33">
        <f>(Table2634[[#This Row],[4 weeks average]]-B1864)/B1864</f>
        <v>0.18652775386028372</v>
      </c>
    </row>
    <row r="1917" spans="1:6" x14ac:dyDescent="0.2">
      <c r="A1917" s="23">
        <v>40777</v>
      </c>
      <c r="B1917" s="25">
        <f>VLOOKUP(Table2634[[#This Row],[Date]],'DB Money Supply'!$A:$D,4)</f>
        <v>2136</v>
      </c>
      <c r="C1917" s="31">
        <f>(Table2634[[#This Row],[M1 Money Stock, Billions of Dollars, Weekly, Seasonally Adjusted]]-B1916)/B1916</f>
        <v>1.2754255369588968E-2</v>
      </c>
      <c r="D1917" s="35">
        <f>((1+Table2634[[#This Row],[Weekly change]])^52)-1</f>
        <v>0.93291157495946475</v>
      </c>
      <c r="E1917" s="25">
        <f t="shared" si="29"/>
        <v>2100.75</v>
      </c>
      <c r="F1917" s="33">
        <f>(Table2634[[#This Row],[4 weeks average]]-B1865)/B1865</f>
        <v>0.19537384772960048</v>
      </c>
    </row>
    <row r="1918" spans="1:6" x14ac:dyDescent="0.2">
      <c r="A1918" s="23">
        <v>40784</v>
      </c>
      <c r="B1918" s="25">
        <f>VLOOKUP(Table2634[[#This Row],[Date]],'DB Money Supply'!$A:$D,4)</f>
        <v>2122.4</v>
      </c>
      <c r="C1918" s="31">
        <f>(Table2634[[#This Row],[M1 Money Stock, Billions of Dollars, Weekly, Seasonally Adjusted]]-B1917)/B1917</f>
        <v>-6.3670411985018299E-3</v>
      </c>
      <c r="D1918" s="35">
        <f>((1+Table2634[[#This Row],[Weekly change]])^52)-1</f>
        <v>-0.28261645944718394</v>
      </c>
      <c r="E1918" s="25">
        <f t="shared" si="29"/>
        <v>2115.4749999999999</v>
      </c>
      <c r="F1918" s="33">
        <f>(Table2634[[#This Row],[4 weeks average]]-B1866)/B1866</f>
        <v>0.20382120298184714</v>
      </c>
    </row>
    <row r="1919" spans="1:6" x14ac:dyDescent="0.2">
      <c r="A1919" s="23">
        <v>40791</v>
      </c>
      <c r="B1919" s="25">
        <f>VLOOKUP(Table2634[[#This Row],[Date]],'DB Money Supply'!$A:$D,4)</f>
        <v>2110.1</v>
      </c>
      <c r="C1919" s="31">
        <f>(Table2634[[#This Row],[M1 Money Stock, Billions of Dollars, Weekly, Seasonally Adjusted]]-B1918)/B1918</f>
        <v>-5.795326045985762E-3</v>
      </c>
      <c r="D1919" s="35">
        <f>((1+Table2634[[#This Row],[Weekly change]])^52)-1</f>
        <v>-0.26083460494465827</v>
      </c>
      <c r="E1919" s="25">
        <f t="shared" si="29"/>
        <v>2119.4</v>
      </c>
      <c r="F1919" s="33">
        <f>(Table2634[[#This Row],[4 weeks average]]-B1867)/B1867</f>
        <v>0.21143183766790516</v>
      </c>
    </row>
    <row r="1920" spans="1:6" x14ac:dyDescent="0.2">
      <c r="A1920" s="23">
        <v>40798</v>
      </c>
      <c r="B1920" s="25">
        <f>VLOOKUP(Table2634[[#This Row],[Date]],'DB Money Supply'!$A:$D,4)</f>
        <v>2118.6999999999998</v>
      </c>
      <c r="C1920" s="31">
        <f>(Table2634[[#This Row],[M1 Money Stock, Billions of Dollars, Weekly, Seasonally Adjusted]]-B1919)/B1919</f>
        <v>4.0756362257712477E-3</v>
      </c>
      <c r="D1920" s="35">
        <f>((1+Table2634[[#This Row],[Weekly change]])^52)-1</f>
        <v>0.23553289698651603</v>
      </c>
      <c r="E1920" s="25">
        <f t="shared" si="29"/>
        <v>2121.8000000000002</v>
      </c>
      <c r="F1920" s="33">
        <f>(Table2634[[#This Row],[4 weeks average]]-B1868)/B1868</f>
        <v>0.19970598213276053</v>
      </c>
    </row>
    <row r="1921" spans="1:6" x14ac:dyDescent="0.2">
      <c r="A1921" s="23">
        <v>40805</v>
      </c>
      <c r="B1921" s="25">
        <f>VLOOKUP(Table2634[[#This Row],[Date]],'DB Money Supply'!$A:$D,4)</f>
        <v>2120.9</v>
      </c>
      <c r="C1921" s="31">
        <f>(Table2634[[#This Row],[M1 Money Stock, Billions of Dollars, Weekly, Seasonally Adjusted]]-B1920)/B1920</f>
        <v>1.0383725869638331E-3</v>
      </c>
      <c r="D1921" s="35">
        <f>((1+Table2634[[#This Row],[Weekly change]])^52)-1</f>
        <v>5.5450151968947425E-2</v>
      </c>
      <c r="E1921" s="25">
        <f t="shared" si="29"/>
        <v>2118.0250000000001</v>
      </c>
      <c r="F1921" s="33">
        <f>(Table2634[[#This Row],[4 weeks average]]-B1869)/B1869</f>
        <v>0.19689477848101278</v>
      </c>
    </row>
    <row r="1922" spans="1:6" x14ac:dyDescent="0.2">
      <c r="A1922" s="23">
        <v>40812</v>
      </c>
      <c r="B1922" s="25">
        <f>VLOOKUP(Table2634[[#This Row],[Date]],'DB Money Supply'!$A:$D,4)</f>
        <v>2128</v>
      </c>
      <c r="C1922" s="31">
        <f>(Table2634[[#This Row],[M1 Money Stock, Billions of Dollars, Weekly, Seasonally Adjusted]]-B1921)/B1921</f>
        <v>3.3476354377858027E-3</v>
      </c>
      <c r="D1922" s="35">
        <f>((1+Table2634[[#This Row],[Weekly change]])^52)-1</f>
        <v>0.18980129973883009</v>
      </c>
      <c r="E1922" s="25">
        <f t="shared" si="29"/>
        <v>2119.4249999999997</v>
      </c>
      <c r="F1922" s="33">
        <f>(Table2634[[#This Row],[4 weeks average]]-B1870)/B1870</f>
        <v>0.19727996836515629</v>
      </c>
    </row>
    <row r="1923" spans="1:6" x14ac:dyDescent="0.2">
      <c r="A1923" s="23">
        <v>40819</v>
      </c>
      <c r="B1923" s="25">
        <f>VLOOKUP(Table2634[[#This Row],[Date]],'DB Money Supply'!$A:$D,4)</f>
        <v>2176.6999999999998</v>
      </c>
      <c r="C1923" s="31">
        <f>(Table2634[[#This Row],[M1 Money Stock, Billions of Dollars, Weekly, Seasonally Adjusted]]-B1922)/B1922</f>
        <v>2.2885338345864575E-2</v>
      </c>
      <c r="D1923" s="35">
        <f>((1+Table2634[[#This Row],[Weekly change]])^52)-1</f>
        <v>2.243408042273864</v>
      </c>
      <c r="E1923" s="25">
        <f t="shared" si="29"/>
        <v>2136.0749999999998</v>
      </c>
      <c r="F1923" s="33">
        <f>(Table2634[[#This Row],[4 weeks average]]-B1871)/B1871</f>
        <v>0.20260950343429782</v>
      </c>
    </row>
    <row r="1924" spans="1:6" x14ac:dyDescent="0.2">
      <c r="A1924" s="23">
        <v>40826</v>
      </c>
      <c r="B1924" s="25">
        <f>VLOOKUP(Table2634[[#This Row],[Date]],'DB Money Supply'!$A:$D,4)</f>
        <v>2150.8000000000002</v>
      </c>
      <c r="C1924" s="31">
        <f>(Table2634[[#This Row],[M1 Money Stock, Billions of Dollars, Weekly, Seasonally Adjusted]]-B1923)/B1923</f>
        <v>-1.189874580787414E-2</v>
      </c>
      <c r="D1924" s="35">
        <f>((1+Table2634[[#This Row],[Weekly change]])^52)-1</f>
        <v>-0.46336940661928838</v>
      </c>
      <c r="E1924" s="25">
        <f t="shared" si="29"/>
        <v>2144.1</v>
      </c>
      <c r="F1924" s="33">
        <f>(Table2634[[#This Row],[4 weeks average]]-B1872)/B1872</f>
        <v>0.19815590947191947</v>
      </c>
    </row>
    <row r="1925" spans="1:6" x14ac:dyDescent="0.2">
      <c r="A1925" s="23">
        <v>40833</v>
      </c>
      <c r="B1925" s="25">
        <f>VLOOKUP(Table2634[[#This Row],[Date]],'DB Money Supply'!$A:$D,4)</f>
        <v>2128.1999999999998</v>
      </c>
      <c r="C1925" s="31">
        <f>(Table2634[[#This Row],[M1 Money Stock, Billions of Dollars, Weekly, Seasonally Adjusted]]-B1924)/B1924</f>
        <v>-1.0507718058397043E-2</v>
      </c>
      <c r="D1925" s="35">
        <f>((1+Table2634[[#This Row],[Weekly change]])^52)-1</f>
        <v>-0.42264175172620999</v>
      </c>
      <c r="E1925" s="25">
        <f t="shared" si="29"/>
        <v>2145.9250000000002</v>
      </c>
      <c r="F1925" s="33">
        <f>(Table2634[[#This Row],[4 weeks average]]-B1873)/B1873</f>
        <v>0.20795102730087262</v>
      </c>
    </row>
    <row r="1926" spans="1:6" x14ac:dyDescent="0.2">
      <c r="A1926" s="23">
        <v>40840</v>
      </c>
      <c r="B1926" s="25">
        <f>VLOOKUP(Table2634[[#This Row],[Date]],'DB Money Supply'!$A:$D,4)</f>
        <v>2126.6</v>
      </c>
      <c r="C1926" s="31">
        <f>(Table2634[[#This Row],[M1 Money Stock, Billions of Dollars, Weekly, Seasonally Adjusted]]-B1925)/B1925</f>
        <v>-7.5180904050366941E-4</v>
      </c>
      <c r="D1926" s="35">
        <f>((1+Table2634[[#This Row],[Weekly change]])^52)-1</f>
        <v>-3.8353897783418467E-2</v>
      </c>
      <c r="E1926" s="25">
        <f t="shared" si="29"/>
        <v>2145.5749999999998</v>
      </c>
      <c r="F1926" s="33">
        <f>(Table2634[[#This Row],[4 weeks average]]-B1874)/B1874</f>
        <v>0.19898016205644026</v>
      </c>
    </row>
    <row r="1927" spans="1:6" x14ac:dyDescent="0.2">
      <c r="A1927" s="23">
        <v>40847</v>
      </c>
      <c r="B1927" s="25">
        <f>VLOOKUP(Table2634[[#This Row],[Date]],'DB Money Supply'!$A:$D,4)</f>
        <v>2136.1999999999998</v>
      </c>
      <c r="C1927" s="31">
        <f>(Table2634[[#This Row],[M1 Money Stock, Billions of Dollars, Weekly, Seasonally Adjusted]]-B1926)/B1926</f>
        <v>4.5142480955515417E-3</v>
      </c>
      <c r="D1927" s="35">
        <f>((1+Table2634[[#This Row],[Weekly change]])^52)-1</f>
        <v>0.26391323580292214</v>
      </c>
      <c r="E1927" s="25">
        <f t="shared" si="29"/>
        <v>2135.4499999999998</v>
      </c>
      <c r="F1927" s="33">
        <f>(Table2634[[#This Row],[4 weeks average]]-B1875)/B1875</f>
        <v>0.20892776268115926</v>
      </c>
    </row>
    <row r="1928" spans="1:6" x14ac:dyDescent="0.2">
      <c r="A1928" s="23">
        <v>40854</v>
      </c>
      <c r="B1928" s="25">
        <f>VLOOKUP(Table2634[[#This Row],[Date]],'DB Money Supply'!$A:$D,4)</f>
        <v>2147.3000000000002</v>
      </c>
      <c r="C1928" s="31">
        <f>(Table2634[[#This Row],[M1 Money Stock, Billions of Dollars, Weekly, Seasonally Adjusted]]-B1927)/B1927</f>
        <v>5.1961426832695277E-3</v>
      </c>
      <c r="D1928" s="35">
        <f>((1+Table2634[[#This Row],[Weekly change]])^52)-1</f>
        <v>0.3093094286410476</v>
      </c>
      <c r="E1928" s="25">
        <f t="shared" si="29"/>
        <v>2134.5749999999998</v>
      </c>
      <c r="F1928" s="33">
        <f>(Table2634[[#This Row],[4 weeks average]]-B1876)/B1876</f>
        <v>0.14288965037211532</v>
      </c>
    </row>
    <row r="1929" spans="1:6" x14ac:dyDescent="0.2">
      <c r="A1929" s="23">
        <v>40861</v>
      </c>
      <c r="B1929" s="25">
        <f>VLOOKUP(Table2634[[#This Row],[Date]],'DB Money Supply'!$A:$D,4)</f>
        <v>2171.9</v>
      </c>
      <c r="C1929" s="31">
        <f>(Table2634[[#This Row],[M1 Money Stock, Billions of Dollars, Weekly, Seasonally Adjusted]]-B1928)/B1928</f>
        <v>1.1456247380431196E-2</v>
      </c>
      <c r="D1929" s="35">
        <f>((1+Table2634[[#This Row],[Weekly change]])^52)-1</f>
        <v>0.80821165017733554</v>
      </c>
      <c r="E1929" s="25">
        <f t="shared" ref="E1929:E1992" si="30">AVERAGE(B1926:B1929)</f>
        <v>2145.5</v>
      </c>
      <c r="F1929" s="33">
        <f>(Table2634[[#This Row],[4 weeks average]]-B1877)/B1877</f>
        <v>0.19062153163152054</v>
      </c>
    </row>
    <row r="1930" spans="1:6" x14ac:dyDescent="0.2">
      <c r="A1930" s="23">
        <v>40868</v>
      </c>
      <c r="B1930" s="25">
        <f>VLOOKUP(Table2634[[#This Row],[Date]],'DB Money Supply'!$A:$D,4)</f>
        <v>2179.4</v>
      </c>
      <c r="C1930" s="31">
        <f>(Table2634[[#This Row],[M1 Money Stock, Billions of Dollars, Weekly, Seasonally Adjusted]]-B1929)/B1929</f>
        <v>3.4531976610341175E-3</v>
      </c>
      <c r="D1930" s="35">
        <f>((1+Table2634[[#This Row],[Weekly change]])^52)-1</f>
        <v>0.19632810280458179</v>
      </c>
      <c r="E1930" s="25">
        <f t="shared" si="30"/>
        <v>2158.6999999999998</v>
      </c>
      <c r="F1930" s="33">
        <f>(Table2634[[#This Row],[4 weeks average]]-B1878)/B1878</f>
        <v>0.18675096206706973</v>
      </c>
    </row>
    <row r="1931" spans="1:6" x14ac:dyDescent="0.2">
      <c r="A1931" s="23">
        <v>40875</v>
      </c>
      <c r="B1931" s="25">
        <f>VLOOKUP(Table2634[[#This Row],[Date]],'DB Money Supply'!$A:$D,4)</f>
        <v>2171.1999999999998</v>
      </c>
      <c r="C1931" s="31">
        <f>(Table2634[[#This Row],[M1 Money Stock, Billions of Dollars, Weekly, Seasonally Adjusted]]-B1930)/B1930</f>
        <v>-3.7625034413142481E-3</v>
      </c>
      <c r="D1931" s="35">
        <f>((1+Table2634[[#This Row],[Weekly change]])^52)-1</f>
        <v>-0.17800352481677839</v>
      </c>
      <c r="E1931" s="25">
        <f t="shared" si="30"/>
        <v>2167.4499999999998</v>
      </c>
      <c r="F1931" s="33">
        <f>(Table2634[[#This Row],[4 weeks average]]-B1879)/B1879</f>
        <v>0.18046402701377917</v>
      </c>
    </row>
    <row r="1932" spans="1:6" x14ac:dyDescent="0.2">
      <c r="A1932" s="23">
        <v>40882</v>
      </c>
      <c r="B1932" s="25">
        <f>VLOOKUP(Table2634[[#This Row],[Date]],'DB Money Supply'!$A:$D,4)</f>
        <v>2158.5</v>
      </c>
      <c r="C1932" s="31">
        <f>(Table2634[[#This Row],[M1 Money Stock, Billions of Dollars, Weekly, Seasonally Adjusted]]-B1931)/B1931</f>
        <v>-5.8492999263079493E-3</v>
      </c>
      <c r="D1932" s="35">
        <f>((1+Table2634[[#This Row],[Weekly change]])^52)-1</f>
        <v>-0.2629183842512719</v>
      </c>
      <c r="E1932" s="25">
        <f t="shared" si="30"/>
        <v>2170.25</v>
      </c>
      <c r="F1932" s="33">
        <f>(Table2634[[#This Row],[4 weeks average]]-B1880)/B1880</f>
        <v>0.19751144953925953</v>
      </c>
    </row>
    <row r="1933" spans="1:6" x14ac:dyDescent="0.2">
      <c r="A1933" s="23">
        <v>40889</v>
      </c>
      <c r="B1933" s="25">
        <f>VLOOKUP(Table2634[[#This Row],[Date]],'DB Money Supply'!$A:$D,4)</f>
        <v>2165.6999999999998</v>
      </c>
      <c r="C1933" s="31">
        <f>(Table2634[[#This Row],[M1 Money Stock, Billions of Dollars, Weekly, Seasonally Adjusted]]-B1932)/B1932</f>
        <v>3.3356497567754544E-3</v>
      </c>
      <c r="D1933" s="35">
        <f>((1+Table2634[[#This Row],[Weekly change]])^52)-1</f>
        <v>0.18906244888464174</v>
      </c>
      <c r="E1933" s="25">
        <f t="shared" si="30"/>
        <v>2168.6999999999998</v>
      </c>
      <c r="F1933" s="33">
        <f>(Table2634[[#This Row],[4 weeks average]]-B1881)/B1881</f>
        <v>0.18572990705303435</v>
      </c>
    </row>
    <row r="1934" spans="1:6" x14ac:dyDescent="0.2">
      <c r="A1934" s="23">
        <v>40896</v>
      </c>
      <c r="B1934" s="25">
        <f>VLOOKUP(Table2634[[#This Row],[Date]],'DB Money Supply'!$A:$D,4)</f>
        <v>2149.8000000000002</v>
      </c>
      <c r="C1934" s="31">
        <f>(Table2634[[#This Row],[M1 Money Stock, Billions of Dollars, Weekly, Seasonally Adjusted]]-B1933)/B1933</f>
        <v>-7.3417370826982676E-3</v>
      </c>
      <c r="D1934" s="35">
        <f>((1+Table2634[[#This Row],[Weekly change]])^52)-1</f>
        <v>-0.31830889861390632</v>
      </c>
      <c r="E1934" s="25">
        <f t="shared" si="30"/>
        <v>2161.3000000000002</v>
      </c>
      <c r="F1934" s="33">
        <f>(Table2634[[#This Row],[4 weeks average]]-B1882)/B1882</f>
        <v>0.17410908300738823</v>
      </c>
    </row>
    <row r="1935" spans="1:6" x14ac:dyDescent="0.2">
      <c r="A1935" s="23">
        <v>40903</v>
      </c>
      <c r="B1935" s="25">
        <f>VLOOKUP(Table2634[[#This Row],[Date]],'DB Money Supply'!$A:$D,4)</f>
        <v>2156.3000000000002</v>
      </c>
      <c r="C1935" s="31">
        <f>(Table2634[[#This Row],[M1 Money Stock, Billions of Dollars, Weekly, Seasonally Adjusted]]-B1934)/B1934</f>
        <v>3.023537073216113E-3</v>
      </c>
      <c r="D1935" s="35">
        <f>((1+Table2634[[#This Row],[Weekly change]])^52)-1</f>
        <v>0.16998007603898602</v>
      </c>
      <c r="E1935" s="25">
        <f t="shared" si="30"/>
        <v>2157.5749999999998</v>
      </c>
      <c r="F1935" s="33">
        <f>(Table2634[[#This Row],[4 weeks average]]-B1883)/B1883</f>
        <v>0.16399169184290027</v>
      </c>
    </row>
    <row r="1936" spans="1:6" x14ac:dyDescent="0.2">
      <c r="A1936" s="23">
        <v>40910</v>
      </c>
      <c r="B1936" s="25">
        <f>VLOOKUP(Table2634[[#This Row],[Date]],'DB Money Supply'!$A:$D,4)</f>
        <v>2199.1999999999998</v>
      </c>
      <c r="C1936" s="31">
        <f>(Table2634[[#This Row],[M1 Money Stock, Billions of Dollars, Weekly, Seasonally Adjusted]]-B1935)/B1935</f>
        <v>1.9895190836154354E-2</v>
      </c>
      <c r="D1936" s="35">
        <f>((1+Table2634[[#This Row],[Weekly change]])^52)-1</f>
        <v>1.7854045762843982</v>
      </c>
      <c r="E1936" s="25">
        <f t="shared" si="30"/>
        <v>2167.75</v>
      </c>
      <c r="F1936" s="33">
        <f>(Table2634[[#This Row],[4 weeks average]]-B1884)/B1884</f>
        <v>0.17182009838369636</v>
      </c>
    </row>
    <row r="1937" spans="1:6" x14ac:dyDescent="0.2">
      <c r="A1937" s="23">
        <v>40917</v>
      </c>
      <c r="B1937" s="25">
        <f>VLOOKUP(Table2634[[#This Row],[Date]],'DB Money Supply'!$A:$D,4)</f>
        <v>2199.3000000000002</v>
      </c>
      <c r="C1937" s="31">
        <f>(Table2634[[#This Row],[M1 Money Stock, Billions of Dollars, Weekly, Seasonally Adjusted]]-B1936)/B1936</f>
        <v>4.5471080393035564E-5</v>
      </c>
      <c r="D1937" s="35">
        <f>((1+Table2634[[#This Row],[Weekly change]])^52)-1</f>
        <v>2.3672399223630958E-3</v>
      </c>
      <c r="E1937" s="25">
        <f t="shared" si="30"/>
        <v>2176.15</v>
      </c>
      <c r="F1937" s="33">
        <f>(Table2634[[#This Row],[4 weeks average]]-B1885)/B1885</f>
        <v>0.18623603161624425</v>
      </c>
    </row>
    <row r="1938" spans="1:6" x14ac:dyDescent="0.2">
      <c r="A1938" s="23">
        <v>40924</v>
      </c>
      <c r="B1938" s="25">
        <f>VLOOKUP(Table2634[[#This Row],[Date]],'DB Money Supply'!$A:$D,4)</f>
        <v>2198.1</v>
      </c>
      <c r="C1938" s="31">
        <f>(Table2634[[#This Row],[M1 Money Stock, Billions of Dollars, Weekly, Seasonally Adjusted]]-B1937)/B1937</f>
        <v>-5.4562815441289169E-4</v>
      </c>
      <c r="D1938" s="35">
        <f>((1+Table2634[[#This Row],[Weekly change]])^52)-1</f>
        <v>-2.7981466491974305E-2</v>
      </c>
      <c r="E1938" s="25">
        <f t="shared" si="30"/>
        <v>2188.2249999999999</v>
      </c>
      <c r="F1938" s="33">
        <f>(Table2634[[#This Row],[4 weeks average]]-B1886)/B1886</f>
        <v>0.17754130118925898</v>
      </c>
    </row>
    <row r="1939" spans="1:6" x14ac:dyDescent="0.2">
      <c r="A1939" s="23">
        <v>40931</v>
      </c>
      <c r="B1939" s="25">
        <f>VLOOKUP(Table2634[[#This Row],[Date]],'DB Money Supply'!$A:$D,4)</f>
        <v>2207.4</v>
      </c>
      <c r="C1939" s="31">
        <f>(Table2634[[#This Row],[M1 Money Stock, Billions of Dollars, Weekly, Seasonally Adjusted]]-B1938)/B1938</f>
        <v>4.2309267094309553E-3</v>
      </c>
      <c r="D1939" s="35">
        <f>((1+Table2634[[#This Row],[Weekly change]])^52)-1</f>
        <v>0.24550874658834676</v>
      </c>
      <c r="E1939" s="25">
        <f t="shared" si="30"/>
        <v>2201</v>
      </c>
      <c r="F1939" s="33">
        <f>(Table2634[[#This Row],[4 weeks average]]-B1887)/B1887</f>
        <v>0.18709886198155445</v>
      </c>
    </row>
    <row r="1940" spans="1:6" x14ac:dyDescent="0.2">
      <c r="A1940" s="23">
        <v>40938</v>
      </c>
      <c r="B1940" s="25">
        <f>VLOOKUP(Table2634[[#This Row],[Date]],'DB Money Supply'!$A:$D,4)</f>
        <v>2204.3000000000002</v>
      </c>
      <c r="C1940" s="31">
        <f>(Table2634[[#This Row],[M1 Money Stock, Billions of Dollars, Weekly, Seasonally Adjusted]]-B1939)/B1939</f>
        <v>-1.404367128748713E-3</v>
      </c>
      <c r="D1940" s="35">
        <f>((1+Table2634[[#This Row],[Weekly change]])^52)-1</f>
        <v>-7.047206378944415E-2</v>
      </c>
      <c r="E1940" s="25">
        <f t="shared" si="30"/>
        <v>2202.2749999999996</v>
      </c>
      <c r="F1940" s="33">
        <f>(Table2634[[#This Row],[4 weeks average]]-B1888)/B1888</f>
        <v>0.17844338613013683</v>
      </c>
    </row>
    <row r="1941" spans="1:6" x14ac:dyDescent="0.2">
      <c r="A1941" s="23">
        <v>40945</v>
      </c>
      <c r="B1941" s="25">
        <f>VLOOKUP(Table2634[[#This Row],[Date]],'DB Money Supply'!$A:$D,4)</f>
        <v>2197.3000000000002</v>
      </c>
      <c r="C1941" s="31">
        <f>(Table2634[[#This Row],[M1 Money Stock, Billions of Dollars, Weekly, Seasonally Adjusted]]-B1940)/B1940</f>
        <v>-3.1756113051762463E-3</v>
      </c>
      <c r="D1941" s="35">
        <f>((1+Table2634[[#This Row],[Weekly change]])^52)-1</f>
        <v>-0.15244075915779109</v>
      </c>
      <c r="E1941" s="25">
        <f t="shared" si="30"/>
        <v>2201.7750000000001</v>
      </c>
      <c r="F1941" s="33">
        <f>(Table2634[[#This Row],[4 weeks average]]-B1889)/B1889</f>
        <v>0.18989137483787288</v>
      </c>
    </row>
    <row r="1942" spans="1:6" x14ac:dyDescent="0.2">
      <c r="A1942" s="23">
        <v>40952</v>
      </c>
      <c r="B1942" s="25">
        <f>VLOOKUP(Table2634[[#This Row],[Date]],'DB Money Supply'!$A:$D,4)</f>
        <v>2211.8000000000002</v>
      </c>
      <c r="C1942" s="31">
        <f>(Table2634[[#This Row],[M1 Money Stock, Billions of Dollars, Weekly, Seasonally Adjusted]]-B1941)/B1941</f>
        <v>6.5990078732990481E-3</v>
      </c>
      <c r="D1942" s="35">
        <f>((1+Table2634[[#This Row],[Weekly change]])^52)-1</f>
        <v>0.40779006686024521</v>
      </c>
      <c r="E1942" s="25">
        <f t="shared" si="30"/>
        <v>2205.2000000000003</v>
      </c>
      <c r="F1942" s="33">
        <f>(Table2634[[#This Row],[4 weeks average]]-B1890)/B1890</f>
        <v>0.18616534882470032</v>
      </c>
    </row>
    <row r="1943" spans="1:6" x14ac:dyDescent="0.2">
      <c r="A1943" s="23">
        <v>40959</v>
      </c>
      <c r="B1943" s="25">
        <f>VLOOKUP(Table2634[[#This Row],[Date]],'DB Money Supply'!$A:$D,4)</f>
        <v>2217.4</v>
      </c>
      <c r="C1943" s="31">
        <f>(Table2634[[#This Row],[M1 Money Stock, Billions of Dollars, Weekly, Seasonally Adjusted]]-B1942)/B1942</f>
        <v>2.5318744913644582E-3</v>
      </c>
      <c r="D1943" s="35">
        <f>((1+Table2634[[#This Row],[Weekly change]])^52)-1</f>
        <v>0.14052773900951587</v>
      </c>
      <c r="E1943" s="25">
        <f t="shared" si="30"/>
        <v>2207.7000000000003</v>
      </c>
      <c r="F1943" s="33">
        <f>(Table2634[[#This Row],[4 weeks average]]-B1891)/B1891</f>
        <v>0.17069678650970427</v>
      </c>
    </row>
    <row r="1944" spans="1:6" x14ac:dyDescent="0.2">
      <c r="A1944" s="23">
        <v>40966</v>
      </c>
      <c r="B1944" s="25">
        <f>VLOOKUP(Table2634[[#This Row],[Date]],'DB Money Supply'!$A:$D,4)</f>
        <v>2210.4</v>
      </c>
      <c r="C1944" s="31">
        <f>(Table2634[[#This Row],[M1 Money Stock, Billions of Dollars, Weekly, Seasonally Adjusted]]-B1943)/B1943</f>
        <v>-3.1568503652926851E-3</v>
      </c>
      <c r="D1944" s="35">
        <f>((1+Table2634[[#This Row],[Weekly change]])^52)-1</f>
        <v>-0.15161087439801513</v>
      </c>
      <c r="E1944" s="25">
        <f t="shared" si="30"/>
        <v>2209.2249999999999</v>
      </c>
      <c r="F1944" s="33">
        <f>(Table2634[[#This Row],[4 weeks average]]-B1892)/B1892</f>
        <v>0.16569491346559723</v>
      </c>
    </row>
    <row r="1945" spans="1:6" x14ac:dyDescent="0.2">
      <c r="A1945" s="23">
        <v>40973</v>
      </c>
      <c r="B1945" s="25">
        <f>VLOOKUP(Table2634[[#This Row],[Date]],'DB Money Supply'!$A:$D,4)</f>
        <v>2213.6999999999998</v>
      </c>
      <c r="C1945" s="31">
        <f>(Table2634[[#This Row],[M1 Money Stock, Billions of Dollars, Weekly, Seasonally Adjusted]]-B1944)/B1944</f>
        <v>1.4929424538543824E-3</v>
      </c>
      <c r="D1945" s="35">
        <f>((1+Table2634[[#This Row],[Weekly change]])^52)-1</f>
        <v>8.0663402801342876E-2</v>
      </c>
      <c r="E1945" s="25">
        <f t="shared" si="30"/>
        <v>2213.3249999999998</v>
      </c>
      <c r="F1945" s="33">
        <f>(Table2634[[#This Row],[4 weeks average]]-B1893)/B1893</f>
        <v>0.18006238003838768</v>
      </c>
    </row>
    <row r="1946" spans="1:6" x14ac:dyDescent="0.2">
      <c r="A1946" s="23">
        <v>40980</v>
      </c>
      <c r="B1946" s="25">
        <f>VLOOKUP(Table2634[[#This Row],[Date]],'DB Money Supply'!$A:$D,4)</f>
        <v>2228.9</v>
      </c>
      <c r="C1946" s="31">
        <f>(Table2634[[#This Row],[M1 Money Stock, Billions of Dollars, Weekly, Seasonally Adjusted]]-B1945)/B1945</f>
        <v>6.8663323846954302E-3</v>
      </c>
      <c r="D1946" s="35">
        <f>((1+Table2634[[#This Row],[Weekly change]])^52)-1</f>
        <v>0.4273635295258289</v>
      </c>
      <c r="E1946" s="25">
        <f t="shared" si="30"/>
        <v>2217.6</v>
      </c>
      <c r="F1946" s="33">
        <f>(Table2634[[#This Row],[4 weeks average]]-B1894)/B1894</f>
        <v>0.17358171041490264</v>
      </c>
    </row>
    <row r="1947" spans="1:6" x14ac:dyDescent="0.2">
      <c r="A1947" s="23">
        <v>40987</v>
      </c>
      <c r="B1947" s="25">
        <f>VLOOKUP(Table2634[[#This Row],[Date]],'DB Money Supply'!$A:$D,4)</f>
        <v>2227.9</v>
      </c>
      <c r="C1947" s="31">
        <f>(Table2634[[#This Row],[M1 Money Stock, Billions of Dollars, Weekly, Seasonally Adjusted]]-B1946)/B1946</f>
        <v>-4.4865180133698234E-4</v>
      </c>
      <c r="D1947" s="35">
        <f>((1+Table2634[[#This Row],[Weekly change]])^52)-1</f>
        <v>-2.306497009382058E-2</v>
      </c>
      <c r="E1947" s="25">
        <f t="shared" si="30"/>
        <v>2220.2249999999999</v>
      </c>
      <c r="F1947" s="33">
        <f>(Table2634[[#This Row],[4 weeks average]]-B1895)/B1895</f>
        <v>0.16780191458026503</v>
      </c>
    </row>
    <row r="1948" spans="1:6" x14ac:dyDescent="0.2">
      <c r="A1948" s="23">
        <v>40994</v>
      </c>
      <c r="B1948" s="25">
        <f>VLOOKUP(Table2634[[#This Row],[Date]],'DB Money Supply'!$A:$D,4)</f>
        <v>2227.1999999999998</v>
      </c>
      <c r="C1948" s="31">
        <f>(Table2634[[#This Row],[M1 Money Stock, Billions of Dollars, Weekly, Seasonally Adjusted]]-B1947)/B1947</f>
        <v>-3.1419722608746928E-4</v>
      </c>
      <c r="D1948" s="35">
        <f>((1+Table2634[[#This Row],[Weekly change]])^52)-1</f>
        <v>-1.6208036029983885E-2</v>
      </c>
      <c r="E1948" s="25">
        <f t="shared" si="30"/>
        <v>2224.4250000000002</v>
      </c>
      <c r="F1948" s="33">
        <f>(Table2634[[#This Row],[4 weeks average]]-B1896)/B1896</f>
        <v>0.1725396658057036</v>
      </c>
    </row>
    <row r="1949" spans="1:6" x14ac:dyDescent="0.2">
      <c r="A1949" s="23">
        <v>41001</v>
      </c>
      <c r="B1949" s="25">
        <f>VLOOKUP(Table2634[[#This Row],[Date]],'DB Money Supply'!$A:$D,4)</f>
        <v>2247.1</v>
      </c>
      <c r="C1949" s="31">
        <f>(Table2634[[#This Row],[M1 Money Stock, Billions of Dollars, Weekly, Seasonally Adjusted]]-B1948)/B1948</f>
        <v>8.9349856321839505E-3</v>
      </c>
      <c r="D1949" s="35">
        <f>((1+Table2634[[#This Row],[Weekly change]])^52)-1</f>
        <v>0.58812782126304031</v>
      </c>
      <c r="E1949" s="25">
        <f t="shared" si="30"/>
        <v>2232.7750000000001</v>
      </c>
      <c r="F1949" s="33">
        <f>(Table2634[[#This Row],[4 weeks average]]-B1897)/B1897</f>
        <v>0.17799672892265483</v>
      </c>
    </row>
    <row r="1950" spans="1:6" x14ac:dyDescent="0.2">
      <c r="A1950" s="23">
        <v>41008</v>
      </c>
      <c r="B1950" s="25">
        <f>VLOOKUP(Table2634[[#This Row],[Date]],'DB Money Supply'!$A:$D,4)</f>
        <v>2249.9</v>
      </c>
      <c r="C1950" s="31">
        <f>(Table2634[[#This Row],[M1 Money Stock, Billions of Dollars, Weekly, Seasonally Adjusted]]-B1949)/B1949</f>
        <v>1.2460504650439153E-3</v>
      </c>
      <c r="D1950" s="35">
        <f>((1+Table2634[[#This Row],[Weekly change]])^52)-1</f>
        <v>6.6896843884213242E-2</v>
      </c>
      <c r="E1950" s="25">
        <f t="shared" si="30"/>
        <v>2238.0250000000001</v>
      </c>
      <c r="F1950" s="33">
        <f>(Table2634[[#This Row],[4 weeks average]]-B1898)/B1898</f>
        <v>0.18014395697110314</v>
      </c>
    </row>
    <row r="1951" spans="1:6" x14ac:dyDescent="0.2">
      <c r="A1951" s="23">
        <v>41015</v>
      </c>
      <c r="B1951" s="25">
        <f>VLOOKUP(Table2634[[#This Row],[Date]],'DB Money Supply'!$A:$D,4)</f>
        <v>2241.8000000000002</v>
      </c>
      <c r="C1951" s="31">
        <f>(Table2634[[#This Row],[M1 Money Stock, Billions of Dollars, Weekly, Seasonally Adjusted]]-B1950)/B1950</f>
        <v>-3.6001600071113868E-3</v>
      </c>
      <c r="D1951" s="35">
        <f>((1+Table2634[[#This Row],[Weekly change]])^52)-1</f>
        <v>-0.17100911685994435</v>
      </c>
      <c r="E1951" s="25">
        <f t="shared" si="30"/>
        <v>2241.5</v>
      </c>
      <c r="F1951" s="33">
        <f>(Table2634[[#This Row],[4 weeks average]]-B1899)/B1899</f>
        <v>0.18422442941673714</v>
      </c>
    </row>
    <row r="1952" spans="1:6" x14ac:dyDescent="0.2">
      <c r="A1952" s="23">
        <v>41022</v>
      </c>
      <c r="B1952" s="25">
        <f>VLOOKUP(Table2634[[#This Row],[Date]],'DB Money Supply'!$A:$D,4)</f>
        <v>2247.4</v>
      </c>
      <c r="C1952" s="31">
        <f>(Table2634[[#This Row],[M1 Money Stock, Billions of Dollars, Weekly, Seasonally Adjusted]]-B1951)/B1951</f>
        <v>2.4979926844499547E-3</v>
      </c>
      <c r="D1952" s="35">
        <f>((1+Table2634[[#This Row],[Weekly change]])^52)-1</f>
        <v>0.13852509690645132</v>
      </c>
      <c r="E1952" s="25">
        <f t="shared" si="30"/>
        <v>2246.5500000000002</v>
      </c>
      <c r="F1952" s="33">
        <f>(Table2634[[#This Row],[4 weeks average]]-B1900)/B1900</f>
        <v>0.18102723162653775</v>
      </c>
    </row>
    <row r="1953" spans="1:6" x14ac:dyDescent="0.2">
      <c r="A1953" s="23">
        <v>41029</v>
      </c>
      <c r="B1953" s="25">
        <f>VLOOKUP(Table2634[[#This Row],[Date]],'DB Money Supply'!$A:$D,4)</f>
        <v>2253.5</v>
      </c>
      <c r="C1953" s="31">
        <f>(Table2634[[#This Row],[M1 Money Stock, Billions of Dollars, Weekly, Seasonally Adjusted]]-B1952)/B1952</f>
        <v>2.7142475749754869E-3</v>
      </c>
      <c r="D1953" s="35">
        <f>((1+Table2634[[#This Row],[Weekly change]])^52)-1</f>
        <v>0.15136670302889255</v>
      </c>
      <c r="E1953" s="25">
        <f t="shared" si="30"/>
        <v>2248.15</v>
      </c>
      <c r="F1953" s="33">
        <f>(Table2634[[#This Row],[4 weeks average]]-B1901)/B1901</f>
        <v>0.17054566281370415</v>
      </c>
    </row>
    <row r="1954" spans="1:6" x14ac:dyDescent="0.2">
      <c r="A1954" s="23">
        <v>41036</v>
      </c>
      <c r="B1954" s="25">
        <f>VLOOKUP(Table2634[[#This Row],[Date]],'DB Money Supply'!$A:$D,4)</f>
        <v>2241.3000000000002</v>
      </c>
      <c r="C1954" s="31">
        <f>(Table2634[[#This Row],[M1 Money Stock, Billions of Dollars, Weekly, Seasonally Adjusted]]-B1953)/B1953</f>
        <v>-5.4138007543819916E-3</v>
      </c>
      <c r="D1954" s="35">
        <f>((1+Table2634[[#This Row],[Weekly change]])^52)-1</f>
        <v>-0.24593932320085399</v>
      </c>
      <c r="E1954" s="25">
        <f t="shared" si="30"/>
        <v>2246</v>
      </c>
      <c r="F1954" s="33">
        <f>(Table2634[[#This Row],[4 weeks average]]-B1902)/B1902</f>
        <v>0.16487734038690946</v>
      </c>
    </row>
    <row r="1955" spans="1:6" x14ac:dyDescent="0.2">
      <c r="A1955" s="23">
        <v>41043</v>
      </c>
      <c r="B1955" s="25">
        <f>VLOOKUP(Table2634[[#This Row],[Date]],'DB Money Supply'!$A:$D,4)</f>
        <v>2267.3000000000002</v>
      </c>
      <c r="C1955" s="31">
        <f>(Table2634[[#This Row],[M1 Money Stock, Billions of Dollars, Weekly, Seasonally Adjusted]]-B1954)/B1954</f>
        <v>1.1600410476062998E-2</v>
      </c>
      <c r="D1955" s="35">
        <f>((1+Table2634[[#This Row],[Weekly change]])^52)-1</f>
        <v>0.82166216595627106</v>
      </c>
      <c r="E1955" s="25">
        <f t="shared" si="30"/>
        <v>2252.375</v>
      </c>
      <c r="F1955" s="33">
        <f>(Table2634[[#This Row],[4 weeks average]]-B1903)/B1903</f>
        <v>0.16661055575697931</v>
      </c>
    </row>
    <row r="1956" spans="1:6" x14ac:dyDescent="0.2">
      <c r="A1956" s="23">
        <v>41050</v>
      </c>
      <c r="B1956" s="25">
        <f>VLOOKUP(Table2634[[#This Row],[Date]],'DB Money Supply'!$A:$D,4)</f>
        <v>2261.9</v>
      </c>
      <c r="C1956" s="31">
        <f>(Table2634[[#This Row],[M1 Money Stock, Billions of Dollars, Weekly, Seasonally Adjusted]]-B1955)/B1955</f>
        <v>-2.3816874696776301E-3</v>
      </c>
      <c r="D1956" s="35">
        <f>((1+Table2634[[#This Row],[Weekly change]])^52)-1</f>
        <v>-0.11661615415583049</v>
      </c>
      <c r="E1956" s="25">
        <f t="shared" si="30"/>
        <v>2256</v>
      </c>
      <c r="F1956" s="33">
        <f>(Table2634[[#This Row],[4 weeks average]]-B1904)/B1904</f>
        <v>0.16156935434043865</v>
      </c>
    </row>
    <row r="1957" spans="1:6" x14ac:dyDescent="0.2">
      <c r="A1957" s="23">
        <v>41057</v>
      </c>
      <c r="B1957" s="25">
        <f>VLOOKUP(Table2634[[#This Row],[Date]],'DB Money Supply'!$A:$D,4)</f>
        <v>2256.6</v>
      </c>
      <c r="C1957" s="31">
        <f>(Table2634[[#This Row],[M1 Money Stock, Billions of Dollars, Weekly, Seasonally Adjusted]]-B1956)/B1956</f>
        <v>-2.3431628277112964E-3</v>
      </c>
      <c r="D1957" s="35">
        <f>((1+Table2634[[#This Row],[Weekly change]])^52)-1</f>
        <v>-0.11484051497196113</v>
      </c>
      <c r="E1957" s="25">
        <f t="shared" si="30"/>
        <v>2256.7750000000001</v>
      </c>
      <c r="F1957" s="33">
        <f>(Table2634[[#This Row],[4 weeks average]]-B1905)/B1905</f>
        <v>0.15347559417326864</v>
      </c>
    </row>
    <row r="1958" spans="1:6" x14ac:dyDescent="0.2">
      <c r="A1958" s="23">
        <v>41064</v>
      </c>
      <c r="B1958" s="25">
        <f>VLOOKUP(Table2634[[#This Row],[Date]],'DB Money Supply'!$A:$D,4)</f>
        <v>2255.1999999999998</v>
      </c>
      <c r="C1958" s="31">
        <f>(Table2634[[#This Row],[M1 Money Stock, Billions of Dollars, Weekly, Seasonally Adjusted]]-B1957)/B1957</f>
        <v>-6.2040237525484839E-4</v>
      </c>
      <c r="D1958" s="35">
        <f>((1+Table2634[[#This Row],[Weekly change]])^52)-1</f>
        <v>-3.1755784737888093E-2</v>
      </c>
      <c r="E1958" s="25">
        <f t="shared" si="30"/>
        <v>2260.25</v>
      </c>
      <c r="F1958" s="33">
        <f>(Table2634[[#This Row],[4 weeks average]]-B1906)/B1906</f>
        <v>0.1674845041322314</v>
      </c>
    </row>
    <row r="1959" spans="1:6" x14ac:dyDescent="0.2">
      <c r="A1959" s="23">
        <v>41071</v>
      </c>
      <c r="B1959" s="25">
        <f>VLOOKUP(Table2634[[#This Row],[Date]],'DB Money Supply'!$A:$D,4)</f>
        <v>2290.5</v>
      </c>
      <c r="C1959" s="31">
        <f>(Table2634[[#This Row],[M1 Money Stock, Billions of Dollars, Weekly, Seasonally Adjusted]]-B1958)/B1958</f>
        <v>1.5652713728272517E-2</v>
      </c>
      <c r="D1959" s="35">
        <f>((1+Table2634[[#This Row],[Weekly change]])^52)-1</f>
        <v>1.2426016064957124</v>
      </c>
      <c r="E1959" s="25">
        <f t="shared" si="30"/>
        <v>2266.0500000000002</v>
      </c>
      <c r="F1959" s="33">
        <f>(Table2634[[#This Row],[4 weeks average]]-B1907)/B1907</f>
        <v>0.161183704842429</v>
      </c>
    </row>
    <row r="1960" spans="1:6" x14ac:dyDescent="0.2">
      <c r="A1960" s="23">
        <v>41078</v>
      </c>
      <c r="B1960" s="25">
        <f>VLOOKUP(Table2634[[#This Row],[Date]],'DB Money Supply'!$A:$D,4)</f>
        <v>2274.6</v>
      </c>
      <c r="C1960" s="31">
        <f>(Table2634[[#This Row],[M1 Money Stock, Billions of Dollars, Weekly, Seasonally Adjusted]]-B1959)/B1959</f>
        <v>-6.9417157825802621E-3</v>
      </c>
      <c r="D1960" s="35">
        <f>((1+Table2634[[#This Row],[Weekly change]])^52)-1</f>
        <v>-0.30387631212702837</v>
      </c>
      <c r="E1960" s="25">
        <f t="shared" si="30"/>
        <v>2269.2249999999999</v>
      </c>
      <c r="F1960" s="33">
        <f>(Table2634[[#This Row],[4 weeks average]]-B1908)/B1908</f>
        <v>0.15688248789191941</v>
      </c>
    </row>
    <row r="1961" spans="1:6" x14ac:dyDescent="0.2">
      <c r="A1961" s="23">
        <v>41085</v>
      </c>
      <c r="B1961" s="25">
        <f>VLOOKUP(Table2634[[#This Row],[Date]],'DB Money Supply'!$A:$D,4)</f>
        <v>2272.9</v>
      </c>
      <c r="C1961" s="31">
        <f>(Table2634[[#This Row],[M1 Money Stock, Billions of Dollars, Weekly, Seasonally Adjusted]]-B1960)/B1960</f>
        <v>-7.4738415545582435E-4</v>
      </c>
      <c r="D1961" s="35">
        <f>((1+Table2634[[#This Row],[Weekly change]])^52)-1</f>
        <v>-3.8132437280119724E-2</v>
      </c>
      <c r="E1961" s="25">
        <f t="shared" si="30"/>
        <v>2273.2999999999997</v>
      </c>
      <c r="F1961" s="33">
        <f>(Table2634[[#This Row],[4 weeks average]]-B1909)/B1909</f>
        <v>0.16020210268449506</v>
      </c>
    </row>
    <row r="1962" spans="1:6" x14ac:dyDescent="0.2">
      <c r="A1962" s="23">
        <v>41092</v>
      </c>
      <c r="B1962" s="25">
        <f>VLOOKUP(Table2634[[#This Row],[Date]],'DB Money Supply'!$A:$D,4)</f>
        <v>2284.4</v>
      </c>
      <c r="C1962" s="31">
        <f>(Table2634[[#This Row],[M1 Money Stock, Billions of Dollars, Weekly, Seasonally Adjusted]]-B1961)/B1961</f>
        <v>5.059615469224339E-3</v>
      </c>
      <c r="D1962" s="35">
        <f>((1+Table2634[[#This Row],[Weekly change]])^52)-1</f>
        <v>0.30009410275576975</v>
      </c>
      <c r="E1962" s="25">
        <f t="shared" si="30"/>
        <v>2280.6</v>
      </c>
      <c r="F1962" s="33">
        <f>(Table2634[[#This Row],[4 weeks average]]-B1910)/B1910</f>
        <v>0.14851185979755244</v>
      </c>
    </row>
    <row r="1963" spans="1:6" x14ac:dyDescent="0.2">
      <c r="A1963" s="23">
        <v>41099</v>
      </c>
      <c r="B1963" s="25">
        <f>VLOOKUP(Table2634[[#This Row],[Date]],'DB Money Supply'!$A:$D,4)</f>
        <v>2337.5</v>
      </c>
      <c r="C1963" s="31">
        <f>(Table2634[[#This Row],[M1 Money Stock, Billions of Dollars, Weekly, Seasonally Adjusted]]-B1962)/B1962</f>
        <v>2.3244615654001009E-2</v>
      </c>
      <c r="D1963" s="35">
        <f>((1+Table2634[[#This Row],[Weekly change]])^52)-1</f>
        <v>2.3031807482178031</v>
      </c>
      <c r="E1963" s="25">
        <f t="shared" si="30"/>
        <v>2292.35</v>
      </c>
      <c r="F1963" s="33">
        <f>(Table2634[[#This Row],[4 weeks average]]-B1911)/B1911</f>
        <v>0.15559308363159743</v>
      </c>
    </row>
    <row r="1964" spans="1:6" x14ac:dyDescent="0.2">
      <c r="A1964" s="23">
        <v>41106</v>
      </c>
      <c r="B1964" s="25">
        <f>VLOOKUP(Table2634[[#This Row],[Date]],'DB Money Supply'!$A:$D,4)</f>
        <v>2316.1999999999998</v>
      </c>
      <c r="C1964" s="31">
        <f>(Table2634[[#This Row],[M1 Money Stock, Billions of Dollars, Weekly, Seasonally Adjusted]]-B1963)/B1963</f>
        <v>-9.11229946524072E-3</v>
      </c>
      <c r="D1964" s="35">
        <f>((1+Table2634[[#This Row],[Weekly change]])^52)-1</f>
        <v>-0.37874376254542652</v>
      </c>
      <c r="E1964" s="25">
        <f t="shared" si="30"/>
        <v>2302.75</v>
      </c>
      <c r="F1964" s="33">
        <f>(Table2634[[#This Row],[4 weeks average]]-B1912)/B1912</f>
        <v>0.16547727502783685</v>
      </c>
    </row>
    <row r="1965" spans="1:6" x14ac:dyDescent="0.2">
      <c r="A1965" s="23">
        <v>41113</v>
      </c>
      <c r="B1965" s="25">
        <f>VLOOKUP(Table2634[[#This Row],[Date]],'DB Money Supply'!$A:$D,4)</f>
        <v>2317.6999999999998</v>
      </c>
      <c r="C1965" s="31">
        <f>(Table2634[[#This Row],[M1 Money Stock, Billions of Dollars, Weekly, Seasonally Adjusted]]-B1964)/B1964</f>
        <v>6.4761246869873075E-4</v>
      </c>
      <c r="D1965" s="35">
        <f>((1+Table2634[[#This Row],[Weekly change]])^52)-1</f>
        <v>3.4238025800947813E-2</v>
      </c>
      <c r="E1965" s="25">
        <f t="shared" si="30"/>
        <v>2313.9499999999998</v>
      </c>
      <c r="F1965" s="33">
        <f>(Table2634[[#This Row],[4 weeks average]]-B1913)/B1913</f>
        <v>0.15628123126124313</v>
      </c>
    </row>
    <row r="1966" spans="1:6" x14ac:dyDescent="0.2">
      <c r="A1966" s="23">
        <v>41120</v>
      </c>
      <c r="B1966" s="25">
        <f>VLOOKUP(Table2634[[#This Row],[Date]],'DB Money Supply'!$A:$D,4)</f>
        <v>2311.6999999999998</v>
      </c>
      <c r="C1966" s="31">
        <f>(Table2634[[#This Row],[M1 Money Stock, Billions of Dollars, Weekly, Seasonally Adjusted]]-B1965)/B1965</f>
        <v>-2.5887733528929544E-3</v>
      </c>
      <c r="D1966" s="35">
        <f>((1+Table2634[[#This Row],[Weekly change]])^52)-1</f>
        <v>-0.12610125382053994</v>
      </c>
      <c r="E1966" s="25">
        <f t="shared" si="30"/>
        <v>2320.7749999999996</v>
      </c>
      <c r="F1966" s="33">
        <f>(Table2634[[#This Row],[4 weeks average]]-B1914)/B1914</f>
        <v>0.12467894354252466</v>
      </c>
    </row>
    <row r="1967" spans="1:6" x14ac:dyDescent="0.2">
      <c r="A1967" s="23">
        <v>41127</v>
      </c>
      <c r="B1967" s="25">
        <f>VLOOKUP(Table2634[[#This Row],[Date]],'DB Money Supply'!$A:$D,4)</f>
        <v>2310.6</v>
      </c>
      <c r="C1967" s="31">
        <f>(Table2634[[#This Row],[M1 Money Stock, Billions of Dollars, Weekly, Seasonally Adjusted]]-B1966)/B1966</f>
        <v>-4.758402906951201E-4</v>
      </c>
      <c r="D1967" s="35">
        <f>((1+Table2634[[#This Row],[Weekly change]])^52)-1</f>
        <v>-2.4445824189915921E-2</v>
      </c>
      <c r="E1967" s="25">
        <f t="shared" si="30"/>
        <v>2314.0499999999997</v>
      </c>
      <c r="F1967" s="33">
        <f>(Table2634[[#This Row],[4 weeks average]]-B1915)/B1915</f>
        <v>0.10487490450725727</v>
      </c>
    </row>
    <row r="1968" spans="1:6" x14ac:dyDescent="0.2">
      <c r="A1968" s="23">
        <v>41134</v>
      </c>
      <c r="B1968" s="25">
        <f>VLOOKUP(Table2634[[#This Row],[Date]],'DB Money Supply'!$A:$D,4)</f>
        <v>2350</v>
      </c>
      <c r="C1968" s="31">
        <f>(Table2634[[#This Row],[M1 Money Stock, Billions of Dollars, Weekly, Seasonally Adjusted]]-B1967)/B1967</f>
        <v>1.7051848004847266E-2</v>
      </c>
      <c r="D1968" s="35">
        <f>((1+Table2634[[#This Row],[Weekly change]])^52)-1</f>
        <v>1.4090224640541993</v>
      </c>
      <c r="E1968" s="25">
        <f t="shared" si="30"/>
        <v>2322.5</v>
      </c>
      <c r="F1968" s="33">
        <f>(Table2634[[#This Row],[4 weeks average]]-B1916)/B1916</f>
        <v>0.10118059835948988</v>
      </c>
    </row>
    <row r="1969" spans="1:6" x14ac:dyDescent="0.2">
      <c r="A1969" s="23">
        <v>41141</v>
      </c>
      <c r="B1969" s="25">
        <f>VLOOKUP(Table2634[[#This Row],[Date]],'DB Money Supply'!$A:$D,4)</f>
        <v>2341.8000000000002</v>
      </c>
      <c r="C1969" s="31">
        <f>(Table2634[[#This Row],[M1 Money Stock, Billions of Dollars, Weekly, Seasonally Adjusted]]-B1968)/B1968</f>
        <v>-3.4893617021275821E-3</v>
      </c>
      <c r="D1969" s="35">
        <f>((1+Table2634[[#This Row],[Weekly change]])^52)-1</f>
        <v>-0.1662020011932509</v>
      </c>
      <c r="E1969" s="25">
        <f t="shared" si="30"/>
        <v>2328.5249999999996</v>
      </c>
      <c r="F1969" s="33">
        <f>(Table2634[[#This Row],[4 weeks average]]-B1917)/B1917</f>
        <v>9.0133426966291966E-2</v>
      </c>
    </row>
    <row r="1970" spans="1:6" x14ac:dyDescent="0.2">
      <c r="A1970" s="23">
        <v>41148</v>
      </c>
      <c r="B1970" s="25">
        <f>VLOOKUP(Table2634[[#This Row],[Date]],'DB Money Supply'!$A:$D,4)</f>
        <v>2346.1999999999998</v>
      </c>
      <c r="C1970" s="31">
        <f>(Table2634[[#This Row],[M1 Money Stock, Billions of Dollars, Weekly, Seasonally Adjusted]]-B1969)/B1969</f>
        <v>1.8788965752838142E-3</v>
      </c>
      <c r="D1970" s="35">
        <f>((1+Table2634[[#This Row],[Weekly change]])^52)-1</f>
        <v>0.10253376107886814</v>
      </c>
      <c r="E1970" s="25">
        <f t="shared" si="30"/>
        <v>2337.15</v>
      </c>
      <c r="F1970" s="33">
        <f>(Table2634[[#This Row],[4 weeks average]]-B1918)/B1918</f>
        <v>0.10118262344515642</v>
      </c>
    </row>
    <row r="1971" spans="1:6" x14ac:dyDescent="0.2">
      <c r="A1971" s="23">
        <v>41155</v>
      </c>
      <c r="B1971" s="25">
        <f>VLOOKUP(Table2634[[#This Row],[Date]],'DB Money Supply'!$A:$D,4)</f>
        <v>2420.6999999999998</v>
      </c>
      <c r="C1971" s="31">
        <f>(Table2634[[#This Row],[M1 Money Stock, Billions of Dollars, Weekly, Seasonally Adjusted]]-B1970)/B1970</f>
        <v>3.1753473702156684E-2</v>
      </c>
      <c r="D1971" s="35">
        <f>((1+Table2634[[#This Row],[Weekly change]])^52)-1</f>
        <v>4.0809961528605347</v>
      </c>
      <c r="E1971" s="25">
        <f t="shared" si="30"/>
        <v>2364.6750000000002</v>
      </c>
      <c r="F1971" s="33">
        <f>(Table2634[[#This Row],[4 weeks average]]-B1919)/B1919</f>
        <v>0.12064594095066598</v>
      </c>
    </row>
    <row r="1972" spans="1:6" x14ac:dyDescent="0.2">
      <c r="A1972" s="23">
        <v>41162</v>
      </c>
      <c r="B1972" s="25">
        <f>VLOOKUP(Table2634[[#This Row],[Date]],'DB Money Supply'!$A:$D,4)</f>
        <v>2405.4</v>
      </c>
      <c r="C1972" s="31">
        <f>(Table2634[[#This Row],[M1 Money Stock, Billions of Dollars, Weekly, Seasonally Adjusted]]-B1971)/B1971</f>
        <v>-6.3204858098895892E-3</v>
      </c>
      <c r="D1972" s="35">
        <f>((1+Table2634[[#This Row],[Weekly change]])^52)-1</f>
        <v>-0.28086654145540457</v>
      </c>
      <c r="E1972" s="25">
        <f t="shared" si="30"/>
        <v>2378.5250000000001</v>
      </c>
      <c r="F1972" s="33">
        <f>(Table2634[[#This Row],[4 weeks average]]-B1920)/B1920</f>
        <v>0.12263416245811125</v>
      </c>
    </row>
    <row r="1973" spans="1:6" x14ac:dyDescent="0.2">
      <c r="A1973" s="23">
        <v>41169</v>
      </c>
      <c r="B1973" s="25">
        <f>VLOOKUP(Table2634[[#This Row],[Date]],'DB Money Supply'!$A:$D,4)</f>
        <v>2379.6</v>
      </c>
      <c r="C1973" s="31">
        <f>(Table2634[[#This Row],[M1 Money Stock, Billions of Dollars, Weekly, Seasonally Adjusted]]-B1972)/B1972</f>
        <v>-1.0725866799700749E-2</v>
      </c>
      <c r="D1973" s="35">
        <f>((1+Table2634[[#This Row],[Weekly change]])^52)-1</f>
        <v>-0.42922362599862873</v>
      </c>
      <c r="E1973" s="25">
        <f t="shared" si="30"/>
        <v>2387.9749999999999</v>
      </c>
      <c r="F1973" s="33">
        <f>(Table2634[[#This Row],[4 weeks average]]-B1921)/B1921</f>
        <v>0.12592531472488086</v>
      </c>
    </row>
    <row r="1974" spans="1:6" x14ac:dyDescent="0.2">
      <c r="A1974" s="23">
        <v>41176</v>
      </c>
      <c r="B1974" s="25">
        <f>VLOOKUP(Table2634[[#This Row],[Date]],'DB Money Supply'!$A:$D,4)</f>
        <v>2378.6</v>
      </c>
      <c r="C1974" s="31">
        <f>(Table2634[[#This Row],[M1 Money Stock, Billions of Dollars, Weekly, Seasonally Adjusted]]-B1973)/B1973</f>
        <v>-4.2023869557908893E-4</v>
      </c>
      <c r="D1974" s="35">
        <f>((1+Table2634[[#This Row],[Weekly change]])^52)-1</f>
        <v>-2.1619871554529824E-2</v>
      </c>
      <c r="E1974" s="25">
        <f t="shared" si="30"/>
        <v>2396.0750000000003</v>
      </c>
      <c r="F1974" s="33">
        <f>(Table2634[[#This Row],[4 weeks average]]-B1922)/B1922</f>
        <v>0.12597509398496254</v>
      </c>
    </row>
    <row r="1975" spans="1:6" x14ac:dyDescent="0.2">
      <c r="A1975" s="23">
        <v>41183</v>
      </c>
      <c r="B1975" s="25">
        <f>VLOOKUP(Table2634[[#This Row],[Date]],'DB Money Supply'!$A:$D,4)</f>
        <v>2382.4</v>
      </c>
      <c r="C1975" s="31">
        <f>(Table2634[[#This Row],[M1 Money Stock, Billions of Dollars, Weekly, Seasonally Adjusted]]-B1974)/B1974</f>
        <v>1.5975784074666534E-3</v>
      </c>
      <c r="D1975" s="35">
        <f>((1+Table2634[[#This Row],[Weekly change]])^52)-1</f>
        <v>8.6550271767454001E-2</v>
      </c>
      <c r="E1975" s="25">
        <f t="shared" si="30"/>
        <v>2386.5</v>
      </c>
      <c r="F1975" s="33">
        <f>(Table2634[[#This Row],[4 weeks average]]-B1923)/B1923</f>
        <v>9.6384435154132489E-2</v>
      </c>
    </row>
    <row r="1976" spans="1:6" x14ac:dyDescent="0.2">
      <c r="A1976" s="23">
        <v>41190</v>
      </c>
      <c r="B1976" s="25">
        <f>VLOOKUP(Table2634[[#This Row],[Date]],'DB Money Supply'!$A:$D,4)</f>
        <v>2422.4</v>
      </c>
      <c r="C1976" s="31">
        <f>(Table2634[[#This Row],[M1 Money Stock, Billions of Dollars, Weekly, Seasonally Adjusted]]-B1975)/B1975</f>
        <v>1.6789791806581598E-2</v>
      </c>
      <c r="D1976" s="35">
        <f>((1+Table2634[[#This Row],[Weekly change]])^52)-1</f>
        <v>1.3769564535638921</v>
      </c>
      <c r="E1976" s="25">
        <f t="shared" si="30"/>
        <v>2390.75</v>
      </c>
      <c r="F1976" s="33">
        <f>(Table2634[[#This Row],[4 weeks average]]-B1924)/B1924</f>
        <v>0.11156313929700568</v>
      </c>
    </row>
    <row r="1977" spans="1:6" x14ac:dyDescent="0.2">
      <c r="A1977" s="23">
        <v>41197</v>
      </c>
      <c r="B1977" s="25">
        <f>VLOOKUP(Table2634[[#This Row],[Date]],'DB Money Supply'!$A:$D,4)</f>
        <v>2422.1999999999998</v>
      </c>
      <c r="C1977" s="31">
        <f>(Table2634[[#This Row],[M1 Money Stock, Billions of Dollars, Weekly, Seasonally Adjusted]]-B1976)/B1976</f>
        <v>-8.25627476883557E-5</v>
      </c>
      <c r="D1977" s="35">
        <f>((1+Table2634[[#This Row],[Weekly change]])^52)-1</f>
        <v>-4.2842364837712976E-3</v>
      </c>
      <c r="E1977" s="25">
        <f t="shared" si="30"/>
        <v>2401.3999999999996</v>
      </c>
      <c r="F1977" s="33">
        <f>(Table2634[[#This Row],[4 weeks average]]-B1925)/B1925</f>
        <v>0.12837139366600875</v>
      </c>
    </row>
    <row r="1978" spans="1:6" x14ac:dyDescent="0.2">
      <c r="A1978" s="23">
        <v>41204</v>
      </c>
      <c r="B1978" s="25">
        <f>VLOOKUP(Table2634[[#This Row],[Date]],'DB Money Supply'!$A:$D,4)</f>
        <v>2417.1</v>
      </c>
      <c r="C1978" s="31">
        <f>(Table2634[[#This Row],[M1 Money Stock, Billions of Dollars, Weekly, Seasonally Adjusted]]-B1977)/B1977</f>
        <v>-2.105523903888989E-3</v>
      </c>
      <c r="D1978" s="35">
        <f>((1+Table2634[[#This Row],[Weekly change]])^52)-1</f>
        <v>-0.10380985135784981</v>
      </c>
      <c r="E1978" s="25">
        <f t="shared" si="30"/>
        <v>2411.0250000000001</v>
      </c>
      <c r="F1978" s="33">
        <f>(Table2634[[#This Row],[4 weeks average]]-B1926)/B1926</f>
        <v>0.1337463556851313</v>
      </c>
    </row>
    <row r="1979" spans="1:6" x14ac:dyDescent="0.2">
      <c r="A1979" s="23">
        <v>41211</v>
      </c>
      <c r="B1979" s="25">
        <f>VLOOKUP(Table2634[[#This Row],[Date]],'DB Money Supply'!$A:$D,4)</f>
        <v>2429.4</v>
      </c>
      <c r="C1979" s="31">
        <f>(Table2634[[#This Row],[M1 Money Stock, Billions of Dollars, Weekly, Seasonally Adjusted]]-B1978)/B1978</f>
        <v>5.0887427082041215E-3</v>
      </c>
      <c r="D1979" s="35">
        <f>((1+Table2634[[#This Row],[Weekly change]])^52)-1</f>
        <v>0.30205478226729543</v>
      </c>
      <c r="E1979" s="25">
        <f t="shared" si="30"/>
        <v>2422.7750000000001</v>
      </c>
      <c r="F1979" s="33">
        <f>(Table2634[[#This Row],[4 weeks average]]-B1927)/B1927</f>
        <v>0.13415176481602861</v>
      </c>
    </row>
    <row r="1980" spans="1:6" x14ac:dyDescent="0.2">
      <c r="A1980" s="23">
        <v>41218</v>
      </c>
      <c r="B1980" s="25">
        <f>VLOOKUP(Table2634[[#This Row],[Date]],'DB Money Supply'!$A:$D,4)</f>
        <v>2430.1999999999998</v>
      </c>
      <c r="C1980" s="31">
        <f>(Table2634[[#This Row],[M1 Money Stock, Billions of Dollars, Weekly, Seasonally Adjusted]]-B1979)/B1979</f>
        <v>3.2929941549342517E-4</v>
      </c>
      <c r="D1980" s="35">
        <f>((1+Table2634[[#This Row],[Weekly change]])^52)-1</f>
        <v>1.7268150886608824E-2</v>
      </c>
      <c r="E1980" s="25">
        <f t="shared" si="30"/>
        <v>2424.7249999999995</v>
      </c>
      <c r="F1980" s="33">
        <f>(Table2634[[#This Row],[4 weeks average]]-B1928)/B1928</f>
        <v>0.12919713128114341</v>
      </c>
    </row>
    <row r="1981" spans="1:6" x14ac:dyDescent="0.2">
      <c r="A1981" s="23">
        <v>41225</v>
      </c>
      <c r="B1981" s="25">
        <f>VLOOKUP(Table2634[[#This Row],[Date]],'DB Money Supply'!$A:$D,4)</f>
        <v>2414.8000000000002</v>
      </c>
      <c r="C1981" s="31">
        <f>(Table2634[[#This Row],[M1 Money Stock, Billions of Dollars, Weekly, Seasonally Adjusted]]-B1980)/B1980</f>
        <v>-6.3369270018926987E-3</v>
      </c>
      <c r="D1981" s="35">
        <f>((1+Table2634[[#This Row],[Weekly change]])^52)-1</f>
        <v>-0.28148500852319358</v>
      </c>
      <c r="E1981" s="25">
        <f t="shared" si="30"/>
        <v>2422.875</v>
      </c>
      <c r="F1981" s="33">
        <f>(Table2634[[#This Row],[4 weeks average]]-B1929)/B1929</f>
        <v>0.11555550439707164</v>
      </c>
    </row>
    <row r="1982" spans="1:6" x14ac:dyDescent="0.2">
      <c r="A1982" s="23">
        <v>41232</v>
      </c>
      <c r="B1982" s="25">
        <f>VLOOKUP(Table2634[[#This Row],[Date]],'DB Money Supply'!$A:$D,4)</f>
        <v>2420.5</v>
      </c>
      <c r="C1982" s="31">
        <f>(Table2634[[#This Row],[M1 Money Stock, Billions of Dollars, Weekly, Seasonally Adjusted]]-B1981)/B1981</f>
        <v>2.3604439291037842E-3</v>
      </c>
      <c r="D1982" s="35">
        <f>((1+Table2634[[#This Row],[Weekly change]])^52)-1</f>
        <v>0.13043040296976938</v>
      </c>
      <c r="E1982" s="25">
        <f t="shared" si="30"/>
        <v>2423.7250000000004</v>
      </c>
      <c r="F1982" s="33">
        <f>(Table2634[[#This Row],[4 weeks average]]-B1930)/B1930</f>
        <v>0.11210654308525295</v>
      </c>
    </row>
    <row r="1983" spans="1:6" x14ac:dyDescent="0.2">
      <c r="A1983" s="23">
        <v>41239</v>
      </c>
      <c r="B1983" s="25">
        <f>VLOOKUP(Table2634[[#This Row],[Date]],'DB Money Supply'!$A:$D,4)</f>
        <v>2405.1999999999998</v>
      </c>
      <c r="C1983" s="31">
        <f>(Table2634[[#This Row],[M1 Money Stock, Billions of Dollars, Weekly, Seasonally Adjusted]]-B1982)/B1982</f>
        <v>-6.3210080561868134E-3</v>
      </c>
      <c r="D1983" s="35">
        <f>((1+Table2634[[#This Row],[Weekly change]])^52)-1</f>
        <v>-0.28088619478110888</v>
      </c>
      <c r="E1983" s="25">
        <f t="shared" si="30"/>
        <v>2417.6750000000002</v>
      </c>
      <c r="F1983" s="33">
        <f>(Table2634[[#This Row],[4 weeks average]]-B1931)/B1931</f>
        <v>0.11352017317612398</v>
      </c>
    </row>
    <row r="1984" spans="1:6" x14ac:dyDescent="0.2">
      <c r="A1984" s="23">
        <v>41246</v>
      </c>
      <c r="B1984" s="25">
        <f>VLOOKUP(Table2634[[#This Row],[Date]],'DB Money Supply'!$A:$D,4)</f>
        <v>2467.5</v>
      </c>
      <c r="C1984" s="31">
        <f>(Table2634[[#This Row],[M1 Money Stock, Billions of Dollars, Weekly, Seasonally Adjusted]]-B1983)/B1983</f>
        <v>2.5902211874272486E-2</v>
      </c>
      <c r="D1984" s="35">
        <f>((1+Table2634[[#This Row],[Weekly change]])^52)-1</f>
        <v>2.7801605088760253</v>
      </c>
      <c r="E1984" s="25">
        <f t="shared" si="30"/>
        <v>2427</v>
      </c>
      <c r="F1984" s="33">
        <f>(Table2634[[#This Row],[4 weeks average]]-B1932)/B1932</f>
        <v>0.12439193884642112</v>
      </c>
    </row>
    <row r="1985" spans="1:6" x14ac:dyDescent="0.2">
      <c r="A1985" s="23">
        <v>41253</v>
      </c>
      <c r="B1985" s="25">
        <f>VLOOKUP(Table2634[[#This Row],[Date]],'DB Money Supply'!$A:$D,4)</f>
        <v>2469.3000000000002</v>
      </c>
      <c r="C1985" s="31">
        <f>(Table2634[[#This Row],[M1 Money Stock, Billions of Dollars, Weekly, Seasonally Adjusted]]-B1984)/B1984</f>
        <v>7.2948328267484572E-4</v>
      </c>
      <c r="D1985" s="35">
        <f>((1+Table2634[[#This Row],[Weekly change]])^52)-1</f>
        <v>3.8647412345044208E-2</v>
      </c>
      <c r="E1985" s="25">
        <f t="shared" si="30"/>
        <v>2440.625</v>
      </c>
      <c r="F1985" s="33">
        <f>(Table2634[[#This Row],[4 weeks average]]-B1933)/B1933</f>
        <v>0.12694509858244457</v>
      </c>
    </row>
    <row r="1986" spans="1:6" x14ac:dyDescent="0.2">
      <c r="A1986" s="23">
        <v>41260</v>
      </c>
      <c r="B1986" s="25">
        <f>VLOOKUP(Table2634[[#This Row],[Date]],'DB Money Supply'!$A:$D,4)</f>
        <v>2438.6</v>
      </c>
      <c r="C1986" s="31">
        <f>(Table2634[[#This Row],[M1 Money Stock, Billions of Dollars, Weekly, Seasonally Adjusted]]-B1985)/B1985</f>
        <v>-1.2432673227230498E-2</v>
      </c>
      <c r="D1986" s="35">
        <f>((1+Table2634[[#This Row],[Weekly change]])^52)-1</f>
        <v>-0.47824204536153014</v>
      </c>
      <c r="E1986" s="25">
        <f t="shared" si="30"/>
        <v>2445.15</v>
      </c>
      <c r="F1986" s="33">
        <f>(Table2634[[#This Row],[4 weeks average]]-B1934)/B1934</f>
        <v>0.13738487301144287</v>
      </c>
    </row>
    <row r="1987" spans="1:6" x14ac:dyDescent="0.2">
      <c r="A1987" s="23">
        <v>41267</v>
      </c>
      <c r="B1987" s="25">
        <f>VLOOKUP(Table2634[[#This Row],[Date]],'DB Money Supply'!$A:$D,4)</f>
        <v>2474.4</v>
      </c>
      <c r="C1987" s="31">
        <f>(Table2634[[#This Row],[M1 Money Stock, Billions of Dollars, Weekly, Seasonally Adjusted]]-B1986)/B1986</f>
        <v>1.468055441646854E-2</v>
      </c>
      <c r="D1987" s="35">
        <f>((1+Table2634[[#This Row],[Weekly change]])^52)-1</f>
        <v>1.1336616509181199</v>
      </c>
      <c r="E1987" s="25">
        <f t="shared" si="30"/>
        <v>2462.4499999999998</v>
      </c>
      <c r="F1987" s="33">
        <f>(Table2634[[#This Row],[4 weeks average]]-B1935)/B1935</f>
        <v>0.14197931642164802</v>
      </c>
    </row>
    <row r="1988" spans="1:6" x14ac:dyDescent="0.2">
      <c r="A1988" s="23">
        <v>41274</v>
      </c>
      <c r="B1988" s="25">
        <f>VLOOKUP(Table2634[[#This Row],[Date]],'DB Money Supply'!$A:$D,4)</f>
        <v>2459.6999999999998</v>
      </c>
      <c r="C1988" s="31">
        <f>(Table2634[[#This Row],[M1 Money Stock, Billions of Dollars, Weekly, Seasonally Adjusted]]-B1987)/B1987</f>
        <v>-5.9408341416101974E-3</v>
      </c>
      <c r="D1988" s="35">
        <f>((1+Table2634[[#This Row],[Weekly change]])^52)-1</f>
        <v>-0.26643909924545872</v>
      </c>
      <c r="E1988" s="25">
        <f t="shared" si="30"/>
        <v>2460.5</v>
      </c>
      <c r="F1988" s="33">
        <f>(Table2634[[#This Row],[4 weeks average]]-B1936)/B1936</f>
        <v>0.11881593306656975</v>
      </c>
    </row>
    <row r="1989" spans="1:6" x14ac:dyDescent="0.2">
      <c r="A1989" s="23">
        <v>41281</v>
      </c>
      <c r="B1989" s="25">
        <f>VLOOKUP(Table2634[[#This Row],[Date]],'DB Money Supply'!$A:$D,4)</f>
        <v>2459.6</v>
      </c>
      <c r="C1989" s="31">
        <f>(Table2634[[#This Row],[M1 Money Stock, Billions of Dollars, Weekly, Seasonally Adjusted]]-B1988)/B1988</f>
        <v>-4.0655364475305551E-5</v>
      </c>
      <c r="D1989" s="35">
        <f>((1+Table2634[[#This Row],[Weekly change]])^52)-1</f>
        <v>-2.1118887464588454E-3</v>
      </c>
      <c r="E1989" s="25">
        <f t="shared" si="30"/>
        <v>2458.0749999999998</v>
      </c>
      <c r="F1989" s="33">
        <f>(Table2634[[#This Row],[4 weeks average]]-B1937)/B1937</f>
        <v>0.11766243804846979</v>
      </c>
    </row>
    <row r="1990" spans="1:6" x14ac:dyDescent="0.2">
      <c r="A1990" s="23">
        <v>41288</v>
      </c>
      <c r="B1990" s="25">
        <f>VLOOKUP(Table2634[[#This Row],[Date]],'DB Money Supply'!$A:$D,4)</f>
        <v>2480.1</v>
      </c>
      <c r="C1990" s="31">
        <f>(Table2634[[#This Row],[M1 Money Stock, Billions of Dollars, Weekly, Seasonally Adjusted]]-B1989)/B1989</f>
        <v>8.3346885672467078E-3</v>
      </c>
      <c r="D1990" s="35">
        <f>((1+Table2634[[#This Row],[Weekly change]])^52)-1</f>
        <v>0.53973086176718588</v>
      </c>
      <c r="E1990" s="25">
        <f t="shared" si="30"/>
        <v>2468.4500000000003</v>
      </c>
      <c r="F1990" s="33">
        <f>(Table2634[[#This Row],[4 weeks average]]-B1938)/B1938</f>
        <v>0.12299258450479977</v>
      </c>
    </row>
    <row r="1991" spans="1:6" x14ac:dyDescent="0.2">
      <c r="A1991" s="23">
        <v>41295</v>
      </c>
      <c r="B1991" s="25">
        <f>VLOOKUP(Table2634[[#This Row],[Date]],'DB Money Supply'!$A:$D,4)</f>
        <v>2488.5</v>
      </c>
      <c r="C1991" s="31">
        <f>(Table2634[[#This Row],[M1 Money Stock, Billions of Dollars, Weekly, Seasonally Adjusted]]-B1990)/B1990</f>
        <v>3.3869602032176489E-3</v>
      </c>
      <c r="D1991" s="35">
        <f>((1+Table2634[[#This Row],[Weekly change]])^52)-1</f>
        <v>0.19222861735611763</v>
      </c>
      <c r="E1991" s="25">
        <f t="shared" si="30"/>
        <v>2471.9749999999999</v>
      </c>
      <c r="F1991" s="33">
        <f>(Table2634[[#This Row],[4 weeks average]]-B1939)/B1939</f>
        <v>0.11985820422216173</v>
      </c>
    </row>
    <row r="1992" spans="1:6" x14ac:dyDescent="0.2">
      <c r="A1992" s="23">
        <v>41302</v>
      </c>
      <c r="B1992" s="25">
        <f>VLOOKUP(Table2634[[#This Row],[Date]],'DB Money Supply'!$A:$D,4)</f>
        <v>2465.1999999999998</v>
      </c>
      <c r="C1992" s="31">
        <f>(Table2634[[#This Row],[M1 Money Stock, Billions of Dollars, Weekly, Seasonally Adjusted]]-B1991)/B1991</f>
        <v>-9.3630701225638664E-3</v>
      </c>
      <c r="D1992" s="35">
        <f>((1+Table2634[[#This Row],[Weekly change]])^52)-1</f>
        <v>-0.3868669497903825</v>
      </c>
      <c r="E1992" s="25">
        <f t="shared" si="30"/>
        <v>2473.35</v>
      </c>
      <c r="F1992" s="33">
        <f>(Table2634[[#This Row],[4 weeks average]]-B1940)/B1940</f>
        <v>0.12205688880823831</v>
      </c>
    </row>
    <row r="1993" spans="1:6" x14ac:dyDescent="0.2">
      <c r="A1993" s="23">
        <v>41309</v>
      </c>
      <c r="B1993" s="25">
        <f>VLOOKUP(Table2634[[#This Row],[Date]],'DB Money Supply'!$A:$D,4)</f>
        <v>2474</v>
      </c>
      <c r="C1993" s="31">
        <f>(Table2634[[#This Row],[M1 Money Stock, Billions of Dollars, Weekly, Seasonally Adjusted]]-B1992)/B1992</f>
        <v>3.5696900859971533E-3</v>
      </c>
      <c r="D1993" s="35">
        <f>((1+Table2634[[#This Row],[Weekly change]])^52)-1</f>
        <v>0.20357146920741664</v>
      </c>
      <c r="E1993" s="25">
        <f t="shared" ref="E1993:E2056" si="31">AVERAGE(B1990:B1993)</f>
        <v>2476.9499999999998</v>
      </c>
      <c r="F1993" s="33">
        <f>(Table2634[[#This Row],[4 weeks average]]-B1941)/B1941</f>
        <v>0.12726983115641907</v>
      </c>
    </row>
    <row r="1994" spans="1:6" x14ac:dyDescent="0.2">
      <c r="A1994" s="23">
        <v>41316</v>
      </c>
      <c r="B1994" s="25">
        <f>VLOOKUP(Table2634[[#This Row],[Date]],'DB Money Supply'!$A:$D,4)</f>
        <v>2484.3000000000002</v>
      </c>
      <c r="C1994" s="31">
        <f>(Table2634[[#This Row],[M1 Money Stock, Billions of Dollars, Weekly, Seasonally Adjusted]]-B1993)/B1993</f>
        <v>4.1632983023444552E-3</v>
      </c>
      <c r="D1994" s="35">
        <f>((1+Table2634[[#This Row],[Weekly change]])^52)-1</f>
        <v>0.24115462961361955</v>
      </c>
      <c r="E1994" s="25">
        <f t="shared" si="31"/>
        <v>2478</v>
      </c>
      <c r="F1994" s="33">
        <f>(Table2634[[#This Row],[4 weeks average]]-B1942)/B1942</f>
        <v>0.12035446242879094</v>
      </c>
    </row>
    <row r="1995" spans="1:6" x14ac:dyDescent="0.2">
      <c r="A1995" s="23">
        <v>41323</v>
      </c>
      <c r="B1995" s="25">
        <f>VLOOKUP(Table2634[[#This Row],[Date]],'DB Money Supply'!$A:$D,4)</f>
        <v>2469.4</v>
      </c>
      <c r="C1995" s="31">
        <f>(Table2634[[#This Row],[M1 Money Stock, Billions of Dollars, Weekly, Seasonally Adjusted]]-B1994)/B1994</f>
        <v>-5.9976653383247156E-3</v>
      </c>
      <c r="D1995" s="35">
        <f>((1+Table2634[[#This Row],[Weekly change]])^52)-1</f>
        <v>-0.26861671419146083</v>
      </c>
      <c r="E1995" s="25">
        <f t="shared" si="31"/>
        <v>2473.2249999999999</v>
      </c>
      <c r="F1995" s="33">
        <f>(Table2634[[#This Row],[4 weeks average]]-B1943)/B1943</f>
        <v>0.11537160638585722</v>
      </c>
    </row>
    <row r="1996" spans="1:6" x14ac:dyDescent="0.2">
      <c r="A1996" s="23">
        <v>41330</v>
      </c>
      <c r="B1996" s="25">
        <f>VLOOKUP(Table2634[[#This Row],[Date]],'DB Money Supply'!$A:$D,4)</f>
        <v>2465.9</v>
      </c>
      <c r="C1996" s="31">
        <f>(Table2634[[#This Row],[M1 Money Stock, Billions of Dollars, Weekly, Seasonally Adjusted]]-B1995)/B1995</f>
        <v>-1.4173483437272211E-3</v>
      </c>
      <c r="D1996" s="35">
        <f>((1+Table2634[[#This Row],[Weekly change]])^52)-1</f>
        <v>-7.1100190865706958E-2</v>
      </c>
      <c r="E1996" s="25">
        <f t="shared" si="31"/>
        <v>2473.4</v>
      </c>
      <c r="F1996" s="33">
        <f>(Table2634[[#This Row],[4 weeks average]]-B1944)/B1944</f>
        <v>0.11898298950416214</v>
      </c>
    </row>
    <row r="1997" spans="1:6" x14ac:dyDescent="0.2">
      <c r="A1997" s="23">
        <v>41337</v>
      </c>
      <c r="B1997" s="25">
        <f>VLOOKUP(Table2634[[#This Row],[Date]],'DB Money Supply'!$A:$D,4)</f>
        <v>2461.8000000000002</v>
      </c>
      <c r="C1997" s="31">
        <f>(Table2634[[#This Row],[M1 Money Stock, Billions of Dollars, Weekly, Seasonally Adjusted]]-B1996)/B1996</f>
        <v>-1.6626789407518184E-3</v>
      </c>
      <c r="D1997" s="35">
        <f>((1+Table2634[[#This Row],[Weekly change]])^52)-1</f>
        <v>-8.2893122005194386E-2</v>
      </c>
      <c r="E1997" s="25">
        <f t="shared" si="31"/>
        <v>2470.3500000000004</v>
      </c>
      <c r="F1997" s="33">
        <f>(Table2634[[#This Row],[4 weeks average]]-B1945)/B1945</f>
        <v>0.11593711885079305</v>
      </c>
    </row>
    <row r="1998" spans="1:6" x14ac:dyDescent="0.2">
      <c r="A1998" s="23">
        <v>41344</v>
      </c>
      <c r="B1998" s="25">
        <f>VLOOKUP(Table2634[[#This Row],[Date]],'DB Money Supply'!$A:$D,4)</f>
        <v>2468.3000000000002</v>
      </c>
      <c r="C1998" s="31">
        <f>(Table2634[[#This Row],[M1 Money Stock, Billions of Dollars, Weekly, Seasonally Adjusted]]-B1997)/B1997</f>
        <v>2.6403444634007633E-3</v>
      </c>
      <c r="D1998" s="35">
        <f>((1+Table2634[[#This Row],[Weekly change]])^52)-1</f>
        <v>0.14696230501710872</v>
      </c>
      <c r="E1998" s="25">
        <f t="shared" si="31"/>
        <v>2466.3500000000004</v>
      </c>
      <c r="F1998" s="33">
        <f>(Table2634[[#This Row],[4 weeks average]]-B1946)/B1946</f>
        <v>0.10653237022746657</v>
      </c>
    </row>
    <row r="1999" spans="1:6" x14ac:dyDescent="0.2">
      <c r="A1999" s="23">
        <v>41351</v>
      </c>
      <c r="B1999" s="25">
        <f>VLOOKUP(Table2634[[#This Row],[Date]],'DB Money Supply'!$A:$D,4)</f>
        <v>2466.8000000000002</v>
      </c>
      <c r="C1999" s="31">
        <f>(Table2634[[#This Row],[M1 Money Stock, Billions of Dollars, Weekly, Seasonally Adjusted]]-B1998)/B1998</f>
        <v>-6.0770570838228734E-4</v>
      </c>
      <c r="D1999" s="35">
        <f>((1+Table2634[[#This Row],[Weekly change]])^52)-1</f>
        <v>-3.1115919960557958E-2</v>
      </c>
      <c r="E1999" s="25">
        <f t="shared" si="31"/>
        <v>2465.7000000000003</v>
      </c>
      <c r="F1999" s="33">
        <f>(Table2634[[#This Row],[4 weeks average]]-B1947)/B1947</f>
        <v>0.10673728623367304</v>
      </c>
    </row>
    <row r="2000" spans="1:6" x14ac:dyDescent="0.2">
      <c r="A2000" s="23">
        <v>41358</v>
      </c>
      <c r="B2000" s="25">
        <f>VLOOKUP(Table2634[[#This Row],[Date]],'DB Money Supply'!$A:$D,4)</f>
        <v>2488.8000000000002</v>
      </c>
      <c r="C2000" s="31">
        <f>(Table2634[[#This Row],[M1 Money Stock, Billions of Dollars, Weekly, Seasonally Adjusted]]-B1999)/B1999</f>
        <v>8.9184368412518235E-3</v>
      </c>
      <c r="D2000" s="35">
        <f>((1+Table2634[[#This Row],[Weekly change]])^52)-1</f>
        <v>0.58677384749606176</v>
      </c>
      <c r="E2000" s="25">
        <f t="shared" si="31"/>
        <v>2471.4250000000002</v>
      </c>
      <c r="F2000" s="33">
        <f>(Table2634[[#This Row],[4 weeks average]]-B1948)/B1948</f>
        <v>0.10965562140804615</v>
      </c>
    </row>
    <row r="2001" spans="1:6" x14ac:dyDescent="0.2">
      <c r="A2001" s="23">
        <v>41365</v>
      </c>
      <c r="B2001" s="25">
        <f>VLOOKUP(Table2634[[#This Row],[Date]],'DB Money Supply'!$A:$D,4)</f>
        <v>2511.8000000000002</v>
      </c>
      <c r="C2001" s="31">
        <f>(Table2634[[#This Row],[M1 Money Stock, Billions of Dollars, Weekly, Seasonally Adjusted]]-B2000)/B2000</f>
        <v>9.2414014786242355E-3</v>
      </c>
      <c r="D2001" s="35">
        <f>((1+Table2634[[#This Row],[Weekly change]])^52)-1</f>
        <v>0.61340357934867318</v>
      </c>
      <c r="E2001" s="25">
        <f t="shared" si="31"/>
        <v>2483.9250000000002</v>
      </c>
      <c r="F2001" s="33">
        <f>(Table2634[[#This Row],[4 weeks average]]-B1949)/B1949</f>
        <v>0.10539139335143086</v>
      </c>
    </row>
    <row r="2002" spans="1:6" x14ac:dyDescent="0.2">
      <c r="A2002" s="23">
        <v>41372</v>
      </c>
      <c r="B2002" s="25">
        <f>VLOOKUP(Table2634[[#This Row],[Date]],'DB Money Supply'!$A:$D,4)</f>
        <v>2486.3000000000002</v>
      </c>
      <c r="C2002" s="31">
        <f>(Table2634[[#This Row],[M1 Money Stock, Billions of Dollars, Weekly, Seasonally Adjusted]]-B2001)/B2001</f>
        <v>-1.0152082172147463E-2</v>
      </c>
      <c r="D2002" s="35">
        <f>((1+Table2634[[#This Row],[Weekly change]])^52)-1</f>
        <v>-0.41175175364738337</v>
      </c>
      <c r="E2002" s="25">
        <f t="shared" si="31"/>
        <v>2488.4250000000002</v>
      </c>
      <c r="F2002" s="33">
        <f>(Table2634[[#This Row],[4 weeks average]]-B1950)/B1950</f>
        <v>0.1060158229254634</v>
      </c>
    </row>
    <row r="2003" spans="1:6" x14ac:dyDescent="0.2">
      <c r="A2003" s="23">
        <v>41379</v>
      </c>
      <c r="B2003" s="25">
        <f>VLOOKUP(Table2634[[#This Row],[Date]],'DB Money Supply'!$A:$D,4)</f>
        <v>2514.6</v>
      </c>
      <c r="C2003" s="31">
        <f>(Table2634[[#This Row],[M1 Money Stock, Billions of Dollars, Weekly, Seasonally Adjusted]]-B2002)/B2002</f>
        <v>1.138237541728662E-2</v>
      </c>
      <c r="D2003" s="35">
        <f>((1+Table2634[[#This Row],[Weekly change]])^52)-1</f>
        <v>0.80135713807119702</v>
      </c>
      <c r="E2003" s="25">
        <f t="shared" si="31"/>
        <v>2500.375</v>
      </c>
      <c r="F2003" s="33">
        <f>(Table2634[[#This Row],[4 weeks average]]-B1951)/B1951</f>
        <v>0.11534258185386734</v>
      </c>
    </row>
    <row r="2004" spans="1:6" x14ac:dyDescent="0.2">
      <c r="A2004" s="23">
        <v>41386</v>
      </c>
      <c r="B2004" s="25">
        <f>VLOOKUP(Table2634[[#This Row],[Date]],'DB Money Supply'!$A:$D,4)</f>
        <v>2527.4</v>
      </c>
      <c r="C2004" s="31">
        <f>(Table2634[[#This Row],[M1 Money Stock, Billions of Dollars, Weekly, Seasonally Adjusted]]-B2003)/B2003</f>
        <v>5.0902728068083127E-3</v>
      </c>
      <c r="D2004" s="35">
        <f>((1+Table2634[[#This Row],[Weekly change]])^52)-1</f>
        <v>0.30215785990814603</v>
      </c>
      <c r="E2004" s="25">
        <f t="shared" si="31"/>
        <v>2510.0250000000001</v>
      </c>
      <c r="F2004" s="33">
        <f>(Table2634[[#This Row],[4 weeks average]]-B1952)/B1952</f>
        <v>0.11685725727507341</v>
      </c>
    </row>
    <row r="2005" spans="1:6" x14ac:dyDescent="0.2">
      <c r="A2005" s="23">
        <v>41393</v>
      </c>
      <c r="B2005" s="25">
        <f>VLOOKUP(Table2634[[#This Row],[Date]],'DB Money Supply'!$A:$D,4)</f>
        <v>2534.5</v>
      </c>
      <c r="C2005" s="31">
        <f>(Table2634[[#This Row],[M1 Money Stock, Billions of Dollars, Weekly, Seasonally Adjusted]]-B2004)/B2004</f>
        <v>2.8092110469256585E-3</v>
      </c>
      <c r="D2005" s="35">
        <f>((1+Table2634[[#This Row],[Weekly change]])^52)-1</f>
        <v>0.15705059249916853</v>
      </c>
      <c r="E2005" s="25">
        <f t="shared" si="31"/>
        <v>2515.6999999999998</v>
      </c>
      <c r="F2005" s="33">
        <f>(Table2634[[#This Row],[4 weeks average]]-B1953)/B1953</f>
        <v>0.11635234080319495</v>
      </c>
    </row>
    <row r="2006" spans="1:6" x14ac:dyDescent="0.2">
      <c r="A2006" s="23">
        <v>41400</v>
      </c>
      <c r="B2006" s="25">
        <f>VLOOKUP(Table2634[[#This Row],[Date]],'DB Money Supply'!$A:$D,4)</f>
        <v>2501.5</v>
      </c>
      <c r="C2006" s="31">
        <f>(Table2634[[#This Row],[M1 Money Stock, Billions of Dollars, Weekly, Seasonally Adjusted]]-B2005)/B2005</f>
        <v>-1.3020319589662656E-2</v>
      </c>
      <c r="D2006" s="35">
        <f>((1+Table2634[[#This Row],[Weekly change]])^52)-1</f>
        <v>-0.49414388264068865</v>
      </c>
      <c r="E2006" s="25">
        <f t="shared" si="31"/>
        <v>2519.5</v>
      </c>
      <c r="F2006" s="33">
        <f>(Table2634[[#This Row],[4 weeks average]]-B1954)/B1954</f>
        <v>0.12412439209387401</v>
      </c>
    </row>
    <row r="2007" spans="1:6" x14ac:dyDescent="0.2">
      <c r="A2007" s="23">
        <v>41407</v>
      </c>
      <c r="B2007" s="25">
        <f>VLOOKUP(Table2634[[#This Row],[Date]],'DB Money Supply'!$A:$D,4)</f>
        <v>2523.3000000000002</v>
      </c>
      <c r="C2007" s="31">
        <f>(Table2634[[#This Row],[M1 Money Stock, Billions of Dollars, Weekly, Seasonally Adjusted]]-B2006)/B2006</f>
        <v>8.7147711373176829E-3</v>
      </c>
      <c r="D2007" s="35">
        <f>((1+Table2634[[#This Row],[Weekly change]])^52)-1</f>
        <v>0.57020293477963357</v>
      </c>
      <c r="E2007" s="25">
        <f t="shared" si="31"/>
        <v>2521.6750000000002</v>
      </c>
      <c r="F2007" s="33">
        <f>(Table2634[[#This Row],[4 weeks average]]-B1955)/B1955</f>
        <v>0.11219291668504387</v>
      </c>
    </row>
    <row r="2008" spans="1:6" x14ac:dyDescent="0.2">
      <c r="A2008" s="23">
        <v>41414</v>
      </c>
      <c r="B2008" s="25">
        <f>VLOOKUP(Table2634[[#This Row],[Date]],'DB Money Supply'!$A:$D,4)</f>
        <v>2524.1</v>
      </c>
      <c r="C2008" s="31">
        <f>(Table2634[[#This Row],[M1 Money Stock, Billions of Dollars, Weekly, Seasonally Adjusted]]-B2007)/B2007</f>
        <v>3.1704513930159994E-4</v>
      </c>
      <c r="D2008" s="35">
        <f>((1+Table2634[[#This Row],[Weekly change]])^52)-1</f>
        <v>1.6620340648535015E-2</v>
      </c>
      <c r="E2008" s="25">
        <f t="shared" si="31"/>
        <v>2520.85</v>
      </c>
      <c r="F2008" s="33">
        <f>(Table2634[[#This Row],[4 weeks average]]-B1956)/B1956</f>
        <v>0.11448339891241868</v>
      </c>
    </row>
    <row r="2009" spans="1:6" x14ac:dyDescent="0.2">
      <c r="A2009" s="23">
        <v>41421</v>
      </c>
      <c r="B2009" s="25">
        <f>VLOOKUP(Table2634[[#This Row],[Date]],'DB Money Supply'!$A:$D,4)</f>
        <v>2535.9</v>
      </c>
      <c r="C2009" s="31">
        <f>(Table2634[[#This Row],[M1 Money Stock, Billions of Dollars, Weekly, Seasonally Adjusted]]-B2008)/B2008</f>
        <v>4.6749336397132373E-3</v>
      </c>
      <c r="D2009" s="35">
        <f>((1+Table2634[[#This Row],[Weekly change]])^52)-1</f>
        <v>0.27446958962746781</v>
      </c>
      <c r="E2009" s="25">
        <f t="shared" si="31"/>
        <v>2521.1999999999998</v>
      </c>
      <c r="F2009" s="33">
        <f>(Table2634[[#This Row],[4 weeks average]]-B1957)/B1957</f>
        <v>0.1172560489231587</v>
      </c>
    </row>
    <row r="2010" spans="1:6" x14ac:dyDescent="0.2">
      <c r="A2010" s="23">
        <v>41428</v>
      </c>
      <c r="B2010" s="25">
        <f>VLOOKUP(Table2634[[#This Row],[Date]],'DB Money Supply'!$A:$D,4)</f>
        <v>2585.8000000000002</v>
      </c>
      <c r="C2010" s="31">
        <f>(Table2634[[#This Row],[M1 Money Stock, Billions of Dollars, Weekly, Seasonally Adjusted]]-B2009)/B2009</f>
        <v>1.9677432075397329E-2</v>
      </c>
      <c r="D2010" s="35">
        <f>((1+Table2634[[#This Row],[Weekly change]])^52)-1</f>
        <v>1.7546472082073969</v>
      </c>
      <c r="E2010" s="25">
        <f t="shared" si="31"/>
        <v>2542.2749999999996</v>
      </c>
      <c r="F2010" s="33">
        <f>(Table2634[[#This Row],[4 weeks average]]-B1958)/B1958</f>
        <v>0.12729469670095772</v>
      </c>
    </row>
    <row r="2011" spans="1:6" x14ac:dyDescent="0.2">
      <c r="A2011" s="23">
        <v>41435</v>
      </c>
      <c r="B2011" s="25">
        <f>VLOOKUP(Table2634[[#This Row],[Date]],'DB Money Supply'!$A:$D,4)</f>
        <v>2538.9</v>
      </c>
      <c r="C2011" s="31">
        <f>(Table2634[[#This Row],[M1 Money Stock, Billions of Dollars, Weekly, Seasonally Adjusted]]-B2010)/B2010</f>
        <v>-1.8137520303194404E-2</v>
      </c>
      <c r="D2011" s="35">
        <f>((1+Table2634[[#This Row],[Weekly change]])^52)-1</f>
        <v>-0.61395800371386655</v>
      </c>
      <c r="E2011" s="25">
        <f t="shared" si="31"/>
        <v>2546.1750000000002</v>
      </c>
      <c r="F2011" s="33">
        <f>(Table2634[[#This Row],[4 weeks average]]-B1959)/B1959</f>
        <v>0.11162409954158489</v>
      </c>
    </row>
    <row r="2012" spans="1:6" x14ac:dyDescent="0.2">
      <c r="A2012" s="23">
        <v>41442</v>
      </c>
      <c r="B2012" s="25">
        <f>VLOOKUP(Table2634[[#This Row],[Date]],'DB Money Supply'!$A:$D,4)</f>
        <v>2513.1999999999998</v>
      </c>
      <c r="C2012" s="31">
        <f>(Table2634[[#This Row],[M1 Money Stock, Billions of Dollars, Weekly, Seasonally Adjusted]]-B2011)/B2011</f>
        <v>-1.0122493993461842E-2</v>
      </c>
      <c r="D2012" s="35">
        <f>((1+Table2634[[#This Row],[Weekly change]])^52)-1</f>
        <v>-0.41083670366347902</v>
      </c>
      <c r="E2012" s="25">
        <f t="shared" si="31"/>
        <v>2543.4499999999998</v>
      </c>
      <c r="F2012" s="33">
        <f>(Table2634[[#This Row],[4 weeks average]]-B1960)/B1960</f>
        <v>0.11819660599665872</v>
      </c>
    </row>
    <row r="2013" spans="1:6" x14ac:dyDescent="0.2">
      <c r="A2013" s="23">
        <v>41449</v>
      </c>
      <c r="B2013" s="25">
        <f>VLOOKUP(Table2634[[#This Row],[Date]],'DB Money Supply'!$A:$D,4)</f>
        <v>2522.4</v>
      </c>
      <c r="C2013" s="31">
        <f>(Table2634[[#This Row],[M1 Money Stock, Billions of Dollars, Weekly, Seasonally Adjusted]]-B2012)/B2012</f>
        <v>3.6606716536687384E-3</v>
      </c>
      <c r="D2013" s="35">
        <f>((1+Table2634[[#This Row],[Weekly change]])^52)-1</f>
        <v>0.20925849838022437</v>
      </c>
      <c r="E2013" s="25">
        <f t="shared" si="31"/>
        <v>2540.0750000000003</v>
      </c>
      <c r="F2013" s="33">
        <f>(Table2634[[#This Row],[4 weeks average]]-B1961)/B1961</f>
        <v>0.11754806634695771</v>
      </c>
    </row>
    <row r="2014" spans="1:6" x14ac:dyDescent="0.2">
      <c r="A2014" s="23">
        <v>41456</v>
      </c>
      <c r="B2014" s="25">
        <f>VLOOKUP(Table2634[[#This Row],[Date]],'DB Money Supply'!$A:$D,4)</f>
        <v>2526.6</v>
      </c>
      <c r="C2014" s="31">
        <f>(Table2634[[#This Row],[M1 Money Stock, Billions of Dollars, Weekly, Seasonally Adjusted]]-B2013)/B2013</f>
        <v>1.6650808753567309E-3</v>
      </c>
      <c r="D2014" s="35">
        <f>((1+Table2634[[#This Row],[Weekly change]])^52)-1</f>
        <v>9.0364670722890672E-2</v>
      </c>
      <c r="E2014" s="25">
        <f t="shared" si="31"/>
        <v>2525.2750000000001</v>
      </c>
      <c r="F2014" s="33">
        <f>(Table2634[[#This Row],[4 weeks average]]-B1962)/B1962</f>
        <v>0.10544344247942566</v>
      </c>
    </row>
    <row r="2015" spans="1:6" x14ac:dyDescent="0.2">
      <c r="A2015" s="23">
        <v>41463</v>
      </c>
      <c r="B2015" s="25">
        <f>VLOOKUP(Table2634[[#This Row],[Date]],'DB Money Supply'!$A:$D,4)</f>
        <v>2526.9</v>
      </c>
      <c r="C2015" s="31">
        <f>(Table2634[[#This Row],[M1 Money Stock, Billions of Dollars, Weekly, Seasonally Adjusted]]-B2014)/B2014</f>
        <v>1.1873664212783262E-4</v>
      </c>
      <c r="D2015" s="35">
        <f>((1+Table2634[[#This Row],[Weekly change]])^52)-1</f>
        <v>6.193036905204119E-3</v>
      </c>
      <c r="E2015" s="25">
        <f t="shared" si="31"/>
        <v>2522.2750000000001</v>
      </c>
      <c r="F2015" s="33">
        <f>(Table2634[[#This Row],[4 weeks average]]-B1963)/B1963</f>
        <v>7.9048128342246032E-2</v>
      </c>
    </row>
    <row r="2016" spans="1:6" x14ac:dyDescent="0.2">
      <c r="A2016" s="23">
        <v>41470</v>
      </c>
      <c r="B2016" s="25">
        <f>VLOOKUP(Table2634[[#This Row],[Date]],'DB Money Supply'!$A:$D,4)</f>
        <v>2544</v>
      </c>
      <c r="C2016" s="31">
        <f>(Table2634[[#This Row],[M1 Money Stock, Billions of Dollars, Weekly, Seasonally Adjusted]]-B2015)/B2015</f>
        <v>6.7671850884482602E-3</v>
      </c>
      <c r="D2016" s="35">
        <f>((1+Table2634[[#This Row],[Weekly change]])^52)-1</f>
        <v>0.42007303653552586</v>
      </c>
      <c r="E2016" s="25">
        <f t="shared" si="31"/>
        <v>2529.9749999999999</v>
      </c>
      <c r="F2016" s="33">
        <f>(Table2634[[#This Row],[4 weeks average]]-B1964)/B1964</f>
        <v>9.2295570330714144E-2</v>
      </c>
    </row>
    <row r="2017" spans="1:6" x14ac:dyDescent="0.2">
      <c r="A2017" s="23">
        <v>41477</v>
      </c>
      <c r="B2017" s="25">
        <f>VLOOKUP(Table2634[[#This Row],[Date]],'DB Money Supply'!$A:$D,4)</f>
        <v>2565.6</v>
      </c>
      <c r="C2017" s="31">
        <f>(Table2634[[#This Row],[M1 Money Stock, Billions of Dollars, Weekly, Seasonally Adjusted]]-B2016)/B2016</f>
        <v>8.4905660377358125E-3</v>
      </c>
      <c r="D2017" s="35">
        <f>((1+Table2634[[#This Row],[Weekly change]])^52)-1</f>
        <v>0.55215710453149325</v>
      </c>
      <c r="E2017" s="25">
        <f t="shared" si="31"/>
        <v>2540.7750000000001</v>
      </c>
      <c r="F2017" s="33">
        <f>(Table2634[[#This Row],[4 weeks average]]-B1965)/B1965</f>
        <v>9.6248435949432748E-2</v>
      </c>
    </row>
    <row r="2018" spans="1:6" x14ac:dyDescent="0.2">
      <c r="A2018" s="23">
        <v>41484</v>
      </c>
      <c r="B2018" s="25">
        <f>VLOOKUP(Table2634[[#This Row],[Date]],'DB Money Supply'!$A:$D,4)</f>
        <v>2552.1999999999998</v>
      </c>
      <c r="C2018" s="31">
        <f>(Table2634[[#This Row],[M1 Money Stock, Billions of Dollars, Weekly, Seasonally Adjusted]]-B2017)/B2017</f>
        <v>-5.2229497973184016E-3</v>
      </c>
      <c r="D2018" s="35">
        <f>((1+Table2634[[#This Row],[Weekly change]])^52)-1</f>
        <v>-0.23837816660024835</v>
      </c>
      <c r="E2018" s="25">
        <f t="shared" si="31"/>
        <v>2547.1750000000002</v>
      </c>
      <c r="F2018" s="33">
        <f>(Table2634[[#This Row],[4 weeks average]]-B1966)/B1966</f>
        <v>0.10186226586494804</v>
      </c>
    </row>
    <row r="2019" spans="1:6" x14ac:dyDescent="0.2">
      <c r="A2019" s="23">
        <v>41491</v>
      </c>
      <c r="B2019" s="25">
        <f>VLOOKUP(Table2634[[#This Row],[Date]],'DB Money Supply'!$A:$D,4)</f>
        <v>2533.6</v>
      </c>
      <c r="C2019" s="31">
        <f>(Table2634[[#This Row],[M1 Money Stock, Billions of Dollars, Weekly, Seasonally Adjusted]]-B2018)/B2018</f>
        <v>-7.2878301073583222E-3</v>
      </c>
      <c r="D2019" s="35">
        <f>((1+Table2634[[#This Row],[Weekly change]])^52)-1</f>
        <v>-0.31638120633521283</v>
      </c>
      <c r="E2019" s="25">
        <f t="shared" si="31"/>
        <v>2548.85</v>
      </c>
      <c r="F2019" s="33">
        <f>(Table2634[[#This Row],[4 weeks average]]-B1967)/B1967</f>
        <v>0.10311174586687441</v>
      </c>
    </row>
    <row r="2020" spans="1:6" x14ac:dyDescent="0.2">
      <c r="A2020" s="23">
        <v>41498</v>
      </c>
      <c r="B2020" s="25">
        <f>VLOOKUP(Table2634[[#This Row],[Date]],'DB Money Supply'!$A:$D,4)</f>
        <v>2545.5</v>
      </c>
      <c r="C2020" s="31">
        <f>(Table2634[[#This Row],[M1 Money Stock, Billions of Dollars, Weekly, Seasonally Adjusted]]-B2019)/B2019</f>
        <v>4.6968740132617981E-3</v>
      </c>
      <c r="D2020" s="35">
        <f>((1+Table2634[[#This Row],[Weekly change]])^52)-1</f>
        <v>0.2759176715777456</v>
      </c>
      <c r="E2020" s="25">
        <f t="shared" si="31"/>
        <v>2549.2249999999999</v>
      </c>
      <c r="F2020" s="33">
        <f>(Table2634[[#This Row],[4 weeks average]]-B1968)/B1968</f>
        <v>8.4776595744680813E-2</v>
      </c>
    </row>
    <row r="2021" spans="1:6" x14ac:dyDescent="0.2">
      <c r="A2021" s="23">
        <v>41505</v>
      </c>
      <c r="B2021" s="25">
        <f>VLOOKUP(Table2634[[#This Row],[Date]],'DB Money Supply'!$A:$D,4)</f>
        <v>2537.8000000000002</v>
      </c>
      <c r="C2021" s="31">
        <f>(Table2634[[#This Row],[M1 Money Stock, Billions of Dollars, Weekly, Seasonally Adjusted]]-B2020)/B2020</f>
        <v>-3.0249459831073731E-3</v>
      </c>
      <c r="D2021" s="35">
        <f>((1+Table2634[[#This Row],[Weekly change]])^52)-1</f>
        <v>-0.14575358079598943</v>
      </c>
      <c r="E2021" s="25">
        <f t="shared" si="31"/>
        <v>2542.2749999999996</v>
      </c>
      <c r="F2021" s="33">
        <f>(Table2634[[#This Row],[4 weeks average]]-B1969)/B1969</f>
        <v>8.560722521137562E-2</v>
      </c>
    </row>
    <row r="2022" spans="1:6" x14ac:dyDescent="0.2">
      <c r="A2022" s="23">
        <v>41512</v>
      </c>
      <c r="B2022" s="25">
        <f>VLOOKUP(Table2634[[#This Row],[Date]],'DB Money Supply'!$A:$D,4)</f>
        <v>2562.8000000000002</v>
      </c>
      <c r="C2022" s="31">
        <f>(Table2634[[#This Row],[M1 Money Stock, Billions of Dollars, Weekly, Seasonally Adjusted]]-B2021)/B2021</f>
        <v>9.8510520923634631E-3</v>
      </c>
      <c r="D2022" s="35">
        <f>((1+Table2634[[#This Row],[Weekly change]])^52)-1</f>
        <v>0.66487165055399733</v>
      </c>
      <c r="E2022" s="25">
        <f t="shared" si="31"/>
        <v>2544.9250000000002</v>
      </c>
      <c r="F2022" s="33">
        <f>(Table2634[[#This Row],[4 weeks average]]-B1970)/B1970</f>
        <v>8.4700792771289904E-2</v>
      </c>
    </row>
    <row r="2023" spans="1:6" x14ac:dyDescent="0.2">
      <c r="A2023" s="23">
        <v>41519</v>
      </c>
      <c r="B2023" s="25">
        <f>VLOOKUP(Table2634[[#This Row],[Date]],'DB Money Supply'!$A:$D,4)</f>
        <v>2585.5</v>
      </c>
      <c r="C2023" s="31">
        <f>(Table2634[[#This Row],[M1 Money Stock, Billions of Dollars, Weekly, Seasonally Adjusted]]-B2022)/B2022</f>
        <v>8.857499609801707E-3</v>
      </c>
      <c r="D2023" s="35">
        <f>((1+Table2634[[#This Row],[Weekly change]])^52)-1</f>
        <v>0.5817978940088826</v>
      </c>
      <c r="E2023" s="25">
        <f t="shared" si="31"/>
        <v>2557.9</v>
      </c>
      <c r="F2023" s="33">
        <f>(Table2634[[#This Row],[4 weeks average]]-B1971)/B1971</f>
        <v>5.6677820465154821E-2</v>
      </c>
    </row>
    <row r="2024" spans="1:6" x14ac:dyDescent="0.2">
      <c r="A2024" s="34">
        <v>41526</v>
      </c>
      <c r="B2024" s="25">
        <f>VLOOKUP(Table2634[[#This Row],[Date]],'DB Money Supply'!$A:$D,4)</f>
        <v>2581.1999999999998</v>
      </c>
      <c r="C2024" s="31">
        <f>(Table2634[[#This Row],[M1 Money Stock, Billions of Dollars, Weekly, Seasonally Adjusted]]-B2023)/B2023</f>
        <v>-1.6631212531425959E-3</v>
      </c>
      <c r="D2024" s="35">
        <f>(Table2634[[#This Row],[M1 Money Stock, Billions of Dollars, Weekly, Seasonally Adjusted]]-B2021)/B2021</f>
        <v>1.7101426432342831E-2</v>
      </c>
      <c r="E2024" s="25">
        <f t="shared" si="31"/>
        <v>2566.8249999999998</v>
      </c>
      <c r="F2024" s="33">
        <f>(Table2634[[#This Row],[4 weeks average]]-B1972)/B1972</f>
        <v>6.7109420470607681E-2</v>
      </c>
    </row>
    <row r="2025" spans="1:6" x14ac:dyDescent="0.2">
      <c r="A2025" s="34">
        <v>41533</v>
      </c>
      <c r="B2025" s="25">
        <f>VLOOKUP(Table2634[[#This Row],[Date]],'DB Money Supply'!$A:$D,4)</f>
        <v>2572.1</v>
      </c>
      <c r="C2025" s="31">
        <f>(Table2634[[#This Row],[M1 Money Stock, Billions of Dollars, Weekly, Seasonally Adjusted]]-B2024)/B2024</f>
        <v>-3.5254920192158336E-3</v>
      </c>
      <c r="D2025" s="35">
        <f>(Table2634[[#This Row],[M1 Money Stock, Billions of Dollars, Weekly, Seasonally Adjusted]]-B2022)/B2022</f>
        <v>3.62884345247375E-3</v>
      </c>
      <c r="E2025" s="25">
        <f t="shared" si="31"/>
        <v>2575.4</v>
      </c>
      <c r="F2025" s="33">
        <f>(Table2634[[#This Row],[4 weeks average]]-B1973)/B1973</f>
        <v>8.2282736594385689E-2</v>
      </c>
    </row>
    <row r="2026" spans="1:6" x14ac:dyDescent="0.2">
      <c r="A2026" s="34">
        <v>41540</v>
      </c>
      <c r="B2026" s="25">
        <f>VLOOKUP(Table2634[[#This Row],[Date]],'DB Money Supply'!$A:$D,4)</f>
        <v>2590.6999999999998</v>
      </c>
      <c r="C2026" s="31">
        <f>(Table2634[[#This Row],[M1 Money Stock, Billions of Dollars, Weekly, Seasonally Adjusted]]-B2025)/B2025</f>
        <v>7.2314451226623807E-3</v>
      </c>
      <c r="D2026" s="35">
        <f>(Table2634[[#This Row],[M1 Money Stock, Billions of Dollars, Weekly, Seasonally Adjusted]]-B2023)/B2023</f>
        <v>2.0112163991490304E-3</v>
      </c>
      <c r="E2026" s="25">
        <f t="shared" si="31"/>
        <v>2582.375</v>
      </c>
      <c r="F2026" s="33">
        <f>(Table2634[[#This Row],[4 weeks average]]-B1974)/B1974</f>
        <v>8.5670142100395238E-2</v>
      </c>
    </row>
    <row r="2027" spans="1:6" x14ac:dyDescent="0.2">
      <c r="A2027" s="34">
        <v>41547</v>
      </c>
      <c r="B2027" s="25">
        <f>VLOOKUP(Table2634[[#This Row],[Date]],'DB Money Supply'!$A:$D,4)</f>
        <v>2589.9</v>
      </c>
      <c r="C2027" s="31">
        <f>(Table2634[[#This Row],[M1 Money Stock, Billions of Dollars, Weekly, Seasonally Adjusted]]-B2026)/B2026</f>
        <v>-3.0879685027202191E-4</v>
      </c>
      <c r="D2027" s="35">
        <f>(Table2634[[#This Row],[M1 Money Stock, Billions of Dollars, Weekly, Seasonally Adjusted]]-B2024)/B2024</f>
        <v>3.3705253370526398E-3</v>
      </c>
      <c r="E2027" s="25">
        <f t="shared" si="31"/>
        <v>2583.4749999999999</v>
      </c>
      <c r="F2027" s="33">
        <f>(Table2634[[#This Row],[4 weeks average]]-B1975)/B1975</f>
        <v>8.4400184687709795E-2</v>
      </c>
    </row>
    <row r="2028" spans="1:6" x14ac:dyDescent="0.2">
      <c r="A2028" s="34">
        <v>41554</v>
      </c>
      <c r="B2028" s="25">
        <f>VLOOKUP(Table2634[[#This Row],[Date]],'DB Money Supply'!$A:$D,4)</f>
        <v>2568.8000000000002</v>
      </c>
      <c r="C2028" s="31">
        <f>(Table2634[[#This Row],[M1 Money Stock, Billions of Dollars, Weekly, Seasonally Adjusted]]-B2027)/B2027</f>
        <v>-8.1470327039653689E-3</v>
      </c>
      <c r="D2028" s="35">
        <f>(Table2634[[#This Row],[M1 Money Stock, Billions of Dollars, Weekly, Seasonally Adjusted]]-B2025)/B2025</f>
        <v>-1.2829983282141935E-3</v>
      </c>
      <c r="E2028" s="25">
        <f t="shared" si="31"/>
        <v>2580.375</v>
      </c>
      <c r="F2028" s="33">
        <f>(Table2634[[#This Row],[4 weeks average]]-B1976)/B1976</f>
        <v>6.5214250330250953E-2</v>
      </c>
    </row>
    <row r="2029" spans="1:6" x14ac:dyDescent="0.2">
      <c r="A2029" s="34">
        <v>41561</v>
      </c>
      <c r="B2029" s="25">
        <f>VLOOKUP(Table2634[[#This Row],[Date]],'DB Money Supply'!$A:$D,4)</f>
        <v>2641.1</v>
      </c>
      <c r="C2029" s="31">
        <f>(Table2634[[#This Row],[M1 Money Stock, Billions of Dollars, Weekly, Seasonally Adjusted]]-B2028)/B2028</f>
        <v>2.8145437558392914E-2</v>
      </c>
      <c r="D2029" s="35">
        <f>(Table2634[[#This Row],[M1 Money Stock, Billions of Dollars, Weekly, Seasonally Adjusted]]-B2026)/B2026</f>
        <v>1.9454201567144051E-2</v>
      </c>
      <c r="E2029" s="25">
        <f t="shared" si="31"/>
        <v>2597.625</v>
      </c>
      <c r="F2029" s="33">
        <f>(Table2634[[#This Row],[4 weeks average]]-B1977)/B1977</f>
        <v>7.2423829576418214E-2</v>
      </c>
    </row>
    <row r="2030" spans="1:6" x14ac:dyDescent="0.2">
      <c r="A2030" s="34">
        <v>41568</v>
      </c>
      <c r="B2030" s="25">
        <f>VLOOKUP(Table2634[[#This Row],[Date]],'DB Money Supply'!$A:$D,4)</f>
        <v>2662.6</v>
      </c>
      <c r="C2030" s="31">
        <f>(Table2634[[#This Row],[M1 Money Stock, Billions of Dollars, Weekly, Seasonally Adjusted]]-B2029)/B2029</f>
        <v>8.140547499148082E-3</v>
      </c>
      <c r="D2030" s="35">
        <f>(Table2634[[#This Row],[M1 Money Stock, Billions of Dollars, Weekly, Seasonally Adjusted]]-B2027)/B2027</f>
        <v>2.8070581875748027E-2</v>
      </c>
      <c r="E2030" s="25">
        <f t="shared" si="31"/>
        <v>2615.6000000000004</v>
      </c>
      <c r="F2030" s="33">
        <f>(Table2634[[#This Row],[4 weeks average]]-B1978)/B1978</f>
        <v>8.2123205494187446E-2</v>
      </c>
    </row>
    <row r="2031" spans="1:6" x14ac:dyDescent="0.2">
      <c r="A2031" s="34">
        <v>41575</v>
      </c>
      <c r="B2031" s="25">
        <f>VLOOKUP(Table2634[[#This Row],[Date]],'DB Money Supply'!$A:$D,4)</f>
        <v>2625.4</v>
      </c>
      <c r="C2031" s="31">
        <f>(Table2634[[#This Row],[M1 Money Stock, Billions of Dollars, Weekly, Seasonally Adjusted]]-B2030)/B2030</f>
        <v>-1.3971306242019012E-2</v>
      </c>
      <c r="D2031" s="35">
        <f>(Table2634[[#This Row],[M1 Money Stock, Billions of Dollars, Weekly, Seasonally Adjusted]]-B2028)/B2028</f>
        <v>2.2033634381812481E-2</v>
      </c>
      <c r="E2031" s="25">
        <f t="shared" si="31"/>
        <v>2624.4749999999999</v>
      </c>
      <c r="F2031" s="33">
        <f>(Table2634[[#This Row],[4 weeks average]]-B1979)/B1979</f>
        <v>8.0297604346752205E-2</v>
      </c>
    </row>
    <row r="2032" spans="1:6" x14ac:dyDescent="0.2">
      <c r="A2032" s="34">
        <v>41582</v>
      </c>
      <c r="B2032" s="25">
        <f>VLOOKUP(Table2634[[#This Row],[Date]],'DB Money Supply'!$A:$D,4)</f>
        <v>2604.8000000000002</v>
      </c>
      <c r="C2032" s="31">
        <f>(Table2634[[#This Row],[M1 Money Stock, Billions of Dollars, Weekly, Seasonally Adjusted]]-B2031)/B2031</f>
        <v>-7.8464234021482088E-3</v>
      </c>
      <c r="D2032" s="35">
        <f>(Table2634[[#This Row],[M1 Money Stock, Billions of Dollars, Weekly, Seasonally Adjusted]]-B2029)/B2029</f>
        <v>-1.3744273219491775E-2</v>
      </c>
      <c r="E2032" s="25">
        <f t="shared" si="31"/>
        <v>2633.4750000000004</v>
      </c>
      <c r="F2032" s="33">
        <f>(Table2634[[#This Row],[4 weeks average]]-B1980)/B1980</f>
        <v>8.3645378981154039E-2</v>
      </c>
    </row>
    <row r="2033" spans="1:6" x14ac:dyDescent="0.2">
      <c r="A2033" s="34">
        <v>41589</v>
      </c>
      <c r="B2033" s="25">
        <f>VLOOKUP(Table2634[[#This Row],[Date]],'DB Money Supply'!$A:$D,4)</f>
        <v>2615</v>
      </c>
      <c r="C2033" s="31">
        <f>(Table2634[[#This Row],[M1 Money Stock, Billions of Dollars, Weekly, Seasonally Adjusted]]-B2032)/B2032</f>
        <v>3.9158476658475959E-3</v>
      </c>
      <c r="D2033" s="35">
        <f>(Table2634[[#This Row],[M1 Money Stock, Billions of Dollars, Weekly, Seasonally Adjusted]]-B2030)/B2030</f>
        <v>-1.7877262825809325E-2</v>
      </c>
      <c r="E2033" s="25">
        <f t="shared" si="31"/>
        <v>2626.95</v>
      </c>
      <c r="F2033" s="33">
        <f>(Table2634[[#This Row],[4 weeks average]]-B1981)/B1981</f>
        <v>8.7854066589365426E-2</v>
      </c>
    </row>
    <row r="2034" spans="1:6" x14ac:dyDescent="0.2">
      <c r="A2034" s="34">
        <v>41596</v>
      </c>
      <c r="B2034" s="25">
        <f>VLOOKUP(Table2634[[#This Row],[Date]],'DB Money Supply'!$A:$D,4)</f>
        <v>2622.8</v>
      </c>
      <c r="C2034" s="31">
        <f>(Table2634[[#This Row],[M1 Money Stock, Billions of Dollars, Weekly, Seasonally Adjusted]]-B2033)/B2033</f>
        <v>2.9827915869981574E-3</v>
      </c>
      <c r="D2034" s="35">
        <f>(Table2634[[#This Row],[M1 Money Stock, Billions of Dollars, Weekly, Seasonally Adjusted]]-B2031)/B2031</f>
        <v>-9.9032528376624858E-4</v>
      </c>
      <c r="E2034" s="25">
        <f t="shared" si="31"/>
        <v>2617</v>
      </c>
      <c r="F2034" s="33">
        <f>(Table2634[[#This Row],[4 weeks average]]-B1982)/B1982</f>
        <v>8.1181574054947331E-2</v>
      </c>
    </row>
    <row r="2035" spans="1:6" x14ac:dyDescent="0.2">
      <c r="A2035" s="34">
        <v>41603</v>
      </c>
      <c r="B2035" s="25">
        <f>VLOOKUP(Table2634[[#This Row],[Date]],'DB Money Supply'!$A:$D,4)</f>
        <v>2627.9</v>
      </c>
      <c r="C2035" s="31">
        <f>(Table2634[[#This Row],[M1 Money Stock, Billions of Dollars, Weekly, Seasonally Adjusted]]-B2034)/B2034</f>
        <v>1.9444868079914247E-3</v>
      </c>
      <c r="D2035" s="35">
        <f>(Table2634[[#This Row],[M1 Money Stock, Billions of Dollars, Weekly, Seasonally Adjusted]]-B2032)/B2032</f>
        <v>8.8682432432432082E-3</v>
      </c>
      <c r="E2035" s="25">
        <f t="shared" si="31"/>
        <v>2617.625</v>
      </c>
      <c r="F2035" s="33">
        <f>(Table2634[[#This Row],[4 weeks average]]-B1983)/B1983</f>
        <v>8.831905870613678E-2</v>
      </c>
    </row>
    <row r="2036" spans="1:6" x14ac:dyDescent="0.2">
      <c r="A2036" s="34">
        <v>41610</v>
      </c>
      <c r="B2036" s="25">
        <f>VLOOKUP(Table2634[[#This Row],[Date]],'DB Money Supply'!$A:$D,4)</f>
        <v>2654.5</v>
      </c>
      <c r="C2036" s="31">
        <f>(Table2634[[#This Row],[M1 Money Stock, Billions of Dollars, Weekly, Seasonally Adjusted]]-B2035)/B2035</f>
        <v>1.0122150766771911E-2</v>
      </c>
      <c r="D2036" s="35">
        <f>(Table2634[[#This Row],[M1 Money Stock, Billions of Dollars, Weekly, Seasonally Adjusted]]-B2033)/B2033</f>
        <v>1.5105162523900574E-2</v>
      </c>
      <c r="E2036" s="25">
        <f t="shared" si="31"/>
        <v>2630.05</v>
      </c>
      <c r="F2036" s="33">
        <f>(Table2634[[#This Row],[4 weeks average]]-B1984)/B1984</f>
        <v>6.5876393110435735E-2</v>
      </c>
    </row>
    <row r="2037" spans="1:6" x14ac:dyDescent="0.2">
      <c r="A2037" s="34">
        <v>41617</v>
      </c>
      <c r="B2037" s="25">
        <f>VLOOKUP(Table2634[[#This Row],[Date]],'DB Money Supply'!$A:$D,4)</f>
        <v>2672.8</v>
      </c>
      <c r="C2037" s="31">
        <f>(Table2634[[#This Row],[M1 Money Stock, Billions of Dollars, Weekly, Seasonally Adjusted]]-B2036)/B2036</f>
        <v>6.8939536635901988E-3</v>
      </c>
      <c r="D2037" s="35">
        <f>(Table2634[[#This Row],[M1 Money Stock, Billions of Dollars, Weekly, Seasonally Adjusted]]-B2034)/B2034</f>
        <v>1.9063596156779012E-2</v>
      </c>
      <c r="E2037" s="25">
        <f t="shared" si="31"/>
        <v>2644.5</v>
      </c>
      <c r="F2037" s="33">
        <f>(Table2634[[#This Row],[4 weeks average]]-B1985)/B1985</f>
        <v>7.0951281739764227E-2</v>
      </c>
    </row>
    <row r="2038" spans="1:6" x14ac:dyDescent="0.2">
      <c r="A2038" s="34">
        <v>41624</v>
      </c>
      <c r="B2038" s="25">
        <f>VLOOKUP(Table2634[[#This Row],[Date]],'DB Money Supply'!$A:$D,4)</f>
        <v>2656.2</v>
      </c>
      <c r="C2038" s="31">
        <f>(Table2634[[#This Row],[M1 Money Stock, Billions of Dollars, Weekly, Seasonally Adjusted]]-B2037)/B2037</f>
        <v>-6.2107153546843621E-3</v>
      </c>
      <c r="D2038" s="35">
        <f>(Table2634[[#This Row],[M1 Money Stock, Billions of Dollars, Weekly, Seasonally Adjusted]]-B2035)/B2035</f>
        <v>1.0769055139084336E-2</v>
      </c>
      <c r="E2038" s="25">
        <f t="shared" si="31"/>
        <v>2652.85</v>
      </c>
      <c r="F2038" s="33">
        <f>(Table2634[[#This Row],[4 weeks average]]-B1986)/B1986</f>
        <v>8.7857787254982375E-2</v>
      </c>
    </row>
    <row r="2039" spans="1:6" x14ac:dyDescent="0.2">
      <c r="A2039" s="34">
        <v>41631</v>
      </c>
      <c r="B2039" s="25">
        <f>VLOOKUP(Table2634[[#This Row],[Date]],'DB Money Supply'!$A:$D,4)</f>
        <v>2682.7</v>
      </c>
      <c r="C2039" s="31">
        <f>(Table2634[[#This Row],[M1 Money Stock, Billions of Dollars, Weekly, Seasonally Adjusted]]-B2038)/B2038</f>
        <v>9.9766583841578195E-3</v>
      </c>
      <c r="D2039" s="35">
        <f>(Table2634[[#This Row],[M1 Money Stock, Billions of Dollars, Weekly, Seasonally Adjusted]]-B2036)/B2036</f>
        <v>1.0623469579958493E-2</v>
      </c>
      <c r="E2039" s="25">
        <f t="shared" si="31"/>
        <v>2666.55</v>
      </c>
      <c r="F2039" s="33">
        <f>(Table2634[[#This Row],[4 weeks average]]-B1987)/B1987</f>
        <v>7.7655189136760464E-2</v>
      </c>
    </row>
    <row r="2040" spans="1:6" x14ac:dyDescent="0.2">
      <c r="A2040" s="34">
        <v>41638</v>
      </c>
      <c r="B2040" s="25">
        <f>VLOOKUP(Table2634[[#This Row],[Date]],'DB Money Supply'!$A:$D,4)</f>
        <v>2648.4</v>
      </c>
      <c r="C2040" s="31">
        <f>(Table2634[[#This Row],[M1 Money Stock, Billions of Dollars, Weekly, Seasonally Adjusted]]-B2039)/B2039</f>
        <v>-1.2785626421142778E-2</v>
      </c>
      <c r="D2040" s="35">
        <f>(Table2634[[#This Row],[M1 Money Stock, Billions of Dollars, Weekly, Seasonally Adjusted]]-B2037)/B2037</f>
        <v>-9.1290032924274504E-3</v>
      </c>
      <c r="E2040" s="25">
        <f t="shared" si="31"/>
        <v>2665.0250000000001</v>
      </c>
      <c r="F2040" s="33">
        <f>(Table2634[[#This Row],[4 weeks average]]-B1988)/B1988</f>
        <v>8.3475627108997155E-2</v>
      </c>
    </row>
    <row r="2041" spans="1:6" x14ac:dyDescent="0.2">
      <c r="A2041" s="34">
        <v>41645</v>
      </c>
      <c r="B2041" s="25">
        <f>VLOOKUP(Table2634[[#This Row],[Date]],'DB Money Supply'!$A:$D,4)</f>
        <v>2668.2</v>
      </c>
      <c r="C2041" s="31">
        <f>(Table2634[[#This Row],[M1 Money Stock, Billions of Dollars, Weekly, Seasonally Adjusted]]-B2040)/B2040</f>
        <v>7.4762120525599333E-3</v>
      </c>
      <c r="D2041" s="35">
        <f>(Table2634[[#This Row],[M1 Money Stock, Billions of Dollars, Weekly, Seasonally Adjusted]]-B2038)/B2038</f>
        <v>4.5177320984865601E-3</v>
      </c>
      <c r="E2041" s="25">
        <f t="shared" si="31"/>
        <v>2663.875</v>
      </c>
      <c r="F2041" s="33">
        <f>(Table2634[[#This Row],[4 weeks average]]-B1989)/B1989</f>
        <v>8.3052122296308387E-2</v>
      </c>
    </row>
    <row r="2042" spans="1:6" x14ac:dyDescent="0.2">
      <c r="A2042" s="34">
        <v>41652</v>
      </c>
      <c r="B2042" s="25">
        <f>VLOOKUP(Table2634[[#This Row],[Date]],'DB Money Supply'!$A:$D,4)</f>
        <v>2673.9</v>
      </c>
      <c r="C2042" s="31">
        <f>(Table2634[[#This Row],[M1 Money Stock, Billions of Dollars, Weekly, Seasonally Adjusted]]-B2041)/B2041</f>
        <v>2.1362716438049147E-3</v>
      </c>
      <c r="D2042" s="35">
        <f>(Table2634[[#This Row],[M1 Money Stock, Billions of Dollars, Weekly, Seasonally Adjusted]]-B2039)/B2039</f>
        <v>-3.280277332538013E-3</v>
      </c>
      <c r="E2042" s="25">
        <f t="shared" si="31"/>
        <v>2668.3</v>
      </c>
      <c r="F2042" s="33">
        <f>(Table2634[[#This Row],[4 weeks average]]-B1990)/B1990</f>
        <v>7.5884036933994703E-2</v>
      </c>
    </row>
    <row r="2043" spans="1:6" x14ac:dyDescent="0.2">
      <c r="A2043" s="34">
        <v>41659</v>
      </c>
      <c r="B2043" s="25">
        <f>VLOOKUP(Table2634[[#This Row],[Date]],'DB Money Supply'!$A:$D,4)</f>
        <v>2704.5</v>
      </c>
      <c r="C2043" s="31">
        <f>(Table2634[[#This Row],[M1 Money Stock, Billions of Dollars, Weekly, Seasonally Adjusted]]-B2042)/B2042</f>
        <v>1.1443958263211006E-2</v>
      </c>
      <c r="D2043" s="35">
        <f>(Table2634[[#This Row],[M1 Money Stock, Billions of Dollars, Weekly, Seasonally Adjusted]]-B2040)/B2040</f>
        <v>2.1182600815586733E-2</v>
      </c>
      <c r="E2043" s="25">
        <f t="shared" si="31"/>
        <v>2673.75</v>
      </c>
      <c r="F2043" s="33">
        <f>(Table2634[[#This Row],[4 weeks average]]-B1991)/B1991</f>
        <v>7.4442435201928878E-2</v>
      </c>
    </row>
    <row r="2044" spans="1:6" x14ac:dyDescent="0.2">
      <c r="A2044" s="34">
        <v>41666</v>
      </c>
      <c r="B2044" s="25">
        <f>VLOOKUP(Table2634[[#This Row],[Date]],'DB Money Supply'!$A:$D,4)</f>
        <v>2694.1</v>
      </c>
      <c r="C2044" s="31">
        <f>(Table2634[[#This Row],[M1 Money Stock, Billions of Dollars, Weekly, Seasonally Adjusted]]-B2043)/B2043</f>
        <v>-3.8454427805509673E-3</v>
      </c>
      <c r="D2044" s="35">
        <f>(Table2634[[#This Row],[M1 Money Stock, Billions of Dollars, Weekly, Seasonally Adjusted]]-B2041)/B2041</f>
        <v>9.7069185218499714E-3</v>
      </c>
      <c r="E2044" s="25">
        <f t="shared" si="31"/>
        <v>2685.1750000000002</v>
      </c>
      <c r="F2044" s="33">
        <f>(Table2634[[#This Row],[4 weeks average]]-B1992)/B1992</f>
        <v>8.9232110984910101E-2</v>
      </c>
    </row>
    <row r="2045" spans="1:6" x14ac:dyDescent="0.2">
      <c r="A2045" s="34">
        <v>41673</v>
      </c>
      <c r="B2045" s="25">
        <f>VLOOKUP(Table2634[[#This Row],[Date]],'DB Money Supply'!$A:$D,4)</f>
        <v>2766.9</v>
      </c>
      <c r="C2045" s="31">
        <f>(Table2634[[#This Row],[M1 Money Stock, Billions of Dollars, Weekly, Seasonally Adjusted]]-B2044)/B2044</f>
        <v>2.7022011061207891E-2</v>
      </c>
      <c r="D2045" s="35">
        <f>(Table2634[[#This Row],[M1 Money Stock, Billions of Dollars, Weekly, Seasonally Adjusted]]-B2042)/B2042</f>
        <v>3.4780657466621789E-2</v>
      </c>
      <c r="E2045" s="25">
        <f t="shared" si="31"/>
        <v>2709.85</v>
      </c>
      <c r="F2045" s="33">
        <f>(Table2634[[#This Row],[4 weeks average]]-B1993)/B1993</f>
        <v>9.5331447049312817E-2</v>
      </c>
    </row>
    <row r="2046" spans="1:6" x14ac:dyDescent="0.2">
      <c r="A2046" s="34">
        <v>41680</v>
      </c>
      <c r="B2046" s="25">
        <f>VLOOKUP(Table2634[[#This Row],[Date]],'DB Money Supply'!$A:$D,4)</f>
        <v>2719.4</v>
      </c>
      <c r="C2046" s="31">
        <f>(Table2634[[#This Row],[M1 Money Stock, Billions of Dollars, Weekly, Seasonally Adjusted]]-B2045)/B2045</f>
        <v>-1.7167226860385267E-2</v>
      </c>
      <c r="D2046" s="35">
        <f>(Table2634[[#This Row],[M1 Money Stock, Billions of Dollars, Weekly, Seasonally Adjusted]]-B2043)/B2043</f>
        <v>5.509336291366275E-3</v>
      </c>
      <c r="E2046" s="25">
        <f t="shared" si="31"/>
        <v>2721.2249999999999</v>
      </c>
      <c r="F2046" s="33">
        <f>(Table2634[[#This Row],[4 weeks average]]-B1994)/B1994</f>
        <v>9.5368916797488115E-2</v>
      </c>
    </row>
    <row r="2047" spans="1:6" x14ac:dyDescent="0.2">
      <c r="A2047" s="34">
        <v>41687</v>
      </c>
      <c r="B2047" s="25">
        <f>VLOOKUP(Table2634[[#This Row],[Date]],'DB Money Supply'!$A:$D,4)</f>
        <v>2711.3</v>
      </c>
      <c r="C2047" s="31">
        <f>(Table2634[[#This Row],[M1 Money Stock, Billions of Dollars, Weekly, Seasonally Adjusted]]-B2046)/B2046</f>
        <v>-2.9785982201955977E-3</v>
      </c>
      <c r="D2047" s="35">
        <f>(Table2634[[#This Row],[M1 Money Stock, Billions of Dollars, Weekly, Seasonally Adjusted]]-B2044)/B2044</f>
        <v>6.3843212946810713E-3</v>
      </c>
      <c r="E2047" s="25">
        <f t="shared" si="31"/>
        <v>2722.9250000000002</v>
      </c>
      <c r="F2047" s="33">
        <f>(Table2634[[#This Row],[4 weeks average]]-B1995)/B1995</f>
        <v>0.10266663966955539</v>
      </c>
    </row>
    <row r="2048" spans="1:6" x14ac:dyDescent="0.2">
      <c r="A2048" s="34">
        <v>41694</v>
      </c>
      <c r="B2048" s="25">
        <f>VLOOKUP(Table2634[[#This Row],[Date]],'DB Money Supply'!$A:$D,4)</f>
        <v>2707.1</v>
      </c>
      <c r="C2048" s="31">
        <f>(Table2634[[#This Row],[M1 Money Stock, Billions of Dollars, Weekly, Seasonally Adjusted]]-B2047)/B2047</f>
        <v>-1.5490724006934947E-3</v>
      </c>
      <c r="D2048" s="35">
        <f>(Table2634[[#This Row],[M1 Money Stock, Billions of Dollars, Weekly, Seasonally Adjusted]]-B2045)/B2045</f>
        <v>-2.1612635078969308E-2</v>
      </c>
      <c r="E2048" s="25">
        <f t="shared" si="31"/>
        <v>2726.1750000000002</v>
      </c>
      <c r="F2048" s="33">
        <f>(Table2634[[#This Row],[4 weeks average]]-B1996)/B1996</f>
        <v>0.10554969787907055</v>
      </c>
    </row>
    <row r="2049" spans="1:6" x14ac:dyDescent="0.2">
      <c r="A2049" s="34">
        <v>41701</v>
      </c>
      <c r="B2049" s="25">
        <f>VLOOKUP(Table2634[[#This Row],[Date]],'DB Money Supply'!$A:$D,4)</f>
        <v>2764.5</v>
      </c>
      <c r="C2049" s="31">
        <f>(Table2634[[#This Row],[M1 Money Stock, Billions of Dollars, Weekly, Seasonally Adjusted]]-B2048)/B2048</f>
        <v>2.1203501902404821E-2</v>
      </c>
      <c r="D2049" s="35">
        <f>(Table2634[[#This Row],[M1 Money Stock, Billions of Dollars, Weekly, Seasonally Adjusted]]-B2046)/B2046</f>
        <v>1.6584540707508977E-2</v>
      </c>
      <c r="E2049" s="25">
        <f t="shared" si="31"/>
        <v>2725.5750000000003</v>
      </c>
      <c r="F2049" s="33">
        <f>(Table2634[[#This Row],[4 weeks average]]-B1997)/B1997</f>
        <v>0.10714720935900564</v>
      </c>
    </row>
    <row r="2050" spans="1:6" x14ac:dyDescent="0.2">
      <c r="A2050" s="34">
        <v>41708</v>
      </c>
      <c r="B2050" s="25">
        <f>VLOOKUP(Table2634[[#This Row],[Date]],'DB Money Supply'!$A:$D,4)</f>
        <v>2762.5</v>
      </c>
      <c r="C2050" s="31">
        <f>(Table2634[[#This Row],[M1 Money Stock, Billions of Dollars, Weekly, Seasonally Adjusted]]-B2049)/B2049</f>
        <v>-7.2345812986073432E-4</v>
      </c>
      <c r="D2050" s="35">
        <f>(Table2634[[#This Row],[M1 Money Stock, Billions of Dollars, Weekly, Seasonally Adjusted]]-B2047)/B2047</f>
        <v>1.8883930217976547E-2</v>
      </c>
      <c r="E2050" s="25">
        <f t="shared" si="31"/>
        <v>2736.35</v>
      </c>
      <c r="F2050" s="33">
        <f>(Table2634[[#This Row],[4 weeks average]]-B1998)/B1998</f>
        <v>0.10859701008791464</v>
      </c>
    </row>
    <row r="2051" spans="1:6" x14ac:dyDescent="0.2">
      <c r="A2051" s="34">
        <v>41715</v>
      </c>
      <c r="B2051" s="25">
        <f>VLOOKUP(Table2634[[#This Row],[Date]],'DB Money Supply'!$A:$D,4)</f>
        <v>2740.1</v>
      </c>
      <c r="C2051" s="31">
        <f>(Table2634[[#This Row],[M1 Money Stock, Billions of Dollars, Weekly, Seasonally Adjusted]]-B2050)/B2050</f>
        <v>-8.1085972850679054E-3</v>
      </c>
      <c r="D2051" s="35">
        <f>(Table2634[[#This Row],[M1 Money Stock, Billions of Dollars, Weekly, Seasonally Adjusted]]-B2048)/B2048</f>
        <v>1.2190166598943519E-2</v>
      </c>
      <c r="E2051" s="25">
        <f t="shared" si="31"/>
        <v>2743.55</v>
      </c>
      <c r="F2051" s="33">
        <f>(Table2634[[#This Row],[4 weeks average]]-B1999)/B1999</f>
        <v>0.1121898816280201</v>
      </c>
    </row>
    <row r="2052" spans="1:6" x14ac:dyDescent="0.2">
      <c r="A2052" s="34">
        <v>41722</v>
      </c>
      <c r="B2052" s="25">
        <f>VLOOKUP(Table2634[[#This Row],[Date]],'DB Money Supply'!$A:$D,4)</f>
        <v>2749.5</v>
      </c>
      <c r="C2052" s="31">
        <f>(Table2634[[#This Row],[M1 Money Stock, Billions of Dollars, Weekly, Seasonally Adjusted]]-B2051)/B2051</f>
        <v>3.4305317324185582E-3</v>
      </c>
      <c r="D2052" s="35">
        <f>(Table2634[[#This Row],[M1 Money Stock, Billions of Dollars, Weekly, Seasonally Adjusted]]-B2049)/B2049</f>
        <v>-5.4259359739555072E-3</v>
      </c>
      <c r="E2052" s="25">
        <f t="shared" si="31"/>
        <v>2754.15</v>
      </c>
      <c r="F2052" s="33">
        <f>(Table2634[[#This Row],[4 weeks average]]-B2000)/B2000</f>
        <v>0.10661764705882348</v>
      </c>
    </row>
    <row r="2053" spans="1:6" x14ac:dyDescent="0.2">
      <c r="A2053" s="34">
        <v>41729</v>
      </c>
      <c r="B2053" s="25">
        <f>VLOOKUP(Table2634[[#This Row],[Date]],'DB Money Supply'!$A:$D,4)</f>
        <v>2762.3</v>
      </c>
      <c r="C2053" s="31">
        <f>(Table2634[[#This Row],[M1 Money Stock, Billions of Dollars, Weekly, Seasonally Adjusted]]-B2052)/B2052</f>
        <v>4.6553918894345087E-3</v>
      </c>
      <c r="D2053" s="35">
        <f>(Table2634[[#This Row],[M1 Money Stock, Billions of Dollars, Weekly, Seasonally Adjusted]]-B2050)/B2050</f>
        <v>-7.2398190045183021E-5</v>
      </c>
      <c r="E2053" s="25">
        <f t="shared" si="31"/>
        <v>2753.6000000000004</v>
      </c>
      <c r="F2053" s="33">
        <f>(Table2634[[#This Row],[4 weeks average]]-B2001)/B2001</f>
        <v>9.626562624412778E-2</v>
      </c>
    </row>
    <row r="2054" spans="1:6" x14ac:dyDescent="0.2">
      <c r="A2054" s="34">
        <v>41736</v>
      </c>
      <c r="B2054" s="25">
        <f>VLOOKUP(Table2634[[#This Row],[Date]],'DB Money Supply'!$A:$D,4)</f>
        <v>2739.3</v>
      </c>
      <c r="C2054" s="31">
        <f>(Table2634[[#This Row],[M1 Money Stock, Billions of Dollars, Weekly, Seasonally Adjusted]]-B2053)/B2053</f>
        <v>-8.3263946711074101E-3</v>
      </c>
      <c r="D2054" s="35">
        <f>(Table2634[[#This Row],[M1 Money Stock, Billions of Dollars, Weekly, Seasonally Adjusted]]-B2051)/B2051</f>
        <v>-2.9196014743977487E-4</v>
      </c>
      <c r="E2054" s="25">
        <f t="shared" si="31"/>
        <v>2747.8</v>
      </c>
      <c r="F2054" s="33">
        <f>(Table2634[[#This Row],[4 weeks average]]-B2002)/B2002</f>
        <v>0.10517636648835618</v>
      </c>
    </row>
    <row r="2055" spans="1:6" x14ac:dyDescent="0.2">
      <c r="A2055" s="34">
        <v>41743</v>
      </c>
      <c r="B2055" s="25">
        <f>VLOOKUP(Table2634[[#This Row],[Date]],'DB Money Supply'!$A:$D,4)</f>
        <v>2790</v>
      </c>
      <c r="C2055" s="31">
        <f>(Table2634[[#This Row],[M1 Money Stock, Billions of Dollars, Weekly, Seasonally Adjusted]]-B2054)/B2054</f>
        <v>1.8508378052787142E-2</v>
      </c>
      <c r="D2055" s="35">
        <f>(Table2634[[#This Row],[M1 Money Stock, Billions of Dollars, Weekly, Seasonally Adjusted]]-B2052)/B2052</f>
        <v>1.4729950900163666E-2</v>
      </c>
      <c r="E2055" s="25">
        <f t="shared" si="31"/>
        <v>2760.2750000000001</v>
      </c>
      <c r="F2055" s="33">
        <f>(Table2634[[#This Row],[4 weeks average]]-B2003)/B2003</f>
        <v>9.7699435297860571E-2</v>
      </c>
    </row>
    <row r="2056" spans="1:6" x14ac:dyDescent="0.2">
      <c r="A2056" s="34">
        <v>41750</v>
      </c>
      <c r="B2056" s="25">
        <f>VLOOKUP(Table2634[[#This Row],[Date]],'DB Money Supply'!$A:$D,4)</f>
        <v>2789.5</v>
      </c>
      <c r="C2056" s="31">
        <f>(Table2634[[#This Row],[M1 Money Stock, Billions of Dollars, Weekly, Seasonally Adjusted]]-B2055)/B2055</f>
        <v>-1.7921146953405018E-4</v>
      </c>
      <c r="D2056" s="35">
        <f>(Table2634[[#This Row],[M1 Money Stock, Billions of Dollars, Weekly, Seasonally Adjusted]]-B2053)/B2053</f>
        <v>9.8468667414834798E-3</v>
      </c>
      <c r="E2056" s="25">
        <f t="shared" si="31"/>
        <v>2770.2750000000001</v>
      </c>
      <c r="F2056" s="33">
        <f>(Table2634[[#This Row],[4 weeks average]]-B2004)/B2004</f>
        <v>9.609677929888423E-2</v>
      </c>
    </row>
    <row r="2057" spans="1:6" x14ac:dyDescent="0.2">
      <c r="A2057" s="34">
        <v>41757</v>
      </c>
      <c r="B2057" s="25">
        <f>VLOOKUP(Table2634[[#This Row],[Date]],'DB Money Supply'!$A:$D,4)</f>
        <v>2793.1</v>
      </c>
      <c r="C2057" s="31">
        <f>(Table2634[[#This Row],[M1 Money Stock, Billions of Dollars, Weekly, Seasonally Adjusted]]-B2056)/B2056</f>
        <v>1.290553862699376E-3</v>
      </c>
      <c r="D2057" s="35">
        <f>(Table2634[[#This Row],[M1 Money Stock, Billions of Dollars, Weekly, Seasonally Adjusted]]-B2054)/B2054</f>
        <v>1.9640054028401317E-2</v>
      </c>
      <c r="E2057" s="25">
        <f t="shared" ref="E2057:E2120" si="32">AVERAGE(B2054:B2057)</f>
        <v>2777.9749999999999</v>
      </c>
      <c r="F2057" s="33">
        <f>(Table2634[[#This Row],[4 weeks average]]-B2005)/B2005</f>
        <v>9.6064312487670112E-2</v>
      </c>
    </row>
    <row r="2058" spans="1:6" x14ac:dyDescent="0.2">
      <c r="A2058" s="34">
        <v>41764</v>
      </c>
      <c r="B2058" s="25">
        <f>VLOOKUP(Table2634[[#This Row],[Date]],'DB Money Supply'!$A:$D,4)</f>
        <v>2783.9</v>
      </c>
      <c r="C2058" s="31">
        <f>(Table2634[[#This Row],[M1 Money Stock, Billions of Dollars, Weekly, Seasonally Adjusted]]-B2057)/B2057</f>
        <v>-3.2938312269520671E-3</v>
      </c>
      <c r="D2058" s="35">
        <f>(Table2634[[#This Row],[M1 Money Stock, Billions of Dollars, Weekly, Seasonally Adjusted]]-B2055)/B2055</f>
        <v>-2.1863799283153794E-3</v>
      </c>
      <c r="E2058" s="25">
        <f t="shared" si="32"/>
        <v>2789.125</v>
      </c>
      <c r="F2058" s="33">
        <f>(Table2634[[#This Row],[4 weeks average]]-B2006)/B2006</f>
        <v>0.11498101139316411</v>
      </c>
    </row>
    <row r="2059" spans="1:6" x14ac:dyDescent="0.2">
      <c r="A2059" s="34">
        <v>41771</v>
      </c>
      <c r="B2059" s="25">
        <f>VLOOKUP(Table2634[[#This Row],[Date]],'DB Money Supply'!$A:$D,4)</f>
        <v>2798.8</v>
      </c>
      <c r="C2059" s="31">
        <f>(Table2634[[#This Row],[M1 Money Stock, Billions of Dollars, Weekly, Seasonally Adjusted]]-B2058)/B2058</f>
        <v>5.3522037429505698E-3</v>
      </c>
      <c r="D2059" s="35">
        <f>(Table2634[[#This Row],[M1 Money Stock, Billions of Dollars, Weekly, Seasonally Adjusted]]-B2056)/B2056</f>
        <v>3.3339308119735372E-3</v>
      </c>
      <c r="E2059" s="25">
        <f t="shared" si="32"/>
        <v>2791.3249999999998</v>
      </c>
      <c r="F2059" s="33">
        <f>(Table2634[[#This Row],[4 weeks average]]-B2007)/B2007</f>
        <v>0.10622002932667524</v>
      </c>
    </row>
    <row r="2060" spans="1:6" x14ac:dyDescent="0.2">
      <c r="A2060" s="34">
        <v>41778</v>
      </c>
      <c r="B2060" s="25">
        <f>VLOOKUP(Table2634[[#This Row],[Date]],'DB Money Supply'!$A:$D,4)</f>
        <v>2782.3</v>
      </c>
      <c r="C2060" s="31">
        <f>(Table2634[[#This Row],[M1 Money Stock, Billions of Dollars, Weekly, Seasonally Adjusted]]-B2059)/B2059</f>
        <v>-5.8953837358868087E-3</v>
      </c>
      <c r="D2060" s="35">
        <f>(Table2634[[#This Row],[M1 Money Stock, Billions of Dollars, Weekly, Seasonally Adjusted]]-B2057)/B2057</f>
        <v>-3.866671440335014E-3</v>
      </c>
      <c r="E2060" s="25">
        <f t="shared" si="32"/>
        <v>2789.5249999999996</v>
      </c>
      <c r="F2060" s="33">
        <f>(Table2634[[#This Row],[4 weeks average]]-B2008)/B2008</f>
        <v>0.10515629333227675</v>
      </c>
    </row>
    <row r="2061" spans="1:6" x14ac:dyDescent="0.2">
      <c r="A2061" s="34">
        <v>41785</v>
      </c>
      <c r="B2061" s="25">
        <f>VLOOKUP(Table2634[[#This Row],[Date]],'DB Money Supply'!$A:$D,4)</f>
        <v>2792.3</v>
      </c>
      <c r="C2061" s="31">
        <f>(Table2634[[#This Row],[M1 Money Stock, Billions of Dollars, Weekly, Seasonally Adjusted]]-B2060)/B2060</f>
        <v>3.5941487258742766E-3</v>
      </c>
      <c r="D2061" s="35">
        <f>(Table2634[[#This Row],[M1 Money Stock, Billions of Dollars, Weekly, Seasonally Adjusted]]-B2058)/B2058</f>
        <v>3.0173497611265098E-3</v>
      </c>
      <c r="E2061" s="25">
        <f t="shared" si="32"/>
        <v>2789.3249999999998</v>
      </c>
      <c r="F2061" s="33">
        <f>(Table2634[[#This Row],[4 weeks average]]-B2009)/B2009</f>
        <v>9.9934934342836748E-2</v>
      </c>
    </row>
    <row r="2062" spans="1:6" x14ac:dyDescent="0.2">
      <c r="A2062" s="34">
        <v>41792</v>
      </c>
      <c r="B2062" s="25">
        <f>VLOOKUP(Table2634[[#This Row],[Date]],'DB Money Supply'!$A:$D,4)</f>
        <v>2820.5</v>
      </c>
      <c r="C2062" s="31">
        <f>(Table2634[[#This Row],[M1 Money Stock, Billions of Dollars, Weekly, Seasonally Adjusted]]-B2061)/B2061</f>
        <v>1.0099201375210334E-2</v>
      </c>
      <c r="D2062" s="35">
        <f>(Table2634[[#This Row],[M1 Money Stock, Billions of Dollars, Weekly, Seasonally Adjusted]]-B2059)/B2059</f>
        <v>7.7533228526510704E-3</v>
      </c>
      <c r="E2062" s="25">
        <f t="shared" si="32"/>
        <v>2798.4750000000004</v>
      </c>
      <c r="F2062" s="33">
        <f>(Table2634[[#This Row],[4 weeks average]]-B2010)/B2010</f>
        <v>8.2247273571041904E-2</v>
      </c>
    </row>
    <row r="2063" spans="1:6" x14ac:dyDescent="0.2">
      <c r="A2063" s="34">
        <v>41799</v>
      </c>
      <c r="B2063" s="25">
        <f>VLOOKUP(Table2634[[#This Row],[Date]],'DB Money Supply'!$A:$D,4)</f>
        <v>2831.3</v>
      </c>
      <c r="C2063" s="31">
        <f>(Table2634[[#This Row],[M1 Money Stock, Billions of Dollars, Weekly, Seasonally Adjusted]]-B2062)/B2062</f>
        <v>3.829108314128765E-3</v>
      </c>
      <c r="D2063" s="35">
        <f>(Table2634[[#This Row],[M1 Money Stock, Billions of Dollars, Weekly, Seasonally Adjusted]]-B2060)/B2060</f>
        <v>1.7611328756783954E-2</v>
      </c>
      <c r="E2063" s="25">
        <f t="shared" si="32"/>
        <v>2806.6000000000004</v>
      </c>
      <c r="F2063" s="33">
        <f>(Table2634[[#This Row],[4 weeks average]]-B2011)/B2011</f>
        <v>0.10543936350387974</v>
      </c>
    </row>
    <row r="2064" spans="1:6" x14ac:dyDescent="0.2">
      <c r="A2064" s="34">
        <v>41806</v>
      </c>
      <c r="B2064" s="25">
        <f>VLOOKUP(Table2634[[#This Row],[Date]],'DB Money Supply'!$A:$D,4)</f>
        <v>2825.5</v>
      </c>
      <c r="C2064" s="31">
        <f>(Table2634[[#This Row],[M1 Money Stock, Billions of Dollars, Weekly, Seasonally Adjusted]]-B2063)/B2063</f>
        <v>-2.0485289443012687E-3</v>
      </c>
      <c r="D2064" s="35">
        <f>(Table2634[[#This Row],[M1 Money Stock, Billions of Dollars, Weekly, Seasonally Adjusted]]-B2061)/B2061</f>
        <v>1.1889839916914306E-2</v>
      </c>
      <c r="E2064" s="25">
        <f t="shared" si="32"/>
        <v>2817.4</v>
      </c>
      <c r="F2064" s="33">
        <f>(Table2634[[#This Row],[4 weeks average]]-B2012)/B2012</f>
        <v>0.12104090402673894</v>
      </c>
    </row>
    <row r="2065" spans="1:6" x14ac:dyDescent="0.2">
      <c r="A2065" s="34">
        <v>41813</v>
      </c>
      <c r="B2065" s="25">
        <f>VLOOKUP(Table2634[[#This Row],[Date]],'DB Money Supply'!$A:$D,4)</f>
        <v>2829.2</v>
      </c>
      <c r="C2065" s="31">
        <f>(Table2634[[#This Row],[M1 Money Stock, Billions of Dollars, Weekly, Seasonally Adjusted]]-B2064)/B2064</f>
        <v>1.3095027428773024E-3</v>
      </c>
      <c r="D2065" s="35">
        <f>(Table2634[[#This Row],[M1 Money Stock, Billions of Dollars, Weekly, Seasonally Adjusted]]-B2062)/B2062</f>
        <v>3.0845594752702777E-3</v>
      </c>
      <c r="E2065" s="25">
        <f t="shared" si="32"/>
        <v>2826.625</v>
      </c>
      <c r="F2065" s="33">
        <f>(Table2634[[#This Row],[4 weeks average]]-B2013)/B2013</f>
        <v>0.12060934031081505</v>
      </c>
    </row>
    <row r="2066" spans="1:6" x14ac:dyDescent="0.2">
      <c r="A2066" s="34">
        <v>41820</v>
      </c>
      <c r="B2066" s="25">
        <f>VLOOKUP(Table2634[[#This Row],[Date]],'DB Money Supply'!$A:$D,4)</f>
        <v>2834.5</v>
      </c>
      <c r="C2066" s="31">
        <f>(Table2634[[#This Row],[M1 Money Stock, Billions of Dollars, Weekly, Seasonally Adjusted]]-B2065)/B2065</f>
        <v>1.8733210801640684E-3</v>
      </c>
      <c r="D2066" s="35">
        <f>(Table2634[[#This Row],[M1 Money Stock, Billions of Dollars, Weekly, Seasonally Adjusted]]-B2063)/B2063</f>
        <v>1.1302228658212898E-3</v>
      </c>
      <c r="E2066" s="25">
        <f t="shared" si="32"/>
        <v>2830.125</v>
      </c>
      <c r="F2066" s="33">
        <f>(Table2634[[#This Row],[4 weeks average]]-B2014)/B2014</f>
        <v>0.12013179767276186</v>
      </c>
    </row>
    <row r="2067" spans="1:6" x14ac:dyDescent="0.2">
      <c r="A2067" s="34">
        <v>41827</v>
      </c>
      <c r="B2067" s="25">
        <f>VLOOKUP(Table2634[[#This Row],[Date]],'DB Money Supply'!$A:$D,4)</f>
        <v>2812.5</v>
      </c>
      <c r="C2067" s="31">
        <f>(Table2634[[#This Row],[M1 Money Stock, Billions of Dollars, Weekly, Seasonally Adjusted]]-B2066)/B2066</f>
        <v>-7.7615099664843888E-3</v>
      </c>
      <c r="D2067" s="35">
        <f>(Table2634[[#This Row],[M1 Money Stock, Billions of Dollars, Weekly, Seasonally Adjusted]]-B2064)/B2064</f>
        <v>-4.6009555830826407E-3</v>
      </c>
      <c r="E2067" s="25">
        <f t="shared" si="32"/>
        <v>2825.4250000000002</v>
      </c>
      <c r="F2067" s="33">
        <f>(Table2634[[#This Row],[4 weeks average]]-B2015)/B2015</f>
        <v>0.11813882622976773</v>
      </c>
    </row>
    <row r="2068" spans="1:6" x14ac:dyDescent="0.2">
      <c r="A2068" s="34">
        <v>41834</v>
      </c>
      <c r="B2068" s="25">
        <f>VLOOKUP(Table2634[[#This Row],[Date]],'DB Money Supply'!$A:$D,4)</f>
        <v>2853.2</v>
      </c>
      <c r="C2068" s="31">
        <f>(Table2634[[#This Row],[M1 Money Stock, Billions of Dollars, Weekly, Seasonally Adjusted]]-B2067)/B2067</f>
        <v>1.4471111111111046E-2</v>
      </c>
      <c r="D2068" s="35">
        <f>(Table2634[[#This Row],[M1 Money Stock, Billions of Dollars, Weekly, Seasonally Adjusted]]-B2065)/B2065</f>
        <v>8.4829633818747363E-3</v>
      </c>
      <c r="E2068" s="25">
        <f t="shared" si="32"/>
        <v>2832.3500000000004</v>
      </c>
      <c r="F2068" s="33">
        <f>(Table2634[[#This Row],[4 weeks average]]-B2016)/B2016</f>
        <v>0.11334512578616367</v>
      </c>
    </row>
    <row r="2069" spans="1:6" x14ac:dyDescent="0.2">
      <c r="A2069" s="34">
        <v>41841</v>
      </c>
      <c r="B2069" s="25">
        <f>VLOOKUP(Table2634[[#This Row],[Date]],'DB Money Supply'!$A:$D,4)</f>
        <v>2860.9</v>
      </c>
      <c r="C2069" s="31">
        <f>(Table2634[[#This Row],[M1 Money Stock, Billions of Dollars, Weekly, Seasonally Adjusted]]-B2068)/B2068</f>
        <v>2.6987242394505375E-3</v>
      </c>
      <c r="D2069" s="35">
        <f>(Table2634[[#This Row],[M1 Money Stock, Billions of Dollars, Weekly, Seasonally Adjusted]]-B2066)/B2066</f>
        <v>9.3138119597812978E-3</v>
      </c>
      <c r="E2069" s="25">
        <f t="shared" si="32"/>
        <v>2840.2750000000001</v>
      </c>
      <c r="F2069" s="33">
        <f>(Table2634[[#This Row],[4 weeks average]]-B2017)/B2017</f>
        <v>0.10706072653570323</v>
      </c>
    </row>
    <row r="2070" spans="1:6" x14ac:dyDescent="0.2">
      <c r="A2070" s="34">
        <v>41848</v>
      </c>
      <c r="B2070" s="25">
        <f>VLOOKUP(Table2634[[#This Row],[Date]],'DB Money Supply'!$A:$D,4)</f>
        <v>2841.4</v>
      </c>
      <c r="C2070" s="31">
        <f>(Table2634[[#This Row],[M1 Money Stock, Billions of Dollars, Weekly, Seasonally Adjusted]]-B2069)/B2069</f>
        <v>-6.8160369114614282E-3</v>
      </c>
      <c r="D2070" s="35">
        <f>(Table2634[[#This Row],[M1 Money Stock, Billions of Dollars, Weekly, Seasonally Adjusted]]-B2067)/B2067</f>
        <v>1.0275555555555588E-2</v>
      </c>
      <c r="E2070" s="25">
        <f t="shared" si="32"/>
        <v>2842</v>
      </c>
      <c r="F2070" s="33">
        <f>(Table2634[[#This Row],[4 weeks average]]-B2018)/B2018</f>
        <v>0.113549094898519</v>
      </c>
    </row>
    <row r="2071" spans="1:6" x14ac:dyDescent="0.2">
      <c r="A2071" s="34">
        <v>41855</v>
      </c>
      <c r="B2071" s="25">
        <f>VLOOKUP(Table2634[[#This Row],[Date]],'DB Money Supply'!$A:$D,4)</f>
        <v>2841.9</v>
      </c>
      <c r="C2071" s="31">
        <f>(Table2634[[#This Row],[M1 Money Stock, Billions of Dollars, Weekly, Seasonally Adjusted]]-B2070)/B2070</f>
        <v>1.7596959245442387E-4</v>
      </c>
      <c r="D2071" s="35">
        <f>(Table2634[[#This Row],[M1 Money Stock, Billions of Dollars, Weekly, Seasonally Adjusted]]-B2068)/B2068</f>
        <v>-3.9604654423102932E-3</v>
      </c>
      <c r="E2071" s="25">
        <f t="shared" si="32"/>
        <v>2849.35</v>
      </c>
      <c r="F2071" s="33">
        <f>(Table2634[[#This Row],[4 weeks average]]-B2019)/B2019</f>
        <v>0.12462503946952953</v>
      </c>
    </row>
    <row r="2072" spans="1:6" x14ac:dyDescent="0.2">
      <c r="A2072" s="34">
        <v>41862</v>
      </c>
      <c r="B2072" s="25">
        <f>VLOOKUP(Table2634[[#This Row],[Date]],'DB Money Supply'!$A:$D,4)</f>
        <v>2807.8</v>
      </c>
      <c r="C2072" s="31">
        <f>(Table2634[[#This Row],[M1 Money Stock, Billions of Dollars, Weekly, Seasonally Adjusted]]-B2071)/B2071</f>
        <v>-1.1999014743657379E-2</v>
      </c>
      <c r="D2072" s="35">
        <f>(Table2634[[#This Row],[M1 Money Stock, Billions of Dollars, Weekly, Seasonally Adjusted]]-B2069)/B2069</f>
        <v>-1.8560592820441087E-2</v>
      </c>
      <c r="E2072" s="25">
        <f t="shared" si="32"/>
        <v>2838</v>
      </c>
      <c r="F2072" s="33">
        <f>(Table2634[[#This Row],[4 weeks average]]-B2020)/B2020</f>
        <v>0.11490866234531526</v>
      </c>
    </row>
    <row r="2073" spans="1:6" x14ac:dyDescent="0.2">
      <c r="A2073" s="34">
        <v>41869</v>
      </c>
      <c r="B2073" s="25">
        <f>VLOOKUP(Table2634[[#This Row],[Date]],'DB Money Supply'!$A:$D,4)</f>
        <v>2781.3</v>
      </c>
      <c r="C2073" s="31">
        <f>(Table2634[[#This Row],[M1 Money Stock, Billions of Dollars, Weekly, Seasonally Adjusted]]-B2072)/B2072</f>
        <v>-9.4379941591281429E-3</v>
      </c>
      <c r="D2073" s="35">
        <f>(Table2634[[#This Row],[M1 Money Stock, Billions of Dollars, Weekly, Seasonally Adjusted]]-B2070)/B2070</f>
        <v>-2.1151545013021716E-2</v>
      </c>
      <c r="E2073" s="25">
        <f t="shared" si="32"/>
        <v>2818.1000000000004</v>
      </c>
      <c r="F2073" s="33">
        <f>(Table2634[[#This Row],[4 weeks average]]-B2021)/B2021</f>
        <v>0.11044999605957923</v>
      </c>
    </row>
    <row r="2074" spans="1:6" x14ac:dyDescent="0.2">
      <c r="A2074" s="34">
        <v>41876</v>
      </c>
      <c r="B2074" s="25">
        <f>VLOOKUP(Table2634[[#This Row],[Date]],'DB Money Supply'!$A:$D,4)</f>
        <v>2794.1</v>
      </c>
      <c r="C2074" s="31">
        <f>(Table2634[[#This Row],[M1 Money Stock, Billions of Dollars, Weekly, Seasonally Adjusted]]-B2073)/B2073</f>
        <v>4.6021644554703652E-3</v>
      </c>
      <c r="D2074" s="35">
        <f>(Table2634[[#This Row],[M1 Money Stock, Billions of Dollars, Weekly, Seasonally Adjusted]]-B2071)/B2071</f>
        <v>-1.6819733277033035E-2</v>
      </c>
      <c r="E2074" s="25">
        <f t="shared" si="32"/>
        <v>2806.2750000000001</v>
      </c>
      <c r="F2074" s="33">
        <f>(Table2634[[#This Row],[4 weeks average]]-B2022)/B2022</f>
        <v>9.5003511783986222E-2</v>
      </c>
    </row>
    <row r="2075" spans="1:6" x14ac:dyDescent="0.2">
      <c r="A2075" s="34">
        <v>41883</v>
      </c>
      <c r="B2075" s="25">
        <f>VLOOKUP(Table2634[[#This Row],[Date]],'DB Money Supply'!$A:$D,4)</f>
        <v>2809.6</v>
      </c>
      <c r="C2075" s="31">
        <f>(Table2634[[#This Row],[M1 Money Stock, Billions of Dollars, Weekly, Seasonally Adjusted]]-B2074)/B2074</f>
        <v>5.547403457284994E-3</v>
      </c>
      <c r="D2075" s="35">
        <f>(Table2634[[#This Row],[M1 Money Stock, Billions of Dollars, Weekly, Seasonally Adjusted]]-B2072)/B2072</f>
        <v>6.4107130137464453E-4</v>
      </c>
      <c r="E2075" s="25">
        <f t="shared" si="32"/>
        <v>2798.2000000000003</v>
      </c>
      <c r="F2075" s="33">
        <f>(Table2634[[#This Row],[4 weeks average]]-B2023)/B2023</f>
        <v>8.2266486172887357E-2</v>
      </c>
    </row>
    <row r="2076" spans="1:6" x14ac:dyDescent="0.2">
      <c r="A2076" s="34">
        <v>41890</v>
      </c>
      <c r="B2076" s="25">
        <f>VLOOKUP(Table2634[[#This Row],[Date]],'DB Money Supply'!$A:$D,4)</f>
        <v>2841</v>
      </c>
      <c r="C2076" s="31">
        <f>(Table2634[[#This Row],[M1 Money Stock, Billions of Dollars, Weekly, Seasonally Adjusted]]-B2075)/B2075</f>
        <v>1.117596810933944E-2</v>
      </c>
      <c r="D2076" s="35">
        <f>(Table2634[[#This Row],[M1 Money Stock, Billions of Dollars, Weekly, Seasonally Adjusted]]-B2073)/B2073</f>
        <v>2.1464782655592641E-2</v>
      </c>
      <c r="E2076" s="25">
        <f t="shared" si="32"/>
        <v>2806.5</v>
      </c>
      <c r="F2076" s="33">
        <f>(Table2634[[#This Row],[4 weeks average]]-B2024)/B2024</f>
        <v>8.7284983728498453E-2</v>
      </c>
    </row>
    <row r="2077" spans="1:6" x14ac:dyDescent="0.2">
      <c r="A2077" s="34">
        <v>41897</v>
      </c>
      <c r="B2077" s="25">
        <f>VLOOKUP(Table2634[[#This Row],[Date]],'DB Money Supply'!$A:$D,4)</f>
        <v>2870.6</v>
      </c>
      <c r="C2077" s="31">
        <f>(Table2634[[#This Row],[M1 Money Stock, Billions of Dollars, Weekly, Seasonally Adjusted]]-B2076)/B2076</f>
        <v>1.0418866596268887E-2</v>
      </c>
      <c r="D2077" s="35">
        <f>(Table2634[[#This Row],[M1 Money Stock, Billions of Dollars, Weekly, Seasonally Adjusted]]-B2074)/B2074</f>
        <v>2.7379120289180776E-2</v>
      </c>
      <c r="E2077" s="25">
        <f t="shared" si="32"/>
        <v>2828.8250000000003</v>
      </c>
      <c r="F2077" s="33">
        <f>(Table2634[[#This Row],[4 weeks average]]-B2025)/B2025</f>
        <v>9.9811438124489865E-2</v>
      </c>
    </row>
    <row r="2078" spans="1:6" x14ac:dyDescent="0.2">
      <c r="A2078" s="34">
        <v>41904</v>
      </c>
      <c r="B2078" s="25">
        <f>VLOOKUP(Table2634[[#This Row],[Date]],'DB Money Supply'!$A:$D,4)</f>
        <v>2873</v>
      </c>
      <c r="C2078" s="31">
        <f>(Table2634[[#This Row],[M1 Money Stock, Billions of Dollars, Weekly, Seasonally Adjusted]]-B2077)/B2077</f>
        <v>8.3606214728631329E-4</v>
      </c>
      <c r="D2078" s="35">
        <f>(Table2634[[#This Row],[M1 Money Stock, Billions of Dollars, Weekly, Seasonally Adjusted]]-B2075)/B2075</f>
        <v>2.2565489749430557E-2</v>
      </c>
      <c r="E2078" s="25">
        <f t="shared" si="32"/>
        <v>2848.55</v>
      </c>
      <c r="F2078" s="33">
        <f>(Table2634[[#This Row],[4 weeks average]]-B2026)/B2026</f>
        <v>9.9529084803335152E-2</v>
      </c>
    </row>
    <row r="2079" spans="1:6" x14ac:dyDescent="0.2">
      <c r="A2079" s="34">
        <v>41911</v>
      </c>
      <c r="B2079" s="25">
        <f>VLOOKUP(Table2634[[#This Row],[Date]],'DB Money Supply'!$A:$D,4)</f>
        <v>2874</v>
      </c>
      <c r="C2079" s="31">
        <f>(Table2634[[#This Row],[M1 Money Stock, Billions of Dollars, Weekly, Seasonally Adjusted]]-B2078)/B2078</f>
        <v>3.4806822137138882E-4</v>
      </c>
      <c r="D2079" s="35">
        <f>(Table2634[[#This Row],[M1 Money Stock, Billions of Dollars, Weekly, Seasonally Adjusted]]-B2076)/B2076</f>
        <v>1.1615628299894404E-2</v>
      </c>
      <c r="E2079" s="25">
        <f t="shared" si="32"/>
        <v>2864.65</v>
      </c>
      <c r="F2079" s="33">
        <f>(Table2634[[#This Row],[4 weeks average]]-B2027)/B2027</f>
        <v>0.1060851770338623</v>
      </c>
    </row>
    <row r="2080" spans="1:6" x14ac:dyDescent="0.2">
      <c r="A2080" s="34">
        <v>41918</v>
      </c>
      <c r="B2080" s="25">
        <f>VLOOKUP(Table2634[[#This Row],[Date]],'DB Money Supply'!$A:$D,4)</f>
        <v>2851.7</v>
      </c>
      <c r="C2080" s="31">
        <f>(Table2634[[#This Row],[M1 Money Stock, Billions of Dollars, Weekly, Seasonally Adjusted]]-B2079)/B2079</f>
        <v>-7.7592205984690962E-3</v>
      </c>
      <c r="D2080" s="35">
        <f>(Table2634[[#This Row],[M1 Money Stock, Billions of Dollars, Weekly, Seasonally Adjusted]]-B2077)/B2077</f>
        <v>-6.5839894098794994E-3</v>
      </c>
      <c r="E2080" s="25">
        <f t="shared" si="32"/>
        <v>2867.3249999999998</v>
      </c>
      <c r="F2080" s="33">
        <f>(Table2634[[#This Row],[4 weeks average]]-B2028)/B2028</f>
        <v>0.11621184989099954</v>
      </c>
    </row>
    <row r="2081" spans="1:6" x14ac:dyDescent="0.2">
      <c r="A2081" s="34">
        <v>41925</v>
      </c>
      <c r="B2081" s="25">
        <f>VLOOKUP(Table2634[[#This Row],[Date]],'DB Money Supply'!$A:$D,4)</f>
        <v>2857.2</v>
      </c>
      <c r="C2081" s="31">
        <f>(Table2634[[#This Row],[M1 Money Stock, Billions of Dollars, Weekly, Seasonally Adjusted]]-B2080)/B2080</f>
        <v>1.9286741242066138E-3</v>
      </c>
      <c r="D2081" s="35">
        <f>(Table2634[[#This Row],[M1 Money Stock, Billions of Dollars, Weekly, Seasonally Adjusted]]-B2078)/B2078</f>
        <v>-5.4994778976680059E-3</v>
      </c>
      <c r="E2081" s="25">
        <f t="shared" si="32"/>
        <v>2863.9750000000004</v>
      </c>
      <c r="F2081" s="33">
        <f>(Table2634[[#This Row],[4 weeks average]]-B2029)/B2029</f>
        <v>8.4387187156866633E-2</v>
      </c>
    </row>
    <row r="2082" spans="1:6" x14ac:dyDescent="0.2">
      <c r="A2082" s="34">
        <v>41932</v>
      </c>
      <c r="B2082" s="25">
        <f>VLOOKUP(Table2634[[#This Row],[Date]],'DB Money Supply'!$A:$D,4)</f>
        <v>2862.6</v>
      </c>
      <c r="C2082" s="31">
        <f>(Table2634[[#This Row],[M1 Money Stock, Billions of Dollars, Weekly, Seasonally Adjusted]]-B2081)/B2081</f>
        <v>1.8899622007560169E-3</v>
      </c>
      <c r="D2082" s="35">
        <f>(Table2634[[#This Row],[M1 Money Stock, Billions of Dollars, Weekly, Seasonally Adjusted]]-B2079)/B2079</f>
        <v>-3.9665970772442905E-3</v>
      </c>
      <c r="E2082" s="25">
        <f t="shared" si="32"/>
        <v>2861.375</v>
      </c>
      <c r="F2082" s="33">
        <f>(Table2634[[#This Row],[4 weeks average]]-B2030)/B2030</f>
        <v>7.4654473071433969E-2</v>
      </c>
    </row>
    <row r="2083" spans="1:6" x14ac:dyDescent="0.2">
      <c r="A2083" s="34">
        <v>41939</v>
      </c>
      <c r="B2083" s="25">
        <f>VLOOKUP(Table2634[[#This Row],[Date]],'DB Money Supply'!$A:$D,4)</f>
        <v>2869.6</v>
      </c>
      <c r="C2083" s="31">
        <f>(Table2634[[#This Row],[M1 Money Stock, Billions of Dollars, Weekly, Seasonally Adjusted]]-B2082)/B2082</f>
        <v>2.4453294208062601E-3</v>
      </c>
      <c r="D2083" s="35">
        <f>(Table2634[[#This Row],[M1 Money Stock, Billions of Dollars, Weekly, Seasonally Adjusted]]-B2080)/B2080</f>
        <v>6.2769576042361018E-3</v>
      </c>
      <c r="E2083" s="25">
        <f t="shared" si="32"/>
        <v>2860.2750000000001</v>
      </c>
      <c r="F2083" s="33">
        <f>(Table2634[[#This Row],[4 weeks average]]-B2031)/B2031</f>
        <v>8.946255808638684E-2</v>
      </c>
    </row>
    <row r="2084" spans="1:6" x14ac:dyDescent="0.2">
      <c r="A2084" s="34">
        <v>41946</v>
      </c>
      <c r="B2084" s="25">
        <f>VLOOKUP(Table2634[[#This Row],[Date]],'DB Money Supply'!$A:$D,4)</f>
        <v>2919.6</v>
      </c>
      <c r="C2084" s="31">
        <f>(Table2634[[#This Row],[M1 Money Stock, Billions of Dollars, Weekly, Seasonally Adjusted]]-B2083)/B2083</f>
        <v>1.7424031223863955E-2</v>
      </c>
      <c r="D2084" s="35">
        <f>(Table2634[[#This Row],[M1 Money Stock, Billions of Dollars, Weekly, Seasonally Adjusted]]-B2081)/B2081</f>
        <v>2.1839563208735858E-2</v>
      </c>
      <c r="E2084" s="25">
        <f t="shared" si="32"/>
        <v>2877.25</v>
      </c>
      <c r="F2084" s="33">
        <f>(Table2634[[#This Row],[4 weeks average]]-B2032)/B2032</f>
        <v>0.10459536240786232</v>
      </c>
    </row>
    <row r="2085" spans="1:6" x14ac:dyDescent="0.2">
      <c r="A2085" s="34">
        <v>41953</v>
      </c>
      <c r="B2085" s="25">
        <f>VLOOKUP(Table2634[[#This Row],[Date]],'DB Money Supply'!$A:$D,4)</f>
        <v>2891.6</v>
      </c>
      <c r="C2085" s="31">
        <f>(Table2634[[#This Row],[M1 Money Stock, Billions of Dollars, Weekly, Seasonally Adjusted]]-B2084)/B2084</f>
        <v>-9.5903548431291955E-3</v>
      </c>
      <c r="D2085" s="35">
        <f>(Table2634[[#This Row],[M1 Money Stock, Billions of Dollars, Weekly, Seasonally Adjusted]]-B2082)/B2082</f>
        <v>1.0130650457625935E-2</v>
      </c>
      <c r="E2085" s="25">
        <f t="shared" si="32"/>
        <v>2885.85</v>
      </c>
      <c r="F2085" s="33">
        <f>(Table2634[[#This Row],[4 weeks average]]-B2033)/B2033</f>
        <v>0.10357552581261947</v>
      </c>
    </row>
    <row r="2086" spans="1:6" x14ac:dyDescent="0.2">
      <c r="A2086" s="34">
        <v>41960</v>
      </c>
      <c r="B2086" s="25">
        <f>VLOOKUP(Table2634[[#This Row],[Date]],'DB Money Supply'!$A:$D,4)</f>
        <v>2871.4</v>
      </c>
      <c r="C2086" s="31">
        <f>(Table2634[[#This Row],[M1 Money Stock, Billions of Dollars, Weekly, Seasonally Adjusted]]-B2085)/B2085</f>
        <v>-6.9857518328952199E-3</v>
      </c>
      <c r="D2086" s="35">
        <f>(Table2634[[#This Row],[M1 Money Stock, Billions of Dollars, Weekly, Seasonally Adjusted]]-B2083)/B2083</f>
        <v>6.2726512405916572E-4</v>
      </c>
      <c r="E2086" s="25">
        <f t="shared" si="32"/>
        <v>2888.0499999999997</v>
      </c>
      <c r="F2086" s="33">
        <f>(Table2634[[#This Row],[4 weeks average]]-B2034)/B2034</f>
        <v>0.1011323776117125</v>
      </c>
    </row>
    <row r="2087" spans="1:6" x14ac:dyDescent="0.2">
      <c r="A2087" s="34">
        <v>41967</v>
      </c>
      <c r="B2087" s="25">
        <f>VLOOKUP(Table2634[[#This Row],[Date]],'DB Money Supply'!$A:$D,4)</f>
        <v>2880.7</v>
      </c>
      <c r="C2087" s="31">
        <f>(Table2634[[#This Row],[M1 Money Stock, Billions of Dollars, Weekly, Seasonally Adjusted]]-B2086)/B2086</f>
        <v>3.2388381973949038E-3</v>
      </c>
      <c r="D2087" s="35">
        <f>(Table2634[[#This Row],[M1 Money Stock, Billions of Dollars, Weekly, Seasonally Adjusted]]-B2084)/B2084</f>
        <v>-1.3323742978490236E-2</v>
      </c>
      <c r="E2087" s="25">
        <f t="shared" si="32"/>
        <v>2890.8249999999998</v>
      </c>
      <c r="F2087" s="33">
        <f>(Table2634[[#This Row],[4 weeks average]]-B2035)/B2035</f>
        <v>0.10005137181780117</v>
      </c>
    </row>
    <row r="2088" spans="1:6" x14ac:dyDescent="0.2">
      <c r="A2088" s="34">
        <v>41974</v>
      </c>
      <c r="B2088" s="25">
        <f>VLOOKUP(Table2634[[#This Row],[Date]],'DB Money Supply'!$A:$D,4)</f>
        <v>2885.7</v>
      </c>
      <c r="C2088" s="31">
        <f>(Table2634[[#This Row],[M1 Money Stock, Billions of Dollars, Weekly, Seasonally Adjusted]]-B2087)/B2087</f>
        <v>1.735689242198077E-3</v>
      </c>
      <c r="D2088" s="35">
        <f>(Table2634[[#This Row],[M1 Money Stock, Billions of Dollars, Weekly, Seasonally Adjusted]]-B2085)/B2085</f>
        <v>-2.0403928620833073E-3</v>
      </c>
      <c r="E2088" s="25">
        <f t="shared" si="32"/>
        <v>2882.3500000000004</v>
      </c>
      <c r="F2088" s="33">
        <f>(Table2634[[#This Row],[4 weeks average]]-B2036)/B2036</f>
        <v>8.5835373893388717E-2</v>
      </c>
    </row>
    <row r="2089" spans="1:6" x14ac:dyDescent="0.2">
      <c r="A2089" s="34">
        <v>41981</v>
      </c>
      <c r="B2089" s="25">
        <f>VLOOKUP(Table2634[[#This Row],[Date]],'DB Money Supply'!$A:$D,4)</f>
        <v>2929</v>
      </c>
      <c r="C2089" s="31">
        <f>(Table2634[[#This Row],[M1 Money Stock, Billions of Dollars, Weekly, Seasonally Adjusted]]-B2088)/B2088</f>
        <v>1.5005024777350447E-2</v>
      </c>
      <c r="D2089" s="35">
        <f>(Table2634[[#This Row],[M1 Money Stock, Billions of Dollars, Weekly, Seasonally Adjusted]]-B2086)/B2086</f>
        <v>2.0059901093543189E-2</v>
      </c>
      <c r="E2089" s="25">
        <f t="shared" si="32"/>
        <v>2891.7</v>
      </c>
      <c r="F2089" s="33">
        <f>(Table2634[[#This Row],[4 weeks average]]-B2037)/B2037</f>
        <v>8.1899131996408123E-2</v>
      </c>
    </row>
    <row r="2090" spans="1:6" x14ac:dyDescent="0.2">
      <c r="A2090" s="34">
        <v>41988</v>
      </c>
      <c r="B2090" s="25">
        <f>VLOOKUP(Table2634[[#This Row],[Date]],'DB Money Supply'!$A:$D,4)</f>
        <v>2944.2</v>
      </c>
      <c r="C2090" s="31">
        <f>(Table2634[[#This Row],[M1 Money Stock, Billions of Dollars, Weekly, Seasonally Adjusted]]-B2089)/B2089</f>
        <v>5.1894844656878861E-3</v>
      </c>
      <c r="D2090" s="35">
        <f>(Table2634[[#This Row],[M1 Money Stock, Billions of Dollars, Weekly, Seasonally Adjusted]]-B2087)/B2087</f>
        <v>2.2043253375915579E-2</v>
      </c>
      <c r="E2090" s="25">
        <f t="shared" si="32"/>
        <v>2909.8999999999996</v>
      </c>
      <c r="F2090" s="33">
        <f>(Table2634[[#This Row],[4 weeks average]]-B2038)/B2038</f>
        <v>9.5512386115503292E-2</v>
      </c>
    </row>
    <row r="2091" spans="1:6" x14ac:dyDescent="0.2">
      <c r="A2091" s="34">
        <v>41995</v>
      </c>
      <c r="B2091" s="25">
        <f>VLOOKUP(Table2634[[#This Row],[Date]],'DB Money Supply'!$A:$D,4)</f>
        <v>2959.7</v>
      </c>
      <c r="C2091" s="31">
        <f>(Table2634[[#This Row],[M1 Money Stock, Billions of Dollars, Weekly, Seasonally Adjusted]]-B2090)/B2090</f>
        <v>5.2645880035323694E-3</v>
      </c>
      <c r="D2091" s="35">
        <f>(Table2634[[#This Row],[M1 Money Stock, Billions of Dollars, Weekly, Seasonally Adjusted]]-B2088)/B2088</f>
        <v>2.5643691305402505E-2</v>
      </c>
      <c r="E2091" s="25">
        <f t="shared" si="32"/>
        <v>2929.6499999999996</v>
      </c>
      <c r="F2091" s="33">
        <f>(Table2634[[#This Row],[4 weeks average]]-B2039)/B2039</f>
        <v>9.2052782644350781E-2</v>
      </c>
    </row>
    <row r="2092" spans="1:6" x14ac:dyDescent="0.2">
      <c r="A2092" s="34">
        <v>42002</v>
      </c>
      <c r="B2092" s="25">
        <f>VLOOKUP(Table2634[[#This Row],[Date]],'DB Money Supply'!$A:$D,4)</f>
        <v>2937.8</v>
      </c>
      <c r="C2092" s="31">
        <f>(Table2634[[#This Row],[M1 Money Stock, Billions of Dollars, Weekly, Seasonally Adjusted]]-B2091)/B2091</f>
        <v>-7.3993985876945759E-3</v>
      </c>
      <c r="D2092" s="35">
        <f>(Table2634[[#This Row],[M1 Money Stock, Billions of Dollars, Weekly, Seasonally Adjusted]]-B2089)/B2089</f>
        <v>3.0044383748720322E-3</v>
      </c>
      <c r="E2092" s="25">
        <f t="shared" si="32"/>
        <v>2942.6750000000002</v>
      </c>
      <c r="F2092" s="33">
        <f>(Table2634[[#This Row],[4 weeks average]]-B2040)/B2040</f>
        <v>0.11111425766500532</v>
      </c>
    </row>
    <row r="2093" spans="1:6" x14ac:dyDescent="0.2">
      <c r="A2093" s="34">
        <v>42009</v>
      </c>
      <c r="B2093" s="25">
        <f>VLOOKUP(Table2634[[#This Row],[Date]],'DB Money Supply'!$A:$D,4)</f>
        <v>2934</v>
      </c>
      <c r="C2093" s="31">
        <f>(Table2634[[#This Row],[M1 Money Stock, Billions of Dollars, Weekly, Seasonally Adjusted]]-B2092)/B2092</f>
        <v>-1.2934849206890128E-3</v>
      </c>
      <c r="D2093" s="35">
        <f>(Table2634[[#This Row],[M1 Money Stock, Billions of Dollars, Weekly, Seasonally Adjusted]]-B2090)/B2090</f>
        <v>-3.4644385571631748E-3</v>
      </c>
      <c r="E2093" s="25">
        <f t="shared" si="32"/>
        <v>2943.9250000000002</v>
      </c>
      <c r="F2093" s="33">
        <f>(Table2634[[#This Row],[4 weeks average]]-B2041)/B2041</f>
        <v>0.10333745596282153</v>
      </c>
    </row>
    <row r="2094" spans="1:6" x14ac:dyDescent="0.2">
      <c r="A2094" s="34">
        <v>42016</v>
      </c>
      <c r="B2094" s="25">
        <f>VLOOKUP(Table2634[[#This Row],[Date]],'DB Money Supply'!$A:$D,4)</f>
        <v>2930.6</v>
      </c>
      <c r="C2094" s="31">
        <f>(Table2634[[#This Row],[M1 Money Stock, Billions of Dollars, Weekly, Seasonally Adjusted]]-B2093)/B2093</f>
        <v>-1.1588275391956684E-3</v>
      </c>
      <c r="D2094" s="35">
        <f>(Table2634[[#This Row],[M1 Money Stock, Billions of Dollars, Weekly, Seasonally Adjusted]]-B2091)/B2091</f>
        <v>-9.8320775754299119E-3</v>
      </c>
      <c r="E2094" s="25">
        <f t="shared" si="32"/>
        <v>2940.5250000000001</v>
      </c>
      <c r="F2094" s="33">
        <f>(Table2634[[#This Row],[4 weeks average]]-B2042)/B2042</f>
        <v>9.971390104341972E-2</v>
      </c>
    </row>
    <row r="2095" spans="1:6" x14ac:dyDescent="0.2">
      <c r="A2095" s="34">
        <v>42023</v>
      </c>
      <c r="B2095" s="25">
        <f>VLOOKUP(Table2634[[#This Row],[Date]],'DB Money Supply'!$A:$D,4)</f>
        <v>2917.8</v>
      </c>
      <c r="C2095" s="31">
        <f>(Table2634[[#This Row],[M1 Money Stock, Billions of Dollars, Weekly, Seasonally Adjusted]]-B2094)/B2094</f>
        <v>-4.367706271753132E-3</v>
      </c>
      <c r="D2095" s="35">
        <f>(Table2634[[#This Row],[M1 Money Stock, Billions of Dollars, Weekly, Seasonally Adjusted]]-B2092)/B2092</f>
        <v>-6.8078153720471093E-3</v>
      </c>
      <c r="E2095" s="25">
        <f t="shared" si="32"/>
        <v>2930.05</v>
      </c>
      <c r="F2095" s="33">
        <f>(Table2634[[#This Row],[4 weeks average]]-B2043)/B2043</f>
        <v>8.3398040303198445E-2</v>
      </c>
    </row>
    <row r="2096" spans="1:6" x14ac:dyDescent="0.2">
      <c r="A2096" s="34">
        <v>42030</v>
      </c>
      <c r="B2096" s="25">
        <f>VLOOKUP(Table2634[[#This Row],[Date]],'DB Money Supply'!$A:$D,4)</f>
        <v>2935.5</v>
      </c>
      <c r="C2096" s="31">
        <f>(Table2634[[#This Row],[M1 Money Stock, Billions of Dollars, Weekly, Seasonally Adjusted]]-B2095)/B2095</f>
        <v>6.0662142710260526E-3</v>
      </c>
      <c r="D2096" s="35">
        <f>(Table2634[[#This Row],[M1 Money Stock, Billions of Dollars, Weekly, Seasonally Adjusted]]-B2093)/B2093</f>
        <v>5.1124744376278123E-4</v>
      </c>
      <c r="E2096" s="25">
        <f t="shared" si="32"/>
        <v>2929.4750000000004</v>
      </c>
      <c r="F2096" s="33">
        <f>(Table2634[[#This Row],[4 weeks average]]-B2044)/B2044</f>
        <v>8.7366838647414888E-2</v>
      </c>
    </row>
    <row r="2097" spans="1:6" x14ac:dyDescent="0.2">
      <c r="A2097" s="34">
        <v>42037</v>
      </c>
      <c r="B2097" s="25">
        <f>VLOOKUP(Table2634[[#This Row],[Date]],'DB Money Supply'!$A:$D,4)</f>
        <v>2999.4</v>
      </c>
      <c r="C2097" s="31">
        <f>(Table2634[[#This Row],[M1 Money Stock, Billions of Dollars, Weekly, Seasonally Adjusted]]-B2096)/B2096</f>
        <v>2.1768012263668913E-2</v>
      </c>
      <c r="D2097" s="35">
        <f>(Table2634[[#This Row],[M1 Money Stock, Billions of Dollars, Weekly, Seasonally Adjusted]]-B2094)/B2094</f>
        <v>2.3476421210673646E-2</v>
      </c>
      <c r="E2097" s="25">
        <f t="shared" si="32"/>
        <v>2945.8249999999998</v>
      </c>
      <c r="F2097" s="33">
        <f>(Table2634[[#This Row],[4 weeks average]]-B2045)/B2045</f>
        <v>6.4666232968303775E-2</v>
      </c>
    </row>
    <row r="2098" spans="1:6" x14ac:dyDescent="0.2">
      <c r="A2098" s="34">
        <v>42044</v>
      </c>
      <c r="B2098" s="25">
        <f>VLOOKUP(Table2634[[#This Row],[Date]],'DB Money Supply'!$A:$D,4)</f>
        <v>3002.2</v>
      </c>
      <c r="C2098" s="31">
        <f>(Table2634[[#This Row],[M1 Money Stock, Billions of Dollars, Weekly, Seasonally Adjusted]]-B2097)/B2097</f>
        <v>9.3352003734071046E-4</v>
      </c>
      <c r="D2098" s="35">
        <f>(Table2634[[#This Row],[M1 Money Stock, Billions of Dollars, Weekly, Seasonally Adjusted]]-B2095)/B2095</f>
        <v>2.8925903077661127E-2</v>
      </c>
      <c r="E2098" s="25">
        <f t="shared" si="32"/>
        <v>2963.7250000000004</v>
      </c>
      <c r="F2098" s="33">
        <f>(Table2634[[#This Row],[4 weeks average]]-B2046)/B2046</f>
        <v>8.9845186438184996E-2</v>
      </c>
    </row>
    <row r="2099" spans="1:6" x14ac:dyDescent="0.2">
      <c r="A2099" s="34">
        <v>42051</v>
      </c>
      <c r="B2099" s="25">
        <f>VLOOKUP(Table2634[[#This Row],[Date]],'DB Money Supply'!$A:$D,4)</f>
        <v>3005.6</v>
      </c>
      <c r="C2099" s="31">
        <f>(Table2634[[#This Row],[M1 Money Stock, Billions of Dollars, Weekly, Seasonally Adjusted]]-B2098)/B2098</f>
        <v>1.1325028312571086E-3</v>
      </c>
      <c r="D2099" s="35">
        <f>(Table2634[[#This Row],[M1 Money Stock, Billions of Dollars, Weekly, Seasonally Adjusted]]-B2096)/B2096</f>
        <v>2.3880088570941888E-2</v>
      </c>
      <c r="E2099" s="25">
        <f t="shared" si="32"/>
        <v>2985.6749999999997</v>
      </c>
      <c r="F2099" s="33">
        <f>(Table2634[[#This Row],[4 weeks average]]-B2047)/B2047</f>
        <v>0.10119684284291651</v>
      </c>
    </row>
    <row r="2100" spans="1:6" x14ac:dyDescent="0.2">
      <c r="A2100" s="34">
        <v>42058</v>
      </c>
      <c r="B2100" s="25">
        <f>VLOOKUP(Table2634[[#This Row],[Date]],'DB Money Supply'!$A:$D,4)</f>
        <v>3006.4</v>
      </c>
      <c r="C2100" s="31">
        <f>(Table2634[[#This Row],[M1 Money Stock, Billions of Dollars, Weekly, Seasonally Adjusted]]-B2099)/B2099</f>
        <v>2.6616981634288724E-4</v>
      </c>
      <c r="D2100" s="35">
        <f>(Table2634[[#This Row],[M1 Money Stock, Billions of Dollars, Weekly, Seasonally Adjusted]]-B2097)/B2097</f>
        <v>2.3338000933520037E-3</v>
      </c>
      <c r="E2100" s="25">
        <f t="shared" si="32"/>
        <v>3003.4</v>
      </c>
      <c r="F2100" s="33">
        <f>(Table2634[[#This Row],[4 weeks average]]-B2048)/B2048</f>
        <v>0.109452920098999</v>
      </c>
    </row>
    <row r="2101" spans="1:6" x14ac:dyDescent="0.2">
      <c r="A2101" s="34">
        <v>42065</v>
      </c>
      <c r="B2101" s="25">
        <f>VLOOKUP(Table2634[[#This Row],[Date]],'DB Money Supply'!$A:$D,4)</f>
        <v>3015.5</v>
      </c>
      <c r="C2101" s="31">
        <f>(Table2634[[#This Row],[M1 Money Stock, Billions of Dollars, Weekly, Seasonally Adjusted]]-B2100)/B2100</f>
        <v>3.0268759978711777E-3</v>
      </c>
      <c r="D2101" s="35">
        <f>(Table2634[[#This Row],[M1 Money Stock, Billions of Dollars, Weekly, Seasonally Adjusted]]-B2098)/B2098</f>
        <v>4.4300846046233374E-3</v>
      </c>
      <c r="E2101" s="25">
        <f t="shared" si="32"/>
        <v>3007.4249999999997</v>
      </c>
      <c r="F2101" s="33">
        <f>(Table2634[[#This Row],[4 weeks average]]-B2049)/B2049</f>
        <v>8.7873033098209347E-2</v>
      </c>
    </row>
    <row r="2102" spans="1:6" x14ac:dyDescent="0.2">
      <c r="A2102" s="34">
        <v>42072</v>
      </c>
      <c r="B2102" s="25">
        <f>VLOOKUP(Table2634[[#This Row],[Date]],'DB Money Supply'!$A:$D,4)</f>
        <v>3013.2</v>
      </c>
      <c r="C2102" s="31">
        <f>(Table2634[[#This Row],[M1 Money Stock, Billions of Dollars, Weekly, Seasonally Adjusted]]-B2101)/B2101</f>
        <v>-7.6272591610020959E-4</v>
      </c>
      <c r="D2102" s="35">
        <f>(Table2634[[#This Row],[M1 Money Stock, Billions of Dollars, Weekly, Seasonally Adjusted]]-B2099)/B2099</f>
        <v>2.5286132552568238E-3</v>
      </c>
      <c r="E2102" s="25">
        <f t="shared" si="32"/>
        <v>3010.1750000000002</v>
      </c>
      <c r="F2102" s="33">
        <f>(Table2634[[#This Row],[4 weeks average]]-B2050)/B2050</f>
        <v>8.9656108597285136E-2</v>
      </c>
    </row>
    <row r="2103" spans="1:6" x14ac:dyDescent="0.2">
      <c r="A2103" s="34">
        <v>42079</v>
      </c>
      <c r="B2103" s="25">
        <f>VLOOKUP(Table2634[[#This Row],[Date]],'DB Money Supply'!$A:$D,4)</f>
        <v>2995.8</v>
      </c>
      <c r="C2103" s="31">
        <f>(Table2634[[#This Row],[M1 Money Stock, Billions of Dollars, Weekly, Seasonally Adjusted]]-B2102)/B2102</f>
        <v>-5.7745917960970519E-3</v>
      </c>
      <c r="D2103" s="35">
        <f>(Table2634[[#This Row],[M1 Money Stock, Billions of Dollars, Weekly, Seasonally Adjusted]]-B2100)/B2100</f>
        <v>-3.5258116019158824E-3</v>
      </c>
      <c r="E2103" s="25">
        <f t="shared" si="32"/>
        <v>3007.7249999999995</v>
      </c>
      <c r="F2103" s="33">
        <f>(Table2634[[#This Row],[4 weeks average]]-B2051)/B2051</f>
        <v>9.7669793073245345E-2</v>
      </c>
    </row>
    <row r="2104" spans="1:6" x14ac:dyDescent="0.2">
      <c r="A2104" s="34">
        <v>42086</v>
      </c>
      <c r="B2104" s="25">
        <f>VLOOKUP(Table2634[[#This Row],[Date]],'DB Money Supply'!$A:$D,4)</f>
        <v>3000.2</v>
      </c>
      <c r="C2104" s="31">
        <f>(Table2634[[#This Row],[M1 Money Stock, Billions of Dollars, Weekly, Seasonally Adjusted]]-B2103)/B2103</f>
        <v>1.4687228786967206E-3</v>
      </c>
      <c r="D2104" s="35">
        <f>(Table2634[[#This Row],[M1 Money Stock, Billions of Dollars, Weekly, Seasonally Adjusted]]-B2101)/B2101</f>
        <v>-5.0737854418836615E-3</v>
      </c>
      <c r="E2104" s="25">
        <f t="shared" si="32"/>
        <v>3006.1750000000002</v>
      </c>
      <c r="F2104" s="33">
        <f>(Table2634[[#This Row],[4 weeks average]]-B2052)/B2052</f>
        <v>9.3353336970358317E-2</v>
      </c>
    </row>
    <row r="2105" spans="1:6" x14ac:dyDescent="0.2">
      <c r="A2105" s="34">
        <v>42093</v>
      </c>
      <c r="B2105" s="25">
        <f>VLOOKUP(Table2634[[#This Row],[Date]],'DB Money Supply'!$A:$D,4)</f>
        <v>2987.5</v>
      </c>
      <c r="C2105" s="31">
        <f>(Table2634[[#This Row],[M1 Money Stock, Billions of Dollars, Weekly, Seasonally Adjusted]]-B2104)/B2104</f>
        <v>-4.2330511299246117E-3</v>
      </c>
      <c r="D2105" s="35">
        <f>(Table2634[[#This Row],[M1 Money Stock, Billions of Dollars, Weekly, Seasonally Adjusted]]-B2102)/B2102</f>
        <v>-8.5291384574538096E-3</v>
      </c>
      <c r="E2105" s="25">
        <f t="shared" si="32"/>
        <v>2999.1750000000002</v>
      </c>
      <c r="F2105" s="33">
        <f>(Table2634[[#This Row],[4 weeks average]]-B2053)/B2053</f>
        <v>8.5752814683415987E-2</v>
      </c>
    </row>
    <row r="2106" spans="1:6" x14ac:dyDescent="0.2">
      <c r="A2106" s="34">
        <v>42100</v>
      </c>
      <c r="B2106" s="25">
        <f>VLOOKUP(Table2634[[#This Row],[Date]],'DB Money Supply'!$A:$D,4)</f>
        <v>2977.8</v>
      </c>
      <c r="C2106" s="31">
        <f>(Table2634[[#This Row],[M1 Money Stock, Billions of Dollars, Weekly, Seasonally Adjusted]]-B2105)/B2105</f>
        <v>-3.2468619246861317E-3</v>
      </c>
      <c r="D2106" s="35">
        <f>(Table2634[[#This Row],[M1 Money Stock, Billions of Dollars, Weekly, Seasonally Adjusted]]-B2103)/B2103</f>
        <v>-6.0084117764870812E-3</v>
      </c>
      <c r="E2106" s="25">
        <f t="shared" si="32"/>
        <v>2990.3249999999998</v>
      </c>
      <c r="F2106" s="33">
        <f>(Table2634[[#This Row],[4 weeks average]]-B2054)/B2054</f>
        <v>9.1638374767276168E-2</v>
      </c>
    </row>
    <row r="2107" spans="1:6" x14ac:dyDescent="0.2">
      <c r="A2107" s="34">
        <v>42107</v>
      </c>
      <c r="B2107" s="25">
        <f>VLOOKUP(Table2634[[#This Row],[Date]],'DB Money Supply'!$A:$D,4)</f>
        <v>3014.8</v>
      </c>
      <c r="C2107" s="31">
        <f>(Table2634[[#This Row],[M1 Money Stock, Billions of Dollars, Weekly, Seasonally Adjusted]]-B2106)/B2106</f>
        <v>1.2425280408355161E-2</v>
      </c>
      <c r="D2107" s="35">
        <f>(Table2634[[#This Row],[M1 Money Stock, Billions of Dollars, Weekly, Seasonally Adjusted]]-B2104)/B2104</f>
        <v>4.8663422438505318E-3</v>
      </c>
      <c r="E2107" s="25">
        <f t="shared" si="32"/>
        <v>2995.0749999999998</v>
      </c>
      <c r="F2107" s="33">
        <f>(Table2634[[#This Row],[4 weeks average]]-B2055)/B2055</f>
        <v>7.3503584229390614E-2</v>
      </c>
    </row>
    <row r="2108" spans="1:6" x14ac:dyDescent="0.2">
      <c r="A2108" s="34">
        <v>42114</v>
      </c>
      <c r="B2108" s="25">
        <f>VLOOKUP(Table2634[[#This Row],[Date]],'DB Money Supply'!$A:$D,4)</f>
        <v>3015.8</v>
      </c>
      <c r="C2108" s="31">
        <f>(Table2634[[#This Row],[M1 Money Stock, Billions of Dollars, Weekly, Seasonally Adjusted]]-B2107)/B2107</f>
        <v>3.3169696165583122E-4</v>
      </c>
      <c r="D2108" s="35">
        <f>(Table2634[[#This Row],[M1 Money Stock, Billions of Dollars, Weekly, Seasonally Adjusted]]-B2105)/B2105</f>
        <v>9.4728033472803955E-3</v>
      </c>
      <c r="E2108" s="25">
        <f t="shared" si="32"/>
        <v>2998.9750000000004</v>
      </c>
      <c r="F2108" s="33">
        <f>(Table2634[[#This Row],[4 weeks average]]-B2056)/B2056</f>
        <v>7.5094102885821967E-2</v>
      </c>
    </row>
    <row r="2109" spans="1:6" x14ac:dyDescent="0.2">
      <c r="A2109" s="34">
        <v>42121</v>
      </c>
      <c r="B2109" s="25">
        <f>VLOOKUP(Table2634[[#This Row],[Date]],'DB Money Supply'!$A:$D,4)</f>
        <v>2994.4</v>
      </c>
      <c r="C2109" s="31">
        <f>(Table2634[[#This Row],[M1 Money Stock, Billions of Dollars, Weekly, Seasonally Adjusted]]-B2108)/B2108</f>
        <v>-7.0959612706413188E-3</v>
      </c>
      <c r="D2109" s="35">
        <f>(Table2634[[#This Row],[M1 Money Stock, Billions of Dollars, Weekly, Seasonally Adjusted]]-B2106)/B2106</f>
        <v>5.574585264289042E-3</v>
      </c>
      <c r="E2109" s="25">
        <f t="shared" si="32"/>
        <v>3000.7000000000003</v>
      </c>
      <c r="F2109" s="33">
        <f>(Table2634[[#This Row],[4 weeks average]]-B2057)/B2057</f>
        <v>7.4326017686441717E-2</v>
      </c>
    </row>
    <row r="2110" spans="1:6" x14ac:dyDescent="0.2">
      <c r="A2110" s="34">
        <v>42128</v>
      </c>
      <c r="B2110" s="25">
        <f>VLOOKUP(Table2634[[#This Row],[Date]],'DB Money Supply'!$A:$D,4)</f>
        <v>2995.3</v>
      </c>
      <c r="C2110" s="31">
        <f>(Table2634[[#This Row],[M1 Money Stock, Billions of Dollars, Weekly, Seasonally Adjusted]]-B2109)/B2109</f>
        <v>3.0056104728830183E-4</v>
      </c>
      <c r="D2110" s="35">
        <f>(Table2634[[#This Row],[M1 Money Stock, Billions of Dollars, Weekly, Seasonally Adjusted]]-B2107)/B2107</f>
        <v>-6.4680907522887089E-3</v>
      </c>
      <c r="E2110" s="25">
        <f t="shared" si="32"/>
        <v>3005.0749999999998</v>
      </c>
      <c r="F2110" s="33">
        <f>(Table2634[[#This Row],[4 weeks average]]-B2058)/B2058</f>
        <v>7.9447896835374732E-2</v>
      </c>
    </row>
    <row r="2111" spans="1:6" x14ac:dyDescent="0.2">
      <c r="A2111" s="34">
        <v>42135</v>
      </c>
      <c r="B2111" s="25">
        <f>VLOOKUP(Table2634[[#This Row],[Date]],'DB Money Supply'!$A:$D,4)</f>
        <v>2997.1</v>
      </c>
      <c r="C2111" s="31">
        <f>(Table2634[[#This Row],[M1 Money Stock, Billions of Dollars, Weekly, Seasonally Adjusted]]-B2110)/B2110</f>
        <v>6.0094147497737353E-4</v>
      </c>
      <c r="D2111" s="35">
        <f>(Table2634[[#This Row],[M1 Money Stock, Billions of Dollars, Weekly, Seasonally Adjusted]]-B2108)/B2108</f>
        <v>-6.2006764374296277E-3</v>
      </c>
      <c r="E2111" s="25">
        <f t="shared" si="32"/>
        <v>3000.65</v>
      </c>
      <c r="F2111" s="33">
        <f>(Table2634[[#This Row],[4 weeks average]]-B2059)/B2059</f>
        <v>7.2120194369015261E-2</v>
      </c>
    </row>
    <row r="2112" spans="1:6" x14ac:dyDescent="0.2">
      <c r="A2112" s="34">
        <v>42142</v>
      </c>
      <c r="B2112" s="25">
        <f>VLOOKUP(Table2634[[#This Row],[Date]],'DB Money Supply'!$A:$D,4)</f>
        <v>2970.3</v>
      </c>
      <c r="C2112" s="31">
        <f>(Table2634[[#This Row],[M1 Money Stock, Billions of Dollars, Weekly, Seasonally Adjusted]]-B2111)/B2111</f>
        <v>-8.9419772446697569E-3</v>
      </c>
      <c r="D2112" s="35">
        <f>(Table2634[[#This Row],[M1 Money Stock, Billions of Dollars, Weekly, Seasonally Adjusted]]-B2109)/B2109</f>
        <v>-8.0483569329414598E-3</v>
      </c>
      <c r="E2112" s="25">
        <f t="shared" si="32"/>
        <v>2989.2750000000005</v>
      </c>
      <c r="F2112" s="33">
        <f>(Table2634[[#This Row],[4 weeks average]]-B2060)/B2060</f>
        <v>7.4389893253782965E-2</v>
      </c>
    </row>
    <row r="2113" spans="1:6" x14ac:dyDescent="0.2">
      <c r="A2113" s="34">
        <v>42149</v>
      </c>
      <c r="B2113" s="25">
        <f>VLOOKUP(Table2634[[#This Row],[Date]],'DB Money Supply'!$A:$D,4)</f>
        <v>2994.8</v>
      </c>
      <c r="C2113" s="31">
        <f>(Table2634[[#This Row],[M1 Money Stock, Billions of Dollars, Weekly, Seasonally Adjusted]]-B2112)/B2112</f>
        <v>8.2483250850082478E-3</v>
      </c>
      <c r="D2113" s="35">
        <f>(Table2634[[#This Row],[M1 Money Stock, Billions of Dollars, Weekly, Seasonally Adjusted]]-B2110)/B2110</f>
        <v>-1.6692818749374018E-4</v>
      </c>
      <c r="E2113" s="25">
        <f t="shared" si="32"/>
        <v>2989.375</v>
      </c>
      <c r="F2113" s="33">
        <f>(Table2634[[#This Row],[4 weeks average]]-B2061)/B2061</f>
        <v>7.0578018121261979E-2</v>
      </c>
    </row>
    <row r="2114" spans="1:6" x14ac:dyDescent="0.2">
      <c r="A2114" s="34">
        <v>42156</v>
      </c>
      <c r="B2114" s="25">
        <f>VLOOKUP(Table2634[[#This Row],[Date]],'DB Money Supply'!$A:$D,4)</f>
        <v>2977.1</v>
      </c>
      <c r="C2114" s="31">
        <f>(Table2634[[#This Row],[M1 Money Stock, Billions of Dollars, Weekly, Seasonally Adjusted]]-B2113)/B2113</f>
        <v>-5.9102444236677817E-3</v>
      </c>
      <c r="D2114" s="35">
        <f>(Table2634[[#This Row],[M1 Money Stock, Billions of Dollars, Weekly, Seasonally Adjusted]]-B2111)/B2111</f>
        <v>-6.6731173467685428E-3</v>
      </c>
      <c r="E2114" s="25">
        <f t="shared" si="32"/>
        <v>2984.8250000000003</v>
      </c>
      <c r="F2114" s="33">
        <f>(Table2634[[#This Row],[4 weeks average]]-B2062)/B2062</f>
        <v>5.8260946640666646E-2</v>
      </c>
    </row>
    <row r="2115" spans="1:6" x14ac:dyDescent="0.2">
      <c r="A2115" s="34">
        <v>42163</v>
      </c>
      <c r="B2115" s="25">
        <f>VLOOKUP(Table2634[[#This Row],[Date]],'DB Money Supply'!$A:$D,4)</f>
        <v>2990.7</v>
      </c>
      <c r="C2115" s="31">
        <f>(Table2634[[#This Row],[M1 Money Stock, Billions of Dollars, Weekly, Seasonally Adjusted]]-B2114)/B2114</f>
        <v>4.56820395687075E-3</v>
      </c>
      <c r="D2115" s="35">
        <f>(Table2634[[#This Row],[M1 Money Stock, Billions of Dollars, Weekly, Seasonally Adjusted]]-B2112)/B2112</f>
        <v>6.8679931320067451E-3</v>
      </c>
      <c r="E2115" s="25">
        <f t="shared" si="32"/>
        <v>2983.2250000000004</v>
      </c>
      <c r="F2115" s="33">
        <f>(Table2634[[#This Row],[4 weeks average]]-B2063)/B2063</f>
        <v>5.3659096528096695E-2</v>
      </c>
    </row>
    <row r="2116" spans="1:6" x14ac:dyDescent="0.2">
      <c r="A2116" s="34">
        <v>42170</v>
      </c>
      <c r="B2116" s="25">
        <f>VLOOKUP(Table2634[[#This Row],[Date]],'DB Money Supply'!$A:$D,4)</f>
        <v>3012.6</v>
      </c>
      <c r="C2116" s="31">
        <f>(Table2634[[#This Row],[M1 Money Stock, Billions of Dollars, Weekly, Seasonally Adjusted]]-B2115)/B2115</f>
        <v>7.3227003711505978E-3</v>
      </c>
      <c r="D2116" s="35">
        <f>(Table2634[[#This Row],[M1 Money Stock, Billions of Dollars, Weekly, Seasonally Adjusted]]-B2113)/B2113</f>
        <v>5.9436356351007498E-3</v>
      </c>
      <c r="E2116" s="25">
        <f t="shared" si="32"/>
        <v>2993.7999999999997</v>
      </c>
      <c r="F2116" s="33">
        <f>(Table2634[[#This Row],[4 weeks average]]-B2064)/B2064</f>
        <v>5.9564678817908237E-2</v>
      </c>
    </row>
    <row r="2117" spans="1:6" x14ac:dyDescent="0.2">
      <c r="A2117" s="34">
        <v>42177</v>
      </c>
      <c r="B2117" s="25">
        <f>VLOOKUP(Table2634[[#This Row],[Date]],'DB Money Supply'!$A:$D,4)</f>
        <v>3037.1</v>
      </c>
      <c r="C2117" s="31">
        <f>(Table2634[[#This Row],[M1 Money Stock, Billions of Dollars, Weekly, Seasonally Adjusted]]-B2116)/B2116</f>
        <v>8.1325101241452574E-3</v>
      </c>
      <c r="D2117" s="35">
        <f>(Table2634[[#This Row],[M1 Money Stock, Billions of Dollars, Weekly, Seasonally Adjusted]]-B2114)/B2114</f>
        <v>2.0153840986194618E-2</v>
      </c>
      <c r="E2117" s="25">
        <f t="shared" si="32"/>
        <v>3004.375</v>
      </c>
      <c r="F2117" s="33">
        <f>(Table2634[[#This Row],[4 weeks average]]-B2065)/B2065</f>
        <v>6.1916796267496181E-2</v>
      </c>
    </row>
    <row r="2118" spans="1:6" x14ac:dyDescent="0.2">
      <c r="A2118" s="34">
        <v>42184</v>
      </c>
      <c r="B2118" s="25">
        <f>VLOOKUP(Table2634[[#This Row],[Date]],'DB Money Supply'!$A:$D,4)</f>
        <v>3047.2</v>
      </c>
      <c r="C2118" s="31">
        <f>(Table2634[[#This Row],[M1 Money Stock, Billions of Dollars, Weekly, Seasonally Adjusted]]-B2117)/B2117</f>
        <v>3.3255408119587464E-3</v>
      </c>
      <c r="D2118" s="35">
        <f>(Table2634[[#This Row],[M1 Money Stock, Billions of Dollars, Weekly, Seasonally Adjusted]]-B2115)/B2115</f>
        <v>1.8891898217808539E-2</v>
      </c>
      <c r="E2118" s="25">
        <f t="shared" si="32"/>
        <v>3021.8999999999996</v>
      </c>
      <c r="F2118" s="33">
        <f>(Table2634[[#This Row],[4 weeks average]]-B2066)/B2066</f>
        <v>6.6113953078144161E-2</v>
      </c>
    </row>
    <row r="2119" spans="1:6" x14ac:dyDescent="0.2">
      <c r="A2119" s="34">
        <v>42191</v>
      </c>
      <c r="B2119" s="25">
        <f>VLOOKUP(Table2634[[#This Row],[Date]],'DB Money Supply'!$A:$D,4)</f>
        <v>3022.5</v>
      </c>
      <c r="C2119" s="31">
        <f>(Table2634[[#This Row],[M1 Money Stock, Billions of Dollars, Weekly, Seasonally Adjusted]]-B2118)/B2118</f>
        <v>-8.1058020477815101E-3</v>
      </c>
      <c r="D2119" s="35">
        <f>(Table2634[[#This Row],[M1 Money Stock, Billions of Dollars, Weekly, Seasonally Adjusted]]-B2116)/B2116</f>
        <v>3.2861979685321952E-3</v>
      </c>
      <c r="E2119" s="25">
        <f t="shared" si="32"/>
        <v>3029.85</v>
      </c>
      <c r="F2119" s="33">
        <f>(Table2634[[#This Row],[4 weeks average]]-B2067)/B2067</f>
        <v>7.7279999999999974E-2</v>
      </c>
    </row>
    <row r="2120" spans="1:6" x14ac:dyDescent="0.2">
      <c r="A2120" s="34">
        <v>42198</v>
      </c>
      <c r="B2120" s="25">
        <f>VLOOKUP(Table2634[[#This Row],[Date]],'DB Money Supply'!$A:$D,4)</f>
        <v>3035.5</v>
      </c>
      <c r="C2120" s="31">
        <f>(Table2634[[#This Row],[M1 Money Stock, Billions of Dollars, Weekly, Seasonally Adjusted]]-B2119)/B2119</f>
        <v>4.3010752688172043E-3</v>
      </c>
      <c r="D2120" s="35">
        <f>(Table2634[[#This Row],[M1 Money Stock, Billions of Dollars, Weekly, Seasonally Adjusted]]-B2117)/B2117</f>
        <v>-5.2681834644888517E-4</v>
      </c>
      <c r="E2120" s="25">
        <f t="shared" si="32"/>
        <v>3035.5749999999998</v>
      </c>
      <c r="F2120" s="33">
        <f>(Table2634[[#This Row],[4 weeks average]]-B2068)/B2068</f>
        <v>6.391945885321744E-2</v>
      </c>
    </row>
    <row r="2121" spans="1:6" x14ac:dyDescent="0.2">
      <c r="A2121" s="34">
        <v>42205</v>
      </c>
      <c r="B2121" s="25">
        <f>VLOOKUP(Table2634[[#This Row],[Date]],'DB Money Supply'!$A:$D,4)</f>
        <v>3038.4</v>
      </c>
      <c r="C2121" s="31">
        <f>(Table2634[[#This Row],[M1 Money Stock, Billions of Dollars, Weekly, Seasonally Adjusted]]-B2120)/B2120</f>
        <v>9.5536155493331941E-4</v>
      </c>
      <c r="D2121" s="35">
        <f>(Table2634[[#This Row],[M1 Money Stock, Billions of Dollars, Weekly, Seasonally Adjusted]]-B2118)/B2118</f>
        <v>-2.8878970858492148E-3</v>
      </c>
      <c r="E2121" s="25">
        <f t="shared" ref="E2121:E2184" si="33">AVERAGE(B2118:B2121)</f>
        <v>3035.9</v>
      </c>
      <c r="F2121" s="33">
        <f>(Table2634[[#This Row],[4 weeks average]]-B2069)/B2069</f>
        <v>6.1169562025935889E-2</v>
      </c>
    </row>
    <row r="2122" spans="1:6" x14ac:dyDescent="0.2">
      <c r="A2122" s="34">
        <v>42212</v>
      </c>
      <c r="B2122" s="25">
        <f>VLOOKUP(Table2634[[#This Row],[Date]],'DB Money Supply'!$A:$D,4)</f>
        <v>3033.5</v>
      </c>
      <c r="C2122" s="31">
        <f>(Table2634[[#This Row],[M1 Money Stock, Billions of Dollars, Weekly, Seasonally Adjusted]]-B2121)/B2121</f>
        <v>-1.6126908899421046E-3</v>
      </c>
      <c r="D2122" s="35">
        <f>(Table2634[[#This Row],[M1 Money Stock, Billions of Dollars, Weekly, Seasonally Adjusted]]-B2119)/B2119</f>
        <v>3.6393713813068652E-3</v>
      </c>
      <c r="E2122" s="25">
        <f t="shared" si="33"/>
        <v>3032.4749999999999</v>
      </c>
      <c r="F2122" s="33">
        <f>(Table2634[[#This Row],[4 weeks average]]-B2070)/B2070</f>
        <v>6.7246779756458014E-2</v>
      </c>
    </row>
    <row r="2123" spans="1:6" x14ac:dyDescent="0.2">
      <c r="A2123" s="34">
        <v>42219</v>
      </c>
      <c r="B2123" s="25">
        <f>VLOOKUP(Table2634[[#This Row],[Date]],'DB Money Supply'!$A:$D,4)</f>
        <v>3092</v>
      </c>
      <c r="C2123" s="31">
        <f>(Table2634[[#This Row],[M1 Money Stock, Billions of Dollars, Weekly, Seasonally Adjusted]]-B2122)/B2122</f>
        <v>1.9284654689302787E-2</v>
      </c>
      <c r="D2123" s="35">
        <f>(Table2634[[#This Row],[M1 Money Stock, Billions of Dollars, Weekly, Seasonally Adjusted]]-B2120)/B2120</f>
        <v>1.8613078570252017E-2</v>
      </c>
      <c r="E2123" s="25">
        <f t="shared" si="33"/>
        <v>3049.85</v>
      </c>
      <c r="F2123" s="33">
        <f>(Table2634[[#This Row],[4 weeks average]]-B2071)/B2071</f>
        <v>7.3172877300397551E-2</v>
      </c>
    </row>
    <row r="2124" spans="1:6" x14ac:dyDescent="0.2">
      <c r="A2124" s="34">
        <v>42226</v>
      </c>
      <c r="B2124" s="25">
        <f>VLOOKUP(Table2634[[#This Row],[Date]],'DB Money Supply'!$A:$D,4)</f>
        <v>3033.6</v>
      </c>
      <c r="C2124" s="31">
        <f>(Table2634[[#This Row],[M1 Money Stock, Billions of Dollars, Weekly, Seasonally Adjusted]]-B2123)/B2123</f>
        <v>-1.888745148771025E-2</v>
      </c>
      <c r="D2124" s="35">
        <f>(Table2634[[#This Row],[M1 Money Stock, Billions of Dollars, Weekly, Seasonally Adjusted]]-B2121)/B2121</f>
        <v>-1.5797788309637249E-3</v>
      </c>
      <c r="E2124" s="25">
        <f t="shared" si="33"/>
        <v>3049.375</v>
      </c>
      <c r="F2124" s="33">
        <f>(Table2634[[#This Row],[4 weeks average]]-B2072)/B2072</f>
        <v>8.6037110905335071E-2</v>
      </c>
    </row>
    <row r="2125" spans="1:6" x14ac:dyDescent="0.2">
      <c r="A2125" s="34">
        <v>42233</v>
      </c>
      <c r="B2125" s="25">
        <f>VLOOKUP(Table2634[[#This Row],[Date]],'DB Money Supply'!$A:$D,4)</f>
        <v>3013.6</v>
      </c>
      <c r="C2125" s="31">
        <f>(Table2634[[#This Row],[M1 Money Stock, Billions of Dollars, Weekly, Seasonally Adjusted]]-B2124)/B2124</f>
        <v>-6.5928270042194094E-3</v>
      </c>
      <c r="D2125" s="35">
        <f>(Table2634[[#This Row],[M1 Money Stock, Billions of Dollars, Weekly, Seasonally Adjusted]]-B2122)/B2122</f>
        <v>-6.5600791165320886E-3</v>
      </c>
      <c r="E2125" s="25">
        <f t="shared" si="33"/>
        <v>3043.1750000000002</v>
      </c>
      <c r="F2125" s="33">
        <f>(Table2634[[#This Row],[4 weeks average]]-B2073)/B2073</f>
        <v>9.4155610685650593E-2</v>
      </c>
    </row>
    <row r="2126" spans="1:6" x14ac:dyDescent="0.2">
      <c r="A2126" s="34">
        <v>42240</v>
      </c>
      <c r="B2126" s="25">
        <f>VLOOKUP(Table2634[[#This Row],[Date]],'DB Money Supply'!$A:$D,4)</f>
        <v>3025.7</v>
      </c>
      <c r="C2126" s="31">
        <f>(Table2634[[#This Row],[M1 Money Stock, Billions of Dollars, Weekly, Seasonally Adjusted]]-B2125)/B2125</f>
        <v>4.0151314043004741E-3</v>
      </c>
      <c r="D2126" s="35">
        <f>(Table2634[[#This Row],[M1 Money Stock, Billions of Dollars, Weekly, Seasonally Adjusted]]-B2123)/B2123</f>
        <v>-2.1442432082794366E-2</v>
      </c>
      <c r="E2126" s="25">
        <f t="shared" si="33"/>
        <v>3041.2250000000004</v>
      </c>
      <c r="F2126" s="33">
        <f>(Table2634[[#This Row],[4 weeks average]]-B2074)/B2074</f>
        <v>8.8445295443971395E-2</v>
      </c>
    </row>
    <row r="2127" spans="1:6" x14ac:dyDescent="0.2">
      <c r="A2127" s="34">
        <v>42247</v>
      </c>
      <c r="B2127" s="25">
        <f>VLOOKUP(Table2634[[#This Row],[Date]],'DB Money Supply'!$A:$D,4)</f>
        <v>3018.5</v>
      </c>
      <c r="C2127" s="31">
        <f>(Table2634[[#This Row],[M1 Money Stock, Billions of Dollars, Weekly, Seasonally Adjusted]]-B2126)/B2126</f>
        <v>-2.3796146346299432E-3</v>
      </c>
      <c r="D2127" s="35">
        <f>(Table2634[[#This Row],[M1 Money Stock, Billions of Dollars, Weekly, Seasonally Adjusted]]-B2124)/B2124</f>
        <v>-4.9775843881856244E-3</v>
      </c>
      <c r="E2127" s="25">
        <f t="shared" si="33"/>
        <v>3022.85</v>
      </c>
      <c r="F2127" s="33">
        <f>(Table2634[[#This Row],[4 weeks average]]-B2075)/B2075</f>
        <v>7.5900484054669703E-2</v>
      </c>
    </row>
    <row r="2128" spans="1:6" x14ac:dyDescent="0.2">
      <c r="A2128" s="34">
        <v>42254</v>
      </c>
      <c r="B2128" s="25">
        <f>VLOOKUP(Table2634[[#This Row],[Date]],'DB Money Supply'!$A:$D,4)</f>
        <v>3012</v>
      </c>
      <c r="C2128" s="31">
        <f>(Table2634[[#This Row],[M1 Money Stock, Billions of Dollars, Weekly, Seasonally Adjusted]]-B2127)/B2127</f>
        <v>-2.1533874440947489E-3</v>
      </c>
      <c r="D2128" s="35">
        <f>(Table2634[[#This Row],[M1 Money Stock, Billions of Dollars, Weekly, Seasonally Adjusted]]-B2125)/B2125</f>
        <v>-5.30926466684334E-4</v>
      </c>
      <c r="E2128" s="25">
        <f t="shared" si="33"/>
        <v>3017.45</v>
      </c>
      <c r="F2128" s="33">
        <f>(Table2634[[#This Row],[4 weeks average]]-B2076)/B2076</f>
        <v>6.2108412530798948E-2</v>
      </c>
    </row>
    <row r="2129" spans="1:6" x14ac:dyDescent="0.2">
      <c r="A2129" s="34">
        <v>42261</v>
      </c>
      <c r="B2129" s="25">
        <f>VLOOKUP(Table2634[[#This Row],[Date]],'DB Money Supply'!$A:$D,4)</f>
        <v>3048.2</v>
      </c>
      <c r="C2129" s="31">
        <f>(Table2634[[#This Row],[M1 Money Stock, Billions of Dollars, Weekly, Seasonally Adjusted]]-B2128)/B2128</f>
        <v>1.2018592297476699E-2</v>
      </c>
      <c r="D2129" s="35">
        <f>(Table2634[[#This Row],[M1 Money Stock, Billions of Dollars, Weekly, Seasonally Adjusted]]-B2126)/B2126</f>
        <v>7.4362957332187599E-3</v>
      </c>
      <c r="E2129" s="25">
        <f t="shared" si="33"/>
        <v>3026.1000000000004</v>
      </c>
      <c r="F2129" s="33">
        <f>(Table2634[[#This Row],[4 weeks average]]-B2077)/B2077</f>
        <v>5.4169859959590491E-2</v>
      </c>
    </row>
    <row r="2130" spans="1:6" x14ac:dyDescent="0.2">
      <c r="A2130" s="34">
        <v>42268</v>
      </c>
      <c r="B2130" s="25">
        <f>VLOOKUP(Table2634[[#This Row],[Date]],'DB Money Supply'!$A:$D,4)</f>
        <v>3074.9</v>
      </c>
      <c r="C2130" s="31">
        <f>(Table2634[[#This Row],[M1 Money Stock, Billions of Dollars, Weekly, Seasonally Adjusted]]-B2129)/B2129</f>
        <v>8.7592677645824662E-3</v>
      </c>
      <c r="D2130" s="35">
        <f>(Table2634[[#This Row],[M1 Money Stock, Billions of Dollars, Weekly, Seasonally Adjusted]]-B2127)/B2127</f>
        <v>1.8684777207222159E-2</v>
      </c>
      <c r="E2130" s="25">
        <f t="shared" si="33"/>
        <v>3038.4</v>
      </c>
      <c r="F2130" s="33">
        <f>(Table2634[[#This Row],[4 weeks average]]-B2078)/B2078</f>
        <v>5.7570483814827739E-2</v>
      </c>
    </row>
    <row r="2131" spans="1:6" x14ac:dyDescent="0.2">
      <c r="A2131" s="34">
        <v>42275</v>
      </c>
      <c r="B2131" s="25">
        <f>VLOOKUP(Table2634[[#This Row],[Date]],'DB Money Supply'!$A:$D,4)</f>
        <v>3053.2</v>
      </c>
      <c r="C2131" s="31">
        <f>(Table2634[[#This Row],[M1 Money Stock, Billions of Dollars, Weekly, Seasonally Adjusted]]-B2130)/B2130</f>
        <v>-7.0571400695958481E-3</v>
      </c>
      <c r="D2131" s="35">
        <f>(Table2634[[#This Row],[M1 Money Stock, Billions of Dollars, Weekly, Seasonally Adjusted]]-B2128)/B2128</f>
        <v>1.3678618857901666E-2</v>
      </c>
      <c r="E2131" s="25">
        <f t="shared" si="33"/>
        <v>3047.0749999999998</v>
      </c>
      <c r="F2131" s="33">
        <f>(Table2634[[#This Row],[4 weeks average]]-B2079)/B2079</f>
        <v>6.0220946416144686E-2</v>
      </c>
    </row>
    <row r="2132" spans="1:6" x14ac:dyDescent="0.2">
      <c r="A2132" s="34">
        <v>42282</v>
      </c>
      <c r="B2132" s="25">
        <f>VLOOKUP(Table2634[[#This Row],[Date]],'DB Money Supply'!$A:$D,4)</f>
        <v>3016.1</v>
      </c>
      <c r="C2132" s="31">
        <f>(Table2634[[#This Row],[M1 Money Stock, Billions of Dollars, Weekly, Seasonally Adjusted]]-B2131)/B2131</f>
        <v>-1.2151185641294351E-2</v>
      </c>
      <c r="D2132" s="35">
        <f>(Table2634[[#This Row],[M1 Money Stock, Billions of Dollars, Weekly, Seasonally Adjusted]]-B2129)/B2129</f>
        <v>-1.05308050652844E-2</v>
      </c>
      <c r="E2132" s="25">
        <f t="shared" si="33"/>
        <v>3048.1</v>
      </c>
      <c r="F2132" s="33">
        <f>(Table2634[[#This Row],[4 weeks average]]-B2080)/B2080</f>
        <v>6.8871199635305289E-2</v>
      </c>
    </row>
    <row r="2133" spans="1:6" x14ac:dyDescent="0.2">
      <c r="A2133" s="34">
        <v>42289</v>
      </c>
      <c r="B2133" s="25">
        <f>VLOOKUP(Table2634[[#This Row],[Date]],'DB Money Supply'!$A:$D,4)</f>
        <v>2999.1</v>
      </c>
      <c r="C2133" s="31">
        <f>(Table2634[[#This Row],[M1 Money Stock, Billions of Dollars, Weekly, Seasonally Adjusted]]-B2132)/B2132</f>
        <v>-5.6364178906534931E-3</v>
      </c>
      <c r="D2133" s="35">
        <f>(Table2634[[#This Row],[M1 Money Stock, Billions of Dollars, Weekly, Seasonally Adjusted]]-B2130)/B2130</f>
        <v>-2.4651208169371421E-2</v>
      </c>
      <c r="E2133" s="25">
        <f t="shared" si="33"/>
        <v>3035.8250000000003</v>
      </c>
      <c r="F2133" s="33">
        <f>(Table2634[[#This Row],[4 weeks average]]-B2081)/B2081</f>
        <v>6.2517499650007163E-2</v>
      </c>
    </row>
    <row r="2134" spans="1:6" x14ac:dyDescent="0.2">
      <c r="A2134" s="34">
        <v>42296</v>
      </c>
      <c r="B2134" s="25">
        <f>VLOOKUP(Table2634[[#This Row],[Date]],'DB Money Supply'!$A:$D,4)</f>
        <v>2996.2</v>
      </c>
      <c r="C2134" s="31">
        <f>(Table2634[[#This Row],[M1 Money Stock, Billions of Dollars, Weekly, Seasonally Adjusted]]-B2133)/B2133</f>
        <v>-9.6695675369280483E-4</v>
      </c>
      <c r="D2134" s="35">
        <f>(Table2634[[#This Row],[M1 Money Stock, Billions of Dollars, Weekly, Seasonally Adjusted]]-B2131)/B2131</f>
        <v>-1.866893750818813E-2</v>
      </c>
      <c r="E2134" s="25">
        <f t="shared" si="33"/>
        <v>3016.1499999999996</v>
      </c>
      <c r="F2134" s="33">
        <f>(Table2634[[#This Row],[4 weeks average]]-B2082)/B2082</f>
        <v>5.3640047509257223E-2</v>
      </c>
    </row>
    <row r="2135" spans="1:6" x14ac:dyDescent="0.2">
      <c r="A2135" s="34">
        <v>42303</v>
      </c>
      <c r="B2135" s="25">
        <f>VLOOKUP(Table2634[[#This Row],[Date]],'DB Money Supply'!$A:$D,4)</f>
        <v>3023.1</v>
      </c>
      <c r="C2135" s="31">
        <f>(Table2634[[#This Row],[M1 Money Stock, Billions of Dollars, Weekly, Seasonally Adjusted]]-B2134)/B2134</f>
        <v>8.9780388492090284E-3</v>
      </c>
      <c r="D2135" s="35">
        <f>(Table2634[[#This Row],[M1 Money Stock, Billions of Dollars, Weekly, Seasonally Adjusted]]-B2132)/B2132</f>
        <v>2.3208779549749679E-3</v>
      </c>
      <c r="E2135" s="25">
        <f t="shared" si="33"/>
        <v>3008.625</v>
      </c>
      <c r="F2135" s="33">
        <f>(Table2634[[#This Row],[4 weeks average]]-B2083)/B2083</f>
        <v>4.8447518817953755E-2</v>
      </c>
    </row>
    <row r="2136" spans="1:6" x14ac:dyDescent="0.2">
      <c r="A2136" s="34">
        <v>42310</v>
      </c>
      <c r="B2136" s="25">
        <f>VLOOKUP(Table2634[[#This Row],[Date]],'DB Money Supply'!$A:$D,4)</f>
        <v>3067.6</v>
      </c>
      <c r="C2136" s="31">
        <f>(Table2634[[#This Row],[M1 Money Stock, Billions of Dollars, Weekly, Seasonally Adjusted]]-B2135)/B2135</f>
        <v>1.4719989414839072E-2</v>
      </c>
      <c r="D2136" s="35">
        <f>(Table2634[[#This Row],[M1 Money Stock, Billions of Dollars, Weekly, Seasonally Adjusted]]-B2133)/B2133</f>
        <v>2.284018538895002E-2</v>
      </c>
      <c r="E2136" s="25">
        <f t="shared" si="33"/>
        <v>3021.5</v>
      </c>
      <c r="F2136" s="33">
        <f>(Table2634[[#This Row],[4 weeks average]]-B2084)/B2084</f>
        <v>3.4902041375530928E-2</v>
      </c>
    </row>
    <row r="2137" spans="1:6" x14ac:dyDescent="0.2">
      <c r="A2137" s="34">
        <v>42317</v>
      </c>
      <c r="B2137" s="25">
        <f>VLOOKUP(Table2634[[#This Row],[Date]],'DB Money Supply'!$A:$D,4)</f>
        <v>3077.4</v>
      </c>
      <c r="C2137" s="31">
        <f>(Table2634[[#This Row],[M1 Money Stock, Billions of Dollars, Weekly, Seasonally Adjusted]]-B2136)/B2136</f>
        <v>3.1946798800365698E-3</v>
      </c>
      <c r="D2137" s="35">
        <f>(Table2634[[#This Row],[M1 Money Stock, Billions of Dollars, Weekly, Seasonally Adjusted]]-B2134)/B2134</f>
        <v>2.7100994593151417E-2</v>
      </c>
      <c r="E2137" s="25">
        <f t="shared" si="33"/>
        <v>3041.0749999999998</v>
      </c>
      <c r="F2137" s="33">
        <f>(Table2634[[#This Row],[4 weeks average]]-B2085)/B2085</f>
        <v>5.1692834416931774E-2</v>
      </c>
    </row>
    <row r="2138" spans="1:6" x14ac:dyDescent="0.2">
      <c r="A2138" s="34">
        <v>42324</v>
      </c>
      <c r="B2138" s="25">
        <f>VLOOKUP(Table2634[[#This Row],[Date]],'DB Money Supply'!$A:$D,4)</f>
        <v>3072.7</v>
      </c>
      <c r="C2138" s="31">
        <f>(Table2634[[#This Row],[M1 Money Stock, Billions of Dollars, Weekly, Seasonally Adjusted]]-B2137)/B2137</f>
        <v>-1.5272632741925888E-3</v>
      </c>
      <c r="D2138" s="35">
        <f>(Table2634[[#This Row],[M1 Money Stock, Billions of Dollars, Weekly, Seasonally Adjusted]]-B2135)/B2135</f>
        <v>1.6406999437663296E-2</v>
      </c>
      <c r="E2138" s="25">
        <f t="shared" si="33"/>
        <v>3060.2</v>
      </c>
      <c r="F2138" s="33">
        <f>(Table2634[[#This Row],[4 weeks average]]-B2086)/B2086</f>
        <v>6.5751898028836006E-2</v>
      </c>
    </row>
    <row r="2139" spans="1:6" x14ac:dyDescent="0.2">
      <c r="A2139" s="34">
        <v>42331</v>
      </c>
      <c r="B2139" s="25">
        <f>VLOOKUP(Table2634[[#This Row],[Date]],'DB Money Supply'!$A:$D,4)</f>
        <v>3095.2</v>
      </c>
      <c r="C2139" s="31">
        <f>(Table2634[[#This Row],[M1 Money Stock, Billions of Dollars, Weekly, Seasonally Adjusted]]-B2138)/B2138</f>
        <v>7.3225502001497056E-3</v>
      </c>
      <c r="D2139" s="35">
        <f>(Table2634[[#This Row],[M1 Money Stock, Billions of Dollars, Weekly, Seasonally Adjusted]]-B2136)/B2136</f>
        <v>8.9972617029599397E-3</v>
      </c>
      <c r="E2139" s="25">
        <f t="shared" si="33"/>
        <v>3078.2250000000004</v>
      </c>
      <c r="F2139" s="33">
        <f>(Table2634[[#This Row],[4 weeks average]]-B2087)/B2087</f>
        <v>6.8568403513035225E-2</v>
      </c>
    </row>
    <row r="2140" spans="1:6" x14ac:dyDescent="0.2">
      <c r="A2140" s="34">
        <v>42338</v>
      </c>
      <c r="B2140" s="25">
        <f>VLOOKUP(Table2634[[#This Row],[Date]],'DB Money Supply'!$A:$D,4)</f>
        <v>3084.4</v>
      </c>
      <c r="C2140" s="31">
        <f>(Table2634[[#This Row],[M1 Money Stock, Billions of Dollars, Weekly, Seasonally Adjusted]]-B2139)/B2139</f>
        <v>-3.4892737141379322E-3</v>
      </c>
      <c r="D2140" s="35">
        <f>(Table2634[[#This Row],[M1 Money Stock, Billions of Dollars, Weekly, Seasonally Adjusted]]-B2137)/B2137</f>
        <v>2.2746474296484044E-3</v>
      </c>
      <c r="E2140" s="25">
        <f t="shared" si="33"/>
        <v>3082.4249999999997</v>
      </c>
      <c r="F2140" s="33">
        <f>(Table2634[[#This Row],[4 weeks average]]-B2088)/B2088</f>
        <v>6.817236718993655E-2</v>
      </c>
    </row>
    <row r="2141" spans="1:6" x14ac:dyDescent="0.2">
      <c r="A2141" s="34">
        <v>42345</v>
      </c>
      <c r="B2141" s="25">
        <f>VLOOKUP(Table2634[[#This Row],[Date]],'DB Money Supply'!$A:$D,4)</f>
        <v>3038.9</v>
      </c>
      <c r="C2141" s="31">
        <f>(Table2634[[#This Row],[M1 Money Stock, Billions of Dollars, Weekly, Seasonally Adjusted]]-B2140)/B2140</f>
        <v>-1.4751653482038645E-2</v>
      </c>
      <c r="D2141" s="35">
        <f>(Table2634[[#This Row],[M1 Money Stock, Billions of Dollars, Weekly, Seasonally Adjusted]]-B2138)/B2138</f>
        <v>-1.100009763400258E-2</v>
      </c>
      <c r="E2141" s="25">
        <f t="shared" si="33"/>
        <v>3072.7999999999997</v>
      </c>
      <c r="F2141" s="33">
        <f>(Table2634[[#This Row],[4 weeks average]]-B2089)/B2089</f>
        <v>4.9095254353021416E-2</v>
      </c>
    </row>
    <row r="2142" spans="1:6" x14ac:dyDescent="0.2">
      <c r="A2142" s="34">
        <v>42352</v>
      </c>
      <c r="B2142" s="25">
        <f>VLOOKUP(Table2634[[#This Row],[Date]],'DB Money Supply'!$A:$D,4)</f>
        <v>3083.8</v>
      </c>
      <c r="C2142" s="31">
        <f>(Table2634[[#This Row],[M1 Money Stock, Billions of Dollars, Weekly, Seasonally Adjusted]]-B2141)/B2141</f>
        <v>1.4775083089275755E-2</v>
      </c>
      <c r="D2142" s="35">
        <f>(Table2634[[#This Row],[M1 Money Stock, Billions of Dollars, Weekly, Seasonally Adjusted]]-B2139)/B2139</f>
        <v>-3.6831222538122373E-3</v>
      </c>
      <c r="E2142" s="25">
        <f t="shared" si="33"/>
        <v>3075.5749999999998</v>
      </c>
      <c r="F2142" s="33">
        <f>(Table2634[[#This Row],[4 weeks average]]-B2090)/B2090</f>
        <v>4.462162896542355E-2</v>
      </c>
    </row>
    <row r="2143" spans="1:6" x14ac:dyDescent="0.2">
      <c r="A2143" s="34">
        <v>42359</v>
      </c>
      <c r="B2143" s="25">
        <f>VLOOKUP(Table2634[[#This Row],[Date]],'DB Money Supply'!$A:$D,4)</f>
        <v>3116.8</v>
      </c>
      <c r="C2143" s="31">
        <f>(Table2634[[#This Row],[M1 Money Stock, Billions of Dollars, Weekly, Seasonally Adjusted]]-B2142)/B2142</f>
        <v>1.0701083079317724E-2</v>
      </c>
      <c r="D2143" s="35">
        <f>(Table2634[[#This Row],[M1 Money Stock, Billions of Dollars, Weekly, Seasonally Adjusted]]-B2140)/B2140</f>
        <v>1.0504474127869307E-2</v>
      </c>
      <c r="E2143" s="25">
        <f t="shared" si="33"/>
        <v>3080.9750000000004</v>
      </c>
      <c r="F2143" s="33">
        <f>(Table2634[[#This Row],[4 weeks average]]-B2091)/B2091</f>
        <v>4.097543669966569E-2</v>
      </c>
    </row>
    <row r="2144" spans="1:6" x14ac:dyDescent="0.2">
      <c r="A2144" s="34">
        <v>42366</v>
      </c>
      <c r="B2144" s="25">
        <f>VLOOKUP(Table2634[[#This Row],[Date]],'DB Money Supply'!$A:$D,4)</f>
        <v>3099.9</v>
      </c>
      <c r="C2144" s="31">
        <f>(Table2634[[#This Row],[M1 Money Stock, Billions of Dollars, Weekly, Seasonally Adjusted]]-B2143)/B2143</f>
        <v>-5.4222279260780579E-3</v>
      </c>
      <c r="D2144" s="35">
        <f>(Table2634[[#This Row],[M1 Money Stock, Billions of Dollars, Weekly, Seasonally Adjusted]]-B2141)/B2141</f>
        <v>2.0073052749350093E-2</v>
      </c>
      <c r="E2144" s="25">
        <f t="shared" si="33"/>
        <v>3084.85</v>
      </c>
      <c r="F2144" s="33">
        <f>(Table2634[[#This Row],[4 weeks average]]-B2092)/B2092</f>
        <v>5.0054462522976281E-2</v>
      </c>
    </row>
    <row r="2145" spans="1:6" x14ac:dyDescent="0.2">
      <c r="A2145" s="34">
        <v>42373</v>
      </c>
      <c r="B2145" s="25">
        <f>VLOOKUP(Table2634[[#This Row],[Date]],'DB Money Supply'!$A:$D,4)</f>
        <v>3177.3</v>
      </c>
      <c r="C2145" s="31">
        <f>(Table2634[[#This Row],[M1 Money Stock, Billions of Dollars, Weekly, Seasonally Adjusted]]-B2144)/B2144</f>
        <v>2.4968547372495917E-2</v>
      </c>
      <c r="D2145" s="35">
        <f>(Table2634[[#This Row],[M1 Money Stock, Billions of Dollars, Weekly, Seasonally Adjusted]]-B2142)/B2142</f>
        <v>3.0319735391400218E-2</v>
      </c>
      <c r="E2145" s="25">
        <f t="shared" si="33"/>
        <v>3119.45</v>
      </c>
      <c r="F2145" s="33">
        <f>(Table2634[[#This Row],[4 weeks average]]-B2093)/B2093</f>
        <v>6.3207225630538447E-2</v>
      </c>
    </row>
    <row r="2146" spans="1:6" x14ac:dyDescent="0.2">
      <c r="A2146" s="34">
        <v>42380</v>
      </c>
      <c r="B2146" s="25">
        <f>VLOOKUP(Table2634[[#This Row],[Date]],'DB Money Supply'!$A:$D,4)</f>
        <v>3090.4</v>
      </c>
      <c r="C2146" s="31">
        <f>(Table2634[[#This Row],[M1 Money Stock, Billions of Dollars, Weekly, Seasonally Adjusted]]-B2145)/B2145</f>
        <v>-2.7350265949076288E-2</v>
      </c>
      <c r="D2146" s="35">
        <f>(Table2634[[#This Row],[M1 Money Stock, Billions of Dollars, Weekly, Seasonally Adjusted]]-B2143)/B2143</f>
        <v>-8.4702258726899668E-3</v>
      </c>
      <c r="E2146" s="25">
        <f t="shared" si="33"/>
        <v>3121.1</v>
      </c>
      <c r="F2146" s="33">
        <f>(Table2634[[#This Row],[4 weeks average]]-B2094)/B2094</f>
        <v>6.5003753497577296E-2</v>
      </c>
    </row>
    <row r="2147" spans="1:6" x14ac:dyDescent="0.2">
      <c r="A2147" s="34">
        <v>42387</v>
      </c>
      <c r="B2147" s="25">
        <f>VLOOKUP(Table2634[[#This Row],[Date]],'DB Money Supply'!$A:$D,4)</f>
        <v>3079.7</v>
      </c>
      <c r="C2147" s="31">
        <f>(Table2634[[#This Row],[M1 Money Stock, Billions of Dollars, Weekly, Seasonally Adjusted]]-B2146)/B2146</f>
        <v>-3.4623349728191409E-3</v>
      </c>
      <c r="D2147" s="35">
        <f>(Table2634[[#This Row],[M1 Money Stock, Billions of Dollars, Weekly, Seasonally Adjusted]]-B2144)/B2144</f>
        <v>-6.5163392367496601E-3</v>
      </c>
      <c r="E2147" s="25">
        <f t="shared" si="33"/>
        <v>3111.8249999999998</v>
      </c>
      <c r="F2147" s="33">
        <f>(Table2634[[#This Row],[4 weeks average]]-B2095)/B2095</f>
        <v>6.6497018301459876E-2</v>
      </c>
    </row>
    <row r="2148" spans="1:6" x14ac:dyDescent="0.2">
      <c r="A2148" s="34">
        <v>42394</v>
      </c>
      <c r="B2148" s="25">
        <f>VLOOKUP(Table2634[[#This Row],[Date]],'DB Money Supply'!$A:$D,4)</f>
        <v>3093.3</v>
      </c>
      <c r="C2148" s="31">
        <f>(Table2634[[#This Row],[M1 Money Stock, Billions of Dollars, Weekly, Seasonally Adjusted]]-B2147)/B2147</f>
        <v>4.4160145468715665E-3</v>
      </c>
      <c r="D2148" s="35">
        <f>(Table2634[[#This Row],[M1 Money Stock, Billions of Dollars, Weekly, Seasonally Adjusted]]-B2145)/B2145</f>
        <v>-2.6437541308658292E-2</v>
      </c>
      <c r="E2148" s="25">
        <f t="shared" si="33"/>
        <v>3110.1750000000002</v>
      </c>
      <c r="F2148" s="33">
        <f>(Table2634[[#This Row],[4 weeks average]]-B2096)/B2096</f>
        <v>5.9504343382728725E-2</v>
      </c>
    </row>
    <row r="2149" spans="1:6" x14ac:dyDescent="0.2">
      <c r="A2149" s="34">
        <v>42401</v>
      </c>
      <c r="B2149" s="25">
        <f>VLOOKUP(Table2634[[#This Row],[Date]],'DB Money Supply'!$A:$D,4)</f>
        <v>3079.9</v>
      </c>
      <c r="C2149" s="31">
        <f>(Table2634[[#This Row],[M1 Money Stock, Billions of Dollars, Weekly, Seasonally Adjusted]]-B2148)/B2148</f>
        <v>-4.3319432321469271E-3</v>
      </c>
      <c r="D2149" s="35">
        <f>(Table2634[[#This Row],[M1 Money Stock, Billions of Dollars, Weekly, Seasonally Adjusted]]-B2146)/B2146</f>
        <v>-3.3976184312710326E-3</v>
      </c>
      <c r="E2149" s="25">
        <f t="shared" si="33"/>
        <v>3085.8250000000003</v>
      </c>
      <c r="F2149" s="33">
        <f>(Table2634[[#This Row],[4 weeks average]]-B2097)/B2097</f>
        <v>2.8814096152563907E-2</v>
      </c>
    </row>
    <row r="2150" spans="1:6" x14ac:dyDescent="0.2">
      <c r="A2150" s="34">
        <v>42408</v>
      </c>
      <c r="B2150" s="25">
        <f>VLOOKUP(Table2634[[#This Row],[Date]],'DB Money Supply'!$A:$D,4)</f>
        <v>3084.2</v>
      </c>
      <c r="C2150" s="31">
        <f>(Table2634[[#This Row],[M1 Money Stock, Billions of Dollars, Weekly, Seasonally Adjusted]]-B2149)/B2149</f>
        <v>1.39614922562412E-3</v>
      </c>
      <c r="D2150" s="35">
        <f>(Table2634[[#This Row],[M1 Money Stock, Billions of Dollars, Weekly, Seasonally Adjusted]]-B2147)/B2147</f>
        <v>1.4611812838912883E-3</v>
      </c>
      <c r="E2150" s="25">
        <f t="shared" si="33"/>
        <v>3084.2749999999996</v>
      </c>
      <c r="F2150" s="33">
        <f>(Table2634[[#This Row],[4 weeks average]]-B2098)/B2098</f>
        <v>2.7338285257477789E-2</v>
      </c>
    </row>
    <row r="2151" spans="1:6" x14ac:dyDescent="0.2">
      <c r="A2151" s="34">
        <v>42415</v>
      </c>
      <c r="B2151" s="25">
        <f>VLOOKUP(Table2634[[#This Row],[Date]],'DB Money Supply'!$A:$D,4)</f>
        <v>3138.4</v>
      </c>
      <c r="C2151" s="31">
        <f>(Table2634[[#This Row],[M1 Money Stock, Billions of Dollars, Weekly, Seasonally Adjusted]]-B2150)/B2150</f>
        <v>1.7573438817197418E-2</v>
      </c>
      <c r="D2151" s="35">
        <f>(Table2634[[#This Row],[M1 Money Stock, Billions of Dollars, Weekly, Seasonally Adjusted]]-B2148)/B2148</f>
        <v>1.4579898490285426E-2</v>
      </c>
      <c r="E2151" s="25">
        <f t="shared" si="33"/>
        <v>3098.9500000000003</v>
      </c>
      <c r="F2151" s="33">
        <f>(Table2634[[#This Row],[4 weeks average]]-B2099)/B2099</f>
        <v>3.1058690444503715E-2</v>
      </c>
    </row>
    <row r="2152" spans="1:6" x14ac:dyDescent="0.2">
      <c r="A2152" s="34">
        <v>42422</v>
      </c>
      <c r="B2152" s="25">
        <f>VLOOKUP(Table2634[[#This Row],[Date]],'DB Money Supply'!$A:$D,4)</f>
        <v>3134.3</v>
      </c>
      <c r="C2152" s="31">
        <f>(Table2634[[#This Row],[M1 Money Stock, Billions of Dollars, Weekly, Seasonally Adjusted]]-B2151)/B2151</f>
        <v>-1.3063981646698666E-3</v>
      </c>
      <c r="D2152" s="35">
        <f>(Table2634[[#This Row],[M1 Money Stock, Billions of Dollars, Weekly, Seasonally Adjusted]]-B2149)/B2149</f>
        <v>1.7662911133478388E-2</v>
      </c>
      <c r="E2152" s="25">
        <f t="shared" si="33"/>
        <v>3109.2</v>
      </c>
      <c r="F2152" s="33">
        <f>(Table2634[[#This Row],[4 weeks average]]-B2100)/B2100</f>
        <v>3.4193720063863668E-2</v>
      </c>
    </row>
    <row r="2153" spans="1:6" x14ac:dyDescent="0.2">
      <c r="A2153" s="34">
        <v>42429</v>
      </c>
      <c r="B2153" s="25">
        <f>VLOOKUP(Table2634[[#This Row],[Date]],'DB Money Supply'!$A:$D,4)</f>
        <v>3165.8</v>
      </c>
      <c r="C2153" s="31">
        <f>(Table2634[[#This Row],[M1 Money Stock, Billions of Dollars, Weekly, Seasonally Adjusted]]-B2152)/B2152</f>
        <v>1.0050090929394122E-2</v>
      </c>
      <c r="D2153" s="35">
        <f>(Table2634[[#This Row],[M1 Money Stock, Billions of Dollars, Weekly, Seasonally Adjusted]]-B2150)/B2150</f>
        <v>2.6457428182348863E-2</v>
      </c>
      <c r="E2153" s="25">
        <f t="shared" si="33"/>
        <v>3130.6750000000002</v>
      </c>
      <c r="F2153" s="33">
        <f>(Table2634[[#This Row],[4 weeks average]]-B2101)/B2101</f>
        <v>3.819432929862384E-2</v>
      </c>
    </row>
    <row r="2154" spans="1:6" x14ac:dyDescent="0.2">
      <c r="A2154" s="34">
        <v>42436</v>
      </c>
      <c r="B2154" s="25">
        <f>VLOOKUP(Table2634[[#This Row],[Date]],'DB Money Supply'!$A:$D,4)</f>
        <v>3107.5</v>
      </c>
      <c r="C2154" s="31">
        <f>(Table2634[[#This Row],[M1 Money Stock, Billions of Dollars, Weekly, Seasonally Adjusted]]-B2153)/B2153</f>
        <v>-1.8415566365531676E-2</v>
      </c>
      <c r="D2154" s="35">
        <f>(Table2634[[#This Row],[M1 Money Stock, Billions of Dollars, Weekly, Seasonally Adjusted]]-B2151)/B2151</f>
        <v>-9.8457812898292418E-3</v>
      </c>
      <c r="E2154" s="25">
        <f t="shared" si="33"/>
        <v>3136.5</v>
      </c>
      <c r="F2154" s="33">
        <f>(Table2634[[#This Row],[4 weeks average]]-B2102)/B2102</f>
        <v>4.0919952210274856E-2</v>
      </c>
    </row>
    <row r="2155" spans="1:6" x14ac:dyDescent="0.2">
      <c r="A2155" s="34">
        <v>42443</v>
      </c>
      <c r="B2155" s="25">
        <f>VLOOKUP(Table2634[[#This Row],[Date]],'DB Money Supply'!$A:$D,4)</f>
        <v>3134.2</v>
      </c>
      <c r="C2155" s="31">
        <f>(Table2634[[#This Row],[M1 Money Stock, Billions of Dollars, Weekly, Seasonally Adjusted]]-B2154)/B2154</f>
        <v>8.5921158487529577E-3</v>
      </c>
      <c r="D2155" s="35">
        <f>(Table2634[[#This Row],[M1 Money Stock, Billions of Dollars, Weekly, Seasonally Adjusted]]-B2152)/B2152</f>
        <v>-3.1905050569621218E-5</v>
      </c>
      <c r="E2155" s="25">
        <f t="shared" si="33"/>
        <v>3135.45</v>
      </c>
      <c r="F2155" s="33">
        <f>(Table2634[[#This Row],[4 weeks average]]-B2103)/B2103</f>
        <v>4.6615261365912153E-2</v>
      </c>
    </row>
    <row r="2156" spans="1:6" x14ac:dyDescent="0.2">
      <c r="A2156" s="34">
        <v>42450</v>
      </c>
      <c r="B2156" s="25">
        <f>VLOOKUP(Table2634[[#This Row],[Date]],'DB Money Supply'!$A:$D,4)</f>
        <v>3174.5</v>
      </c>
      <c r="C2156" s="31">
        <f>(Table2634[[#This Row],[M1 Money Stock, Billions of Dollars, Weekly, Seasonally Adjusted]]-B2155)/B2155</f>
        <v>1.285814561929685E-2</v>
      </c>
      <c r="D2156" s="35">
        <f>(Table2634[[#This Row],[M1 Money Stock, Billions of Dollars, Weekly, Seasonally Adjusted]]-B2153)/B2153</f>
        <v>2.7481205382525169E-3</v>
      </c>
      <c r="E2156" s="25">
        <f t="shared" si="33"/>
        <v>3145.5</v>
      </c>
      <c r="F2156" s="33">
        <f>(Table2634[[#This Row],[4 weeks average]]-B2104)/B2104</f>
        <v>4.8430104659689416E-2</v>
      </c>
    </row>
    <row r="2157" spans="1:6" x14ac:dyDescent="0.2">
      <c r="A2157" s="34">
        <v>42457</v>
      </c>
      <c r="B2157" s="25">
        <f>VLOOKUP(Table2634[[#This Row],[Date]],'DB Money Supply'!$A:$D,4)</f>
        <v>3181</v>
      </c>
      <c r="C2157" s="31">
        <f>(Table2634[[#This Row],[M1 Money Stock, Billions of Dollars, Weekly, Seasonally Adjusted]]-B2156)/B2156</f>
        <v>2.0475665459127423E-3</v>
      </c>
      <c r="D2157" s="35">
        <f>(Table2634[[#This Row],[M1 Money Stock, Billions of Dollars, Weekly, Seasonally Adjusted]]-B2154)/B2154</f>
        <v>2.3652453740949316E-2</v>
      </c>
      <c r="E2157" s="25">
        <f t="shared" si="33"/>
        <v>3149.3</v>
      </c>
      <c r="F2157" s="33">
        <f>(Table2634[[#This Row],[4 weeks average]]-B2105)/B2105</f>
        <v>5.4158995815899641E-2</v>
      </c>
    </row>
    <row r="2158" spans="1:6" x14ac:dyDescent="0.2">
      <c r="A2158" s="34">
        <v>42464</v>
      </c>
      <c r="B2158" s="25">
        <f>VLOOKUP(Table2634[[#This Row],[Date]],'DB Money Supply'!$A:$D,4)</f>
        <v>3180.7</v>
      </c>
      <c r="C2158" s="31">
        <f>(Table2634[[#This Row],[M1 Money Stock, Billions of Dollars, Weekly, Seasonally Adjusted]]-B2157)/B2157</f>
        <v>-9.4309965419736526E-5</v>
      </c>
      <c r="D2158" s="35">
        <f>(Table2634[[#This Row],[M1 Money Stock, Billions of Dollars, Weekly, Seasonally Adjusted]]-B2155)/B2155</f>
        <v>1.4836321868419374E-2</v>
      </c>
      <c r="E2158" s="25">
        <f t="shared" si="33"/>
        <v>3167.6000000000004</v>
      </c>
      <c r="F2158" s="33">
        <f>(Table2634[[#This Row],[4 weeks average]]-B2106)/B2106</f>
        <v>6.3738330310967886E-2</v>
      </c>
    </row>
    <row r="2159" spans="1:6" x14ac:dyDescent="0.2">
      <c r="A2159" s="34">
        <v>42471</v>
      </c>
      <c r="B2159" s="25">
        <f>VLOOKUP(Table2634[[#This Row],[Date]],'DB Money Supply'!$A:$D,4)</f>
        <v>3198.4</v>
      </c>
      <c r="C2159" s="31">
        <f>(Table2634[[#This Row],[M1 Money Stock, Billions of Dollars, Weekly, Seasonally Adjusted]]-B2158)/B2158</f>
        <v>5.5648127770617393E-3</v>
      </c>
      <c r="D2159" s="35">
        <f>(Table2634[[#This Row],[M1 Money Stock, Billions of Dollars, Weekly, Seasonally Adjusted]]-B2156)/B2156</f>
        <v>7.5287446842022656E-3</v>
      </c>
      <c r="E2159" s="25">
        <f t="shared" si="33"/>
        <v>3183.65</v>
      </c>
      <c r="F2159" s="33">
        <f>(Table2634[[#This Row],[4 weeks average]]-B2107)/B2107</f>
        <v>5.6007031975587068E-2</v>
      </c>
    </row>
    <row r="2160" spans="1:6" x14ac:dyDescent="0.2">
      <c r="A2160" s="34">
        <v>42478</v>
      </c>
      <c r="B2160" s="25">
        <f>VLOOKUP(Table2634[[#This Row],[Date]],'DB Money Supply'!$A:$D,4)</f>
        <v>3182.4</v>
      </c>
      <c r="C2160" s="31">
        <f>(Table2634[[#This Row],[M1 Money Stock, Billions of Dollars, Weekly, Seasonally Adjusted]]-B2159)/B2159</f>
        <v>-5.0025012506253125E-3</v>
      </c>
      <c r="D2160" s="35">
        <f>(Table2634[[#This Row],[M1 Money Stock, Billions of Dollars, Weekly, Seasonally Adjusted]]-B2157)/B2157</f>
        <v>4.4011317195853222E-4</v>
      </c>
      <c r="E2160" s="25">
        <f t="shared" si="33"/>
        <v>3185.625</v>
      </c>
      <c r="F2160" s="33">
        <f>(Table2634[[#This Row],[4 weeks average]]-B2108)/B2108</f>
        <v>5.6311758074142786E-2</v>
      </c>
    </row>
    <row r="2161" spans="1:6" x14ac:dyDescent="0.2">
      <c r="A2161" s="34">
        <v>42485</v>
      </c>
      <c r="B2161" s="25">
        <f>VLOOKUP(Table2634[[#This Row],[Date]],'DB Money Supply'!$A:$D,4)</f>
        <v>3203.5</v>
      </c>
      <c r="C2161" s="31">
        <f>(Table2634[[#This Row],[M1 Money Stock, Billions of Dollars, Weekly, Seasonally Adjusted]]-B2160)/B2160</f>
        <v>6.6302161890396897E-3</v>
      </c>
      <c r="D2161" s="35">
        <f>(Table2634[[#This Row],[M1 Money Stock, Billions of Dollars, Weekly, Seasonally Adjusted]]-B2158)/B2158</f>
        <v>7.168233407740492E-3</v>
      </c>
      <c r="E2161" s="25">
        <f t="shared" si="33"/>
        <v>3191.25</v>
      </c>
      <c r="F2161" s="33">
        <f>(Table2634[[#This Row],[4 weeks average]]-B2109)/B2109</f>
        <v>6.5739380176329118E-2</v>
      </c>
    </row>
    <row r="2162" spans="1:6" x14ac:dyDescent="0.2">
      <c r="A2162" s="34">
        <v>42492</v>
      </c>
      <c r="B2162" s="25">
        <f>VLOOKUP(Table2634[[#This Row],[Date]],'DB Money Supply'!$A:$D,4)</f>
        <v>3242.5</v>
      </c>
      <c r="C2162" s="31">
        <f>(Table2634[[#This Row],[M1 Money Stock, Billions of Dollars, Weekly, Seasonally Adjusted]]-B2161)/B2161</f>
        <v>1.2174184485718746E-2</v>
      </c>
      <c r="D2162" s="35">
        <f>(Table2634[[#This Row],[M1 Money Stock, Billions of Dollars, Weekly, Seasonally Adjusted]]-B2159)/B2159</f>
        <v>1.3788144072035989E-2</v>
      </c>
      <c r="E2162" s="25">
        <f t="shared" si="33"/>
        <v>3206.7</v>
      </c>
      <c r="F2162" s="33">
        <f>(Table2634[[#This Row],[4 weeks average]]-B2110)/B2110</f>
        <v>7.057723767235323E-2</v>
      </c>
    </row>
    <row r="2163" spans="1:6" x14ac:dyDescent="0.2">
      <c r="A2163" s="34">
        <v>42499</v>
      </c>
      <c r="B2163" s="25">
        <f>VLOOKUP(Table2634[[#This Row],[Date]],'DB Money Supply'!$A:$D,4)</f>
        <v>3255.3</v>
      </c>
      <c r="C2163" s="31">
        <f>(Table2634[[#This Row],[M1 Money Stock, Billions of Dollars, Weekly, Seasonally Adjusted]]-B2162)/B2162</f>
        <v>3.9475713184271956E-3</v>
      </c>
      <c r="D2163" s="35">
        <f>(Table2634[[#This Row],[M1 Money Stock, Billions of Dollars, Weekly, Seasonally Adjusted]]-B2160)/B2160</f>
        <v>2.2907239819004555E-2</v>
      </c>
      <c r="E2163" s="25">
        <f t="shared" si="33"/>
        <v>3220.9250000000002</v>
      </c>
      <c r="F2163" s="33">
        <f>(Table2634[[#This Row],[4 weeks average]]-B2111)/B2111</f>
        <v>7.4680524507023546E-2</v>
      </c>
    </row>
    <row r="2164" spans="1:6" x14ac:dyDescent="0.2">
      <c r="A2164" s="34">
        <v>42506</v>
      </c>
      <c r="B2164" s="25">
        <f>VLOOKUP(Table2634[[#This Row],[Date]],'DB Money Supply'!$A:$D,4)</f>
        <v>3236.6</v>
      </c>
      <c r="C2164" s="31">
        <f>(Table2634[[#This Row],[M1 Money Stock, Billions of Dollars, Weekly, Seasonally Adjusted]]-B2163)/B2163</f>
        <v>-5.7444782354929723E-3</v>
      </c>
      <c r="D2164" s="35">
        <f>(Table2634[[#This Row],[M1 Money Stock, Billions of Dollars, Weekly, Seasonally Adjusted]]-B2161)/B2161</f>
        <v>1.033244888403306E-2</v>
      </c>
      <c r="E2164" s="25">
        <f t="shared" si="33"/>
        <v>3234.4749999999999</v>
      </c>
      <c r="F2164" s="33">
        <f>(Table2634[[#This Row],[4 weeks average]]-B2112)/B2112</f>
        <v>8.8938827727838843E-2</v>
      </c>
    </row>
    <row r="2165" spans="1:6" x14ac:dyDescent="0.2">
      <c r="A2165" s="34">
        <v>42513</v>
      </c>
      <c r="B2165" s="25">
        <f>VLOOKUP(Table2634[[#This Row],[Date]],'DB Money Supply'!$A:$D,4)</f>
        <v>3248.8</v>
      </c>
      <c r="C2165" s="31">
        <f>(Table2634[[#This Row],[M1 Money Stock, Billions of Dollars, Weekly, Seasonally Adjusted]]-B2164)/B2164</f>
        <v>3.7693876289934727E-3</v>
      </c>
      <c r="D2165" s="35">
        <f>(Table2634[[#This Row],[M1 Money Stock, Billions of Dollars, Weekly, Seasonally Adjusted]]-B2162)/B2162</f>
        <v>1.9429452582884138E-3</v>
      </c>
      <c r="E2165" s="25">
        <f t="shared" si="33"/>
        <v>3245.8</v>
      </c>
      <c r="F2165" s="33">
        <f>(Table2634[[#This Row],[4 weeks average]]-B2113)/B2113</f>
        <v>8.3811940697208487E-2</v>
      </c>
    </row>
    <row r="2166" spans="1:6" x14ac:dyDescent="0.2">
      <c r="A2166" s="34">
        <v>42520</v>
      </c>
      <c r="B2166" s="25">
        <f>VLOOKUP(Table2634[[#This Row],[Date]],'DB Money Supply'!$A:$D,4)</f>
        <v>3218.7</v>
      </c>
      <c r="C2166" s="31">
        <f>(Table2634[[#This Row],[M1 Money Stock, Billions of Dollars, Weekly, Seasonally Adjusted]]-B2165)/B2165</f>
        <v>-9.2649593696135079E-3</v>
      </c>
      <c r="D2166" s="35">
        <f>(Table2634[[#This Row],[M1 Money Stock, Billions of Dollars, Weekly, Seasonally Adjusted]]-B2163)/B2163</f>
        <v>-1.124320339139261E-2</v>
      </c>
      <c r="E2166" s="25">
        <f t="shared" si="33"/>
        <v>3239.8500000000004</v>
      </c>
      <c r="F2166" s="33">
        <f>(Table2634[[#This Row],[4 weeks average]]-B2114)/B2114</f>
        <v>8.8257028652044087E-2</v>
      </c>
    </row>
    <row r="2167" spans="1:6" x14ac:dyDescent="0.2">
      <c r="A2167" s="34">
        <v>42527</v>
      </c>
      <c r="B2167" s="25">
        <f>VLOOKUP(Table2634[[#This Row],[Date]],'DB Money Supply'!$A:$D,4)</f>
        <v>3207</v>
      </c>
      <c r="C2167" s="31">
        <f>(Table2634[[#This Row],[M1 Money Stock, Billions of Dollars, Weekly, Seasonally Adjusted]]-B2166)/B2166</f>
        <v>-3.6350079224531078E-3</v>
      </c>
      <c r="D2167" s="35">
        <f>(Table2634[[#This Row],[M1 Money Stock, Billions of Dollars, Weekly, Seasonally Adjusted]]-B2164)/B2164</f>
        <v>-9.1453994932954065E-3</v>
      </c>
      <c r="E2167" s="25">
        <f t="shared" si="33"/>
        <v>3227.7749999999996</v>
      </c>
      <c r="F2167" s="33">
        <f>(Table2634[[#This Row],[4 weeks average]]-B2115)/B2115</f>
        <v>7.9270739291804532E-2</v>
      </c>
    </row>
    <row r="2168" spans="1:6" x14ac:dyDescent="0.2">
      <c r="A2168" s="34">
        <v>42534</v>
      </c>
      <c r="B2168" s="25">
        <f>VLOOKUP(Table2634[[#This Row],[Date]],'DB Money Supply'!$A:$D,4)</f>
        <v>3256.1</v>
      </c>
      <c r="C2168" s="31">
        <f>(Table2634[[#This Row],[M1 Money Stock, Billions of Dollars, Weekly, Seasonally Adjusted]]-B2167)/B2167</f>
        <v>1.5310258808855601E-2</v>
      </c>
      <c r="D2168" s="35">
        <f>(Table2634[[#This Row],[M1 Money Stock, Billions of Dollars, Weekly, Seasonally Adjusted]]-B2165)/B2165</f>
        <v>2.2469835016005069E-3</v>
      </c>
      <c r="E2168" s="25">
        <f t="shared" si="33"/>
        <v>3232.65</v>
      </c>
      <c r="F2168" s="33">
        <f>(Table2634[[#This Row],[4 weeks average]]-B2116)/B2116</f>
        <v>7.3043218482374092E-2</v>
      </c>
    </row>
    <row r="2169" spans="1:6" x14ac:dyDescent="0.2">
      <c r="A2169" s="34">
        <v>42541</v>
      </c>
      <c r="B2169" s="25">
        <f>VLOOKUP(Table2634[[#This Row],[Date]],'DB Money Supply'!$A:$D,4)</f>
        <v>3270.2</v>
      </c>
      <c r="C2169" s="31">
        <f>(Table2634[[#This Row],[M1 Money Stock, Billions of Dollars, Weekly, Seasonally Adjusted]]-B2168)/B2168</f>
        <v>4.3303338349559009E-3</v>
      </c>
      <c r="D2169" s="35">
        <f>(Table2634[[#This Row],[M1 Money Stock, Billions of Dollars, Weekly, Seasonally Adjusted]]-B2166)/B2166</f>
        <v>1.6000248547550253E-2</v>
      </c>
      <c r="E2169" s="25">
        <f t="shared" si="33"/>
        <v>3238</v>
      </c>
      <c r="F2169" s="33">
        <f>(Table2634[[#This Row],[4 weeks average]]-B2117)/B2117</f>
        <v>6.6148628625991926E-2</v>
      </c>
    </row>
    <row r="2170" spans="1:6" x14ac:dyDescent="0.2">
      <c r="A2170" s="34">
        <v>42548</v>
      </c>
      <c r="B2170" s="25">
        <f>VLOOKUP(Table2634[[#This Row],[Date]],'DB Money Supply'!$A:$D,4)</f>
        <v>3247.8</v>
      </c>
      <c r="C2170" s="31">
        <f>(Table2634[[#This Row],[M1 Money Stock, Billions of Dollars, Weekly, Seasonally Adjusted]]-B2169)/B2169</f>
        <v>-6.8497339612255022E-3</v>
      </c>
      <c r="D2170" s="35">
        <f>(Table2634[[#This Row],[M1 Money Stock, Billions of Dollars, Weekly, Seasonally Adjusted]]-B2167)/B2167</f>
        <v>1.2722170252572555E-2</v>
      </c>
      <c r="E2170" s="25">
        <f t="shared" si="33"/>
        <v>3245.2749999999996</v>
      </c>
      <c r="F2170" s="33">
        <f>(Table2634[[#This Row],[4 weeks average]]-B2118)/B2118</f>
        <v>6.5002297190863687E-2</v>
      </c>
    </row>
    <row r="2171" spans="1:6" x14ac:dyDescent="0.2">
      <c r="A2171" s="34">
        <v>42555</v>
      </c>
      <c r="B2171" s="25">
        <f>VLOOKUP(Table2634[[#This Row],[Date]],'DB Money Supply'!$A:$D,4)</f>
        <v>3251.2</v>
      </c>
      <c r="C2171" s="31">
        <f>(Table2634[[#This Row],[M1 Money Stock, Billions of Dollars, Weekly, Seasonally Adjusted]]-B2170)/B2170</f>
        <v>1.0468624915326177E-3</v>
      </c>
      <c r="D2171" s="35">
        <f>(Table2634[[#This Row],[M1 Money Stock, Billions of Dollars, Weekly, Seasonally Adjusted]]-B2168)/B2168</f>
        <v>-1.5048677866159182E-3</v>
      </c>
      <c r="E2171" s="25">
        <f t="shared" si="33"/>
        <v>3256.3249999999998</v>
      </c>
      <c r="F2171" s="33">
        <f>(Table2634[[#This Row],[4 weeks average]]-B2119)/B2119</f>
        <v>7.7361455748552466E-2</v>
      </c>
    </row>
    <row r="2172" spans="1:6" x14ac:dyDescent="0.2">
      <c r="A2172" s="34">
        <v>42562</v>
      </c>
      <c r="B2172" s="25">
        <f>VLOOKUP(Table2634[[#This Row],[Date]],'DB Money Supply'!$A:$D,4)</f>
        <v>3260.8</v>
      </c>
      <c r="C2172" s="31">
        <f>(Table2634[[#This Row],[M1 Money Stock, Billions of Dollars, Weekly, Seasonally Adjusted]]-B2171)/B2171</f>
        <v>2.9527559055119229E-3</v>
      </c>
      <c r="D2172" s="35">
        <f>(Table2634[[#This Row],[M1 Money Stock, Billions of Dollars, Weekly, Seasonally Adjusted]]-B2169)/B2169</f>
        <v>-2.8744419301570657E-3</v>
      </c>
      <c r="E2172" s="25">
        <f t="shared" si="33"/>
        <v>3257.5</v>
      </c>
      <c r="F2172" s="33">
        <f>(Table2634[[#This Row],[4 weeks average]]-B2120)/B2120</f>
        <v>7.3134574205238015E-2</v>
      </c>
    </row>
    <row r="2173" spans="1:6" x14ac:dyDescent="0.2">
      <c r="A2173" s="34">
        <v>42569</v>
      </c>
      <c r="B2173" s="25">
        <f>VLOOKUP(Table2634[[#This Row],[Date]],'DB Money Supply'!$A:$D,4)</f>
        <v>3243.4</v>
      </c>
      <c r="C2173" s="31">
        <f>(Table2634[[#This Row],[M1 Money Stock, Billions of Dollars, Weekly, Seasonally Adjusted]]-B2172)/B2172</f>
        <v>-5.3361138370952186E-3</v>
      </c>
      <c r="D2173" s="35">
        <f>(Table2634[[#This Row],[M1 Money Stock, Billions of Dollars, Weekly, Seasonally Adjusted]]-B2170)/B2170</f>
        <v>-1.3547632243365018E-3</v>
      </c>
      <c r="E2173" s="25">
        <f t="shared" si="33"/>
        <v>3250.7999999999997</v>
      </c>
      <c r="F2173" s="33">
        <f>(Table2634[[#This Row],[4 weeks average]]-B2121)/B2121</f>
        <v>6.9905213270142055E-2</v>
      </c>
    </row>
    <row r="2174" spans="1:6" x14ac:dyDescent="0.2">
      <c r="A2174" s="34">
        <v>42576</v>
      </c>
      <c r="B2174" s="25">
        <f>VLOOKUP(Table2634[[#This Row],[Date]],'DB Money Supply'!$A:$D,4)</f>
        <v>3253.9</v>
      </c>
      <c r="C2174" s="31">
        <f>(Table2634[[#This Row],[M1 Money Stock, Billions of Dollars, Weekly, Seasonally Adjusted]]-B2173)/B2173</f>
        <v>3.2373435283961274E-3</v>
      </c>
      <c r="D2174" s="35">
        <f>(Table2634[[#This Row],[M1 Money Stock, Billions of Dollars, Weekly, Seasonally Adjusted]]-B2171)/B2171</f>
        <v>8.3046259842528081E-4</v>
      </c>
      <c r="E2174" s="25">
        <f t="shared" si="33"/>
        <v>3252.3249999999998</v>
      </c>
      <c r="F2174" s="33">
        <f>(Table2634[[#This Row],[4 weeks average]]-B2122)/B2122</f>
        <v>7.2136146365584256E-2</v>
      </c>
    </row>
    <row r="2175" spans="1:6" x14ac:dyDescent="0.2">
      <c r="A2175" s="34">
        <v>42583</v>
      </c>
      <c r="B2175" s="25">
        <f>VLOOKUP(Table2634[[#This Row],[Date]],'DB Money Supply'!$A:$D,4)</f>
        <v>3232.7</v>
      </c>
      <c r="C2175" s="31">
        <f>(Table2634[[#This Row],[M1 Money Stock, Billions of Dollars, Weekly, Seasonally Adjusted]]-B2174)/B2174</f>
        <v>-6.5152586127417171E-3</v>
      </c>
      <c r="D2175" s="35">
        <f>(Table2634[[#This Row],[M1 Money Stock, Billions of Dollars, Weekly, Seasonally Adjusted]]-B2172)/B2172</f>
        <v>-8.6175171736998166E-3</v>
      </c>
      <c r="E2175" s="25">
        <f t="shared" si="33"/>
        <v>3247.7</v>
      </c>
      <c r="F2175" s="33">
        <f>(Table2634[[#This Row],[4 weeks average]]-B2123)/B2123</f>
        <v>5.035575679172051E-2</v>
      </c>
    </row>
    <row r="2176" spans="1:6" x14ac:dyDescent="0.2">
      <c r="A2176" s="34">
        <v>42590</v>
      </c>
      <c r="B2176" s="25">
        <f>VLOOKUP(Table2634[[#This Row],[Date]],'DB Money Supply'!$A:$D,4)</f>
        <v>3299.2</v>
      </c>
      <c r="C2176" s="31">
        <f>(Table2634[[#This Row],[M1 Money Stock, Billions of Dollars, Weekly, Seasonally Adjusted]]-B2175)/B2175</f>
        <v>2.0571039688186347E-2</v>
      </c>
      <c r="D2176" s="35">
        <f>(Table2634[[#This Row],[M1 Money Stock, Billions of Dollars, Weekly, Seasonally Adjusted]]-B2173)/B2173</f>
        <v>1.7204168465190763E-2</v>
      </c>
      <c r="E2176" s="25">
        <f t="shared" si="33"/>
        <v>3257.3</v>
      </c>
      <c r="F2176" s="33">
        <f>(Table2634[[#This Row],[4 weeks average]]-B2124)/B2124</f>
        <v>7.374077004219419E-2</v>
      </c>
    </row>
    <row r="2177" spans="1:6" x14ac:dyDescent="0.2">
      <c r="A2177" s="34">
        <v>42597</v>
      </c>
      <c r="B2177" s="25">
        <f>VLOOKUP(Table2634[[#This Row],[Date]],'DB Money Supply'!$A:$D,4)</f>
        <v>3323.6</v>
      </c>
      <c r="C2177" s="31">
        <f>(Table2634[[#This Row],[M1 Money Stock, Billions of Dollars, Weekly, Seasonally Adjusted]]-B2176)/B2176</f>
        <v>7.3957322987391163E-3</v>
      </c>
      <c r="D2177" s="35">
        <f>(Table2634[[#This Row],[M1 Money Stock, Billions of Dollars, Weekly, Seasonally Adjusted]]-B2174)/B2174</f>
        <v>2.1420449306985407E-2</v>
      </c>
      <c r="E2177" s="25">
        <f t="shared" si="33"/>
        <v>3277.35</v>
      </c>
      <c r="F2177" s="33">
        <f>(Table2634[[#This Row],[4 weeks average]]-B2125)/B2125</f>
        <v>8.7519909742500665E-2</v>
      </c>
    </row>
    <row r="2178" spans="1:6" x14ac:dyDescent="0.2">
      <c r="A2178" s="34">
        <v>42604</v>
      </c>
      <c r="B2178" s="25">
        <f>VLOOKUP(Table2634[[#This Row],[Date]],'DB Money Supply'!$A:$D,4)</f>
        <v>3344.1</v>
      </c>
      <c r="C2178" s="31">
        <f>(Table2634[[#This Row],[M1 Money Stock, Billions of Dollars, Weekly, Seasonally Adjusted]]-B2177)/B2177</f>
        <v>6.1680105909255028E-3</v>
      </c>
      <c r="D2178" s="35">
        <f>(Table2634[[#This Row],[M1 Money Stock, Billions of Dollars, Weekly, Seasonally Adjusted]]-B2175)/B2175</f>
        <v>3.4460358214495654E-2</v>
      </c>
      <c r="E2178" s="25">
        <f t="shared" si="33"/>
        <v>3299.9</v>
      </c>
      <c r="F2178" s="33">
        <f>(Table2634[[#This Row],[4 weeks average]]-B2126)/B2126</f>
        <v>9.0623657335492713E-2</v>
      </c>
    </row>
    <row r="2179" spans="1:6" x14ac:dyDescent="0.2">
      <c r="A2179" s="34">
        <v>42611</v>
      </c>
      <c r="B2179" s="25">
        <f>VLOOKUP(Table2634[[#This Row],[Date]],'DB Money Supply'!$A:$D,4)</f>
        <v>3323.7</v>
      </c>
      <c r="C2179" s="31">
        <f>(Table2634[[#This Row],[M1 Money Stock, Billions of Dollars, Weekly, Seasonally Adjusted]]-B2178)/B2178</f>
        <v>-6.1002960437786229E-3</v>
      </c>
      <c r="D2179" s="35">
        <f>(Table2634[[#This Row],[M1 Money Stock, Billions of Dollars, Weekly, Seasonally Adjusted]]-B2176)/B2176</f>
        <v>7.4260426770126099E-3</v>
      </c>
      <c r="E2179" s="25">
        <f t="shared" si="33"/>
        <v>3322.6499999999996</v>
      </c>
      <c r="F2179" s="33">
        <f>(Table2634[[#This Row],[4 weeks average]]-B2127)/B2127</f>
        <v>0.10076196786483341</v>
      </c>
    </row>
    <row r="2180" spans="1:6" x14ac:dyDescent="0.2">
      <c r="A2180" s="34">
        <v>42618</v>
      </c>
      <c r="B2180" s="25">
        <f>VLOOKUP(Table2634[[#This Row],[Date]],'DB Money Supply'!$A:$D,4)</f>
        <v>3288.9</v>
      </c>
      <c r="C2180" s="31">
        <f>(Table2634[[#This Row],[M1 Money Stock, Billions of Dollars, Weekly, Seasonally Adjusted]]-B2179)/B2179</f>
        <v>-1.0470259048650518E-2</v>
      </c>
      <c r="D2180" s="35">
        <f>(Table2634[[#This Row],[M1 Money Stock, Billions of Dollars, Weekly, Seasonally Adjusted]]-B2177)/B2177</f>
        <v>-1.044048621976165E-2</v>
      </c>
      <c r="E2180" s="25">
        <f t="shared" si="33"/>
        <v>3320.0749999999998</v>
      </c>
      <c r="F2180" s="33">
        <f>(Table2634[[#This Row],[4 weeks average]]-B2128)/B2128</f>
        <v>0.10228253652058426</v>
      </c>
    </row>
    <row r="2181" spans="1:6" x14ac:dyDescent="0.2">
      <c r="A2181" s="34">
        <v>42625</v>
      </c>
      <c r="B2181" s="25">
        <f>VLOOKUP(Table2634[[#This Row],[Date]],'DB Money Supply'!$A:$D,4)</f>
        <v>3333.2</v>
      </c>
      <c r="C2181" s="31">
        <f>(Table2634[[#This Row],[M1 Money Stock, Billions of Dollars, Weekly, Seasonally Adjusted]]-B2180)/B2180</f>
        <v>1.3469549089361101E-2</v>
      </c>
      <c r="D2181" s="35">
        <f>(Table2634[[#This Row],[M1 Money Stock, Billions of Dollars, Weekly, Seasonally Adjusted]]-B2178)/B2178</f>
        <v>-3.2594719057444728E-3</v>
      </c>
      <c r="E2181" s="25">
        <f t="shared" si="33"/>
        <v>3322.4749999999995</v>
      </c>
      <c r="F2181" s="33">
        <f>(Table2634[[#This Row],[4 weeks average]]-B2129)/B2129</f>
        <v>8.9979332064825029E-2</v>
      </c>
    </row>
    <row r="2182" spans="1:6" x14ac:dyDescent="0.2">
      <c r="A2182" s="34">
        <v>42632</v>
      </c>
      <c r="B2182" s="25">
        <f>VLOOKUP(Table2634[[#This Row],[Date]],'DB Money Supply'!$A:$D,4)</f>
        <v>3324.8</v>
      </c>
      <c r="C2182" s="31">
        <f>(Table2634[[#This Row],[M1 Money Stock, Billions of Dollars, Weekly, Seasonally Adjusted]]-B2181)/B2181</f>
        <v>-2.5201008040320523E-3</v>
      </c>
      <c r="D2182" s="35">
        <f>(Table2634[[#This Row],[M1 Money Stock, Billions of Dollars, Weekly, Seasonally Adjusted]]-B2179)/B2179</f>
        <v>3.3095646418159397E-4</v>
      </c>
      <c r="E2182" s="25">
        <f t="shared" si="33"/>
        <v>3317.6499999999996</v>
      </c>
      <c r="F2182" s="33">
        <f>(Table2634[[#This Row],[4 weeks average]]-B2130)/B2130</f>
        <v>7.8945656769325676E-2</v>
      </c>
    </row>
    <row r="2183" spans="1:6" x14ac:dyDescent="0.2">
      <c r="A2183" s="34">
        <v>42639</v>
      </c>
      <c r="B2183" s="25">
        <f>VLOOKUP(Table2634[[#This Row],[Date]],'DB Money Supply'!$A:$D,4)</f>
        <v>3322.3</v>
      </c>
      <c r="C2183" s="31">
        <f>(Table2634[[#This Row],[M1 Money Stock, Billions of Dollars, Weekly, Seasonally Adjusted]]-B2182)/B2182</f>
        <v>-7.5192492781520689E-4</v>
      </c>
      <c r="D2183" s="35">
        <f>(Table2634[[#This Row],[M1 Money Stock, Billions of Dollars, Weekly, Seasonally Adjusted]]-B2180)/B2180</f>
        <v>1.0155371096719296E-2</v>
      </c>
      <c r="E2183" s="25">
        <f t="shared" si="33"/>
        <v>3317.3</v>
      </c>
      <c r="F2183" s="33">
        <f>(Table2634[[#This Row],[4 weeks average]]-B2131)/B2131</f>
        <v>8.649941045460513E-2</v>
      </c>
    </row>
    <row r="2184" spans="1:6" x14ac:dyDescent="0.2">
      <c r="A2184" s="34">
        <v>42646</v>
      </c>
      <c r="B2184" s="25">
        <f>VLOOKUP(Table2634[[#This Row],[Date]],'DB Money Supply'!$A:$D,4)</f>
        <v>3374.5</v>
      </c>
      <c r="C2184" s="31">
        <f>(Table2634[[#This Row],[M1 Money Stock, Billions of Dollars, Weekly, Seasonally Adjusted]]-B2183)/B2183</f>
        <v>1.5712006742317014E-2</v>
      </c>
      <c r="D2184" s="35">
        <f>(Table2634[[#This Row],[M1 Money Stock, Billions of Dollars, Weekly, Seasonally Adjusted]]-B2181)/B2181</f>
        <v>1.2390495619824849E-2</v>
      </c>
      <c r="E2184" s="25">
        <f t="shared" si="33"/>
        <v>3338.7</v>
      </c>
      <c r="F2184" s="33">
        <f>(Table2634[[#This Row],[4 weeks average]]-B2132)/B2132</f>
        <v>0.1069593183249892</v>
      </c>
    </row>
    <row r="2185" spans="1:6" x14ac:dyDescent="0.2">
      <c r="A2185" s="34">
        <v>42653</v>
      </c>
      <c r="B2185" s="25">
        <f>VLOOKUP(Table2634[[#This Row],[Date]],'DB Money Supply'!$A:$D,4)</f>
        <v>3362.5</v>
      </c>
      <c r="C2185" s="31">
        <f>(Table2634[[#This Row],[M1 Money Stock, Billions of Dollars, Weekly, Seasonally Adjusted]]-B2184)/B2184</f>
        <v>-3.5560823825751963E-3</v>
      </c>
      <c r="D2185" s="35">
        <f>(Table2634[[#This Row],[M1 Money Stock, Billions of Dollars, Weekly, Seasonally Adjusted]]-B2182)/B2182</f>
        <v>1.1339027911453265E-2</v>
      </c>
      <c r="E2185" s="25">
        <f t="shared" ref="E2185:E2248" si="34">AVERAGE(B2182:B2185)</f>
        <v>3346.0250000000001</v>
      </c>
      <c r="F2185" s="33">
        <f>(Table2634[[#This Row],[4 weeks average]]-B2133)/B2133</f>
        <v>0.11567636957753999</v>
      </c>
    </row>
    <row r="2186" spans="1:6" x14ac:dyDescent="0.2">
      <c r="A2186" s="34">
        <v>42660</v>
      </c>
      <c r="B2186" s="25">
        <f>VLOOKUP(Table2634[[#This Row],[Date]],'DB Money Supply'!$A:$D,4)</f>
        <v>3309.1</v>
      </c>
      <c r="C2186" s="31">
        <f>(Table2634[[#This Row],[M1 Money Stock, Billions of Dollars, Weekly, Seasonally Adjusted]]-B2185)/B2185</f>
        <v>-1.5881040892193336E-2</v>
      </c>
      <c r="D2186" s="35">
        <f>(Table2634[[#This Row],[M1 Money Stock, Billions of Dollars, Weekly, Seasonally Adjusted]]-B2183)/B2183</f>
        <v>-3.9731511302411801E-3</v>
      </c>
      <c r="E2186" s="25">
        <f t="shared" si="34"/>
        <v>3342.1</v>
      </c>
      <c r="F2186" s="33">
        <f>(Table2634[[#This Row],[4 weeks average]]-B2134)/B2134</f>
        <v>0.1154462318937321</v>
      </c>
    </row>
    <row r="2187" spans="1:6" x14ac:dyDescent="0.2">
      <c r="A2187" s="34">
        <v>42667</v>
      </c>
      <c r="B2187" s="25">
        <f>VLOOKUP(Table2634[[#This Row],[Date]],'DB Money Supply'!$A:$D,4)</f>
        <v>3318.6</v>
      </c>
      <c r="C2187" s="31">
        <f>(Table2634[[#This Row],[M1 Money Stock, Billions of Dollars, Weekly, Seasonally Adjusted]]-B2186)/B2186</f>
        <v>2.8708712338702366E-3</v>
      </c>
      <c r="D2187" s="35">
        <f>(Table2634[[#This Row],[M1 Money Stock, Billions of Dollars, Weekly, Seasonally Adjusted]]-B2184)/B2184</f>
        <v>-1.6565417098829482E-2</v>
      </c>
      <c r="E2187" s="25">
        <f t="shared" si="34"/>
        <v>3341.1750000000002</v>
      </c>
      <c r="F2187" s="33">
        <f>(Table2634[[#This Row],[4 weeks average]]-B2135)/B2135</f>
        <v>0.10521484568820094</v>
      </c>
    </row>
    <row r="2188" spans="1:6" x14ac:dyDescent="0.2">
      <c r="A2188" s="34">
        <v>42674</v>
      </c>
      <c r="B2188" s="25">
        <f>VLOOKUP(Table2634[[#This Row],[Date]],'DB Money Supply'!$A:$D,4)</f>
        <v>3328.7</v>
      </c>
      <c r="C2188" s="31">
        <f>(Table2634[[#This Row],[M1 Money Stock, Billions of Dollars, Weekly, Seasonally Adjusted]]-B2187)/B2187</f>
        <v>3.0434520580967604E-3</v>
      </c>
      <c r="D2188" s="35">
        <f>(Table2634[[#This Row],[M1 Money Stock, Billions of Dollars, Weekly, Seasonally Adjusted]]-B2185)/B2185</f>
        <v>-1.0052044609665481E-2</v>
      </c>
      <c r="E2188" s="25">
        <f t="shared" si="34"/>
        <v>3329.7250000000004</v>
      </c>
      <c r="F2188" s="33">
        <f>(Table2634[[#This Row],[4 weeks average]]-B2136)/B2136</f>
        <v>8.5449537097405284E-2</v>
      </c>
    </row>
    <row r="2189" spans="1:6" x14ac:dyDescent="0.2">
      <c r="A2189" s="34">
        <v>42681</v>
      </c>
      <c r="B2189" s="25">
        <f>VLOOKUP(Table2634[[#This Row],[Date]],'DB Money Supply'!$A:$D,4)</f>
        <v>3305.2</v>
      </c>
      <c r="C2189" s="31">
        <f>(Table2634[[#This Row],[M1 Money Stock, Billions of Dollars, Weekly, Seasonally Adjusted]]-B2188)/B2188</f>
        <v>-7.0598131402649688E-3</v>
      </c>
      <c r="D2189" s="35">
        <f>(Table2634[[#This Row],[M1 Money Stock, Billions of Dollars, Weekly, Seasonally Adjusted]]-B2186)/B2186</f>
        <v>-1.1785681907467561E-3</v>
      </c>
      <c r="E2189" s="25">
        <f t="shared" si="34"/>
        <v>3315.3999999999996</v>
      </c>
      <c r="F2189" s="33">
        <f>(Table2634[[#This Row],[4 weeks average]]-B2137)/B2137</f>
        <v>7.7338012608045598E-2</v>
      </c>
    </row>
    <row r="2190" spans="1:6" x14ac:dyDescent="0.2">
      <c r="A2190" s="34">
        <v>42688</v>
      </c>
      <c r="B2190" s="25">
        <f>VLOOKUP(Table2634[[#This Row],[Date]],'DB Money Supply'!$A:$D,4)</f>
        <v>3368</v>
      </c>
      <c r="C2190" s="31">
        <f>(Table2634[[#This Row],[M1 Money Stock, Billions of Dollars, Weekly, Seasonally Adjusted]]-B2189)/B2189</f>
        <v>1.9000363064262431E-2</v>
      </c>
      <c r="D2190" s="35">
        <f>(Table2634[[#This Row],[M1 Money Stock, Billions of Dollars, Weekly, Seasonally Adjusted]]-B2187)/B2187</f>
        <v>1.4885795214849663E-2</v>
      </c>
      <c r="E2190" s="25">
        <f t="shared" si="34"/>
        <v>3330.125</v>
      </c>
      <c r="F2190" s="33">
        <f>(Table2634[[#This Row],[4 weeks average]]-B2138)/B2138</f>
        <v>8.3778110456601745E-2</v>
      </c>
    </row>
    <row r="2191" spans="1:6" x14ac:dyDescent="0.2">
      <c r="A2191" s="34">
        <v>42695</v>
      </c>
      <c r="B2191" s="25">
        <f>VLOOKUP(Table2634[[#This Row],[Date]],'DB Money Supply'!$A:$D,4)</f>
        <v>3385.6</v>
      </c>
      <c r="C2191" s="31">
        <f>(Table2634[[#This Row],[M1 Money Stock, Billions of Dollars, Weekly, Seasonally Adjusted]]-B2190)/B2190</f>
        <v>5.2256532066508043E-3</v>
      </c>
      <c r="D2191" s="35">
        <f>(Table2634[[#This Row],[M1 Money Stock, Billions of Dollars, Weekly, Seasonally Adjusted]]-B2188)/B2188</f>
        <v>1.7093760326854356E-2</v>
      </c>
      <c r="E2191" s="25">
        <f t="shared" si="34"/>
        <v>3346.875</v>
      </c>
      <c r="F2191" s="33">
        <f>(Table2634[[#This Row],[4 weeks average]]-B2139)/B2139</f>
        <v>8.1311385370896938E-2</v>
      </c>
    </row>
    <row r="2192" spans="1:6" x14ac:dyDescent="0.2">
      <c r="A2192" s="34">
        <v>42702</v>
      </c>
      <c r="B2192" s="25">
        <f>VLOOKUP(Table2634[[#This Row],[Date]],'DB Money Supply'!$A:$D,4)</f>
        <v>3360.5</v>
      </c>
      <c r="C2192" s="31">
        <f>(Table2634[[#This Row],[M1 Money Stock, Billions of Dollars, Weekly, Seasonally Adjusted]]-B2191)/B2191</f>
        <v>-7.4137523629489339E-3</v>
      </c>
      <c r="D2192" s="35">
        <f>(Table2634[[#This Row],[M1 Money Stock, Billions of Dollars, Weekly, Seasonally Adjusted]]-B2189)/B2189</f>
        <v>1.6731211424422177E-2</v>
      </c>
      <c r="E2192" s="25">
        <f t="shared" si="34"/>
        <v>3354.8249999999998</v>
      </c>
      <c r="F2192" s="33">
        <f>(Table2634[[#This Row],[4 weeks average]]-B2140)/B2140</f>
        <v>8.7675074568797737E-2</v>
      </c>
    </row>
    <row r="2193" spans="1:6" x14ac:dyDescent="0.2">
      <c r="A2193" s="34">
        <v>42709</v>
      </c>
      <c r="B2193" s="25">
        <f>VLOOKUP(Table2634[[#This Row],[Date]],'DB Money Supply'!$A:$D,4)</f>
        <v>3324.3</v>
      </c>
      <c r="C2193" s="31">
        <f>(Table2634[[#This Row],[M1 Money Stock, Billions of Dollars, Weekly, Seasonally Adjusted]]-B2192)/B2192</f>
        <v>-1.0772206516887314E-2</v>
      </c>
      <c r="D2193" s="35">
        <f>(Table2634[[#This Row],[M1 Money Stock, Billions of Dollars, Weekly, Seasonally Adjusted]]-B2190)/B2190</f>
        <v>-1.2975059382422749E-2</v>
      </c>
      <c r="E2193" s="25">
        <f t="shared" si="34"/>
        <v>3359.6000000000004</v>
      </c>
      <c r="F2193" s="33">
        <f>(Table2634[[#This Row],[4 weeks average]]-B2141)/B2141</f>
        <v>0.10553160683141935</v>
      </c>
    </row>
    <row r="2194" spans="1:6" x14ac:dyDescent="0.2">
      <c r="A2194" s="34">
        <v>42716</v>
      </c>
      <c r="B2194" s="25">
        <f>VLOOKUP(Table2634[[#This Row],[Date]],'DB Money Supply'!$A:$D,4)</f>
        <v>3347.2</v>
      </c>
      <c r="C2194" s="31">
        <f>(Table2634[[#This Row],[M1 Money Stock, Billions of Dollars, Weekly, Seasonally Adjusted]]-B2193)/B2193</f>
        <v>6.8886682910686862E-3</v>
      </c>
      <c r="D2194" s="35">
        <f>(Table2634[[#This Row],[M1 Money Stock, Billions of Dollars, Weekly, Seasonally Adjusted]]-B2191)/B2191</f>
        <v>-1.1342155009451823E-2</v>
      </c>
      <c r="E2194" s="25">
        <f t="shared" si="34"/>
        <v>3354.4000000000005</v>
      </c>
      <c r="F2194" s="33">
        <f>(Table2634[[#This Row],[4 weeks average]]-B2142)/B2142</f>
        <v>8.7748881250405461E-2</v>
      </c>
    </row>
    <row r="2195" spans="1:6" x14ac:dyDescent="0.2">
      <c r="A2195" s="34">
        <v>42723</v>
      </c>
      <c r="B2195" s="25">
        <f>VLOOKUP(Table2634[[#This Row],[Date]],'DB Money Supply'!$A:$D,4)</f>
        <v>3328.7</v>
      </c>
      <c r="C2195" s="31">
        <f>(Table2634[[#This Row],[M1 Money Stock, Billions of Dollars, Weekly, Seasonally Adjusted]]-B2194)/B2194</f>
        <v>-5.5270076481835568E-3</v>
      </c>
      <c r="D2195" s="35">
        <f>(Table2634[[#This Row],[M1 Money Stock, Billions of Dollars, Weekly, Seasonally Adjusted]]-B2192)/B2192</f>
        <v>-9.4628775479839843E-3</v>
      </c>
      <c r="E2195" s="25">
        <f t="shared" si="34"/>
        <v>3340.1750000000002</v>
      </c>
      <c r="F2195" s="33">
        <f>(Table2634[[#This Row],[4 weeks average]]-B2143)/B2143</f>
        <v>7.1668056981519498E-2</v>
      </c>
    </row>
    <row r="2196" spans="1:6" x14ac:dyDescent="0.2">
      <c r="A2196" s="34">
        <v>42730</v>
      </c>
      <c r="B2196" s="25">
        <f>VLOOKUP(Table2634[[#This Row],[Date]],'DB Money Supply'!$A:$D,4)</f>
        <v>3345.9</v>
      </c>
      <c r="C2196" s="31">
        <f>(Table2634[[#This Row],[M1 Money Stock, Billions of Dollars, Weekly, Seasonally Adjusted]]-B2195)/B2195</f>
        <v>5.1671823835131659E-3</v>
      </c>
      <c r="D2196" s="35">
        <f>(Table2634[[#This Row],[M1 Money Stock, Billions of Dollars, Weekly, Seasonally Adjusted]]-B2193)/B2193</f>
        <v>6.4976085190866974E-3</v>
      </c>
      <c r="E2196" s="25">
        <f t="shared" si="34"/>
        <v>3336.5250000000001</v>
      </c>
      <c r="F2196" s="33">
        <f>(Table2634[[#This Row],[4 weeks average]]-B2144)/B2144</f>
        <v>7.6333107519597404E-2</v>
      </c>
    </row>
    <row r="2197" spans="1:6" x14ac:dyDescent="0.2">
      <c r="A2197" s="34">
        <v>42737</v>
      </c>
      <c r="B2197" s="25">
        <f>VLOOKUP(Table2634[[#This Row],[Date]],'DB Money Supply'!$A:$D,4)</f>
        <v>3351.8</v>
      </c>
      <c r="C2197" s="31">
        <f>(Table2634[[#This Row],[M1 Money Stock, Billions of Dollars, Weekly, Seasonally Adjusted]]-B2196)/B2196</f>
        <v>1.7633521623479753E-3</v>
      </c>
      <c r="D2197" s="35">
        <f>(Table2634[[#This Row],[M1 Money Stock, Billions of Dollars, Weekly, Seasonally Adjusted]]-B2194)/B2194</f>
        <v>1.3742829827916958E-3</v>
      </c>
      <c r="E2197" s="25">
        <f t="shared" si="34"/>
        <v>3343.3999999999996</v>
      </c>
      <c r="F2197" s="33">
        <f>(Table2634[[#This Row],[4 weeks average]]-B2145)/B2145</f>
        <v>5.2277090611525336E-2</v>
      </c>
    </row>
    <row r="2198" spans="1:6" x14ac:dyDescent="0.2">
      <c r="A2198" s="34">
        <v>42744</v>
      </c>
      <c r="B2198" s="25">
        <f>VLOOKUP(Table2634[[#This Row],[Date]],'DB Money Supply'!$A:$D,4)</f>
        <v>3383.8</v>
      </c>
      <c r="C2198" s="31">
        <f>(Table2634[[#This Row],[M1 Money Stock, Billions of Dollars, Weekly, Seasonally Adjusted]]-B2197)/B2197</f>
        <v>9.5471090160510769E-3</v>
      </c>
      <c r="D2198" s="35">
        <f>(Table2634[[#This Row],[M1 Money Stock, Billions of Dollars, Weekly, Seasonally Adjusted]]-B2195)/B2195</f>
        <v>1.6553008682068184E-2</v>
      </c>
      <c r="E2198" s="25">
        <f t="shared" si="34"/>
        <v>3352.55</v>
      </c>
      <c r="F2198" s="33">
        <f>(Table2634[[#This Row],[4 weeks average]]-B2146)/B2146</f>
        <v>8.4827206834066818E-2</v>
      </c>
    </row>
    <row r="2199" spans="1:6" x14ac:dyDescent="0.2">
      <c r="A2199" s="34">
        <v>42751</v>
      </c>
      <c r="B2199" s="25">
        <f>VLOOKUP(Table2634[[#This Row],[Date]],'DB Money Supply'!$A:$D,4)</f>
        <v>3388.8</v>
      </c>
      <c r="C2199" s="31">
        <f>(Table2634[[#This Row],[M1 Money Stock, Billions of Dollars, Weekly, Seasonally Adjusted]]-B2198)/B2198</f>
        <v>1.477628701459897E-3</v>
      </c>
      <c r="D2199" s="35">
        <f>(Table2634[[#This Row],[M1 Money Stock, Billions of Dollars, Weekly, Seasonally Adjusted]]-B2196)/B2196</f>
        <v>1.2821662333004599E-2</v>
      </c>
      <c r="E2199" s="25">
        <f t="shared" si="34"/>
        <v>3367.5749999999998</v>
      </c>
      <c r="F2199" s="33">
        <f>(Table2634[[#This Row],[4 weeks average]]-B2147)/B2147</f>
        <v>9.347501380004547E-2</v>
      </c>
    </row>
    <row r="2200" spans="1:6" x14ac:dyDescent="0.2">
      <c r="A2200" s="34">
        <v>42758</v>
      </c>
      <c r="B2200" s="25">
        <f>VLOOKUP(Table2634[[#This Row],[Date]],'DB Money Supply'!$A:$D,4)</f>
        <v>3394.6</v>
      </c>
      <c r="C2200" s="31">
        <f>(Table2634[[#This Row],[M1 Money Stock, Billions of Dollars, Weekly, Seasonally Adjusted]]-B2199)/B2199</f>
        <v>1.7115203021717796E-3</v>
      </c>
      <c r="D2200" s="35">
        <f>(Table2634[[#This Row],[M1 Money Stock, Billions of Dollars, Weekly, Seasonally Adjusted]]-B2197)/B2197</f>
        <v>1.2769258308968233E-2</v>
      </c>
      <c r="E2200" s="25">
        <f t="shared" si="34"/>
        <v>3379.7500000000005</v>
      </c>
      <c r="F2200" s="33">
        <f>(Table2634[[#This Row],[4 weeks average]]-B2148)/B2148</f>
        <v>9.2603368570782094E-2</v>
      </c>
    </row>
    <row r="2201" spans="1:6" x14ac:dyDescent="0.2">
      <c r="A2201" s="34">
        <v>42765</v>
      </c>
      <c r="B2201" s="25">
        <f>VLOOKUP(Table2634[[#This Row],[Date]],'DB Money Supply'!$A:$D,4)</f>
        <v>3399.7</v>
      </c>
      <c r="C2201" s="31">
        <f>(Table2634[[#This Row],[M1 Money Stock, Billions of Dollars, Weekly, Seasonally Adjusted]]-B2200)/B2200</f>
        <v>1.5023861426971983E-3</v>
      </c>
      <c r="D2201" s="35">
        <f>(Table2634[[#This Row],[M1 Money Stock, Billions of Dollars, Weekly, Seasonally Adjusted]]-B2198)/B2198</f>
        <v>4.698859270642365E-3</v>
      </c>
      <c r="E2201" s="25">
        <f t="shared" si="34"/>
        <v>3391.7250000000004</v>
      </c>
      <c r="F2201" s="33">
        <f>(Table2634[[#This Row],[4 weeks average]]-B2149)/B2149</f>
        <v>0.10124517029773702</v>
      </c>
    </row>
    <row r="2202" spans="1:6" x14ac:dyDescent="0.2">
      <c r="A2202" s="34">
        <v>42772</v>
      </c>
      <c r="B2202" s="25">
        <f>VLOOKUP(Table2634[[#This Row],[Date]],'DB Money Supply'!$A:$D,4)</f>
        <v>3364.4</v>
      </c>
      <c r="C2202" s="31">
        <f>(Table2634[[#This Row],[M1 Money Stock, Billions of Dollars, Weekly, Seasonally Adjusted]]-B2201)/B2201</f>
        <v>-1.0383269111980389E-2</v>
      </c>
      <c r="D2202" s="35">
        <f>(Table2634[[#This Row],[M1 Money Stock, Billions of Dollars, Weekly, Seasonally Adjusted]]-B2199)/B2199</f>
        <v>-7.2001888574126796E-3</v>
      </c>
      <c r="E2202" s="25">
        <f t="shared" si="34"/>
        <v>3386.8749999999995</v>
      </c>
      <c r="F2202" s="33">
        <f>(Table2634[[#This Row],[4 weeks average]]-B2150)/B2150</f>
        <v>9.8137280332014701E-2</v>
      </c>
    </row>
    <row r="2203" spans="1:6" x14ac:dyDescent="0.2">
      <c r="A2203" s="34">
        <v>42779</v>
      </c>
      <c r="B2203" s="25">
        <f>VLOOKUP(Table2634[[#This Row],[Date]],'DB Money Supply'!$A:$D,4)</f>
        <v>3394.4</v>
      </c>
      <c r="C2203" s="31">
        <f>(Table2634[[#This Row],[M1 Money Stock, Billions of Dollars, Weekly, Seasonally Adjusted]]-B2202)/B2202</f>
        <v>8.9168945428605394E-3</v>
      </c>
      <c r="D2203" s="35">
        <f>(Table2634[[#This Row],[M1 Money Stock, Billions of Dollars, Weekly, Seasonally Adjusted]]-B2200)/B2200</f>
        <v>-5.8917103635131711E-5</v>
      </c>
      <c r="E2203" s="25">
        <f t="shared" si="34"/>
        <v>3388.2749999999996</v>
      </c>
      <c r="F2203" s="33">
        <f>(Table2634[[#This Row],[4 weeks average]]-B2151)/B2151</f>
        <v>7.9618595462655983E-2</v>
      </c>
    </row>
    <row r="2204" spans="1:6" x14ac:dyDescent="0.2">
      <c r="A2204" s="34">
        <v>42786</v>
      </c>
      <c r="B2204" s="25">
        <f>VLOOKUP(Table2634[[#This Row],[Date]],'DB Money Supply'!$A:$D,4)</f>
        <v>3426.8</v>
      </c>
      <c r="C2204" s="31">
        <f>(Table2634[[#This Row],[M1 Money Stock, Billions of Dollars, Weekly, Seasonally Adjusted]]-B2203)/B2203</f>
        <v>9.5451331604996734E-3</v>
      </c>
      <c r="D2204" s="35">
        <f>(Table2634[[#This Row],[M1 Money Stock, Billions of Dollars, Weekly, Seasonally Adjusted]]-B2201)/B2201</f>
        <v>7.971291584551685E-3</v>
      </c>
      <c r="E2204" s="25">
        <f t="shared" si="34"/>
        <v>3396.3249999999998</v>
      </c>
      <c r="F2204" s="33">
        <f>(Table2634[[#This Row],[4 weeks average]]-B2152)/B2152</f>
        <v>8.359920875474576E-2</v>
      </c>
    </row>
    <row r="2205" spans="1:6" x14ac:dyDescent="0.2">
      <c r="A2205" s="34">
        <v>42793</v>
      </c>
      <c r="B2205" s="25">
        <f>VLOOKUP(Table2634[[#This Row],[Date]],'DB Money Supply'!$A:$D,4)</f>
        <v>3420.9</v>
      </c>
      <c r="C2205" s="31">
        <f>(Table2634[[#This Row],[M1 Money Stock, Billions of Dollars, Weekly, Seasonally Adjusted]]-B2204)/B2204</f>
        <v>-1.7217228901599425E-3</v>
      </c>
      <c r="D2205" s="35">
        <f>(Table2634[[#This Row],[M1 Money Stock, Billions of Dollars, Weekly, Seasonally Adjusted]]-B2202)/B2202</f>
        <v>1.6793484722387349E-2</v>
      </c>
      <c r="E2205" s="25">
        <f t="shared" si="34"/>
        <v>3401.625</v>
      </c>
      <c r="F2205" s="33">
        <f>(Table2634[[#This Row],[4 weeks average]]-B2153)/B2153</f>
        <v>7.449143976246124E-2</v>
      </c>
    </row>
    <row r="2206" spans="1:6" x14ac:dyDescent="0.2">
      <c r="A2206" s="34">
        <v>42800</v>
      </c>
      <c r="B2206" s="25">
        <f>VLOOKUP(Table2634[[#This Row],[Date]],'DB Money Supply'!$A:$D,4)</f>
        <v>3394.1</v>
      </c>
      <c r="C2206" s="31">
        <f>(Table2634[[#This Row],[M1 Money Stock, Billions of Dollars, Weekly, Seasonally Adjusted]]-B2205)/B2205</f>
        <v>-7.8341956794995993E-3</v>
      </c>
      <c r="D2206" s="35">
        <f>(Table2634[[#This Row],[M1 Money Stock, Billions of Dollars, Weekly, Seasonally Adjusted]]-B2203)/B2203</f>
        <v>-8.8380862597272532E-5</v>
      </c>
      <c r="E2206" s="25">
        <f t="shared" si="34"/>
        <v>3409.05</v>
      </c>
      <c r="F2206" s="33">
        <f>(Table2634[[#This Row],[4 weeks average]]-B2154)/B2154</f>
        <v>9.7039420756234979E-2</v>
      </c>
    </row>
    <row r="2207" spans="1:6" x14ac:dyDescent="0.2">
      <c r="A2207" s="34">
        <v>42807</v>
      </c>
      <c r="B2207" s="25">
        <f>VLOOKUP(Table2634[[#This Row],[Date]],'DB Money Supply'!$A:$D,4)</f>
        <v>3446.1</v>
      </c>
      <c r="C2207" s="31">
        <f>(Table2634[[#This Row],[M1 Money Stock, Billions of Dollars, Weekly, Seasonally Adjusted]]-B2206)/B2206</f>
        <v>1.5320703573848737E-2</v>
      </c>
      <c r="D2207" s="35">
        <f>(Table2634[[#This Row],[M1 Money Stock, Billions of Dollars, Weekly, Seasonally Adjusted]]-B2204)/B2204</f>
        <v>5.6320765728959162E-3</v>
      </c>
      <c r="E2207" s="25">
        <f t="shared" si="34"/>
        <v>3421.9750000000004</v>
      </c>
      <c r="F2207" s="33">
        <f>(Table2634[[#This Row],[4 weeks average]]-B2155)/B2155</f>
        <v>9.1817688724395566E-2</v>
      </c>
    </row>
    <row r="2208" spans="1:6" x14ac:dyDescent="0.2">
      <c r="A2208" s="34">
        <v>42814</v>
      </c>
      <c r="B2208" s="25">
        <f>VLOOKUP(Table2634[[#This Row],[Date]],'DB Money Supply'!$A:$D,4)</f>
        <v>3458.6</v>
      </c>
      <c r="C2208" s="31">
        <f>(Table2634[[#This Row],[M1 Money Stock, Billions of Dollars, Weekly, Seasonally Adjusted]]-B2207)/B2207</f>
        <v>3.6272888192449438E-3</v>
      </c>
      <c r="D2208" s="35">
        <f>(Table2634[[#This Row],[M1 Money Stock, Billions of Dollars, Weekly, Seasonally Adjusted]]-B2205)/B2205</f>
        <v>1.1020491683475055E-2</v>
      </c>
      <c r="E2208" s="25">
        <f t="shared" si="34"/>
        <v>3429.9250000000002</v>
      </c>
      <c r="F2208" s="33">
        <f>(Table2634[[#This Row],[4 weeks average]]-B2156)/B2156</f>
        <v>8.0461489998425006E-2</v>
      </c>
    </row>
    <row r="2209" spans="1:6" x14ac:dyDescent="0.2">
      <c r="A2209" s="34">
        <v>42821</v>
      </c>
      <c r="B2209" s="25">
        <f>VLOOKUP(Table2634[[#This Row],[Date]],'DB Money Supply'!$A:$D,4)</f>
        <v>3445.8</v>
      </c>
      <c r="C2209" s="31">
        <f>(Table2634[[#This Row],[M1 Money Stock, Billions of Dollars, Weekly, Seasonally Adjusted]]-B2208)/B2208</f>
        <v>-3.7009194471750786E-3</v>
      </c>
      <c r="D2209" s="35">
        <f>(Table2634[[#This Row],[M1 Money Stock, Billions of Dollars, Weekly, Seasonally Adjusted]]-B2206)/B2206</f>
        <v>1.5232314899384307E-2</v>
      </c>
      <c r="E2209" s="25">
        <f t="shared" si="34"/>
        <v>3436.1499999999996</v>
      </c>
      <c r="F2209" s="33">
        <f>(Table2634[[#This Row],[4 weeks average]]-B2157)/B2157</f>
        <v>8.0210625589437173E-2</v>
      </c>
    </row>
    <row r="2210" spans="1:6" x14ac:dyDescent="0.2">
      <c r="A2210" s="34">
        <v>42828</v>
      </c>
      <c r="B2210" s="25">
        <f>VLOOKUP(Table2634[[#This Row],[Date]],'DB Money Supply'!$A:$D,4)</f>
        <v>3518.4</v>
      </c>
      <c r="C2210" s="31">
        <f>(Table2634[[#This Row],[M1 Money Stock, Billions of Dollars, Weekly, Seasonally Adjusted]]-B2209)/B2209</f>
        <v>2.1069127633640928E-2</v>
      </c>
      <c r="D2210" s="35">
        <f>(Table2634[[#This Row],[M1 Money Stock, Billions of Dollars, Weekly, Seasonally Adjusted]]-B2207)/B2207</f>
        <v>2.0980238530512806E-2</v>
      </c>
      <c r="E2210" s="25">
        <f t="shared" si="34"/>
        <v>3467.2249999999999</v>
      </c>
      <c r="F2210" s="33">
        <f>(Table2634[[#This Row],[4 weeks average]]-B2158)/B2158</f>
        <v>9.008237180494863E-2</v>
      </c>
    </row>
    <row r="2211" spans="1:6" x14ac:dyDescent="0.2">
      <c r="A2211" s="34">
        <v>42835</v>
      </c>
      <c r="B2211" s="25">
        <f>VLOOKUP(Table2634[[#This Row],[Date]],'DB Money Supply'!$A:$D,4)</f>
        <v>3457</v>
      </c>
      <c r="C2211" s="31">
        <f>(Table2634[[#This Row],[M1 Money Stock, Billions of Dollars, Weekly, Seasonally Adjusted]]-B2210)/B2210</f>
        <v>-1.7451114142792205E-2</v>
      </c>
      <c r="D2211" s="35">
        <f>(Table2634[[#This Row],[M1 Money Stock, Billions of Dollars, Weekly, Seasonally Adjusted]]-B2208)/B2208</f>
        <v>-4.6261493089686841E-4</v>
      </c>
      <c r="E2211" s="25">
        <f t="shared" si="34"/>
        <v>3469.95</v>
      </c>
      <c r="F2211" s="33">
        <f>(Table2634[[#This Row],[4 weeks average]]-B2159)/B2159</f>
        <v>8.4901825912956391E-2</v>
      </c>
    </row>
    <row r="2212" spans="1:6" x14ac:dyDescent="0.2">
      <c r="A2212" s="34">
        <v>42842</v>
      </c>
      <c r="B2212" s="25">
        <f>VLOOKUP(Table2634[[#This Row],[Date]],'DB Money Supply'!$A:$D,4)</f>
        <v>3441.1</v>
      </c>
      <c r="C2212" s="31">
        <f>(Table2634[[#This Row],[M1 Money Stock, Billions of Dollars, Weekly, Seasonally Adjusted]]-B2211)/B2211</f>
        <v>-4.5993636100665576E-3</v>
      </c>
      <c r="D2212" s="35">
        <f>(Table2634[[#This Row],[M1 Money Stock, Billions of Dollars, Weekly, Seasonally Adjusted]]-B2209)/B2209</f>
        <v>-1.3639793371641629E-3</v>
      </c>
      <c r="E2212" s="25">
        <f t="shared" si="34"/>
        <v>3465.5750000000003</v>
      </c>
      <c r="F2212" s="33">
        <f>(Table2634[[#This Row],[4 weeks average]]-B2160)/B2160</f>
        <v>8.8981586224233342E-2</v>
      </c>
    </row>
    <row r="2213" spans="1:6" x14ac:dyDescent="0.2">
      <c r="A2213" s="34">
        <v>42849</v>
      </c>
      <c r="B2213" s="25">
        <f>VLOOKUP(Table2634[[#This Row],[Date]],'DB Money Supply'!$A:$D,4)</f>
        <v>3446.2</v>
      </c>
      <c r="C2213" s="31">
        <f>(Table2634[[#This Row],[M1 Money Stock, Billions of Dollars, Weekly, Seasonally Adjusted]]-B2212)/B2212</f>
        <v>1.4820842172560836E-3</v>
      </c>
      <c r="D2213" s="35">
        <f>(Table2634[[#This Row],[M1 Money Stock, Billions of Dollars, Weekly, Seasonally Adjusted]]-B2210)/B2210</f>
        <v>-2.0520691223283389E-2</v>
      </c>
      <c r="E2213" s="25">
        <f t="shared" si="34"/>
        <v>3465.6750000000002</v>
      </c>
      <c r="F2213" s="33">
        <f>(Table2634[[#This Row],[4 weeks average]]-B2161)/B2161</f>
        <v>8.1840174808802929E-2</v>
      </c>
    </row>
    <row r="2214" spans="1:6" x14ac:dyDescent="0.2">
      <c r="A2214" s="34">
        <v>42856</v>
      </c>
      <c r="B2214" s="25">
        <f>VLOOKUP(Table2634[[#This Row],[Date]],'DB Money Supply'!$A:$D,4)</f>
        <v>3450.2</v>
      </c>
      <c r="C2214" s="31">
        <f>(Table2634[[#This Row],[M1 Money Stock, Billions of Dollars, Weekly, Seasonally Adjusted]]-B2213)/B2213</f>
        <v>1.1606987406418666E-3</v>
      </c>
      <c r="D2214" s="35">
        <f>(Table2634[[#This Row],[M1 Money Stock, Billions of Dollars, Weekly, Seasonally Adjusted]]-B2211)/B2211</f>
        <v>-1.9670234307203305E-3</v>
      </c>
      <c r="E2214" s="25">
        <f t="shared" si="34"/>
        <v>3448.625</v>
      </c>
      <c r="F2214" s="33">
        <f>(Table2634[[#This Row],[4 weeks average]]-B2162)/B2162</f>
        <v>6.3569776407093298E-2</v>
      </c>
    </row>
    <row r="2215" spans="1:6" x14ac:dyDescent="0.2">
      <c r="A2215" s="34">
        <v>42863</v>
      </c>
      <c r="B2215" s="25">
        <f>VLOOKUP(Table2634[[#This Row],[Date]],'DB Money Supply'!$A:$D,4)</f>
        <v>3502.8</v>
      </c>
      <c r="C2215" s="31">
        <f>(Table2634[[#This Row],[M1 Money Stock, Billions of Dollars, Weekly, Seasonally Adjusted]]-B2214)/B2214</f>
        <v>1.5245493014897794E-2</v>
      </c>
      <c r="D2215" s="35">
        <f>(Table2634[[#This Row],[M1 Money Stock, Billions of Dollars, Weekly, Seasonally Adjusted]]-B2212)/B2212</f>
        <v>1.7930312981314193E-2</v>
      </c>
      <c r="E2215" s="25">
        <f t="shared" si="34"/>
        <v>3460.0749999999998</v>
      </c>
      <c r="F2215" s="33">
        <f>(Table2634[[#This Row],[4 weeks average]]-B2163)/B2163</f>
        <v>6.2905108592141934E-2</v>
      </c>
    </row>
    <row r="2216" spans="1:6" x14ac:dyDescent="0.2">
      <c r="A2216" s="34">
        <v>42870</v>
      </c>
      <c r="B2216" s="25">
        <f>VLOOKUP(Table2634[[#This Row],[Date]],'DB Money Supply'!$A:$D,4)</f>
        <v>3526.1</v>
      </c>
      <c r="C2216" s="31">
        <f>(Table2634[[#This Row],[M1 Money Stock, Billions of Dollars, Weekly, Seasonally Adjusted]]-B2215)/B2215</f>
        <v>6.651821400022761E-3</v>
      </c>
      <c r="D2216" s="35">
        <f>(Table2634[[#This Row],[M1 Money Stock, Billions of Dollars, Weekly, Seasonally Adjusted]]-B2213)/B2213</f>
        <v>2.318495734432131E-2</v>
      </c>
      <c r="E2216" s="25">
        <f t="shared" si="34"/>
        <v>3481.3250000000003</v>
      </c>
      <c r="F2216" s="33">
        <f>(Table2634[[#This Row],[4 weeks average]]-B2164)/B2164</f>
        <v>7.5611753074213792E-2</v>
      </c>
    </row>
    <row r="2217" spans="1:6" x14ac:dyDescent="0.2">
      <c r="A2217" s="34">
        <v>42877</v>
      </c>
      <c r="B2217" s="25">
        <f>VLOOKUP(Table2634[[#This Row],[Date]],'DB Money Supply'!$A:$D,4)</f>
        <v>3538.9</v>
      </c>
      <c r="C2217" s="31">
        <f>(Table2634[[#This Row],[M1 Money Stock, Billions of Dollars, Weekly, Seasonally Adjusted]]-B2216)/B2216</f>
        <v>3.630072885057197E-3</v>
      </c>
      <c r="D2217" s="35">
        <f>(Table2634[[#This Row],[M1 Money Stock, Billions of Dollars, Weekly, Seasonally Adjusted]]-B2214)/B2214</f>
        <v>2.5708654570749601E-2</v>
      </c>
      <c r="E2217" s="25">
        <f t="shared" si="34"/>
        <v>3504.5</v>
      </c>
      <c r="F2217" s="33">
        <f>(Table2634[[#This Row],[4 weeks average]]-B2165)/B2165</f>
        <v>7.8705983747845293E-2</v>
      </c>
    </row>
    <row r="2218" spans="1:6" x14ac:dyDescent="0.2">
      <c r="A2218" s="34">
        <v>42884</v>
      </c>
      <c r="B2218" s="25">
        <f>VLOOKUP(Table2634[[#This Row],[Date]],'DB Money Supply'!$A:$D,4)</f>
        <v>3525.2</v>
      </c>
      <c r="C2218" s="31">
        <f>(Table2634[[#This Row],[M1 Money Stock, Billions of Dollars, Weekly, Seasonally Adjusted]]-B2217)/B2217</f>
        <v>-3.8712594308966831E-3</v>
      </c>
      <c r="D2218" s="35">
        <f>(Table2634[[#This Row],[M1 Money Stock, Billions of Dollars, Weekly, Seasonally Adjusted]]-B2215)/B2215</f>
        <v>6.3948840927257151E-3</v>
      </c>
      <c r="E2218" s="25">
        <f t="shared" si="34"/>
        <v>3523.25</v>
      </c>
      <c r="F2218" s="33">
        <f>(Table2634[[#This Row],[4 weeks average]]-B2166)/B2166</f>
        <v>9.4618945537018107E-2</v>
      </c>
    </row>
    <row r="2219" spans="1:6" x14ac:dyDescent="0.2">
      <c r="A2219" s="34">
        <v>42891</v>
      </c>
      <c r="B2219" s="25">
        <f>VLOOKUP(Table2634[[#This Row],[Date]],'DB Money Supply'!$A:$D,4)</f>
        <v>3489.2</v>
      </c>
      <c r="C2219" s="31">
        <f>(Table2634[[#This Row],[M1 Money Stock, Billions of Dollars, Weekly, Seasonally Adjusted]]-B2218)/B2218</f>
        <v>-1.0212186542607513E-2</v>
      </c>
      <c r="D2219" s="35">
        <f>(Table2634[[#This Row],[M1 Money Stock, Billions of Dollars, Weekly, Seasonally Adjusted]]-B2216)/B2216</f>
        <v>-1.0464819488953827E-2</v>
      </c>
      <c r="E2219" s="25">
        <f t="shared" si="34"/>
        <v>3519.8500000000004</v>
      </c>
      <c r="F2219" s="33">
        <f>(Table2634[[#This Row],[4 weeks average]]-B2167)/B2167</f>
        <v>9.7552229497973292E-2</v>
      </c>
    </row>
    <row r="2220" spans="1:6" x14ac:dyDescent="0.2">
      <c r="A2220" s="34">
        <v>42898</v>
      </c>
      <c r="B2220" s="25">
        <f>VLOOKUP(Table2634[[#This Row],[Date]],'DB Money Supply'!$A:$D,4)</f>
        <v>3514.5</v>
      </c>
      <c r="C2220" s="31">
        <f>(Table2634[[#This Row],[M1 Money Stock, Billions of Dollars, Weekly, Seasonally Adjusted]]-B2219)/B2219</f>
        <v>7.2509457755359922E-3</v>
      </c>
      <c r="D2220" s="35">
        <f>(Table2634[[#This Row],[M1 Money Stock, Billions of Dollars, Weekly, Seasonally Adjusted]]-B2217)/B2217</f>
        <v>-6.8947978185312075E-3</v>
      </c>
      <c r="E2220" s="25">
        <f t="shared" si="34"/>
        <v>3516.95</v>
      </c>
      <c r="F2220" s="33">
        <f>(Table2634[[#This Row],[4 weeks average]]-B2168)/B2168</f>
        <v>8.0111175946684654E-2</v>
      </c>
    </row>
    <row r="2221" spans="1:6" x14ac:dyDescent="0.2">
      <c r="A2221" s="34">
        <v>42905</v>
      </c>
      <c r="B2221" s="25">
        <f>VLOOKUP(Table2634[[#This Row],[Date]],'DB Money Supply'!$A:$D,4)</f>
        <v>3512.4</v>
      </c>
      <c r="C2221" s="31">
        <f>(Table2634[[#This Row],[M1 Money Stock, Billions of Dollars, Weekly, Seasonally Adjusted]]-B2220)/B2220</f>
        <v>-5.9752454118648711E-4</v>
      </c>
      <c r="D2221" s="35">
        <f>(Table2634[[#This Row],[M1 Money Stock, Billions of Dollars, Weekly, Seasonally Adjusted]]-B2218)/B2218</f>
        <v>-3.6309996595937045E-3</v>
      </c>
      <c r="E2221" s="25">
        <f t="shared" si="34"/>
        <v>3510.3249999999998</v>
      </c>
      <c r="F2221" s="33">
        <f>(Table2634[[#This Row],[4 weeks average]]-B2169)/B2169</f>
        <v>7.3428230689254484E-2</v>
      </c>
    </row>
    <row r="2222" spans="1:6" x14ac:dyDescent="0.2">
      <c r="A2222" s="34">
        <v>42912</v>
      </c>
      <c r="B2222" s="25">
        <f>VLOOKUP(Table2634[[#This Row],[Date]],'DB Money Supply'!$A:$D,4)</f>
        <v>3553</v>
      </c>
      <c r="C2222" s="31">
        <f>(Table2634[[#This Row],[M1 Money Stock, Billions of Dollars, Weekly, Seasonally Adjusted]]-B2221)/B2221</f>
        <v>1.1559047944425438E-2</v>
      </c>
      <c r="D2222" s="35">
        <f>(Table2634[[#This Row],[M1 Money Stock, Billions of Dollars, Weekly, Seasonally Adjusted]]-B2219)/B2219</f>
        <v>1.8284993694829815E-2</v>
      </c>
      <c r="E2222" s="25">
        <f t="shared" si="34"/>
        <v>3517.2750000000001</v>
      </c>
      <c r="F2222" s="33">
        <f>(Table2634[[#This Row],[4 weeks average]]-B2170)/B2170</f>
        <v>8.2971549972288908E-2</v>
      </c>
    </row>
    <row r="2223" spans="1:6" x14ac:dyDescent="0.2">
      <c r="A2223" s="34">
        <v>42919</v>
      </c>
      <c r="B2223" s="25">
        <f>VLOOKUP(Table2634[[#This Row],[Date]],'DB Money Supply'!$A:$D,4)</f>
        <v>3580.7</v>
      </c>
      <c r="C2223" s="31">
        <f>(Table2634[[#This Row],[M1 Money Stock, Billions of Dollars, Weekly, Seasonally Adjusted]]-B2222)/B2222</f>
        <v>7.796228539262544E-3</v>
      </c>
      <c r="D2223" s="35">
        <f>(Table2634[[#This Row],[M1 Money Stock, Billions of Dollars, Weekly, Seasonally Adjusted]]-B2220)/B2220</f>
        <v>1.8836249822165262E-2</v>
      </c>
      <c r="E2223" s="25">
        <f t="shared" si="34"/>
        <v>3540.1499999999996</v>
      </c>
      <c r="F2223" s="33">
        <f>(Table2634[[#This Row],[4 weeks average]]-B2171)/B2171</f>
        <v>8.887487696850388E-2</v>
      </c>
    </row>
    <row r="2224" spans="1:6" x14ac:dyDescent="0.2">
      <c r="A2224" s="34">
        <v>42926</v>
      </c>
      <c r="B2224" s="25">
        <f>VLOOKUP(Table2634[[#This Row],[Date]],'DB Money Supply'!$A:$D,4)</f>
        <v>3552.4</v>
      </c>
      <c r="C2224" s="31">
        <f>(Table2634[[#This Row],[M1 Money Stock, Billions of Dollars, Weekly, Seasonally Adjusted]]-B2223)/B2223</f>
        <v>-7.9034825592760437E-3</v>
      </c>
      <c r="D2224" s="35">
        <f>(Table2634[[#This Row],[M1 Money Stock, Billions of Dollars, Weekly, Seasonally Adjusted]]-B2221)/B2221</f>
        <v>1.1388224575788634E-2</v>
      </c>
      <c r="E2224" s="25">
        <f t="shared" si="34"/>
        <v>3549.6249999999995</v>
      </c>
      <c r="F2224" s="33">
        <f>(Table2634[[#This Row],[4 weeks average]]-B2172)/B2172</f>
        <v>8.8574889597644549E-2</v>
      </c>
    </row>
    <row r="2225" spans="1:6" x14ac:dyDescent="0.2">
      <c r="A2225" s="34">
        <v>42933</v>
      </c>
      <c r="B2225" s="25">
        <f>VLOOKUP(Table2634[[#This Row],[Date]],'DB Money Supply'!$A:$D,4)</f>
        <v>3519.5</v>
      </c>
      <c r="C2225" s="31">
        <f>(Table2634[[#This Row],[M1 Money Stock, Billions of Dollars, Weekly, Seasonally Adjusted]]-B2224)/B2224</f>
        <v>-9.26134444319336E-3</v>
      </c>
      <c r="D2225" s="35">
        <f>(Table2634[[#This Row],[M1 Money Stock, Billions of Dollars, Weekly, Seasonally Adjusted]]-B2222)/B2222</f>
        <v>-9.4286518435125252E-3</v>
      </c>
      <c r="E2225" s="25">
        <f t="shared" si="34"/>
        <v>3551.4</v>
      </c>
      <c r="F2225" s="33">
        <f>(Table2634[[#This Row],[4 weeks average]]-B2173)/B2173</f>
        <v>9.4962076832953074E-2</v>
      </c>
    </row>
    <row r="2226" spans="1:6" x14ac:dyDescent="0.2">
      <c r="A2226" s="34">
        <v>42940</v>
      </c>
      <c r="B2226" s="25">
        <f>VLOOKUP(Table2634[[#This Row],[Date]],'DB Money Supply'!$A:$D,4)</f>
        <v>3553.4</v>
      </c>
      <c r="C2226" s="31">
        <f>(Table2634[[#This Row],[M1 Money Stock, Billions of Dollars, Weekly, Seasonally Adjusted]]-B2225)/B2225</f>
        <v>9.6320500071033072E-3</v>
      </c>
      <c r="D2226" s="35">
        <f>(Table2634[[#This Row],[M1 Money Stock, Billions of Dollars, Weekly, Seasonally Adjusted]]-B2223)/B2223</f>
        <v>-7.6242075571814807E-3</v>
      </c>
      <c r="E2226" s="25">
        <f t="shared" si="34"/>
        <v>3551.5</v>
      </c>
      <c r="F2226" s="33">
        <f>(Table2634[[#This Row],[4 weeks average]]-B2174)/B2174</f>
        <v>9.1459479393957988E-2</v>
      </c>
    </row>
    <row r="2227" spans="1:6" x14ac:dyDescent="0.2">
      <c r="A2227" s="34">
        <v>42947</v>
      </c>
      <c r="B2227" s="25">
        <f>VLOOKUP(Table2634[[#This Row],[Date]],'DB Money Supply'!$A:$D,4)</f>
        <v>3567.4</v>
      </c>
      <c r="C2227" s="31">
        <f>(Table2634[[#This Row],[M1 Money Stock, Billions of Dollars, Weekly, Seasonally Adjusted]]-B2226)/B2226</f>
        <v>3.9398885574379464E-3</v>
      </c>
      <c r="D2227" s="35">
        <f>(Table2634[[#This Row],[M1 Money Stock, Billions of Dollars, Weekly, Seasonally Adjusted]]-B2224)/B2224</f>
        <v>4.2224974665015201E-3</v>
      </c>
      <c r="E2227" s="25">
        <f t="shared" si="34"/>
        <v>3548.1749999999997</v>
      </c>
      <c r="F2227" s="33">
        <f>(Table2634[[#This Row],[4 weeks average]]-B2175)/B2175</f>
        <v>9.7588702941813321E-2</v>
      </c>
    </row>
    <row r="2228" spans="1:6" x14ac:dyDescent="0.2">
      <c r="A2228" s="34">
        <v>42954</v>
      </c>
      <c r="B2228" s="25">
        <f>VLOOKUP(Table2634[[#This Row],[Date]],'DB Money Supply'!$A:$D,4)</f>
        <v>3540.5</v>
      </c>
      <c r="C2228" s="31">
        <f>(Table2634[[#This Row],[M1 Money Stock, Billions of Dollars, Weekly, Seasonally Adjusted]]-B2227)/B2227</f>
        <v>-7.5405056904188179E-3</v>
      </c>
      <c r="D2228" s="35">
        <f>(Table2634[[#This Row],[M1 Money Stock, Billions of Dollars, Weekly, Seasonally Adjusted]]-B2225)/B2225</f>
        <v>5.9667566415684044E-3</v>
      </c>
      <c r="E2228" s="25">
        <f t="shared" si="34"/>
        <v>3545.2</v>
      </c>
      <c r="F2228" s="33">
        <f>(Table2634[[#This Row],[4 weeks average]]-B2176)/B2176</f>
        <v>7.4563530552861301E-2</v>
      </c>
    </row>
    <row r="2229" spans="1:6" x14ac:dyDescent="0.2">
      <c r="A2229" s="34">
        <v>42961</v>
      </c>
      <c r="B2229" s="25">
        <f>VLOOKUP(Table2634[[#This Row],[Date]],'DB Money Supply'!$A:$D,4)</f>
        <v>3582.6</v>
      </c>
      <c r="C2229" s="31">
        <f>(Table2634[[#This Row],[M1 Money Stock, Billions of Dollars, Weekly, Seasonally Adjusted]]-B2228)/B2228</f>
        <v>1.1890975850868495E-2</v>
      </c>
      <c r="D2229" s="35">
        <f>(Table2634[[#This Row],[M1 Money Stock, Billions of Dollars, Weekly, Seasonally Adjusted]]-B2226)/B2226</f>
        <v>8.2174818483705236E-3</v>
      </c>
      <c r="E2229" s="25">
        <f t="shared" si="34"/>
        <v>3560.9749999999999</v>
      </c>
      <c r="F2229" s="33">
        <f>(Table2634[[#This Row],[4 weeks average]]-B2177)/B2177</f>
        <v>7.1421049464436157E-2</v>
      </c>
    </row>
    <row r="2230" spans="1:6" x14ac:dyDescent="0.2">
      <c r="A2230" s="34">
        <v>42968</v>
      </c>
      <c r="B2230" s="25">
        <f>VLOOKUP(Table2634[[#This Row],[Date]],'DB Money Supply'!$A:$D,4)</f>
        <v>3635.1</v>
      </c>
      <c r="C2230" s="31">
        <f>(Table2634[[#This Row],[M1 Money Stock, Billions of Dollars, Weekly, Seasonally Adjusted]]-B2229)/B2229</f>
        <v>1.4654161781946073E-2</v>
      </c>
      <c r="D2230" s="35">
        <f>(Table2634[[#This Row],[M1 Money Stock, Billions of Dollars, Weekly, Seasonally Adjusted]]-B2227)/B2227</f>
        <v>1.8977406514548358E-2</v>
      </c>
      <c r="E2230" s="25">
        <f t="shared" si="34"/>
        <v>3581.4</v>
      </c>
      <c r="F2230" s="33">
        <f>(Table2634[[#This Row],[4 weeks average]]-B2178)/B2178</f>
        <v>7.0960796626895181E-2</v>
      </c>
    </row>
    <row r="2231" spans="1:6" x14ac:dyDescent="0.2">
      <c r="A2231" s="34">
        <v>42975</v>
      </c>
      <c r="B2231" s="25">
        <f>VLOOKUP(Table2634[[#This Row],[Date]],'DB Money Supply'!$A:$D,4)</f>
        <v>3597.7</v>
      </c>
      <c r="C2231" s="31">
        <f>(Table2634[[#This Row],[M1 Money Stock, Billions of Dollars, Weekly, Seasonally Adjusted]]-B2230)/B2230</f>
        <v>-1.0288575279909794E-2</v>
      </c>
      <c r="D2231" s="35">
        <f>(Table2634[[#This Row],[M1 Money Stock, Billions of Dollars, Weekly, Seasonally Adjusted]]-B2228)/B2228</f>
        <v>1.6155910182177609E-2</v>
      </c>
      <c r="E2231" s="25">
        <f t="shared" si="34"/>
        <v>3588.9750000000004</v>
      </c>
      <c r="F2231" s="33">
        <f>(Table2634[[#This Row],[4 weeks average]]-B2179)/B2179</f>
        <v>7.9813160032494071E-2</v>
      </c>
    </row>
    <row r="2232" spans="1:6" x14ac:dyDescent="0.2">
      <c r="A2232" s="34">
        <v>42982</v>
      </c>
      <c r="B2232" s="25">
        <f>VLOOKUP(Table2634[[#This Row],[Date]],'DB Money Supply'!$A:$D,4)</f>
        <v>3550.7</v>
      </c>
      <c r="C2232" s="31">
        <f>(Table2634[[#This Row],[M1 Money Stock, Billions of Dollars, Weekly, Seasonally Adjusted]]-B2231)/B2231</f>
        <v>-1.3063901937348863E-2</v>
      </c>
      <c r="D2232" s="35">
        <f>(Table2634[[#This Row],[M1 Money Stock, Billions of Dollars, Weekly, Seasonally Adjusted]]-B2229)/B2229</f>
        <v>-8.9041478256015449E-3</v>
      </c>
      <c r="E2232" s="25">
        <f t="shared" si="34"/>
        <v>3591.5249999999996</v>
      </c>
      <c r="F2232" s="33">
        <f>(Table2634[[#This Row],[4 weeks average]]-B2180)/B2180</f>
        <v>9.2014047249840233E-2</v>
      </c>
    </row>
    <row r="2233" spans="1:6" x14ac:dyDescent="0.2">
      <c r="A2233" s="34">
        <v>42989</v>
      </c>
      <c r="B2233" s="25">
        <f>VLOOKUP(Table2634[[#This Row],[Date]],'DB Money Supply'!$A:$D,4)</f>
        <v>3588.1</v>
      </c>
      <c r="C2233" s="31">
        <f>(Table2634[[#This Row],[M1 Money Stock, Billions of Dollars, Weekly, Seasonally Adjusted]]-B2232)/B2232</f>
        <v>1.0533134311544229E-2</v>
      </c>
      <c r="D2233" s="35">
        <f>(Table2634[[#This Row],[M1 Money Stock, Billions of Dollars, Weekly, Seasonally Adjusted]]-B2230)/B2230</f>
        <v>-1.2929492998817089E-2</v>
      </c>
      <c r="E2233" s="25">
        <f t="shared" si="34"/>
        <v>3592.9</v>
      </c>
      <c r="F2233" s="33">
        <f>(Table2634[[#This Row],[4 weeks average]]-B2181)/B2181</f>
        <v>7.7913116524661069E-2</v>
      </c>
    </row>
    <row r="2234" spans="1:6" x14ac:dyDescent="0.2">
      <c r="A2234" s="34">
        <v>42996</v>
      </c>
      <c r="B2234" s="25">
        <f>VLOOKUP(Table2634[[#This Row],[Date]],'DB Money Supply'!$A:$D,4)</f>
        <v>3574.8</v>
      </c>
      <c r="C2234" s="31">
        <f>(Table2634[[#This Row],[M1 Money Stock, Billions of Dollars, Weekly, Seasonally Adjusted]]-B2233)/B2233</f>
        <v>-3.7066971377608562E-3</v>
      </c>
      <c r="D2234" s="35">
        <f>(Table2634[[#This Row],[M1 Money Stock, Billions of Dollars, Weekly, Seasonally Adjusted]]-B2231)/B2231</f>
        <v>-6.3651777524528549E-3</v>
      </c>
      <c r="E2234" s="25">
        <f t="shared" si="34"/>
        <v>3577.8249999999998</v>
      </c>
      <c r="F2234" s="33">
        <f>(Table2634[[#This Row],[4 weeks average]]-B2182)/B2182</f>
        <v>7.6102321944176973E-2</v>
      </c>
    </row>
    <row r="2235" spans="1:6" x14ac:dyDescent="0.2">
      <c r="A2235" s="34">
        <v>43003</v>
      </c>
      <c r="B2235" s="25">
        <f>VLOOKUP(Table2634[[#This Row],[Date]],'DB Money Supply'!$A:$D,4)</f>
        <v>3568.4</v>
      </c>
      <c r="C2235" s="31">
        <f>(Table2634[[#This Row],[M1 Money Stock, Billions of Dollars, Weekly, Seasonally Adjusted]]-B2234)/B2234</f>
        <v>-1.7903099474096706E-3</v>
      </c>
      <c r="D2235" s="35">
        <f>(Table2634[[#This Row],[M1 Money Stock, Billions of Dollars, Weekly, Seasonally Adjusted]]-B2232)/B2232</f>
        <v>4.9849325485116381E-3</v>
      </c>
      <c r="E2235" s="25">
        <f t="shared" si="34"/>
        <v>3570.4999999999995</v>
      </c>
      <c r="F2235" s="33">
        <f>(Table2634[[#This Row],[4 weeks average]]-B2183)/B2183</f>
        <v>7.4707281100442266E-2</v>
      </c>
    </row>
    <row r="2236" spans="1:6" x14ac:dyDescent="0.2">
      <c r="A2236" s="34">
        <v>43010</v>
      </c>
      <c r="B2236" s="25">
        <f>VLOOKUP(Table2634[[#This Row],[Date]],'DB Money Supply'!$A:$D,4)</f>
        <v>3581.7</v>
      </c>
      <c r="C2236" s="31">
        <f>(Table2634[[#This Row],[M1 Money Stock, Billions of Dollars, Weekly, Seasonally Adjusted]]-B2235)/B2235</f>
        <v>3.7271606322160427E-3</v>
      </c>
      <c r="D2236" s="35">
        <f>(Table2634[[#This Row],[M1 Money Stock, Billions of Dollars, Weekly, Seasonally Adjusted]]-B2233)/B2233</f>
        <v>-1.7836738106519025E-3</v>
      </c>
      <c r="E2236" s="25">
        <f t="shared" si="34"/>
        <v>3578.25</v>
      </c>
      <c r="F2236" s="33">
        <f>(Table2634[[#This Row],[4 weeks average]]-B2184)/B2184</f>
        <v>6.0379315454141352E-2</v>
      </c>
    </row>
    <row r="2237" spans="1:6" x14ac:dyDescent="0.2">
      <c r="A2237" s="34">
        <v>43017</v>
      </c>
      <c r="B2237" s="25">
        <f>VLOOKUP(Table2634[[#This Row],[Date]],'DB Money Supply'!$A:$D,4)</f>
        <v>3618.2</v>
      </c>
      <c r="C2237" s="31">
        <f>(Table2634[[#This Row],[M1 Money Stock, Billions of Dollars, Weekly, Seasonally Adjusted]]-B2236)/B2236</f>
        <v>1.0190691571041684E-2</v>
      </c>
      <c r="D2237" s="35">
        <f>(Table2634[[#This Row],[M1 Money Stock, Billions of Dollars, Weekly, Seasonally Adjusted]]-B2234)/B2234</f>
        <v>1.2140539330871555E-2</v>
      </c>
      <c r="E2237" s="25">
        <f t="shared" si="34"/>
        <v>3585.7750000000005</v>
      </c>
      <c r="F2237" s="33">
        <f>(Table2634[[#This Row],[4 weeks average]]-B2185)/B2185</f>
        <v>6.6401486988847749E-2</v>
      </c>
    </row>
    <row r="2238" spans="1:6" x14ac:dyDescent="0.2">
      <c r="A2238" s="34">
        <v>43024</v>
      </c>
      <c r="B2238" s="25">
        <f>VLOOKUP(Table2634[[#This Row],[Date]],'DB Money Supply'!$A:$D,4)</f>
        <v>3593.9</v>
      </c>
      <c r="C2238" s="31">
        <f>(Table2634[[#This Row],[M1 Money Stock, Billions of Dollars, Weekly, Seasonally Adjusted]]-B2237)/B2237</f>
        <v>-6.7160466530318194E-3</v>
      </c>
      <c r="D2238" s="35">
        <f>(Table2634[[#This Row],[M1 Money Stock, Billions of Dollars, Weekly, Seasonally Adjusted]]-B2235)/B2235</f>
        <v>7.1460598587602285E-3</v>
      </c>
      <c r="E2238" s="25">
        <f t="shared" si="34"/>
        <v>3590.5499999999997</v>
      </c>
      <c r="F2238" s="33">
        <f>(Table2634[[#This Row],[4 weeks average]]-B2186)/B2186</f>
        <v>8.5053337765555542E-2</v>
      </c>
    </row>
    <row r="2239" spans="1:6" x14ac:dyDescent="0.2">
      <c r="A2239" s="34">
        <v>43031</v>
      </c>
      <c r="B2239" s="25">
        <f>VLOOKUP(Table2634[[#This Row],[Date]],'DB Money Supply'!$A:$D,4)</f>
        <v>3612.7</v>
      </c>
      <c r="C2239" s="31">
        <f>(Table2634[[#This Row],[M1 Money Stock, Billions of Dollars, Weekly, Seasonally Adjusted]]-B2238)/B2238</f>
        <v>5.2310860068448557E-3</v>
      </c>
      <c r="D2239" s="35">
        <f>(Table2634[[#This Row],[M1 Money Stock, Billions of Dollars, Weekly, Seasonally Adjusted]]-B2236)/B2236</f>
        <v>8.6551079096518421E-3</v>
      </c>
      <c r="E2239" s="25">
        <f t="shared" si="34"/>
        <v>3601.625</v>
      </c>
      <c r="F2239" s="33">
        <f>(Table2634[[#This Row],[4 weeks average]]-B2187)/B2187</f>
        <v>8.5284457301271654E-2</v>
      </c>
    </row>
    <row r="2240" spans="1:6" x14ac:dyDescent="0.2">
      <c r="A2240" s="34">
        <v>43038</v>
      </c>
      <c r="B2240" s="25">
        <f>VLOOKUP(Table2634[[#This Row],[Date]],'DB Money Supply'!$A:$D,4)</f>
        <v>3598.9</v>
      </c>
      <c r="C2240" s="31">
        <f>(Table2634[[#This Row],[M1 Money Stock, Billions of Dollars, Weekly, Seasonally Adjusted]]-B2239)/B2239</f>
        <v>-3.8198577241397645E-3</v>
      </c>
      <c r="D2240" s="35">
        <f>(Table2634[[#This Row],[M1 Money Stock, Billions of Dollars, Weekly, Seasonally Adjusted]]-B2237)/B2237</f>
        <v>-5.3341440495273144E-3</v>
      </c>
      <c r="E2240" s="25">
        <f t="shared" si="34"/>
        <v>3605.9249999999997</v>
      </c>
      <c r="F2240" s="33">
        <f>(Table2634[[#This Row],[4 weeks average]]-B2188)/B2188</f>
        <v>8.3283263736593838E-2</v>
      </c>
    </row>
    <row r="2241" spans="1:6" x14ac:dyDescent="0.2">
      <c r="A2241" s="34">
        <v>43045</v>
      </c>
      <c r="B2241" s="25">
        <f>VLOOKUP(Table2634[[#This Row],[Date]],'DB Money Supply'!$A:$D,4)</f>
        <v>3591.9</v>
      </c>
      <c r="C2241" s="31">
        <f>(Table2634[[#This Row],[M1 Money Stock, Billions of Dollars, Weekly, Seasonally Adjusted]]-B2240)/B2240</f>
        <v>-1.9450387618438966E-3</v>
      </c>
      <c r="D2241" s="35">
        <f>(Table2634[[#This Row],[M1 Money Stock, Billions of Dollars, Weekly, Seasonally Adjusted]]-B2238)/B2238</f>
        <v>-5.5649851136648203E-4</v>
      </c>
      <c r="E2241" s="25">
        <f t="shared" si="34"/>
        <v>3599.35</v>
      </c>
      <c r="F2241" s="33">
        <f>(Table2634[[#This Row],[4 weeks average]]-B2189)/B2189</f>
        <v>8.8996127314534698E-2</v>
      </c>
    </row>
    <row r="2242" spans="1:6" x14ac:dyDescent="0.2">
      <c r="A2242" s="34">
        <v>43052</v>
      </c>
      <c r="B2242" s="25">
        <f>VLOOKUP(Table2634[[#This Row],[Date]],'DB Money Supply'!$A:$D,4)</f>
        <v>3631.3</v>
      </c>
      <c r="C2242" s="31">
        <f>(Table2634[[#This Row],[M1 Money Stock, Billions of Dollars, Weekly, Seasonally Adjusted]]-B2241)/B2241</f>
        <v>1.0969124975639658E-2</v>
      </c>
      <c r="D2242" s="35">
        <f>(Table2634[[#This Row],[M1 Money Stock, Billions of Dollars, Weekly, Seasonally Adjusted]]-B2239)/B2239</f>
        <v>5.1485038890581461E-3</v>
      </c>
      <c r="E2242" s="25">
        <f t="shared" si="34"/>
        <v>3608.7</v>
      </c>
      <c r="F2242" s="33">
        <f>(Table2634[[#This Row],[4 weeks average]]-B2190)/B2190</f>
        <v>7.1466745843230345E-2</v>
      </c>
    </row>
    <row r="2243" spans="1:6" x14ac:dyDescent="0.2">
      <c r="A2243" s="34">
        <v>43059</v>
      </c>
      <c r="B2243" s="25">
        <f>VLOOKUP(Table2634[[#This Row],[Date]],'DB Money Supply'!$A:$D,4)</f>
        <v>3644.9</v>
      </c>
      <c r="C2243" s="31">
        <f>(Table2634[[#This Row],[M1 Money Stock, Billions of Dollars, Weekly, Seasonally Adjusted]]-B2242)/B2242</f>
        <v>3.7452152121829397E-3</v>
      </c>
      <c r="D2243" s="35">
        <f>(Table2634[[#This Row],[M1 Money Stock, Billions of Dollars, Weekly, Seasonally Adjusted]]-B2240)/B2240</f>
        <v>1.2781683292117036E-2</v>
      </c>
      <c r="E2243" s="25">
        <f t="shared" si="34"/>
        <v>3616.75</v>
      </c>
      <c r="F2243" s="33">
        <f>(Table2634[[#This Row],[4 weeks average]]-B2191)/B2191</f>
        <v>6.8274456521739163E-2</v>
      </c>
    </row>
    <row r="2244" spans="1:6" x14ac:dyDescent="0.2">
      <c r="A2244" s="34">
        <v>43066</v>
      </c>
      <c r="B2244" s="25">
        <f>VLOOKUP(Table2634[[#This Row],[Date]],'DB Money Supply'!$A:$D,4)</f>
        <v>3641.9</v>
      </c>
      <c r="C2244" s="31">
        <f>(Table2634[[#This Row],[M1 Money Stock, Billions of Dollars, Weekly, Seasonally Adjusted]]-B2243)/B2243</f>
        <v>-8.2306784822628871E-4</v>
      </c>
      <c r="D2244" s="35">
        <f>(Table2634[[#This Row],[M1 Money Stock, Billions of Dollars, Weekly, Seasonally Adjusted]]-B2241)/B2241</f>
        <v>1.3920209359948773E-2</v>
      </c>
      <c r="E2244" s="25">
        <f t="shared" si="34"/>
        <v>3627.5</v>
      </c>
      <c r="F2244" s="33">
        <f>(Table2634[[#This Row],[4 weeks average]]-B2192)/B2192</f>
        <v>7.9452462431185839E-2</v>
      </c>
    </row>
    <row r="2245" spans="1:6" x14ac:dyDescent="0.2">
      <c r="A2245" s="34">
        <v>43073</v>
      </c>
      <c r="B2245" s="25">
        <f>VLOOKUP(Table2634[[#This Row],[Date]],'DB Money Supply'!$A:$D,4)</f>
        <v>3619.2</v>
      </c>
      <c r="C2245" s="31">
        <f>(Table2634[[#This Row],[M1 Money Stock, Billions of Dollars, Weekly, Seasonally Adjusted]]-B2244)/B2244</f>
        <v>-6.2330102419067722E-3</v>
      </c>
      <c r="D2245" s="35">
        <f>(Table2634[[#This Row],[M1 Money Stock, Billions of Dollars, Weekly, Seasonally Adjusted]]-B2242)/B2242</f>
        <v>-3.3321400049570026E-3</v>
      </c>
      <c r="E2245" s="25">
        <f t="shared" si="34"/>
        <v>3634.3249999999998</v>
      </c>
      <c r="F2245" s="33">
        <f>(Table2634[[#This Row],[4 weeks average]]-B2193)/B2193</f>
        <v>9.3260235237493494E-2</v>
      </c>
    </row>
    <row r="2246" spans="1:6" x14ac:dyDescent="0.2">
      <c r="A2246" s="34">
        <v>43080</v>
      </c>
      <c r="B2246" s="25">
        <f>VLOOKUP(Table2634[[#This Row],[Date]],'DB Money Supply'!$A:$D,4)</f>
        <v>3632.1</v>
      </c>
      <c r="C2246" s="31">
        <f>(Table2634[[#This Row],[M1 Money Stock, Billions of Dollars, Weekly, Seasonally Adjusted]]-B2245)/B2245</f>
        <v>3.5643236074270812E-3</v>
      </c>
      <c r="D2246" s="35">
        <f>(Table2634[[#This Row],[M1 Money Stock, Billions of Dollars, Weekly, Seasonally Adjusted]]-B2243)/B2243</f>
        <v>-3.5117561524322153E-3</v>
      </c>
      <c r="E2246" s="25">
        <f t="shared" si="34"/>
        <v>3634.5250000000001</v>
      </c>
      <c r="F2246" s="33">
        <f>(Table2634[[#This Row],[4 weeks average]]-B2194)/B2194</f>
        <v>8.5840403919694164E-2</v>
      </c>
    </row>
    <row r="2247" spans="1:6" x14ac:dyDescent="0.2">
      <c r="A2247" s="34">
        <v>43087</v>
      </c>
      <c r="B2247" s="25">
        <f>VLOOKUP(Table2634[[#This Row],[Date]],'DB Money Supply'!$A:$D,4)</f>
        <v>3608.5</v>
      </c>
      <c r="C2247" s="31">
        <f>(Table2634[[#This Row],[M1 Money Stock, Billions of Dollars, Weekly, Seasonally Adjusted]]-B2246)/B2246</f>
        <v>-6.4976184576415602E-3</v>
      </c>
      <c r="D2247" s="35">
        <f>(Table2634[[#This Row],[M1 Money Stock, Billions of Dollars, Weekly, Seasonally Adjusted]]-B2244)/B2244</f>
        <v>-9.1710370960213315E-3</v>
      </c>
      <c r="E2247" s="25">
        <f t="shared" si="34"/>
        <v>3625.4250000000002</v>
      </c>
      <c r="F2247" s="33">
        <f>(Table2634[[#This Row],[4 weeks average]]-B2195)/B2195</f>
        <v>8.9141406555111713E-2</v>
      </c>
    </row>
    <row r="2248" spans="1:6" x14ac:dyDescent="0.2">
      <c r="A2248" s="34">
        <v>43094</v>
      </c>
      <c r="B2248" s="25">
        <f>VLOOKUP(Table2634[[#This Row],[Date]],'DB Money Supply'!$A:$D,4)</f>
        <v>3595.6</v>
      </c>
      <c r="C2248" s="31">
        <f>(Table2634[[#This Row],[M1 Money Stock, Billions of Dollars, Weekly, Seasonally Adjusted]]-B2247)/B2247</f>
        <v>-3.5748926146598561E-3</v>
      </c>
      <c r="D2248" s="35">
        <f>(Table2634[[#This Row],[M1 Money Stock, Billions of Dollars, Weekly, Seasonally Adjusted]]-B2245)/B2245</f>
        <v>-6.5207780725021853E-3</v>
      </c>
      <c r="E2248" s="25">
        <f t="shared" si="34"/>
        <v>3613.85</v>
      </c>
      <c r="F2248" s="33">
        <f>(Table2634[[#This Row],[4 weeks average]]-B2196)/B2196</f>
        <v>8.0083086762903793E-2</v>
      </c>
    </row>
    <row r="2249" spans="1:6" x14ac:dyDescent="0.2">
      <c r="A2249" s="34">
        <v>43101</v>
      </c>
      <c r="B2249" s="25">
        <f>VLOOKUP(Table2634[[#This Row],[Date]],'DB Money Supply'!$A:$D,4)</f>
        <v>3581</v>
      </c>
      <c r="C2249" s="31">
        <f>(Table2634[[#This Row],[M1 Money Stock, Billions of Dollars, Weekly, Seasonally Adjusted]]-B2248)/B2248</f>
        <v>-4.0605184113916759E-3</v>
      </c>
      <c r="D2249" s="35">
        <f>(Table2634[[#This Row],[M1 Money Stock, Billions of Dollars, Weekly, Seasonally Adjusted]]-B2246)/B2246</f>
        <v>-1.4068995897690017E-2</v>
      </c>
      <c r="E2249" s="25">
        <f t="shared" ref="E2249:E2312" si="35">AVERAGE(B2246:B2249)</f>
        <v>3604.3</v>
      </c>
      <c r="F2249" s="33">
        <f>(Table2634[[#This Row],[4 weeks average]]-B2197)/B2197</f>
        <v>7.5332657079778029E-2</v>
      </c>
    </row>
    <row r="2250" spans="1:6" x14ac:dyDescent="0.2">
      <c r="A2250" s="34">
        <v>43108</v>
      </c>
      <c r="B2250" s="25">
        <f>VLOOKUP(Table2634[[#This Row],[Date]],'DB Money Supply'!$A:$D,4)</f>
        <v>3642.4</v>
      </c>
      <c r="C2250" s="31">
        <f>(Table2634[[#This Row],[M1 Money Stock, Billions of Dollars, Weekly, Seasonally Adjusted]]-B2249)/B2249</f>
        <v>1.7146048589779417E-2</v>
      </c>
      <c r="D2250" s="35">
        <f>(Table2634[[#This Row],[M1 Money Stock, Billions of Dollars, Weekly, Seasonally Adjusted]]-B2247)/B2247</f>
        <v>9.3944852431758607E-3</v>
      </c>
      <c r="E2250" s="25">
        <f t="shared" si="35"/>
        <v>3606.875</v>
      </c>
      <c r="F2250" s="33">
        <f>(Table2634[[#This Row],[4 weeks average]]-B2198)/B2198</f>
        <v>6.592440451563325E-2</v>
      </c>
    </row>
    <row r="2251" spans="1:6" x14ac:dyDescent="0.2">
      <c r="A2251" s="34">
        <v>43115</v>
      </c>
      <c r="B2251" s="25">
        <f>VLOOKUP(Table2634[[#This Row],[Date]],'DB Money Supply'!$A:$D,4)</f>
        <v>3670.9</v>
      </c>
      <c r="C2251" s="31">
        <f>(Table2634[[#This Row],[M1 Money Stock, Billions of Dollars, Weekly, Seasonally Adjusted]]-B2250)/B2250</f>
        <v>7.8245113112233693E-3</v>
      </c>
      <c r="D2251" s="35">
        <f>(Table2634[[#This Row],[M1 Money Stock, Billions of Dollars, Weekly, Seasonally Adjusted]]-B2248)/B2248</f>
        <v>2.0942262765602453E-2</v>
      </c>
      <c r="E2251" s="25">
        <f t="shared" si="35"/>
        <v>3622.4749999999999</v>
      </c>
      <c r="F2251" s="33">
        <f>(Table2634[[#This Row],[4 weeks average]]-B2199)/B2199</f>
        <v>6.895508734655327E-2</v>
      </c>
    </row>
    <row r="2252" spans="1:6" x14ac:dyDescent="0.2">
      <c r="A2252" s="34">
        <v>43122</v>
      </c>
      <c r="B2252" s="25">
        <f>VLOOKUP(Table2634[[#This Row],[Date]],'DB Money Supply'!$A:$D,4)</f>
        <v>3663.2</v>
      </c>
      <c r="C2252" s="31">
        <f>(Table2634[[#This Row],[M1 Money Stock, Billions of Dollars, Weekly, Seasonally Adjusted]]-B2251)/B2251</f>
        <v>-2.0975782505653308E-3</v>
      </c>
      <c r="D2252" s="35">
        <f>(Table2634[[#This Row],[M1 Money Stock, Billions of Dollars, Weekly, Seasonally Adjusted]]-B2249)/B2249</f>
        <v>2.295448198827138E-2</v>
      </c>
      <c r="E2252" s="25">
        <f t="shared" si="35"/>
        <v>3639.375</v>
      </c>
      <c r="F2252" s="33">
        <f>(Table2634[[#This Row],[4 weeks average]]-B2200)/B2200</f>
        <v>7.2107170211512431E-2</v>
      </c>
    </row>
    <row r="2253" spans="1:6" x14ac:dyDescent="0.2">
      <c r="A2253" s="34">
        <v>43129</v>
      </c>
      <c r="B2253" s="25">
        <f>VLOOKUP(Table2634[[#This Row],[Date]],'DB Money Supply'!$A:$D,4)</f>
        <v>3636.7</v>
      </c>
      <c r="C2253" s="31">
        <f>(Table2634[[#This Row],[M1 Money Stock, Billions of Dollars, Weekly, Seasonally Adjusted]]-B2252)/B2252</f>
        <v>-7.2341122515833158E-3</v>
      </c>
      <c r="D2253" s="35">
        <f>(Table2634[[#This Row],[M1 Money Stock, Billions of Dollars, Weekly, Seasonally Adjusted]]-B2250)/B2250</f>
        <v>-1.5649022622447487E-3</v>
      </c>
      <c r="E2253" s="25">
        <f t="shared" si="35"/>
        <v>3653.3</v>
      </c>
      <c r="F2253" s="33">
        <f>(Table2634[[#This Row],[4 weeks average]]-B2201)/B2201</f>
        <v>7.4594817189752152E-2</v>
      </c>
    </row>
    <row r="2254" spans="1:6" x14ac:dyDescent="0.2">
      <c r="A2254" s="34">
        <v>43136</v>
      </c>
      <c r="B2254" s="25">
        <f>VLOOKUP(Table2634[[#This Row],[Date]],'DB Money Supply'!$A:$D,4)</f>
        <v>3623</v>
      </c>
      <c r="C2254" s="31">
        <f>(Table2634[[#This Row],[M1 Money Stock, Billions of Dollars, Weekly, Seasonally Adjusted]]-B2253)/B2253</f>
        <v>-3.7671515384826407E-3</v>
      </c>
      <c r="D2254" s="35">
        <f>(Table2634[[#This Row],[M1 Money Stock, Billions of Dollars, Weekly, Seasonally Adjusted]]-B2251)/B2251</f>
        <v>-1.3048571195074802E-2</v>
      </c>
      <c r="E2254" s="25">
        <f t="shared" si="35"/>
        <v>3648.45</v>
      </c>
      <c r="F2254" s="33">
        <f>(Table2634[[#This Row],[4 weeks average]]-B2202)/B2202</f>
        <v>8.4428129829984461E-2</v>
      </c>
    </row>
    <row r="2255" spans="1:6" x14ac:dyDescent="0.2">
      <c r="A2255" s="34">
        <v>43143</v>
      </c>
      <c r="B2255" s="25">
        <f>VLOOKUP(Table2634[[#This Row],[Date]],'DB Money Supply'!$A:$D,4)</f>
        <v>3607.8</v>
      </c>
      <c r="C2255" s="31">
        <f>(Table2634[[#This Row],[M1 Money Stock, Billions of Dollars, Weekly, Seasonally Adjusted]]-B2254)/B2254</f>
        <v>-4.1954181617443603E-3</v>
      </c>
      <c r="D2255" s="35">
        <f>(Table2634[[#This Row],[M1 Money Stock, Billions of Dollars, Weekly, Seasonally Adjusted]]-B2252)/B2252</f>
        <v>-1.5123389386328795E-2</v>
      </c>
      <c r="E2255" s="25">
        <f t="shared" si="35"/>
        <v>3632.6750000000002</v>
      </c>
      <c r="F2255" s="33">
        <f>(Table2634[[#This Row],[4 weeks average]]-B2203)/B2203</f>
        <v>7.0196500117841176E-2</v>
      </c>
    </row>
    <row r="2256" spans="1:6" x14ac:dyDescent="0.2">
      <c r="A2256" s="34">
        <v>43150</v>
      </c>
      <c r="B2256" s="25">
        <f>VLOOKUP(Table2634[[#This Row],[Date]],'DB Money Supply'!$A:$D,4)</f>
        <v>3612.1</v>
      </c>
      <c r="C2256" s="31">
        <f>(Table2634[[#This Row],[M1 Money Stock, Billions of Dollars, Weekly, Seasonally Adjusted]]-B2255)/B2255</f>
        <v>1.1918620766117099E-3</v>
      </c>
      <c r="D2256" s="35">
        <f>(Table2634[[#This Row],[M1 Money Stock, Billions of Dollars, Weekly, Seasonally Adjusted]]-B2253)/B2253</f>
        <v>-6.764374295377653E-3</v>
      </c>
      <c r="E2256" s="25">
        <f t="shared" si="35"/>
        <v>3619.9</v>
      </c>
      <c r="F2256" s="33">
        <f>(Table2634[[#This Row],[4 weeks average]]-B2204)/B2204</f>
        <v>5.6349947472860949E-2</v>
      </c>
    </row>
    <row r="2257" spans="1:6" x14ac:dyDescent="0.2">
      <c r="A2257" s="34">
        <v>43157</v>
      </c>
      <c r="B2257" s="25">
        <f>VLOOKUP(Table2634[[#This Row],[Date]],'DB Money Supply'!$A:$D,4)</f>
        <v>3624.5</v>
      </c>
      <c r="C2257" s="31">
        <f>(Table2634[[#This Row],[M1 Money Stock, Billions of Dollars, Weekly, Seasonally Adjusted]]-B2256)/B2256</f>
        <v>3.4329060657235658E-3</v>
      </c>
      <c r="D2257" s="35">
        <f>(Table2634[[#This Row],[M1 Money Stock, Billions of Dollars, Weekly, Seasonally Adjusted]]-B2254)/B2254</f>
        <v>4.1402152911951419E-4</v>
      </c>
      <c r="E2257" s="25">
        <f t="shared" si="35"/>
        <v>3616.85</v>
      </c>
      <c r="F2257" s="33">
        <f>(Table2634[[#This Row],[4 weeks average]]-B2205)/B2205</f>
        <v>5.7280247887982638E-2</v>
      </c>
    </row>
    <row r="2258" spans="1:6" x14ac:dyDescent="0.2">
      <c r="A2258" s="34">
        <v>43164</v>
      </c>
      <c r="B2258" s="25">
        <f>VLOOKUP(Table2634[[#This Row],[Date]],'DB Money Supply'!$A:$D,4)</f>
        <v>3655.4</v>
      </c>
      <c r="C2258" s="31">
        <f>(Table2634[[#This Row],[M1 Money Stock, Billions of Dollars, Weekly, Seasonally Adjusted]]-B2257)/B2257</f>
        <v>8.525313836391251E-3</v>
      </c>
      <c r="D2258" s="35">
        <f>(Table2634[[#This Row],[M1 Money Stock, Billions of Dollars, Weekly, Seasonally Adjusted]]-B2255)/B2255</f>
        <v>1.3193636010865321E-2</v>
      </c>
      <c r="E2258" s="25">
        <f t="shared" si="35"/>
        <v>3624.95</v>
      </c>
      <c r="F2258" s="33">
        <f>(Table2634[[#This Row],[4 weeks average]]-B2206)/B2206</f>
        <v>6.8015085000441913E-2</v>
      </c>
    </row>
    <row r="2259" spans="1:6" x14ac:dyDescent="0.2">
      <c r="A2259" s="34">
        <v>43171</v>
      </c>
      <c r="B2259" s="25">
        <f>VLOOKUP(Table2634[[#This Row],[Date]],'DB Money Supply'!$A:$D,4)</f>
        <v>3671</v>
      </c>
      <c r="C2259" s="31">
        <f>(Table2634[[#This Row],[M1 Money Stock, Billions of Dollars, Weekly, Seasonally Adjusted]]-B2258)/B2258</f>
        <v>4.2676588061497812E-3</v>
      </c>
      <c r="D2259" s="35">
        <f>(Table2634[[#This Row],[M1 Money Stock, Billions of Dollars, Weekly, Seasonally Adjusted]]-B2256)/B2256</f>
        <v>1.6306303812186843E-2</v>
      </c>
      <c r="E2259" s="25">
        <f t="shared" si="35"/>
        <v>3640.75</v>
      </c>
      <c r="F2259" s="33">
        <f>(Table2634[[#This Row],[4 weeks average]]-B2207)/B2207</f>
        <v>5.6484141493282292E-2</v>
      </c>
    </row>
    <row r="2260" spans="1:6" x14ac:dyDescent="0.2">
      <c r="A2260" s="34">
        <v>43178</v>
      </c>
      <c r="B2260" s="25">
        <f>VLOOKUP(Table2634[[#This Row],[Date]],'DB Money Supply'!$A:$D,4)</f>
        <v>3660.8</v>
      </c>
      <c r="C2260" s="31">
        <f>(Table2634[[#This Row],[M1 Money Stock, Billions of Dollars, Weekly, Seasonally Adjusted]]-B2259)/B2259</f>
        <v>-2.7785344592753522E-3</v>
      </c>
      <c r="D2260" s="35">
        <f>(Table2634[[#This Row],[M1 Money Stock, Billions of Dollars, Weekly, Seasonally Adjusted]]-B2257)/B2257</f>
        <v>1.0015174506828579E-2</v>
      </c>
      <c r="E2260" s="25">
        <f t="shared" si="35"/>
        <v>3652.9250000000002</v>
      </c>
      <c r="F2260" s="33">
        <f>(Table2634[[#This Row],[4 weeks average]]-B2208)/B2208</f>
        <v>5.6186029029086995E-2</v>
      </c>
    </row>
    <row r="2261" spans="1:6" x14ac:dyDescent="0.2">
      <c r="A2261" s="34">
        <v>43185</v>
      </c>
      <c r="B2261" s="25">
        <f>VLOOKUP(Table2634[[#This Row],[Date]],'DB Money Supply'!$A:$D,4)</f>
        <v>3657.9</v>
      </c>
      <c r="C2261" s="31">
        <f>(Table2634[[#This Row],[M1 Money Stock, Billions of Dollars, Weekly, Seasonally Adjusted]]-B2260)/B2260</f>
        <v>-7.9217657342659821E-4</v>
      </c>
      <c r="D2261" s="35">
        <f>(Table2634[[#This Row],[M1 Money Stock, Billions of Dollars, Weekly, Seasonally Adjusted]]-B2258)/B2258</f>
        <v>6.8391968047272521E-4</v>
      </c>
      <c r="E2261" s="25">
        <f t="shared" si="35"/>
        <v>3661.2750000000001</v>
      </c>
      <c r="F2261" s="33">
        <f>(Table2634[[#This Row],[4 weeks average]]-B2209)/B2209</f>
        <v>6.2532648441581032E-2</v>
      </c>
    </row>
    <row r="2262" spans="1:6" x14ac:dyDescent="0.2">
      <c r="A2262" s="34">
        <v>43192</v>
      </c>
      <c r="B2262" s="25">
        <f>VLOOKUP(Table2634[[#This Row],[Date]],'DB Money Supply'!$A:$D,4)</f>
        <v>3659.3</v>
      </c>
      <c r="C2262" s="31">
        <f>(Table2634[[#This Row],[M1 Money Stock, Billions of Dollars, Weekly, Seasonally Adjusted]]-B2261)/B2261</f>
        <v>3.8273326225432379E-4</v>
      </c>
      <c r="D2262" s="35">
        <f>(Table2634[[#This Row],[M1 Money Stock, Billions of Dollars, Weekly, Seasonally Adjusted]]-B2259)/B2259</f>
        <v>-3.1871424679923233E-3</v>
      </c>
      <c r="E2262" s="25">
        <f t="shared" si="35"/>
        <v>3662.25</v>
      </c>
      <c r="F2262" s="33">
        <f>(Table2634[[#This Row],[4 weeks average]]-B2210)/B2210</f>
        <v>4.0885061391541584E-2</v>
      </c>
    </row>
    <row r="2263" spans="1:6" x14ac:dyDescent="0.2">
      <c r="A2263" s="34">
        <v>43199</v>
      </c>
      <c r="B2263" s="25">
        <f>VLOOKUP(Table2634[[#This Row],[Date]],'DB Money Supply'!$A:$D,4)</f>
        <v>3661.2</v>
      </c>
      <c r="C2263" s="31">
        <f>(Table2634[[#This Row],[M1 Money Stock, Billions of Dollars, Weekly, Seasonally Adjusted]]-B2262)/B2262</f>
        <v>5.1922498838565738E-4</v>
      </c>
      <c r="D2263" s="35">
        <f>(Table2634[[#This Row],[M1 Money Stock, Billions of Dollars, Weekly, Seasonally Adjusted]]-B2260)/B2260</f>
        <v>1.0926573426563488E-4</v>
      </c>
      <c r="E2263" s="25">
        <f t="shared" si="35"/>
        <v>3659.8</v>
      </c>
      <c r="F2263" s="33">
        <f>(Table2634[[#This Row],[4 weeks average]]-B2211)/B2211</f>
        <v>5.8663581139716571E-2</v>
      </c>
    </row>
    <row r="2264" spans="1:6" x14ac:dyDescent="0.2">
      <c r="A2264" s="34">
        <v>43206</v>
      </c>
      <c r="B2264" s="25">
        <f>VLOOKUP(Table2634[[#This Row],[Date]],'DB Money Supply'!$A:$D,4)</f>
        <v>3647.4</v>
      </c>
      <c r="C2264" s="31">
        <f>(Table2634[[#This Row],[M1 Money Stock, Billions of Dollars, Weekly, Seasonally Adjusted]]-B2263)/B2263</f>
        <v>-3.7692559816452876E-3</v>
      </c>
      <c r="D2264" s="35">
        <f>(Table2634[[#This Row],[M1 Money Stock, Billions of Dollars, Weekly, Seasonally Adjusted]]-B2261)/B2261</f>
        <v>-2.8704994669072419E-3</v>
      </c>
      <c r="E2264" s="25">
        <f t="shared" si="35"/>
        <v>3656.4500000000003</v>
      </c>
      <c r="F2264" s="33">
        <f>(Table2634[[#This Row],[4 weeks average]]-B2212)/B2212</f>
        <v>6.2581732585510558E-2</v>
      </c>
    </row>
    <row r="2265" spans="1:6" x14ac:dyDescent="0.2">
      <c r="A2265" s="34">
        <v>43213</v>
      </c>
      <c r="B2265" s="25">
        <f>VLOOKUP(Table2634[[#This Row],[Date]],'DB Money Supply'!$A:$D,4)</f>
        <v>3670.1</v>
      </c>
      <c r="C2265" s="31">
        <f>(Table2634[[#This Row],[M1 Money Stock, Billions of Dollars, Weekly, Seasonally Adjusted]]-B2264)/B2264</f>
        <v>6.2236113395843116E-3</v>
      </c>
      <c r="D2265" s="35">
        <f>(Table2634[[#This Row],[M1 Money Stock, Billions of Dollars, Weekly, Seasonally Adjusted]]-B2262)/B2262</f>
        <v>2.9513841445084378E-3</v>
      </c>
      <c r="E2265" s="25">
        <f t="shared" si="35"/>
        <v>3659.5</v>
      </c>
      <c r="F2265" s="33">
        <f>(Table2634[[#This Row],[4 weeks average]]-B2213)/B2213</f>
        <v>6.1894260344727579E-2</v>
      </c>
    </row>
    <row r="2266" spans="1:6" x14ac:dyDescent="0.2">
      <c r="A2266" s="34">
        <v>43220</v>
      </c>
      <c r="B2266" s="25">
        <f>VLOOKUP(Table2634[[#This Row],[Date]],'DB Money Supply'!$A:$D,4)</f>
        <v>3669.8</v>
      </c>
      <c r="C2266" s="31">
        <f>(Table2634[[#This Row],[M1 Money Stock, Billions of Dollars, Weekly, Seasonally Adjusted]]-B2265)/B2265</f>
        <v>-8.174164191703964E-5</v>
      </c>
      <c r="D2266" s="35">
        <f>(Table2634[[#This Row],[M1 Money Stock, Billions of Dollars, Weekly, Seasonally Adjusted]]-B2263)/B2263</f>
        <v>2.3489566262428615E-3</v>
      </c>
      <c r="E2266" s="25">
        <f t="shared" si="35"/>
        <v>3662.125</v>
      </c>
      <c r="F2266" s="33">
        <f>(Table2634[[#This Row],[4 weeks average]]-B2214)/B2214</f>
        <v>6.1423975421714738E-2</v>
      </c>
    </row>
    <row r="2267" spans="1:6" x14ac:dyDescent="0.2">
      <c r="A2267" s="34">
        <v>43227</v>
      </c>
      <c r="B2267" s="25">
        <f>VLOOKUP(Table2634[[#This Row],[Date]],'DB Money Supply'!$A:$D,4)</f>
        <v>3637.4</v>
      </c>
      <c r="C2267" s="31">
        <f>(Table2634[[#This Row],[M1 Money Stock, Billions of Dollars, Weekly, Seasonally Adjusted]]-B2266)/B2266</f>
        <v>-8.8288190092103355E-3</v>
      </c>
      <c r="D2267" s="35">
        <f>(Table2634[[#This Row],[M1 Money Stock, Billions of Dollars, Weekly, Seasonally Adjusted]]-B2264)/B2264</f>
        <v>-2.7416790042221854E-3</v>
      </c>
      <c r="E2267" s="25">
        <f t="shared" si="35"/>
        <v>3656.1749999999997</v>
      </c>
      <c r="F2267" s="33">
        <f>(Table2634[[#This Row],[4 weeks average]]-B2215)/B2215</f>
        <v>4.3786399451866943E-2</v>
      </c>
    </row>
    <row r="2268" spans="1:6" x14ac:dyDescent="0.2">
      <c r="A2268" s="34">
        <v>43234</v>
      </c>
      <c r="B2268" s="25">
        <f>VLOOKUP(Table2634[[#This Row],[Date]],'DB Money Supply'!$A:$D,4)</f>
        <v>3655.5</v>
      </c>
      <c r="C2268" s="31">
        <f>(Table2634[[#This Row],[M1 Money Stock, Billions of Dollars, Weekly, Seasonally Adjusted]]-B2267)/B2267</f>
        <v>4.9760818166822204E-3</v>
      </c>
      <c r="D2268" s="35">
        <f>(Table2634[[#This Row],[M1 Money Stock, Billions of Dollars, Weekly, Seasonally Adjusted]]-B2265)/B2265</f>
        <v>-3.9780932399661887E-3</v>
      </c>
      <c r="E2268" s="25">
        <f t="shared" si="35"/>
        <v>3658.2</v>
      </c>
      <c r="F2268" s="33">
        <f>(Table2634[[#This Row],[4 weeks average]]-B2216)/B2216</f>
        <v>3.7463486571566292E-2</v>
      </c>
    </row>
    <row r="2269" spans="1:6" x14ac:dyDescent="0.2">
      <c r="A2269" s="34">
        <v>43241</v>
      </c>
      <c r="B2269" s="25">
        <f>VLOOKUP(Table2634[[#This Row],[Date]],'DB Money Supply'!$A:$D,4)</f>
        <v>3667</v>
      </c>
      <c r="C2269" s="31">
        <f>(Table2634[[#This Row],[M1 Money Stock, Billions of Dollars, Weekly, Seasonally Adjusted]]-B2268)/B2268</f>
        <v>3.1459444672411437E-3</v>
      </c>
      <c r="D2269" s="35">
        <f>(Table2634[[#This Row],[M1 Money Stock, Billions of Dollars, Weekly, Seasonally Adjusted]]-B2266)/B2266</f>
        <v>-7.6298435882069372E-4</v>
      </c>
      <c r="E2269" s="25">
        <f t="shared" si="35"/>
        <v>3657.4250000000002</v>
      </c>
      <c r="F2269" s="33">
        <f>(Table2634[[#This Row],[4 weeks average]]-B2217)/B2217</f>
        <v>3.3492045550877418E-2</v>
      </c>
    </row>
    <row r="2270" spans="1:6" x14ac:dyDescent="0.2">
      <c r="A2270" s="34">
        <v>43248</v>
      </c>
      <c r="B2270" s="25">
        <f>VLOOKUP(Table2634[[#This Row],[Date]],'DB Money Supply'!$A:$D,4)</f>
        <v>3664.5</v>
      </c>
      <c r="C2270" s="31">
        <f>(Table2634[[#This Row],[M1 Money Stock, Billions of Dollars, Weekly, Seasonally Adjusted]]-B2269)/B2269</f>
        <v>-6.8175620398145623E-4</v>
      </c>
      <c r="D2270" s="35">
        <f>(Table2634[[#This Row],[M1 Money Stock, Billions of Dollars, Weekly, Seasonally Adjusted]]-B2267)/B2267</f>
        <v>7.4503766426568174E-3</v>
      </c>
      <c r="E2270" s="25">
        <f t="shared" si="35"/>
        <v>3656.1</v>
      </c>
      <c r="F2270" s="33">
        <f>(Table2634[[#This Row],[4 weeks average]]-B2218)/B2218</f>
        <v>3.7132644956314562E-2</v>
      </c>
    </row>
    <row r="2271" spans="1:6" x14ac:dyDescent="0.2">
      <c r="A2271" s="34">
        <v>43255</v>
      </c>
      <c r="B2271" s="25">
        <f>VLOOKUP(Table2634[[#This Row],[Date]],'DB Money Supply'!$A:$D,4)</f>
        <v>3672.4</v>
      </c>
      <c r="C2271" s="31">
        <f>(Table2634[[#This Row],[M1 Money Stock, Billions of Dollars, Weekly, Seasonally Adjusted]]-B2270)/B2270</f>
        <v>2.1558193477964499E-3</v>
      </c>
      <c r="D2271" s="35">
        <f>(Table2634[[#This Row],[M1 Money Stock, Billions of Dollars, Weekly, Seasonally Adjusted]]-B2268)/B2268</f>
        <v>4.6231705649022268E-3</v>
      </c>
      <c r="E2271" s="25">
        <f t="shared" si="35"/>
        <v>3664.85</v>
      </c>
      <c r="F2271" s="33">
        <f>(Table2634[[#This Row],[4 weeks average]]-B2219)/B2219</f>
        <v>5.0341052390232746E-2</v>
      </c>
    </row>
    <row r="2272" spans="1:6" x14ac:dyDescent="0.2">
      <c r="A2272" s="34">
        <v>43262</v>
      </c>
      <c r="B2272" s="25">
        <f>VLOOKUP(Table2634[[#This Row],[Date]],'DB Money Supply'!$A:$D,4)</f>
        <v>3654.9</v>
      </c>
      <c r="C2272" s="31">
        <f>(Table2634[[#This Row],[M1 Money Stock, Billions of Dollars, Weekly, Seasonally Adjusted]]-B2271)/B2271</f>
        <v>-4.7652761137131029E-3</v>
      </c>
      <c r="D2272" s="35">
        <f>(Table2634[[#This Row],[M1 Money Stock, Billions of Dollars, Weekly, Seasonally Adjusted]]-B2269)/B2269</f>
        <v>-3.2997000272702234E-3</v>
      </c>
      <c r="E2272" s="25">
        <f t="shared" si="35"/>
        <v>3664.7</v>
      </c>
      <c r="F2272" s="33">
        <f>(Table2634[[#This Row],[4 weeks average]]-B2220)/B2220</f>
        <v>4.2737231469625783E-2</v>
      </c>
    </row>
    <row r="2273" spans="1:6" x14ac:dyDescent="0.2">
      <c r="A2273" s="34">
        <v>43269</v>
      </c>
      <c r="B2273" s="25">
        <f>VLOOKUP(Table2634[[#This Row],[Date]],'DB Money Supply'!$A:$D,4)</f>
        <v>3651.4</v>
      </c>
      <c r="C2273" s="31">
        <f>(Table2634[[#This Row],[M1 Money Stock, Billions of Dollars, Weekly, Seasonally Adjusted]]-B2272)/B2272</f>
        <v>-9.5761853949492457E-4</v>
      </c>
      <c r="D2273" s="35">
        <f>(Table2634[[#This Row],[M1 Money Stock, Billions of Dollars, Weekly, Seasonally Adjusted]]-B2270)/B2270</f>
        <v>-3.5748396779915156E-3</v>
      </c>
      <c r="E2273" s="25">
        <f t="shared" si="35"/>
        <v>3660.7999999999997</v>
      </c>
      <c r="F2273" s="33">
        <f>(Table2634[[#This Row],[4 weeks average]]-B2221)/B2221</f>
        <v>4.2250313176175731E-2</v>
      </c>
    </row>
    <row r="2274" spans="1:6" x14ac:dyDescent="0.2">
      <c r="A2274" s="34">
        <v>43276</v>
      </c>
      <c r="B2274" s="25">
        <f>VLOOKUP(Table2634[[#This Row],[Date]],'DB Money Supply'!$A:$D,4)</f>
        <v>3655.5</v>
      </c>
      <c r="C2274" s="31">
        <f>(Table2634[[#This Row],[M1 Money Stock, Billions of Dollars, Weekly, Seasonally Adjusted]]-B2273)/B2273</f>
        <v>1.1228569863613706E-3</v>
      </c>
      <c r="D2274" s="35">
        <f>(Table2634[[#This Row],[M1 Money Stock, Billions of Dollars, Weekly, Seasonally Adjusted]]-B2271)/B2271</f>
        <v>-4.6018952183858215E-3</v>
      </c>
      <c r="E2274" s="25">
        <f t="shared" si="35"/>
        <v>3658.55</v>
      </c>
      <c r="F2274" s="33">
        <f>(Table2634[[#This Row],[4 weeks average]]-B2222)/B2222</f>
        <v>2.9707289614410409E-2</v>
      </c>
    </row>
    <row r="2275" spans="1:6" x14ac:dyDescent="0.2">
      <c r="A2275" s="34">
        <v>43283</v>
      </c>
      <c r="B2275" s="25">
        <f>VLOOKUP(Table2634[[#This Row],[Date]],'DB Money Supply'!$A:$D,4)</f>
        <v>3673.4</v>
      </c>
      <c r="C2275" s="31">
        <f>(Table2634[[#This Row],[M1 Money Stock, Billions of Dollars, Weekly, Seasonally Adjusted]]-B2274)/B2274</f>
        <v>4.8967309533579787E-3</v>
      </c>
      <c r="D2275" s="35">
        <f>(Table2634[[#This Row],[M1 Money Stock, Billions of Dollars, Weekly, Seasonally Adjusted]]-B2272)/B2272</f>
        <v>5.0616979944731726E-3</v>
      </c>
      <c r="E2275" s="25">
        <f t="shared" si="35"/>
        <v>3658.7999999999997</v>
      </c>
      <c r="F2275" s="33">
        <f>(Table2634[[#This Row],[4 weeks average]]-B2223)/B2223</f>
        <v>2.1811377663585308E-2</v>
      </c>
    </row>
    <row r="2276" spans="1:6" x14ac:dyDescent="0.2">
      <c r="A2276" s="34">
        <v>43290</v>
      </c>
      <c r="B2276" s="25">
        <f>VLOOKUP(Table2634[[#This Row],[Date]],'DB Money Supply'!$A:$D,4)</f>
        <v>3682.4</v>
      </c>
      <c r="C2276" s="31">
        <f>(Table2634[[#This Row],[M1 Money Stock, Billions of Dollars, Weekly, Seasonally Adjusted]]-B2275)/B2275</f>
        <v>2.4500462786519301E-3</v>
      </c>
      <c r="D2276" s="35">
        <f>(Table2634[[#This Row],[M1 Money Stock, Billions of Dollars, Weekly, Seasonally Adjusted]]-B2273)/B2273</f>
        <v>8.489894287122747E-3</v>
      </c>
      <c r="E2276" s="25">
        <f t="shared" si="35"/>
        <v>3665.6749999999997</v>
      </c>
      <c r="F2276" s="33">
        <f>(Table2634[[#This Row],[4 weeks average]]-B2224)/B2224</f>
        <v>3.1886893367863878E-2</v>
      </c>
    </row>
    <row r="2277" spans="1:6" x14ac:dyDescent="0.2">
      <c r="A2277" s="34">
        <v>43297</v>
      </c>
      <c r="B2277" s="25">
        <f>VLOOKUP(Table2634[[#This Row],[Date]],'DB Money Supply'!$A:$D,4)</f>
        <v>3681.8</v>
      </c>
      <c r="C2277" s="31">
        <f>(Table2634[[#This Row],[M1 Money Stock, Billions of Dollars, Weekly, Seasonally Adjusted]]-B2276)/B2276</f>
        <v>-1.629372148598493E-4</v>
      </c>
      <c r="D2277" s="35">
        <f>(Table2634[[#This Row],[M1 Money Stock, Billions of Dollars, Weekly, Seasonally Adjusted]]-B2274)/B2274</f>
        <v>7.1946382163863174E-3</v>
      </c>
      <c r="E2277" s="25">
        <f t="shared" si="35"/>
        <v>3673.2749999999996</v>
      </c>
      <c r="F2277" s="33">
        <f>(Table2634[[#This Row],[4 weeks average]]-B2225)/B2225</f>
        <v>4.3692285836056152E-2</v>
      </c>
    </row>
    <row r="2278" spans="1:6" x14ac:dyDescent="0.2">
      <c r="A2278" s="34">
        <v>43304</v>
      </c>
      <c r="B2278" s="25">
        <f>VLOOKUP(Table2634[[#This Row],[Date]],'DB Money Supply'!$A:$D,4)</f>
        <v>3678</v>
      </c>
      <c r="C2278" s="31">
        <f>(Table2634[[#This Row],[M1 Money Stock, Billions of Dollars, Weekly, Seasonally Adjusted]]-B2277)/B2277</f>
        <v>-1.0321038622413444E-3</v>
      </c>
      <c r="D2278" s="35">
        <f>(Table2634[[#This Row],[M1 Money Stock, Billions of Dollars, Weekly, Seasonally Adjusted]]-B2275)/B2275</f>
        <v>1.252245875755406E-3</v>
      </c>
      <c r="E2278" s="25">
        <f t="shared" si="35"/>
        <v>3678.9</v>
      </c>
      <c r="F2278" s="33">
        <f>(Table2634[[#This Row],[4 weeks average]]-B2226)/B2226</f>
        <v>3.5318286711318737E-2</v>
      </c>
    </row>
    <row r="2279" spans="1:6" x14ac:dyDescent="0.2">
      <c r="A2279" s="34">
        <v>43311</v>
      </c>
      <c r="B2279" s="25">
        <f>VLOOKUP(Table2634[[#This Row],[Date]],'DB Money Supply'!$A:$D,4)</f>
        <v>3682.2</v>
      </c>
      <c r="C2279" s="31">
        <f>(Table2634[[#This Row],[M1 Money Stock, Billions of Dollars, Weekly, Seasonally Adjusted]]-B2278)/B2278</f>
        <v>1.1419249592169163E-3</v>
      </c>
      <c r="D2279" s="35">
        <f>(Table2634[[#This Row],[M1 Money Stock, Billions of Dollars, Weekly, Seasonally Adjusted]]-B2276)/B2276</f>
        <v>-5.4312404953365428E-5</v>
      </c>
      <c r="E2279" s="25">
        <f t="shared" si="35"/>
        <v>3681.1000000000004</v>
      </c>
      <c r="F2279" s="33">
        <f>(Table2634[[#This Row],[4 weeks average]]-B2227)/B2227</f>
        <v>3.1871951561361293E-2</v>
      </c>
    </row>
    <row r="2280" spans="1:6" x14ac:dyDescent="0.2">
      <c r="A2280" s="34">
        <v>43318</v>
      </c>
      <c r="B2280" s="25">
        <f>VLOOKUP(Table2634[[#This Row],[Date]],'DB Money Supply'!$A:$D,4)</f>
        <v>3661.7</v>
      </c>
      <c r="C2280" s="31">
        <f>(Table2634[[#This Row],[M1 Money Stock, Billions of Dollars, Weekly, Seasonally Adjusted]]-B2279)/B2279</f>
        <v>-5.5673238824615725E-3</v>
      </c>
      <c r="D2280" s="35">
        <f>(Table2634[[#This Row],[M1 Money Stock, Billions of Dollars, Weekly, Seasonally Adjusted]]-B2277)/B2277</f>
        <v>-5.4592862186974749E-3</v>
      </c>
      <c r="E2280" s="25">
        <f t="shared" si="35"/>
        <v>3675.9250000000002</v>
      </c>
      <c r="F2280" s="33">
        <f>(Table2634[[#This Row],[4 weeks average]]-B2228)/B2228</f>
        <v>3.8250247140234485E-2</v>
      </c>
    </row>
    <row r="2281" spans="1:6" x14ac:dyDescent="0.2">
      <c r="A2281" s="34">
        <v>43325</v>
      </c>
      <c r="B2281" s="25">
        <f>VLOOKUP(Table2634[[#This Row],[Date]],'DB Money Supply'!$A:$D,4)</f>
        <v>3677.3</v>
      </c>
      <c r="C2281" s="31">
        <f>(Table2634[[#This Row],[M1 Money Stock, Billions of Dollars, Weekly, Seasonally Adjusted]]-B2280)/B2280</f>
        <v>4.2603162465522475E-3</v>
      </c>
      <c r="D2281" s="35">
        <f>(Table2634[[#This Row],[M1 Money Stock, Billions of Dollars, Weekly, Seasonally Adjusted]]-B2278)/B2278</f>
        <v>-1.9032082653611151E-4</v>
      </c>
      <c r="E2281" s="25">
        <f t="shared" si="35"/>
        <v>3674.8</v>
      </c>
      <c r="F2281" s="33">
        <f>(Table2634[[#This Row],[4 weeks average]]-B2229)/B2229</f>
        <v>2.5735499358008226E-2</v>
      </c>
    </row>
    <row r="2282" spans="1:6" x14ac:dyDescent="0.2">
      <c r="A2282" s="34">
        <v>43332</v>
      </c>
      <c r="B2282" s="25">
        <f>VLOOKUP(Table2634[[#This Row],[Date]],'DB Money Supply'!$A:$D,4)</f>
        <v>3676.3</v>
      </c>
      <c r="C2282" s="31">
        <f>(Table2634[[#This Row],[M1 Money Stock, Billions of Dollars, Weekly, Seasonally Adjusted]]-B2281)/B2281</f>
        <v>-2.7193865064041551E-4</v>
      </c>
      <c r="D2282" s="35">
        <f>(Table2634[[#This Row],[M1 Money Stock, Billions of Dollars, Weekly, Seasonally Adjusted]]-B2279)/B2279</f>
        <v>-1.6023029710498171E-3</v>
      </c>
      <c r="E2282" s="25">
        <f t="shared" si="35"/>
        <v>3674.375</v>
      </c>
      <c r="F2282" s="33">
        <f>(Table2634[[#This Row],[4 weeks average]]-B2230)/B2230</f>
        <v>1.0804379521883879E-2</v>
      </c>
    </row>
    <row r="2283" spans="1:6" x14ac:dyDescent="0.2">
      <c r="A2283" s="34">
        <v>43339</v>
      </c>
      <c r="B2283" s="25">
        <f>VLOOKUP(Table2634[[#This Row],[Date]],'DB Money Supply'!$A:$D,4)</f>
        <v>3695.5</v>
      </c>
      <c r="C2283" s="31">
        <f>(Table2634[[#This Row],[M1 Money Stock, Billions of Dollars, Weekly, Seasonally Adjusted]]-B2282)/B2282</f>
        <v>5.2226423306040905E-3</v>
      </c>
      <c r="D2283" s="35">
        <f>(Table2634[[#This Row],[M1 Money Stock, Billions of Dollars, Weekly, Seasonally Adjusted]]-B2280)/B2280</f>
        <v>9.2306852008630369E-3</v>
      </c>
      <c r="E2283" s="25">
        <f t="shared" si="35"/>
        <v>3677.7</v>
      </c>
      <c r="F2283" s="33">
        <f>(Table2634[[#This Row],[4 weeks average]]-B2231)/B2231</f>
        <v>2.2236428829529978E-2</v>
      </c>
    </row>
    <row r="2284" spans="1:6" x14ac:dyDescent="0.2">
      <c r="A2284" s="34">
        <v>43346</v>
      </c>
      <c r="B2284" s="25">
        <f>VLOOKUP(Table2634[[#This Row],[Date]],'DB Money Supply'!$A:$D,4)</f>
        <v>3779.9</v>
      </c>
      <c r="C2284" s="31">
        <f>(Table2634[[#This Row],[M1 Money Stock, Billions of Dollars, Weekly, Seasonally Adjusted]]-B2283)/B2283</f>
        <v>2.2838587471248839E-2</v>
      </c>
      <c r="D2284" s="35">
        <f>(Table2634[[#This Row],[M1 Money Stock, Billions of Dollars, Weekly, Seasonally Adjusted]]-B2281)/B2281</f>
        <v>2.7900905555706606E-2</v>
      </c>
      <c r="E2284" s="25">
        <f t="shared" si="35"/>
        <v>3707.25</v>
      </c>
      <c r="F2284" s="33">
        <f>(Table2634[[#This Row],[4 weeks average]]-B2232)/B2232</f>
        <v>4.4089897766637617E-2</v>
      </c>
    </row>
    <row r="2285" spans="1:6" x14ac:dyDescent="0.2">
      <c r="A2285" s="34">
        <v>43353</v>
      </c>
      <c r="B2285" s="25">
        <f>VLOOKUP(Table2634[[#This Row],[Date]],'DB Money Supply'!$A:$D,4)</f>
        <v>3710.4</v>
      </c>
      <c r="C2285" s="31">
        <f>(Table2634[[#This Row],[M1 Money Stock, Billions of Dollars, Weekly, Seasonally Adjusted]]-B2284)/B2284</f>
        <v>-1.8386729807666868E-2</v>
      </c>
      <c r="D2285" s="35">
        <f>(Table2634[[#This Row],[M1 Money Stock, Billions of Dollars, Weekly, Seasonally Adjusted]]-B2282)/B2282</f>
        <v>9.2756303892500367E-3</v>
      </c>
      <c r="E2285" s="25">
        <f t="shared" si="35"/>
        <v>3715.5250000000001</v>
      </c>
      <c r="F2285" s="33">
        <f>(Table2634[[#This Row],[4 weeks average]]-B2233)/B2233</f>
        <v>3.551322426911184E-2</v>
      </c>
    </row>
    <row r="2286" spans="1:6" x14ac:dyDescent="0.2">
      <c r="A2286" s="34">
        <v>43360</v>
      </c>
      <c r="B2286" s="25">
        <f>VLOOKUP(Table2634[[#This Row],[Date]],'DB Money Supply'!$A:$D,4)</f>
        <v>3692</v>
      </c>
      <c r="C2286" s="31">
        <f>(Table2634[[#This Row],[M1 Money Stock, Billions of Dollars, Weekly, Seasonally Adjusted]]-B2285)/B2285</f>
        <v>-4.9590340664079592E-3</v>
      </c>
      <c r="D2286" s="35">
        <f>(Table2634[[#This Row],[M1 Money Stock, Billions of Dollars, Weekly, Seasonally Adjusted]]-B2283)/B2283</f>
        <v>-9.4709782167501019E-4</v>
      </c>
      <c r="E2286" s="25">
        <f t="shared" si="35"/>
        <v>3719.45</v>
      </c>
      <c r="F2286" s="33">
        <f>(Table2634[[#This Row],[4 weeks average]]-B2234)/B2234</f>
        <v>4.0463802170750705E-2</v>
      </c>
    </row>
    <row r="2287" spans="1:6" x14ac:dyDescent="0.2">
      <c r="A2287" s="34">
        <v>43367</v>
      </c>
      <c r="B2287" s="25">
        <f>VLOOKUP(Table2634[[#This Row],[Date]],'DB Money Supply'!$A:$D,4)</f>
        <v>3705</v>
      </c>
      <c r="C2287" s="31">
        <f>(Table2634[[#This Row],[M1 Money Stock, Billions of Dollars, Weekly, Seasonally Adjusted]]-B2286)/B2286</f>
        <v>3.5211267605633804E-3</v>
      </c>
      <c r="D2287" s="35">
        <f>(Table2634[[#This Row],[M1 Money Stock, Billions of Dollars, Weekly, Seasonally Adjusted]]-B2284)/B2284</f>
        <v>-1.9815339030133095E-2</v>
      </c>
      <c r="E2287" s="25">
        <f t="shared" si="35"/>
        <v>3721.8249999999998</v>
      </c>
      <c r="F2287" s="33">
        <f>(Table2634[[#This Row],[4 weeks average]]-B2235)/B2235</f>
        <v>4.2995460150207297E-2</v>
      </c>
    </row>
    <row r="2288" spans="1:6" x14ac:dyDescent="0.2">
      <c r="A2288" s="34">
        <v>43374</v>
      </c>
      <c r="B2288" s="25">
        <f>VLOOKUP(Table2634[[#This Row],[Date]],'DB Money Supply'!$A:$D,4)</f>
        <v>3693.3</v>
      </c>
      <c r="C2288" s="31">
        <f>(Table2634[[#This Row],[M1 Money Stock, Billions of Dollars, Weekly, Seasonally Adjusted]]-B2287)/B2287</f>
        <v>-3.1578947368420562E-3</v>
      </c>
      <c r="D2288" s="35">
        <f>(Table2634[[#This Row],[M1 Money Stock, Billions of Dollars, Weekly, Seasonally Adjusted]]-B2285)/B2285</f>
        <v>-4.6086675291073494E-3</v>
      </c>
      <c r="E2288" s="25">
        <f t="shared" si="35"/>
        <v>3700.1750000000002</v>
      </c>
      <c r="F2288" s="33">
        <f>(Table2634[[#This Row],[4 weeks average]]-B2236)/B2236</f>
        <v>3.3077868051484036E-2</v>
      </c>
    </row>
    <row r="2289" spans="1:6" x14ac:dyDescent="0.2">
      <c r="A2289" s="34">
        <v>43381</v>
      </c>
      <c r="B2289" s="25">
        <f>VLOOKUP(Table2634[[#This Row],[Date]],'DB Money Supply'!$A:$D,4)</f>
        <v>3708.8</v>
      </c>
      <c r="C2289" s="31">
        <f>(Table2634[[#This Row],[M1 Money Stock, Billions of Dollars, Weekly, Seasonally Adjusted]]-B2288)/B2288</f>
        <v>4.1967887796821269E-3</v>
      </c>
      <c r="D2289" s="35">
        <f>(Table2634[[#This Row],[M1 Money Stock, Billions of Dollars, Weekly, Seasonally Adjusted]]-B2286)/B2286</f>
        <v>4.5503791982665718E-3</v>
      </c>
      <c r="E2289" s="25">
        <f t="shared" si="35"/>
        <v>3699.7749999999996</v>
      </c>
      <c r="F2289" s="33">
        <f>(Table2634[[#This Row],[4 weeks average]]-B2237)/B2237</f>
        <v>2.2545740976175951E-2</v>
      </c>
    </row>
    <row r="2290" spans="1:6" x14ac:dyDescent="0.2">
      <c r="A2290" s="34">
        <v>43388</v>
      </c>
      <c r="B2290" s="25">
        <f>VLOOKUP(Table2634[[#This Row],[Date]],'DB Money Supply'!$A:$D,4)</f>
        <v>3723.8</v>
      </c>
      <c r="C2290" s="31">
        <f>(Table2634[[#This Row],[M1 Money Stock, Billions of Dollars, Weekly, Seasonally Adjusted]]-B2289)/B2289</f>
        <v>4.0444348576358924E-3</v>
      </c>
      <c r="D2290" s="35">
        <f>(Table2634[[#This Row],[M1 Money Stock, Billions of Dollars, Weekly, Seasonally Adjusted]]-B2287)/B2287</f>
        <v>5.0742240215924921E-3</v>
      </c>
      <c r="E2290" s="25">
        <f t="shared" si="35"/>
        <v>3707.7250000000004</v>
      </c>
      <c r="F2290" s="33">
        <f>(Table2634[[#This Row],[4 weeks average]]-B2238)/B2238</f>
        <v>3.1671721528144986E-2</v>
      </c>
    </row>
    <row r="2291" spans="1:6" x14ac:dyDescent="0.2">
      <c r="A2291" s="34">
        <v>43395</v>
      </c>
      <c r="B2291" s="25">
        <f>VLOOKUP(Table2634[[#This Row],[Date]],'DB Money Supply'!$A:$D,4)</f>
        <v>3744.8</v>
      </c>
      <c r="C2291" s="31">
        <f>(Table2634[[#This Row],[M1 Money Stock, Billions of Dollars, Weekly, Seasonally Adjusted]]-B2290)/B2290</f>
        <v>5.6394006122777807E-3</v>
      </c>
      <c r="D2291" s="35">
        <f>(Table2634[[#This Row],[M1 Money Stock, Billions of Dollars, Weekly, Seasonally Adjusted]]-B2288)/B2288</f>
        <v>1.3944169171201906E-2</v>
      </c>
      <c r="E2291" s="25">
        <f t="shared" si="35"/>
        <v>3717.6750000000002</v>
      </c>
      <c r="F2291" s="33">
        <f>(Table2634[[#This Row],[4 weeks average]]-B2239)/B2239</f>
        <v>2.9057214825476893E-2</v>
      </c>
    </row>
    <row r="2292" spans="1:6" x14ac:dyDescent="0.2">
      <c r="A2292" s="34">
        <v>43402</v>
      </c>
      <c r="B2292" s="25">
        <f>VLOOKUP(Table2634[[#This Row],[Date]],'DB Money Supply'!$A:$D,4)</f>
        <v>3729.5</v>
      </c>
      <c r="C2292" s="31">
        <f>(Table2634[[#This Row],[M1 Money Stock, Billions of Dollars, Weekly, Seasonally Adjusted]]-B2291)/B2291</f>
        <v>-4.0856654560991728E-3</v>
      </c>
      <c r="D2292" s="35">
        <f>(Table2634[[#This Row],[M1 Money Stock, Billions of Dollars, Weekly, Seasonally Adjusted]]-B2289)/B2289</f>
        <v>5.5813201035374831E-3</v>
      </c>
      <c r="E2292" s="25">
        <f t="shared" si="35"/>
        <v>3726.7250000000004</v>
      </c>
      <c r="F2292" s="33">
        <f>(Table2634[[#This Row],[4 weeks average]]-B2240)/B2240</f>
        <v>3.5517797104670949E-2</v>
      </c>
    </row>
    <row r="2293" spans="1:6" x14ac:dyDescent="0.2">
      <c r="A2293" s="34">
        <v>43409</v>
      </c>
      <c r="B2293" s="25">
        <f>VLOOKUP(Table2634[[#This Row],[Date]],'DB Money Supply'!$A:$D,4)</f>
        <v>3689.9</v>
      </c>
      <c r="C2293" s="31">
        <f>(Table2634[[#This Row],[M1 Money Stock, Billions of Dollars, Weekly, Seasonally Adjusted]]-B2292)/B2292</f>
        <v>-1.0618045314385281E-2</v>
      </c>
      <c r="D2293" s="35">
        <f>(Table2634[[#This Row],[M1 Money Stock, Billions of Dollars, Weekly, Seasonally Adjusted]]-B2290)/B2290</f>
        <v>-9.1036038455341566E-3</v>
      </c>
      <c r="E2293" s="25">
        <f t="shared" si="35"/>
        <v>3722</v>
      </c>
      <c r="F2293" s="33">
        <f>(Table2634[[#This Row],[4 weeks average]]-B2241)/B2241</f>
        <v>3.6220384754586686E-2</v>
      </c>
    </row>
    <row r="2294" spans="1:6" x14ac:dyDescent="0.2">
      <c r="A2294" s="34">
        <v>43416</v>
      </c>
      <c r="B2294" s="25">
        <f>VLOOKUP(Table2634[[#This Row],[Date]],'DB Money Supply'!$A:$D,4)</f>
        <v>3687.6</v>
      </c>
      <c r="C2294" s="31">
        <f>(Table2634[[#This Row],[M1 Money Stock, Billions of Dollars, Weekly, Seasonally Adjusted]]-B2293)/B2293</f>
        <v>-6.2332312528799749E-4</v>
      </c>
      <c r="D2294" s="35">
        <f>(Table2634[[#This Row],[M1 Money Stock, Billions of Dollars, Weekly, Seasonally Adjusted]]-B2291)/B2291</f>
        <v>-1.5274513992736667E-2</v>
      </c>
      <c r="E2294" s="25">
        <f t="shared" si="35"/>
        <v>3712.9500000000003</v>
      </c>
      <c r="F2294" s="33">
        <f>(Table2634[[#This Row],[4 weeks average]]-B2242)/B2242</f>
        <v>2.2485060446672013E-2</v>
      </c>
    </row>
    <row r="2295" spans="1:6" x14ac:dyDescent="0.2">
      <c r="A2295" s="34">
        <v>43423</v>
      </c>
      <c r="B2295" s="25">
        <f>VLOOKUP(Table2634[[#This Row],[Date]],'DB Money Supply'!$A:$D,4)</f>
        <v>3688.5</v>
      </c>
      <c r="C2295" s="31">
        <f>(Table2634[[#This Row],[M1 Money Stock, Billions of Dollars, Weekly, Seasonally Adjusted]]-B2294)/B2294</f>
        <v>2.4406117800197715E-4</v>
      </c>
      <c r="D2295" s="35">
        <f>(Table2634[[#This Row],[M1 Money Stock, Billions of Dollars, Weekly, Seasonally Adjusted]]-B2292)/B2292</f>
        <v>-1.0993430754792867E-2</v>
      </c>
      <c r="E2295" s="25">
        <f t="shared" si="35"/>
        <v>3698.875</v>
      </c>
      <c r="F2295" s="33">
        <f>(Table2634[[#This Row],[4 weeks average]]-B2243)/B2243</f>
        <v>1.4808362369337955E-2</v>
      </c>
    </row>
    <row r="2296" spans="1:6" x14ac:dyDescent="0.2">
      <c r="A2296" s="34">
        <v>43430</v>
      </c>
      <c r="B2296" s="25">
        <f>VLOOKUP(Table2634[[#This Row],[Date]],'DB Money Supply'!$A:$D,4)</f>
        <v>3692.9</v>
      </c>
      <c r="C2296" s="31">
        <f>(Table2634[[#This Row],[M1 Money Stock, Billions of Dollars, Weekly, Seasonally Adjusted]]-B2295)/B2295</f>
        <v>1.1928968415345239E-3</v>
      </c>
      <c r="D2296" s="35">
        <f>(Table2634[[#This Row],[M1 Money Stock, Billions of Dollars, Weekly, Seasonally Adjusted]]-B2293)/B2293</f>
        <v>8.1303016341906285E-4</v>
      </c>
      <c r="E2296" s="25">
        <f t="shared" si="35"/>
        <v>3689.7249999999999</v>
      </c>
      <c r="F2296" s="33">
        <f>(Table2634[[#This Row],[4 weeks average]]-B2244)/B2244</f>
        <v>1.3131881710096329E-2</v>
      </c>
    </row>
    <row r="2297" spans="1:6" x14ac:dyDescent="0.2">
      <c r="A2297" s="34">
        <v>43437</v>
      </c>
      <c r="B2297" s="25">
        <f>VLOOKUP(Table2634[[#This Row],[Date]],'DB Money Supply'!$A:$D,4)</f>
        <v>3780.7</v>
      </c>
      <c r="C2297" s="31">
        <f>(Table2634[[#This Row],[M1 Money Stock, Billions of Dollars, Weekly, Seasonally Adjusted]]-B2296)/B2296</f>
        <v>2.377535270383702E-2</v>
      </c>
      <c r="D2297" s="35">
        <f>(Table2634[[#This Row],[M1 Money Stock, Billions of Dollars, Weekly, Seasonally Adjusted]]-B2294)/B2294</f>
        <v>2.5246772968868618E-2</v>
      </c>
      <c r="E2297" s="25">
        <f t="shared" si="35"/>
        <v>3712.4250000000002</v>
      </c>
      <c r="F2297" s="33">
        <f>(Table2634[[#This Row],[4 weeks average]]-B2245)/B2245</f>
        <v>2.5758454907161905E-2</v>
      </c>
    </row>
    <row r="2298" spans="1:6" x14ac:dyDescent="0.2">
      <c r="A2298" s="34">
        <v>43444</v>
      </c>
      <c r="B2298" s="25">
        <f>VLOOKUP(Table2634[[#This Row],[Date]],'DB Money Supply'!$A:$D,4)</f>
        <v>3770.2</v>
      </c>
      <c r="C2298" s="31">
        <f>(Table2634[[#This Row],[M1 Money Stock, Billions of Dollars, Weekly, Seasonally Adjusted]]-B2297)/B2297</f>
        <v>-2.7772634697278281E-3</v>
      </c>
      <c r="D2298" s="35">
        <f>(Table2634[[#This Row],[M1 Money Stock, Billions of Dollars, Weekly, Seasonally Adjusted]]-B2295)/B2295</f>
        <v>2.2149925443947355E-2</v>
      </c>
      <c r="E2298" s="25">
        <f t="shared" si="35"/>
        <v>3733.0749999999998</v>
      </c>
      <c r="F2298" s="33">
        <f>(Table2634[[#This Row],[4 weeks average]]-B2246)/B2246</f>
        <v>2.78007213457779E-2</v>
      </c>
    </row>
    <row r="2299" spans="1:6" x14ac:dyDescent="0.2">
      <c r="A2299" s="34">
        <v>43451</v>
      </c>
      <c r="B2299" s="25">
        <f>VLOOKUP(Table2634[[#This Row],[Date]],'DB Money Supply'!$A:$D,4)</f>
        <v>3713.2</v>
      </c>
      <c r="C2299" s="31">
        <f>(Table2634[[#This Row],[M1 Money Stock, Billions of Dollars, Weekly, Seasonally Adjusted]]-B2298)/B2298</f>
        <v>-1.511856134953053E-2</v>
      </c>
      <c r="D2299" s="35">
        <f>(Table2634[[#This Row],[M1 Money Stock, Billions of Dollars, Weekly, Seasonally Adjusted]]-B2296)/B2296</f>
        <v>5.4970348506592995E-3</v>
      </c>
      <c r="E2299" s="25">
        <f t="shared" si="35"/>
        <v>3739.25</v>
      </c>
      <c r="F2299" s="33">
        <f>(Table2634[[#This Row],[4 weeks average]]-B2247)/B2247</f>
        <v>3.6233892198974646E-2</v>
      </c>
    </row>
    <row r="2300" spans="1:6" x14ac:dyDescent="0.2">
      <c r="A2300" s="34">
        <v>43458</v>
      </c>
      <c r="B2300" s="25">
        <f>VLOOKUP(Table2634[[#This Row],[Date]],'DB Money Supply'!$A:$D,4)</f>
        <v>3761</v>
      </c>
      <c r="C2300" s="31">
        <f>(Table2634[[#This Row],[M1 Money Stock, Billions of Dollars, Weekly, Seasonally Adjusted]]-B2299)/B2299</f>
        <v>1.2872993644296074E-2</v>
      </c>
      <c r="D2300" s="35">
        <f>(Table2634[[#This Row],[M1 Money Stock, Billions of Dollars, Weekly, Seasonally Adjusted]]-B2297)/B2297</f>
        <v>-5.2106752717750206E-3</v>
      </c>
      <c r="E2300" s="25">
        <f t="shared" si="35"/>
        <v>3756.2749999999996</v>
      </c>
      <c r="F2300" s="33">
        <f>(Table2634[[#This Row],[4 weeks average]]-B2248)/B2248</f>
        <v>4.4686561352764415E-2</v>
      </c>
    </row>
    <row r="2301" spans="1:6" x14ac:dyDescent="0.2">
      <c r="A2301" s="34">
        <v>43465</v>
      </c>
      <c r="B2301" s="25">
        <f>VLOOKUP(Table2634[[#This Row],[Date]],'DB Money Supply'!$A:$D,4)</f>
        <v>3744.8</v>
      </c>
      <c r="C2301" s="31">
        <f>(Table2634[[#This Row],[M1 Money Stock, Billions of Dollars, Weekly, Seasonally Adjusted]]-B2300)/B2300</f>
        <v>-4.3073650624833341E-3</v>
      </c>
      <c r="D2301" s="35">
        <f>(Table2634[[#This Row],[M1 Money Stock, Billions of Dollars, Weekly, Seasonally Adjusted]]-B2298)/B2298</f>
        <v>-6.7370431276854376E-3</v>
      </c>
      <c r="E2301" s="25">
        <f t="shared" si="35"/>
        <v>3747.3</v>
      </c>
      <c r="F2301" s="33">
        <f>(Table2634[[#This Row],[4 weeks average]]-B2249)/B2249</f>
        <v>4.6439542027366706E-2</v>
      </c>
    </row>
    <row r="2302" spans="1:6" x14ac:dyDescent="0.2">
      <c r="A2302" s="34">
        <v>43472</v>
      </c>
      <c r="B2302" s="25">
        <f>VLOOKUP(Table2634[[#This Row],[Date]],'DB Money Supply'!$A:$D,4)</f>
        <v>3722.2</v>
      </c>
      <c r="C2302" s="31">
        <f>(Table2634[[#This Row],[M1 Money Stock, Billions of Dollars, Weekly, Seasonally Adjusted]]-B2301)/B2301</f>
        <v>-6.0350352488785413E-3</v>
      </c>
      <c r="D2302" s="35">
        <f>(Table2634[[#This Row],[M1 Money Stock, Billions of Dollars, Weekly, Seasonally Adjusted]]-B2299)/B2299</f>
        <v>2.4237854141979966E-3</v>
      </c>
      <c r="E2302" s="25">
        <f t="shared" si="35"/>
        <v>3735.3</v>
      </c>
      <c r="F2302" s="33">
        <f>(Table2634[[#This Row],[4 weeks average]]-B2250)/B2250</f>
        <v>2.5505161432022867E-2</v>
      </c>
    </row>
    <row r="2303" spans="1:6" x14ac:dyDescent="0.2">
      <c r="A2303" s="34">
        <v>43479</v>
      </c>
      <c r="B2303" s="25">
        <f>VLOOKUP(Table2634[[#This Row],[Date]],'DB Money Supply'!$A:$D,4)</f>
        <v>3720.3</v>
      </c>
      <c r="C2303" s="31">
        <f>(Table2634[[#This Row],[M1 Money Stock, Billions of Dollars, Weekly, Seasonally Adjusted]]-B2302)/B2302</f>
        <v>-5.1045080866144658E-4</v>
      </c>
      <c r="D2303" s="35">
        <f>(Table2634[[#This Row],[M1 Money Stock, Billions of Dollars, Weekly, Seasonally Adjusted]]-B2300)/B2300</f>
        <v>-1.0821590002658818E-2</v>
      </c>
      <c r="E2303" s="25">
        <f t="shared" si="35"/>
        <v>3737.0749999999998</v>
      </c>
      <c r="F2303" s="33">
        <f>(Table2634[[#This Row],[4 weeks average]]-B2251)/B2251</f>
        <v>1.8026914380669515E-2</v>
      </c>
    </row>
    <row r="2304" spans="1:6" x14ac:dyDescent="0.2">
      <c r="A2304" s="34">
        <v>43486</v>
      </c>
      <c r="B2304" s="25">
        <f>VLOOKUP(Table2634[[#This Row],[Date]],'DB Money Supply'!$A:$D,4)</f>
        <v>3757.1</v>
      </c>
      <c r="C2304" s="31">
        <f>(Table2634[[#This Row],[M1 Money Stock, Billions of Dollars, Weekly, Seasonally Adjusted]]-B2303)/B2303</f>
        <v>9.891675402521229E-3</v>
      </c>
      <c r="D2304" s="35">
        <f>(Table2634[[#This Row],[M1 Money Stock, Billions of Dollars, Weekly, Seasonally Adjusted]]-B2301)/B2301</f>
        <v>3.2845545823541249E-3</v>
      </c>
      <c r="E2304" s="25">
        <f t="shared" si="35"/>
        <v>3736.1</v>
      </c>
      <c r="F2304" s="33">
        <f>(Table2634[[#This Row],[4 weeks average]]-B2252)/B2252</f>
        <v>1.9900633326053751E-2</v>
      </c>
    </row>
    <row r="2305" spans="1:6" x14ac:dyDescent="0.2">
      <c r="A2305" s="34">
        <v>43493</v>
      </c>
      <c r="B2305" s="25">
        <f>VLOOKUP(Table2634[[#This Row],[Date]],'DB Money Supply'!$A:$D,4)</f>
        <v>3753.4</v>
      </c>
      <c r="C2305" s="31">
        <f>(Table2634[[#This Row],[M1 Money Stock, Billions of Dollars, Weekly, Seasonally Adjusted]]-B2304)/B2304</f>
        <v>-9.8480210800878823E-4</v>
      </c>
      <c r="D2305" s="35">
        <f>(Table2634[[#This Row],[M1 Money Stock, Billions of Dollars, Weekly, Seasonally Adjusted]]-B2302)/B2302</f>
        <v>8.3821395948633273E-3</v>
      </c>
      <c r="E2305" s="25">
        <f t="shared" si="35"/>
        <v>3738.25</v>
      </c>
      <c r="F2305" s="33">
        <f>(Table2634[[#This Row],[4 weeks average]]-B2253)/B2253</f>
        <v>2.7923667060796929E-2</v>
      </c>
    </row>
    <row r="2306" spans="1:6" x14ac:dyDescent="0.2">
      <c r="A2306" s="34">
        <v>43500</v>
      </c>
      <c r="B2306" s="25">
        <f>VLOOKUP(Table2634[[#This Row],[Date]],'DB Money Supply'!$A:$D,4)</f>
        <v>3792.3</v>
      </c>
      <c r="C2306" s="31">
        <f>(Table2634[[#This Row],[M1 Money Stock, Billions of Dollars, Weekly, Seasonally Adjusted]]-B2305)/B2305</f>
        <v>1.0363936697394386E-2</v>
      </c>
      <c r="D2306" s="35">
        <f>(Table2634[[#This Row],[M1 Money Stock, Billions of Dollars, Weekly, Seasonally Adjusted]]-B2303)/B2303</f>
        <v>1.935327796145472E-2</v>
      </c>
      <c r="E2306" s="25">
        <f t="shared" si="35"/>
        <v>3755.7749999999996</v>
      </c>
      <c r="F2306" s="33">
        <f>(Table2634[[#This Row],[4 weeks average]]-B2254)/B2254</f>
        <v>3.6647805685895568E-2</v>
      </c>
    </row>
    <row r="2307" spans="1:6" x14ac:dyDescent="0.2">
      <c r="A2307" s="34">
        <v>43507</v>
      </c>
      <c r="B2307" s="25">
        <f>VLOOKUP(Table2634[[#This Row],[Date]],'DB Money Supply'!$A:$D,4)</f>
        <v>3768.8</v>
      </c>
      <c r="C2307" s="31">
        <f>(Table2634[[#This Row],[M1 Money Stock, Billions of Dollars, Weekly, Seasonally Adjusted]]-B2306)/B2306</f>
        <v>-6.1967671334018934E-3</v>
      </c>
      <c r="D2307" s="35">
        <f>(Table2634[[#This Row],[M1 Money Stock, Billions of Dollars, Weekly, Seasonally Adjusted]]-B2304)/B2304</f>
        <v>3.1141039631631508E-3</v>
      </c>
      <c r="E2307" s="25">
        <f t="shared" si="35"/>
        <v>3767.8999999999996</v>
      </c>
      <c r="F2307" s="33">
        <f>(Table2634[[#This Row],[4 weeks average]]-B2255)/B2255</f>
        <v>4.4376074061754936E-2</v>
      </c>
    </row>
    <row r="2308" spans="1:6" x14ac:dyDescent="0.2">
      <c r="A2308" s="34">
        <v>43514</v>
      </c>
      <c r="B2308" s="25">
        <f>VLOOKUP(Table2634[[#This Row],[Date]],'DB Money Supply'!$A:$D,4)</f>
        <v>3757.9</v>
      </c>
      <c r="C2308" s="31">
        <f>(Table2634[[#This Row],[M1 Money Stock, Billions of Dollars, Weekly, Seasonally Adjusted]]-B2307)/B2307</f>
        <v>-2.8921672680959696E-3</v>
      </c>
      <c r="D2308" s="35">
        <f>(Table2634[[#This Row],[M1 Money Stock, Billions of Dollars, Weekly, Seasonally Adjusted]]-B2305)/B2305</f>
        <v>1.1989129855597591E-3</v>
      </c>
      <c r="E2308" s="25">
        <f t="shared" si="35"/>
        <v>3768.1</v>
      </c>
      <c r="F2308" s="33">
        <f>(Table2634[[#This Row],[4 weeks average]]-B2256)/B2256</f>
        <v>4.3188173084909055E-2</v>
      </c>
    </row>
    <row r="2309" spans="1:6" x14ac:dyDescent="0.2">
      <c r="A2309" s="34">
        <v>43521</v>
      </c>
      <c r="B2309" s="25">
        <f>VLOOKUP(Table2634[[#This Row],[Date]],'DB Money Supply'!$A:$D,4)</f>
        <v>3743</v>
      </c>
      <c r="C2309" s="31">
        <f>(Table2634[[#This Row],[M1 Money Stock, Billions of Dollars, Weekly, Seasonally Adjusted]]-B2308)/B2308</f>
        <v>-3.9649804412038876E-3</v>
      </c>
      <c r="D2309" s="35">
        <f>(Table2634[[#This Row],[M1 Money Stock, Billions of Dollars, Weekly, Seasonally Adjusted]]-B2306)/B2306</f>
        <v>-1.3000026369221892E-2</v>
      </c>
      <c r="E2309" s="25">
        <f t="shared" si="35"/>
        <v>3765.5</v>
      </c>
      <c r="F2309" s="33">
        <f>(Table2634[[#This Row],[4 weeks average]]-B2257)/B2257</f>
        <v>3.890191750586288E-2</v>
      </c>
    </row>
    <row r="2310" spans="1:6" x14ac:dyDescent="0.2">
      <c r="A2310" s="34">
        <v>43528</v>
      </c>
      <c r="B2310" s="25">
        <f>VLOOKUP(Table2634[[#This Row],[Date]],'DB Money Supply'!$A:$D,4)</f>
        <v>3766.8</v>
      </c>
      <c r="C2310" s="31">
        <f>(Table2634[[#This Row],[M1 Money Stock, Billions of Dollars, Weekly, Seasonally Adjusted]]-B2309)/B2309</f>
        <v>6.3585359337430354E-3</v>
      </c>
      <c r="D2310" s="35">
        <f>(Table2634[[#This Row],[M1 Money Stock, Billions of Dollars, Weekly, Seasonally Adjusted]]-B2307)/B2307</f>
        <v>-5.3067289322861384E-4</v>
      </c>
      <c r="E2310" s="25">
        <f t="shared" si="35"/>
        <v>3759.125</v>
      </c>
      <c r="F2310" s="33">
        <f>(Table2634[[#This Row],[4 weeks average]]-B2258)/B2258</f>
        <v>2.8375827542813346E-2</v>
      </c>
    </row>
    <row r="2311" spans="1:6" x14ac:dyDescent="0.2">
      <c r="A2311" s="34">
        <v>43535</v>
      </c>
      <c r="B2311" s="25">
        <f>VLOOKUP(Table2634[[#This Row],[Date]],'DB Money Supply'!$A:$D,4)</f>
        <v>3736.9</v>
      </c>
      <c r="C2311" s="31">
        <f>(Table2634[[#This Row],[M1 Money Stock, Billions of Dollars, Weekly, Seasonally Adjusted]]-B2310)/B2310</f>
        <v>-7.9377721142614658E-3</v>
      </c>
      <c r="D2311" s="35">
        <f>(Table2634[[#This Row],[M1 Money Stock, Billions of Dollars, Weekly, Seasonally Adjusted]]-B2308)/B2308</f>
        <v>-5.5882274674685329E-3</v>
      </c>
      <c r="E2311" s="25">
        <f t="shared" si="35"/>
        <v>3751.15</v>
      </c>
      <c r="F2311" s="33">
        <f>(Table2634[[#This Row],[4 weeks average]]-B2259)/B2259</f>
        <v>2.1833287932443501E-2</v>
      </c>
    </row>
    <row r="2312" spans="1:6" x14ac:dyDescent="0.2">
      <c r="A2312" s="34">
        <v>43542</v>
      </c>
      <c r="B2312" s="25">
        <f>VLOOKUP(Table2634[[#This Row],[Date]],'DB Money Supply'!$A:$D,4)</f>
        <v>3716.7</v>
      </c>
      <c r="C2312" s="31">
        <f>(Table2634[[#This Row],[M1 Money Stock, Billions of Dollars, Weekly, Seasonally Adjusted]]-B2311)/B2311</f>
        <v>-5.4055500548583777E-3</v>
      </c>
      <c r="D2312" s="35">
        <f>(Table2634[[#This Row],[M1 Money Stock, Billions of Dollars, Weekly, Seasonally Adjusted]]-B2309)/B2309</f>
        <v>-7.0264493721614169E-3</v>
      </c>
      <c r="E2312" s="25">
        <f t="shared" si="35"/>
        <v>3740.8500000000004</v>
      </c>
      <c r="F2312" s="33">
        <f>(Table2634[[#This Row],[4 weeks average]]-B2260)/B2260</f>
        <v>2.1866805069930117E-2</v>
      </c>
    </row>
    <row r="2313" spans="1:6" x14ac:dyDescent="0.2">
      <c r="A2313" s="34">
        <v>43549</v>
      </c>
      <c r="B2313" s="25">
        <f>VLOOKUP(Table2634[[#This Row],[Date]],'DB Money Supply'!$A:$D,4)</f>
        <v>3728.3</v>
      </c>
      <c r="C2313" s="31">
        <f>(Table2634[[#This Row],[M1 Money Stock, Billions of Dollars, Weekly, Seasonally Adjusted]]-B2312)/B2312</f>
        <v>3.1210482417199032E-3</v>
      </c>
      <c r="D2313" s="35">
        <f>(Table2634[[#This Row],[M1 Money Stock, Billions of Dollars, Weekly, Seasonally Adjusted]]-B2310)/B2310</f>
        <v>-1.0220877137092492E-2</v>
      </c>
      <c r="E2313" s="25">
        <f t="shared" ref="E2313:E2376" si="36">AVERAGE(B2310:B2313)</f>
        <v>3737.1750000000002</v>
      </c>
      <c r="F2313" s="33">
        <f>(Table2634[[#This Row],[4 weeks average]]-B2261)/B2261</f>
        <v>2.1672270975149701E-2</v>
      </c>
    </row>
    <row r="2314" spans="1:6" x14ac:dyDescent="0.2">
      <c r="A2314" s="34">
        <v>43556</v>
      </c>
      <c r="B2314" s="25">
        <f>VLOOKUP(Table2634[[#This Row],[Date]],'DB Money Supply'!$A:$D,4)</f>
        <v>3731.6</v>
      </c>
      <c r="C2314" s="31">
        <f>(Table2634[[#This Row],[M1 Money Stock, Billions of Dollars, Weekly, Seasonally Adjusted]]-B2313)/B2313</f>
        <v>8.8512190542599232E-4</v>
      </c>
      <c r="D2314" s="35">
        <f>(Table2634[[#This Row],[M1 Money Stock, Billions of Dollars, Weekly, Seasonally Adjusted]]-B2311)/B2311</f>
        <v>-1.4182878856806931E-3</v>
      </c>
      <c r="E2314" s="25">
        <f t="shared" si="36"/>
        <v>3728.3750000000005</v>
      </c>
      <c r="F2314" s="33">
        <f>(Table2634[[#This Row],[4 weeks average]]-B2262)/B2262</f>
        <v>1.8876561090919102E-2</v>
      </c>
    </row>
    <row r="2315" spans="1:6" x14ac:dyDescent="0.2">
      <c r="A2315" s="34">
        <v>43563</v>
      </c>
      <c r="B2315" s="25">
        <f>VLOOKUP(Table2634[[#This Row],[Date]],'DB Money Supply'!$A:$D,4)</f>
        <v>3746.4</v>
      </c>
      <c r="C2315" s="31">
        <f>(Table2634[[#This Row],[M1 Money Stock, Billions of Dollars, Weekly, Seasonally Adjusted]]-B2314)/B2314</f>
        <v>3.9661271304534734E-3</v>
      </c>
      <c r="D2315" s="35">
        <f>(Table2634[[#This Row],[M1 Money Stock, Billions of Dollars, Weekly, Seasonally Adjusted]]-B2312)/B2312</f>
        <v>7.990959722334403E-3</v>
      </c>
      <c r="E2315" s="25">
        <f t="shared" si="36"/>
        <v>3730.75</v>
      </c>
      <c r="F2315" s="33">
        <f>(Table2634[[#This Row],[4 weeks average]]-B2263)/B2263</f>
        <v>1.8996503878509829E-2</v>
      </c>
    </row>
    <row r="2316" spans="1:6" x14ac:dyDescent="0.2">
      <c r="A2316" s="34">
        <v>43570</v>
      </c>
      <c r="B2316" s="25">
        <f>VLOOKUP(Table2634[[#This Row],[Date]],'DB Money Supply'!$A:$D,4)</f>
        <v>3796.6</v>
      </c>
      <c r="C2316" s="31">
        <f>(Table2634[[#This Row],[M1 Money Stock, Billions of Dollars, Weekly, Seasonally Adjusted]]-B2315)/B2315</f>
        <v>1.3399530215673664E-2</v>
      </c>
      <c r="D2316" s="35">
        <f>(Table2634[[#This Row],[M1 Money Stock, Billions of Dollars, Weekly, Seasonally Adjusted]]-B2313)/B2313</f>
        <v>1.831934125472728E-2</v>
      </c>
      <c r="E2316" s="25">
        <f t="shared" si="36"/>
        <v>3750.7249999999999</v>
      </c>
      <c r="F2316" s="33">
        <f>(Table2634[[#This Row],[4 weeks average]]-B2264)/B2264</f>
        <v>2.8328398311125682E-2</v>
      </c>
    </row>
    <row r="2317" spans="1:6" x14ac:dyDescent="0.2">
      <c r="A2317" s="34">
        <v>43577</v>
      </c>
      <c r="B2317" s="25">
        <f>VLOOKUP(Table2634[[#This Row],[Date]],'DB Money Supply'!$A:$D,4)</f>
        <v>3789.8</v>
      </c>
      <c r="C2317" s="31">
        <f>(Table2634[[#This Row],[M1 Money Stock, Billions of Dollars, Weekly, Seasonally Adjusted]]-B2316)/B2316</f>
        <v>-1.7910762260969623E-3</v>
      </c>
      <c r="D2317" s="35">
        <f>(Table2634[[#This Row],[M1 Money Stock, Billions of Dollars, Weekly, Seasonally Adjusted]]-B2314)/B2314</f>
        <v>1.5596526958945298E-2</v>
      </c>
      <c r="E2317" s="25">
        <f t="shared" si="36"/>
        <v>3766.1000000000004</v>
      </c>
      <c r="F2317" s="33">
        <f>(Table2634[[#This Row],[4 weeks average]]-B2265)/B2265</f>
        <v>2.6157325413476595E-2</v>
      </c>
    </row>
    <row r="2318" spans="1:6" x14ac:dyDescent="0.2">
      <c r="A2318" s="34">
        <v>43584</v>
      </c>
      <c r="B2318" s="25">
        <f>VLOOKUP(Table2634[[#This Row],[Date]],'DB Money Supply'!$A:$D,4)</f>
        <v>3813.3</v>
      </c>
      <c r="C2318" s="31">
        <f>(Table2634[[#This Row],[M1 Money Stock, Billions of Dollars, Weekly, Seasonally Adjusted]]-B2317)/B2317</f>
        <v>6.2008549263813393E-3</v>
      </c>
      <c r="D2318" s="35">
        <f>(Table2634[[#This Row],[M1 Money Stock, Billions of Dollars, Weekly, Seasonally Adjusted]]-B2315)/B2315</f>
        <v>1.785714285714288E-2</v>
      </c>
      <c r="E2318" s="25">
        <f t="shared" si="36"/>
        <v>3786.5249999999996</v>
      </c>
      <c r="F2318" s="33">
        <f>(Table2634[[#This Row],[4 weeks average]]-B2266)/B2266</f>
        <v>3.1806910458335454E-2</v>
      </c>
    </row>
    <row r="2319" spans="1:6" x14ac:dyDescent="0.2">
      <c r="A2319" s="34">
        <v>43591</v>
      </c>
      <c r="B2319" s="25">
        <f>VLOOKUP(Table2634[[#This Row],[Date]],'DB Money Supply'!$A:$D,4)</f>
        <v>3765.5</v>
      </c>
      <c r="C2319" s="31">
        <f>(Table2634[[#This Row],[M1 Money Stock, Billions of Dollars, Weekly, Seasonally Adjusted]]-B2318)/B2318</f>
        <v>-1.2535074607295565E-2</v>
      </c>
      <c r="D2319" s="35">
        <f>(Table2634[[#This Row],[M1 Money Stock, Billions of Dollars, Weekly, Seasonally Adjusted]]-B2316)/B2316</f>
        <v>-8.1915397987672948E-3</v>
      </c>
      <c r="E2319" s="25">
        <f t="shared" si="36"/>
        <v>3791.3</v>
      </c>
      <c r="F2319" s="33">
        <f>(Table2634[[#This Row],[4 weeks average]]-B2267)/B2267</f>
        <v>4.2310441524165639E-2</v>
      </c>
    </row>
    <row r="2320" spans="1:6" x14ac:dyDescent="0.2">
      <c r="A2320" s="34">
        <v>43598</v>
      </c>
      <c r="B2320" s="25">
        <f>VLOOKUP(Table2634[[#This Row],[Date]],'DB Money Supply'!$A:$D,4)</f>
        <v>3772.7</v>
      </c>
      <c r="C2320" s="31">
        <f>(Table2634[[#This Row],[M1 Money Stock, Billions of Dollars, Weekly, Seasonally Adjusted]]-B2319)/B2319</f>
        <v>1.9120966671092334E-3</v>
      </c>
      <c r="D2320" s="35">
        <f>(Table2634[[#This Row],[M1 Money Stock, Billions of Dollars, Weekly, Seasonally Adjusted]]-B2317)/B2317</f>
        <v>-4.5121114570690702E-3</v>
      </c>
      <c r="E2320" s="25">
        <f t="shared" si="36"/>
        <v>3785.3249999999998</v>
      </c>
      <c r="F2320" s="33">
        <f>(Table2634[[#This Row],[4 weeks average]]-B2268)/B2268</f>
        <v>3.55149774312679E-2</v>
      </c>
    </row>
    <row r="2321" spans="1:6" x14ac:dyDescent="0.2">
      <c r="A2321" s="34">
        <v>43605</v>
      </c>
      <c r="B2321" s="25">
        <f>VLOOKUP(Table2634[[#This Row],[Date]],'DB Money Supply'!$A:$D,4)</f>
        <v>3781.9</v>
      </c>
      <c r="C2321" s="31">
        <f>(Table2634[[#This Row],[M1 Money Stock, Billions of Dollars, Weekly, Seasonally Adjusted]]-B2320)/B2320</f>
        <v>2.4385718450977479E-3</v>
      </c>
      <c r="D2321" s="35">
        <f>(Table2634[[#This Row],[M1 Money Stock, Billions of Dollars, Weekly, Seasonally Adjusted]]-B2318)/B2318</f>
        <v>-8.2343377127422675E-3</v>
      </c>
      <c r="E2321" s="25">
        <f t="shared" si="36"/>
        <v>3783.35</v>
      </c>
      <c r="F2321" s="33">
        <f>(Table2634[[#This Row],[4 weeks average]]-B2269)/B2269</f>
        <v>3.1728933733296945E-2</v>
      </c>
    </row>
    <row r="2322" spans="1:6" x14ac:dyDescent="0.2">
      <c r="A2322" s="34">
        <v>43612</v>
      </c>
      <c r="B2322" s="25">
        <f>VLOOKUP(Table2634[[#This Row],[Date]],'DB Money Supply'!$A:$D,4)</f>
        <v>3810</v>
      </c>
      <c r="C2322" s="31">
        <f>(Table2634[[#This Row],[M1 Money Stock, Billions of Dollars, Weekly, Seasonally Adjusted]]-B2321)/B2321</f>
        <v>7.4301277135830953E-3</v>
      </c>
      <c r="D2322" s="35">
        <f>(Table2634[[#This Row],[M1 Money Stock, Billions of Dollars, Weekly, Seasonally Adjusted]]-B2319)/B2319</f>
        <v>1.1817819678661532E-2</v>
      </c>
      <c r="E2322" s="25">
        <f t="shared" si="36"/>
        <v>3782.5250000000001</v>
      </c>
      <c r="F2322" s="33">
        <f>(Table2634[[#This Row],[4 weeks average]]-B2270)/B2270</f>
        <v>3.2207668167553577E-2</v>
      </c>
    </row>
    <row r="2323" spans="1:6" x14ac:dyDescent="0.2">
      <c r="A2323" s="34">
        <v>43619</v>
      </c>
      <c r="B2323" s="25">
        <f>VLOOKUP(Table2634[[#This Row],[Date]],'DB Money Supply'!$A:$D,4)</f>
        <v>3876.1</v>
      </c>
      <c r="C2323" s="31">
        <f>(Table2634[[#This Row],[M1 Money Stock, Billions of Dollars, Weekly, Seasonally Adjusted]]-B2322)/B2322</f>
        <v>1.7349081364829374E-2</v>
      </c>
      <c r="D2323" s="35">
        <f>(Table2634[[#This Row],[M1 Money Stock, Billions of Dollars, Weekly, Seasonally Adjusted]]-B2320)/B2320</f>
        <v>2.7407427041641289E-2</v>
      </c>
      <c r="E2323" s="25">
        <f t="shared" si="36"/>
        <v>3810.1750000000002</v>
      </c>
      <c r="F2323" s="33">
        <f>(Table2634[[#This Row],[4 weeks average]]-B2271)/B2271</f>
        <v>3.7516338089532753E-2</v>
      </c>
    </row>
    <row r="2324" spans="1:6" x14ac:dyDescent="0.2">
      <c r="A2324" s="34">
        <v>43626</v>
      </c>
      <c r="B2324" s="25">
        <f>VLOOKUP(Table2634[[#This Row],[Date]],'DB Money Supply'!$A:$D,4)</f>
        <v>3839.6</v>
      </c>
      <c r="C2324" s="31">
        <f>(Table2634[[#This Row],[M1 Money Stock, Billions of Dollars, Weekly, Seasonally Adjusted]]-B2323)/B2323</f>
        <v>-9.4166817161579937E-3</v>
      </c>
      <c r="D2324" s="35">
        <f>(Table2634[[#This Row],[M1 Money Stock, Billions of Dollars, Weekly, Seasonally Adjusted]]-B2321)/B2321</f>
        <v>1.5256881461699097E-2</v>
      </c>
      <c r="E2324" s="25">
        <f t="shared" si="36"/>
        <v>3826.9</v>
      </c>
      <c r="F2324" s="33">
        <f>(Table2634[[#This Row],[4 weeks average]]-B2272)/B2272</f>
        <v>4.7060111083750578E-2</v>
      </c>
    </row>
    <row r="2325" spans="1:6" x14ac:dyDescent="0.2">
      <c r="A2325" s="34">
        <v>43633</v>
      </c>
      <c r="B2325" s="25">
        <f>VLOOKUP(Table2634[[#This Row],[Date]],'DB Money Supply'!$A:$D,4)</f>
        <v>3832.6</v>
      </c>
      <c r="C2325" s="31">
        <f>(Table2634[[#This Row],[M1 Money Stock, Billions of Dollars, Weekly, Seasonally Adjusted]]-B2324)/B2324</f>
        <v>-1.8231065736014169E-3</v>
      </c>
      <c r="D2325" s="35">
        <f>(Table2634[[#This Row],[M1 Money Stock, Billions of Dollars, Weekly, Seasonally Adjusted]]-B2322)/B2322</f>
        <v>5.931758530183703E-3</v>
      </c>
      <c r="E2325" s="25">
        <f t="shared" si="36"/>
        <v>3839.5750000000003</v>
      </c>
      <c r="F2325" s="33">
        <f>(Table2634[[#This Row],[4 weeks average]]-B2273)/B2273</f>
        <v>5.1535027660623373E-2</v>
      </c>
    </row>
    <row r="2326" spans="1:6" x14ac:dyDescent="0.2">
      <c r="A2326" s="34">
        <v>43640</v>
      </c>
      <c r="B2326" s="25">
        <f>VLOOKUP(Table2634[[#This Row],[Date]],'DB Money Supply'!$A:$D,4)</f>
        <v>3829.8</v>
      </c>
      <c r="C2326" s="31">
        <f>(Table2634[[#This Row],[M1 Money Stock, Billions of Dollars, Weekly, Seasonally Adjusted]]-B2325)/B2325</f>
        <v>-7.3057454469543578E-4</v>
      </c>
      <c r="D2326" s="35">
        <f>(Table2634[[#This Row],[M1 Money Stock, Billions of Dollars, Weekly, Seasonally Adjusted]]-B2323)/B2323</f>
        <v>-1.1944996259126371E-2</v>
      </c>
      <c r="E2326" s="25">
        <f t="shared" si="36"/>
        <v>3844.5249999999996</v>
      </c>
      <c r="F2326" s="33">
        <f>(Table2634[[#This Row],[4 weeks average]]-B2274)/B2274</f>
        <v>5.1709752427848345E-2</v>
      </c>
    </row>
    <row r="2327" spans="1:6" x14ac:dyDescent="0.2">
      <c r="A2327" s="34">
        <v>43647</v>
      </c>
      <c r="B2327" s="25">
        <f>VLOOKUP(Table2634[[#This Row],[Date]],'DB Money Supply'!$A:$D,4)</f>
        <v>3818.7</v>
      </c>
      <c r="C2327" s="31">
        <f>(Table2634[[#This Row],[M1 Money Stock, Billions of Dollars, Weekly, Seasonally Adjusted]]-B2326)/B2326</f>
        <v>-2.8983236722545207E-3</v>
      </c>
      <c r="D2327" s="35">
        <f>(Table2634[[#This Row],[M1 Money Stock, Billions of Dollars, Weekly, Seasonally Adjusted]]-B2324)/B2324</f>
        <v>-5.4432753411813965E-3</v>
      </c>
      <c r="E2327" s="25">
        <f t="shared" si="36"/>
        <v>3830.1750000000002</v>
      </c>
      <c r="F2327" s="33">
        <f>(Table2634[[#This Row],[4 weeks average]]-B2275)/B2275</f>
        <v>4.2678445037295169E-2</v>
      </c>
    </row>
    <row r="2328" spans="1:6" x14ac:dyDescent="0.2">
      <c r="A2328" s="34">
        <v>43654</v>
      </c>
      <c r="B2328" s="25">
        <f>VLOOKUP(Table2634[[#This Row],[Date]],'DB Money Supply'!$A:$D,4)</f>
        <v>3837.4</v>
      </c>
      <c r="C2328" s="31">
        <f>(Table2634[[#This Row],[M1 Money Stock, Billions of Dollars, Weekly, Seasonally Adjusted]]-B2327)/B2327</f>
        <v>4.8969544609422768E-3</v>
      </c>
      <c r="D2328" s="35">
        <f>(Table2634[[#This Row],[M1 Money Stock, Billions of Dollars, Weekly, Seasonally Adjusted]]-B2325)/B2325</f>
        <v>1.2524135051923452E-3</v>
      </c>
      <c r="E2328" s="25">
        <f t="shared" si="36"/>
        <v>3829.6249999999995</v>
      </c>
      <c r="F2328" s="33">
        <f>(Table2634[[#This Row],[4 weeks average]]-B2276)/B2276</f>
        <v>3.9980719096241429E-2</v>
      </c>
    </row>
    <row r="2329" spans="1:6" x14ac:dyDescent="0.2">
      <c r="A2329" s="34">
        <v>43661</v>
      </c>
      <c r="B2329" s="25">
        <f>VLOOKUP(Table2634[[#This Row],[Date]],'DB Money Supply'!$A:$D,4)</f>
        <v>3856.5</v>
      </c>
      <c r="C2329" s="31">
        <f>(Table2634[[#This Row],[M1 Money Stock, Billions of Dollars, Weekly, Seasonally Adjusted]]-B2328)/B2328</f>
        <v>4.977328399437095E-3</v>
      </c>
      <c r="D2329" s="35">
        <f>(Table2634[[#This Row],[M1 Money Stock, Billions of Dollars, Weekly, Seasonally Adjusted]]-B2326)/B2326</f>
        <v>6.9716434278551927E-3</v>
      </c>
      <c r="E2329" s="25">
        <f t="shared" si="36"/>
        <v>3835.6</v>
      </c>
      <c r="F2329" s="33">
        <f>(Table2634[[#This Row],[4 weeks average]]-B2277)/B2277</f>
        <v>4.1773045792818653E-2</v>
      </c>
    </row>
    <row r="2330" spans="1:6" x14ac:dyDescent="0.2">
      <c r="A2330" s="34">
        <v>43668</v>
      </c>
      <c r="B2330" s="25">
        <f>VLOOKUP(Table2634[[#This Row],[Date]],'DB Money Supply'!$A:$D,4)</f>
        <v>3875.4</v>
      </c>
      <c r="C2330" s="31">
        <f>(Table2634[[#This Row],[M1 Money Stock, Billions of Dollars, Weekly, Seasonally Adjusted]]-B2329)/B2329</f>
        <v>4.9008168028004907E-3</v>
      </c>
      <c r="D2330" s="35">
        <f>(Table2634[[#This Row],[M1 Money Stock, Billions of Dollars, Weekly, Seasonally Adjusted]]-B2327)/B2327</f>
        <v>1.4847984916332855E-2</v>
      </c>
      <c r="E2330" s="25">
        <f t="shared" si="36"/>
        <v>3847</v>
      </c>
      <c r="F2330" s="33">
        <f>(Table2634[[#This Row],[4 weeks average]]-B2278)/B2278</f>
        <v>4.5948885263730289E-2</v>
      </c>
    </row>
    <row r="2331" spans="1:6" x14ac:dyDescent="0.2">
      <c r="A2331" s="34">
        <v>43675</v>
      </c>
      <c r="B2331" s="25">
        <f>VLOOKUP(Table2634[[#This Row],[Date]],'DB Money Supply'!$A:$D,4)</f>
        <v>3872.8</v>
      </c>
      <c r="C2331" s="31">
        <f>(Table2634[[#This Row],[M1 Money Stock, Billions of Dollars, Weekly, Seasonally Adjusted]]-B2330)/B2330</f>
        <v>-6.7089848789799995E-4</v>
      </c>
      <c r="D2331" s="35">
        <f>(Table2634[[#This Row],[M1 Money Stock, Billions of Dollars, Weekly, Seasonally Adjusted]]-B2328)/B2328</f>
        <v>9.224996091103374E-3</v>
      </c>
      <c r="E2331" s="25">
        <f t="shared" si="36"/>
        <v>3860.5249999999996</v>
      </c>
      <c r="F2331" s="33">
        <f>(Table2634[[#This Row],[4 weeks average]]-B2279)/B2279</f>
        <v>4.8428928358046776E-2</v>
      </c>
    </row>
    <row r="2332" spans="1:6" x14ac:dyDescent="0.2">
      <c r="A2332" s="34">
        <v>43682</v>
      </c>
      <c r="B2332" s="25">
        <f>VLOOKUP(Table2634[[#This Row],[Date]],'DB Money Supply'!$A:$D,4)</f>
        <v>3875.1</v>
      </c>
      <c r="C2332" s="31">
        <f>(Table2634[[#This Row],[M1 Money Stock, Billions of Dollars, Weekly, Seasonally Adjusted]]-B2331)/B2331</f>
        <v>5.9388556083446778E-4</v>
      </c>
      <c r="D2332" s="35">
        <f>(Table2634[[#This Row],[M1 Money Stock, Billions of Dollars, Weekly, Seasonally Adjusted]]-B2329)/B2329</f>
        <v>4.8230260598988483E-3</v>
      </c>
      <c r="E2332" s="25">
        <f t="shared" si="36"/>
        <v>3869.9500000000003</v>
      </c>
      <c r="F2332" s="33">
        <f>(Table2634[[#This Row],[4 weeks average]]-B2280)/B2280</f>
        <v>5.6872490919518383E-2</v>
      </c>
    </row>
    <row r="2333" spans="1:6" x14ac:dyDescent="0.2">
      <c r="A2333" s="34">
        <v>43689</v>
      </c>
      <c r="B2333" s="25">
        <f>VLOOKUP(Table2634[[#This Row],[Date]],'DB Money Supply'!$A:$D,4)</f>
        <v>3861</v>
      </c>
      <c r="C2333" s="31">
        <f>(Table2634[[#This Row],[M1 Money Stock, Billions of Dollars, Weekly, Seasonally Adjusted]]-B2332)/B2332</f>
        <v>-3.6386157776573274E-3</v>
      </c>
      <c r="D2333" s="35">
        <f>(Table2634[[#This Row],[M1 Money Stock, Billions of Dollars, Weekly, Seasonally Adjusted]]-B2330)/B2330</f>
        <v>-3.7157454714352302E-3</v>
      </c>
      <c r="E2333" s="25">
        <f t="shared" si="36"/>
        <v>3871.0750000000003</v>
      </c>
      <c r="F2333" s="33">
        <f>(Table2634[[#This Row],[4 weeks average]]-B2281)/B2281</f>
        <v>5.2694912027846541E-2</v>
      </c>
    </row>
    <row r="2334" spans="1:6" x14ac:dyDescent="0.2">
      <c r="A2334" s="34">
        <v>43696</v>
      </c>
      <c r="B2334" s="25">
        <f>VLOOKUP(Table2634[[#This Row],[Date]],'DB Money Supply'!$A:$D,4)</f>
        <v>3832.4</v>
      </c>
      <c r="C2334" s="31">
        <f>(Table2634[[#This Row],[M1 Money Stock, Billions of Dollars, Weekly, Seasonally Adjusted]]-B2333)/B2333</f>
        <v>-7.4074074074073843E-3</v>
      </c>
      <c r="D2334" s="35">
        <f>(Table2634[[#This Row],[M1 Money Stock, Billions of Dollars, Weekly, Seasonally Adjusted]]-B2331)/B2331</f>
        <v>-1.0431728981615391E-2</v>
      </c>
      <c r="E2334" s="25">
        <f t="shared" si="36"/>
        <v>3860.3249999999998</v>
      </c>
      <c r="F2334" s="33">
        <f>(Table2634[[#This Row],[4 weeks average]]-B2282)/B2282</f>
        <v>5.0057122650490879E-2</v>
      </c>
    </row>
    <row r="2335" spans="1:6" x14ac:dyDescent="0.2">
      <c r="A2335" s="34">
        <v>43703</v>
      </c>
      <c r="B2335" s="25">
        <f>VLOOKUP(Table2634[[#This Row],[Date]],'DB Money Supply'!$A:$D,4)</f>
        <v>3845</v>
      </c>
      <c r="C2335" s="31">
        <f>(Table2634[[#This Row],[M1 Money Stock, Billions of Dollars, Weekly, Seasonally Adjusted]]-B2334)/B2334</f>
        <v>3.2877570191002787E-3</v>
      </c>
      <c r="D2335" s="35">
        <f>(Table2634[[#This Row],[M1 Money Stock, Billions of Dollars, Weekly, Seasonally Adjusted]]-B2332)/B2332</f>
        <v>-7.7675414828004205E-3</v>
      </c>
      <c r="E2335" s="25">
        <f t="shared" si="36"/>
        <v>3853.375</v>
      </c>
      <c r="F2335" s="33">
        <f>(Table2634[[#This Row],[4 weeks average]]-B2283)/B2283</f>
        <v>4.2720876741983493E-2</v>
      </c>
    </row>
    <row r="2336" spans="1:6" x14ac:dyDescent="0.2">
      <c r="A2336" s="34">
        <v>43710</v>
      </c>
      <c r="B2336" s="25">
        <f>VLOOKUP(Table2634[[#This Row],[Date]],'DB Money Supply'!$A:$D,4)</f>
        <v>3878</v>
      </c>
      <c r="C2336" s="31">
        <f>(Table2634[[#This Row],[M1 Money Stock, Billions of Dollars, Weekly, Seasonally Adjusted]]-B2335)/B2335</f>
        <v>8.5825747724317288E-3</v>
      </c>
      <c r="D2336" s="35">
        <f>(Table2634[[#This Row],[M1 Money Stock, Billions of Dollars, Weekly, Seasonally Adjusted]]-B2333)/B2333</f>
        <v>4.4030044030044027E-3</v>
      </c>
      <c r="E2336" s="25">
        <f t="shared" si="36"/>
        <v>3854.1</v>
      </c>
      <c r="F2336" s="33">
        <f>(Table2634[[#This Row],[4 weeks average]]-B2284)/B2284</f>
        <v>1.9630148945739258E-2</v>
      </c>
    </row>
    <row r="2337" spans="1:6" x14ac:dyDescent="0.2">
      <c r="A2337" s="34">
        <v>43717</v>
      </c>
      <c r="B2337" s="25">
        <f>VLOOKUP(Table2634[[#This Row],[Date]],'DB Money Supply'!$A:$D,4)</f>
        <v>3895.9</v>
      </c>
      <c r="C2337" s="31">
        <f>(Table2634[[#This Row],[M1 Money Stock, Billions of Dollars, Weekly, Seasonally Adjusted]]-B2336)/B2336</f>
        <v>4.6157813305827983E-3</v>
      </c>
      <c r="D2337" s="35">
        <f>(Table2634[[#This Row],[M1 Money Stock, Billions of Dollars, Weekly, Seasonally Adjusted]]-B2334)/B2334</f>
        <v>1.656925164387851E-2</v>
      </c>
      <c r="E2337" s="25">
        <f t="shared" si="36"/>
        <v>3862.8249999999998</v>
      </c>
      <c r="F2337" s="33">
        <f>(Table2634[[#This Row],[4 weeks average]]-B2285)/B2285</f>
        <v>4.1080476498490656E-2</v>
      </c>
    </row>
    <row r="2338" spans="1:6" x14ac:dyDescent="0.2">
      <c r="A2338" s="34">
        <v>43724</v>
      </c>
      <c r="B2338" s="25">
        <f>VLOOKUP(Table2634[[#This Row],[Date]],'DB Money Supply'!$A:$D,4)</f>
        <v>3895.8</v>
      </c>
      <c r="C2338" s="31">
        <f>(Table2634[[#This Row],[M1 Money Stock, Billions of Dollars, Weekly, Seasonally Adjusted]]-B2337)/B2337</f>
        <v>-2.5668009959164517E-5</v>
      </c>
      <c r="D2338" s="35">
        <f>(Table2634[[#This Row],[M1 Money Stock, Billions of Dollars, Weekly, Seasonally Adjusted]]-B2335)/B2335</f>
        <v>1.321196358907677E-2</v>
      </c>
      <c r="E2338" s="25">
        <f t="shared" si="36"/>
        <v>3878.6750000000002</v>
      </c>
      <c r="F2338" s="33">
        <f>(Table2634[[#This Row],[4 weeks average]]-B2286)/B2286</f>
        <v>5.0562026002166895E-2</v>
      </c>
    </row>
    <row r="2339" spans="1:6" x14ac:dyDescent="0.2">
      <c r="A2339" s="34">
        <v>43731</v>
      </c>
      <c r="B2339" s="25">
        <f>VLOOKUP(Table2634[[#This Row],[Date]],'DB Money Supply'!$A:$D,4)</f>
        <v>3911.1</v>
      </c>
      <c r="C2339" s="31">
        <f>(Table2634[[#This Row],[M1 Money Stock, Billions of Dollars, Weekly, Seasonally Adjusted]]-B2338)/B2338</f>
        <v>3.9273063298936612E-3</v>
      </c>
      <c r="D2339" s="35">
        <f>(Table2634[[#This Row],[M1 Money Stock, Billions of Dollars, Weekly, Seasonally Adjusted]]-B2336)/B2336</f>
        <v>8.5353274883960568E-3</v>
      </c>
      <c r="E2339" s="25">
        <f t="shared" si="36"/>
        <v>3895.2000000000003</v>
      </c>
      <c r="F2339" s="33">
        <f>(Table2634[[#This Row],[4 weeks average]]-B2287)/B2287</f>
        <v>5.1336032388664042E-2</v>
      </c>
    </row>
    <row r="2340" spans="1:6" x14ac:dyDescent="0.2">
      <c r="A2340" s="34">
        <v>43738</v>
      </c>
      <c r="B2340" s="25">
        <f>VLOOKUP(Table2634[[#This Row],[Date]],'DB Money Supply'!$A:$D,4)</f>
        <v>3928.2</v>
      </c>
      <c r="C2340" s="31">
        <f>(Table2634[[#This Row],[M1 Money Stock, Billions of Dollars, Weekly, Seasonally Adjusted]]-B2339)/B2339</f>
        <v>4.3721715118508631E-3</v>
      </c>
      <c r="D2340" s="35">
        <f>(Table2634[[#This Row],[M1 Money Stock, Billions of Dollars, Weekly, Seasonally Adjusted]]-B2337)/B2337</f>
        <v>8.29076721681761E-3</v>
      </c>
      <c r="E2340" s="25">
        <f t="shared" si="36"/>
        <v>3907.75</v>
      </c>
      <c r="F2340" s="33">
        <f>(Table2634[[#This Row],[4 weeks average]]-B2288)/B2288</f>
        <v>5.806460347115041E-2</v>
      </c>
    </row>
    <row r="2341" spans="1:6" x14ac:dyDescent="0.2">
      <c r="A2341" s="34">
        <v>43745</v>
      </c>
      <c r="B2341" s="25">
        <f>VLOOKUP(Table2634[[#This Row],[Date]],'DB Money Supply'!$A:$D,4)</f>
        <v>3893.7</v>
      </c>
      <c r="C2341" s="31">
        <f>(Table2634[[#This Row],[M1 Money Stock, Billions of Dollars, Weekly, Seasonally Adjusted]]-B2340)/B2340</f>
        <v>-8.7826485413166344E-3</v>
      </c>
      <c r="D2341" s="35">
        <f>(Table2634[[#This Row],[M1 Money Stock, Billions of Dollars, Weekly, Seasonally Adjusted]]-B2338)/B2338</f>
        <v>-5.390420452796252E-4</v>
      </c>
      <c r="E2341" s="25">
        <f t="shared" si="36"/>
        <v>3907.2</v>
      </c>
      <c r="F2341" s="33">
        <f>(Table2634[[#This Row],[4 weeks average]]-B2289)/B2289</f>
        <v>5.3494391716997311E-2</v>
      </c>
    </row>
    <row r="2342" spans="1:6" x14ac:dyDescent="0.2">
      <c r="A2342" s="34">
        <v>43752</v>
      </c>
      <c r="B2342" s="25">
        <f>VLOOKUP(Table2634[[#This Row],[Date]],'DB Money Supply'!$A:$D,4)</f>
        <v>3930.6</v>
      </c>
      <c r="C2342" s="31">
        <f>(Table2634[[#This Row],[M1 Money Stock, Billions of Dollars, Weekly, Seasonally Adjusted]]-B2341)/B2341</f>
        <v>9.4768472147315139E-3</v>
      </c>
      <c r="D2342" s="35">
        <f>(Table2634[[#This Row],[M1 Money Stock, Billions of Dollars, Weekly, Seasonally Adjusted]]-B2339)/B2339</f>
        <v>4.9858096187773262E-3</v>
      </c>
      <c r="E2342" s="25">
        <f t="shared" si="36"/>
        <v>3915.9</v>
      </c>
      <c r="F2342" s="33">
        <f>(Table2634[[#This Row],[4 weeks average]]-B2290)/B2290</f>
        <v>5.1587088458026717E-2</v>
      </c>
    </row>
    <row r="2343" spans="1:6" x14ac:dyDescent="0.2">
      <c r="A2343" s="34">
        <v>43759</v>
      </c>
      <c r="B2343" s="25">
        <f>VLOOKUP(Table2634[[#This Row],[Date]],'DB Money Supply'!$A:$D,4)</f>
        <v>3929</v>
      </c>
      <c r="C2343" s="31">
        <f>(Table2634[[#This Row],[M1 Money Stock, Billions of Dollars, Weekly, Seasonally Adjusted]]-B2342)/B2342</f>
        <v>-4.0706253498191345E-4</v>
      </c>
      <c r="D2343" s="35">
        <f>(Table2634[[#This Row],[M1 Money Stock, Billions of Dollars, Weekly, Seasonally Adjusted]]-B2340)/B2340</f>
        <v>2.0365561834941753E-4</v>
      </c>
      <c r="E2343" s="25">
        <f t="shared" si="36"/>
        <v>3920.375</v>
      </c>
      <c r="F2343" s="33">
        <f>(Table2634[[#This Row],[4 weeks average]]-B2291)/B2291</f>
        <v>4.6885013885921763E-2</v>
      </c>
    </row>
    <row r="2344" spans="1:6" x14ac:dyDescent="0.2">
      <c r="A2344" s="34">
        <v>43766</v>
      </c>
      <c r="B2344" s="25">
        <f>VLOOKUP(Table2634[[#This Row],[Date]],'DB Money Supply'!$A:$D,4)</f>
        <v>3934.5</v>
      </c>
      <c r="C2344" s="31">
        <f>(Table2634[[#This Row],[M1 Money Stock, Billions of Dollars, Weekly, Seasonally Adjusted]]-B2343)/B2343</f>
        <v>1.3998472893866124E-3</v>
      </c>
      <c r="D2344" s="35">
        <f>(Table2634[[#This Row],[M1 Money Stock, Billions of Dollars, Weekly, Seasonally Adjusted]]-B2341)/B2341</f>
        <v>1.0478465213036491E-2</v>
      </c>
      <c r="E2344" s="25">
        <f t="shared" si="36"/>
        <v>3921.95</v>
      </c>
      <c r="F2344" s="33">
        <f>(Table2634[[#This Row],[4 weeks average]]-B2292)/B2292</f>
        <v>5.1602091433167935E-2</v>
      </c>
    </row>
    <row r="2345" spans="1:6" x14ac:dyDescent="0.2">
      <c r="A2345" s="34">
        <v>43773</v>
      </c>
      <c r="B2345" s="25">
        <f>VLOOKUP(Table2634[[#This Row],[Date]],'DB Money Supply'!$A:$D,4)</f>
        <v>3955.3</v>
      </c>
      <c r="C2345" s="31">
        <f>(Table2634[[#This Row],[M1 Money Stock, Billions of Dollars, Weekly, Seasonally Adjusted]]-B2344)/B2344</f>
        <v>5.2865675435252715E-3</v>
      </c>
      <c r="D2345" s="35">
        <f>(Table2634[[#This Row],[M1 Money Stock, Billions of Dollars, Weekly, Seasonally Adjusted]]-B2342)/B2342</f>
        <v>6.2840278837837157E-3</v>
      </c>
      <c r="E2345" s="25">
        <f t="shared" si="36"/>
        <v>3937.3500000000004</v>
      </c>
      <c r="F2345" s="33">
        <f>(Table2634[[#This Row],[4 weeks average]]-B2293)/B2293</f>
        <v>6.7061437979349103E-2</v>
      </c>
    </row>
    <row r="2346" spans="1:6" x14ac:dyDescent="0.2">
      <c r="A2346" s="34">
        <v>43780</v>
      </c>
      <c r="B2346" s="25">
        <f>VLOOKUP(Table2634[[#This Row],[Date]],'DB Money Supply'!$A:$D,4)</f>
        <v>3955.4</v>
      </c>
      <c r="C2346" s="31">
        <f>(Table2634[[#This Row],[M1 Money Stock, Billions of Dollars, Weekly, Seasonally Adjusted]]-B2345)/B2345</f>
        <v>2.5282532298412016E-5</v>
      </c>
      <c r="D2346" s="35">
        <f>(Table2634[[#This Row],[M1 Money Stock, Billions of Dollars, Weekly, Seasonally Adjusted]]-B2343)/B2343</f>
        <v>6.7192669890557624E-3</v>
      </c>
      <c r="E2346" s="25">
        <f t="shared" si="36"/>
        <v>3943.5499999999997</v>
      </c>
      <c r="F2346" s="33">
        <f>(Table2634[[#This Row],[4 weeks average]]-B2294)/B2294</f>
        <v>6.9408287232888555E-2</v>
      </c>
    </row>
    <row r="2347" spans="1:6" x14ac:dyDescent="0.2">
      <c r="A2347" s="34">
        <v>43787</v>
      </c>
      <c r="B2347" s="25">
        <f>VLOOKUP(Table2634[[#This Row],[Date]],'DB Money Supply'!$A:$D,4)</f>
        <v>3928</v>
      </c>
      <c r="C2347" s="31">
        <f>(Table2634[[#This Row],[M1 Money Stock, Billions of Dollars, Weekly, Seasonally Adjusted]]-B2346)/B2346</f>
        <v>-6.9272387116347499E-3</v>
      </c>
      <c r="D2347" s="35">
        <f>(Table2634[[#This Row],[M1 Money Stock, Billions of Dollars, Weekly, Seasonally Adjusted]]-B2344)/B2344</f>
        <v>-1.6520523573516331E-3</v>
      </c>
      <c r="E2347" s="25">
        <f t="shared" si="36"/>
        <v>3943.3</v>
      </c>
      <c r="F2347" s="33">
        <f>(Table2634[[#This Row],[4 weeks average]]-B2295)/B2295</f>
        <v>6.9079571641588774E-2</v>
      </c>
    </row>
    <row r="2348" spans="1:6" x14ac:dyDescent="0.2">
      <c r="A2348" s="34">
        <v>43794</v>
      </c>
      <c r="B2348" s="25">
        <f>VLOOKUP(Table2634[[#This Row],[Date]],'DB Money Supply'!$A:$D,4)</f>
        <v>3962.5</v>
      </c>
      <c r="C2348" s="31">
        <f>(Table2634[[#This Row],[M1 Money Stock, Billions of Dollars, Weekly, Seasonally Adjusted]]-B2347)/B2347</f>
        <v>8.7830957230142573E-3</v>
      </c>
      <c r="D2348" s="35">
        <f>(Table2634[[#This Row],[M1 Money Stock, Billions of Dollars, Weekly, Seasonally Adjusted]]-B2345)/B2345</f>
        <v>1.8203423254872747E-3</v>
      </c>
      <c r="E2348" s="25">
        <f t="shared" si="36"/>
        <v>3950.3</v>
      </c>
      <c r="F2348" s="33">
        <f>(Table2634[[#This Row],[4 weeks average]]-B2296)/B2296</f>
        <v>6.9701318746784396E-2</v>
      </c>
    </row>
    <row r="2349" spans="1:6" x14ac:dyDescent="0.2">
      <c r="A2349" s="34">
        <v>43801</v>
      </c>
      <c r="B2349" s="25">
        <f>VLOOKUP(Table2634[[#This Row],[Date]],'DB Money Supply'!$A:$D,4)</f>
        <v>3953.8</v>
      </c>
      <c r="C2349" s="31">
        <f>(Table2634[[#This Row],[M1 Money Stock, Billions of Dollars, Weekly, Seasonally Adjusted]]-B2348)/B2348</f>
        <v>-2.195583596214465E-3</v>
      </c>
      <c r="D2349" s="35">
        <f>(Table2634[[#This Row],[M1 Money Stock, Billions of Dollars, Weekly, Seasonally Adjusted]]-B2346)/B2346</f>
        <v>-4.04510289730472E-4</v>
      </c>
      <c r="E2349" s="25">
        <f t="shared" si="36"/>
        <v>3949.9250000000002</v>
      </c>
      <c r="F2349" s="33">
        <f>(Table2634[[#This Row],[4 weeks average]]-B2297)/B2297</f>
        <v>4.4760229587113592E-2</v>
      </c>
    </row>
    <row r="2350" spans="1:6" x14ac:dyDescent="0.2">
      <c r="A2350" s="34">
        <v>43808</v>
      </c>
      <c r="B2350" s="25">
        <f>VLOOKUP(Table2634[[#This Row],[Date]],'DB Money Supply'!$A:$D,4)</f>
        <v>3978.4</v>
      </c>
      <c r="C2350" s="31">
        <f>(Table2634[[#This Row],[M1 Money Stock, Billions of Dollars, Weekly, Seasonally Adjusted]]-B2349)/B2349</f>
        <v>6.221862512013736E-3</v>
      </c>
      <c r="D2350" s="35">
        <f>(Table2634[[#This Row],[M1 Money Stock, Billions of Dollars, Weekly, Seasonally Adjusted]]-B2347)/B2347</f>
        <v>1.2830957230142589E-2</v>
      </c>
      <c r="E2350" s="25">
        <f t="shared" si="36"/>
        <v>3955.6749999999997</v>
      </c>
      <c r="F2350" s="33">
        <f>(Table2634[[#This Row],[4 weeks average]]-B2298)/B2298</f>
        <v>4.9195002917617081E-2</v>
      </c>
    </row>
    <row r="2351" spans="1:6" x14ac:dyDescent="0.2">
      <c r="A2351" s="34">
        <v>43815</v>
      </c>
      <c r="B2351" s="25">
        <f>VLOOKUP(Table2634[[#This Row],[Date]],'DB Money Supply'!$A:$D,4)</f>
        <v>3992</v>
      </c>
      <c r="C2351" s="31">
        <f>(Table2634[[#This Row],[M1 Money Stock, Billions of Dollars, Weekly, Seasonally Adjusted]]-B2350)/B2350</f>
        <v>3.4184596822843124E-3</v>
      </c>
      <c r="D2351" s="35">
        <f>(Table2634[[#This Row],[M1 Money Stock, Billions of Dollars, Weekly, Seasonally Adjusted]]-B2348)/B2348</f>
        <v>7.444794952681388E-3</v>
      </c>
      <c r="E2351" s="25">
        <f t="shared" si="36"/>
        <v>3971.6750000000002</v>
      </c>
      <c r="F2351" s="33">
        <f>(Table2634[[#This Row],[4 weeks average]]-B2299)/B2299</f>
        <v>6.9609770548314229E-2</v>
      </c>
    </row>
    <row r="2352" spans="1:6" x14ac:dyDescent="0.2">
      <c r="A2352" s="34">
        <v>43822</v>
      </c>
      <c r="B2352" s="25">
        <f>VLOOKUP(Table2634[[#This Row],[Date]],'DB Money Supply'!$A:$D,4)</f>
        <v>3999</v>
      </c>
      <c r="C2352" s="31">
        <f>(Table2634[[#This Row],[M1 Money Stock, Billions of Dollars, Weekly, Seasonally Adjusted]]-B2351)/B2351</f>
        <v>1.7535070140280561E-3</v>
      </c>
      <c r="D2352" s="35">
        <f>(Table2634[[#This Row],[M1 Money Stock, Billions of Dollars, Weekly, Seasonally Adjusted]]-B2349)/B2349</f>
        <v>1.143204006272442E-2</v>
      </c>
      <c r="E2352" s="25">
        <f t="shared" si="36"/>
        <v>3980.8</v>
      </c>
      <c r="F2352" s="33">
        <f>(Table2634[[#This Row],[4 weeks average]]-B2300)/B2300</f>
        <v>5.8441903749002974E-2</v>
      </c>
    </row>
    <row r="2353" spans="1:6" x14ac:dyDescent="0.2">
      <c r="A2353" s="34">
        <v>43829</v>
      </c>
      <c r="B2353" s="25">
        <f>VLOOKUP(Table2634[[#This Row],[Date]],'DB Money Supply'!$A:$D,4)</f>
        <v>3963.7</v>
      </c>
      <c r="C2353" s="31">
        <f>(Table2634[[#This Row],[M1 Money Stock, Billions of Dollars, Weekly, Seasonally Adjusted]]-B2352)/B2352</f>
        <v>-8.8272068017004705E-3</v>
      </c>
      <c r="D2353" s="35">
        <f>(Table2634[[#This Row],[M1 Money Stock, Billions of Dollars, Weekly, Seasonally Adjusted]]-B2350)/B2350</f>
        <v>-3.6949527448221077E-3</v>
      </c>
      <c r="E2353" s="25">
        <f t="shared" si="36"/>
        <v>3983.2749999999996</v>
      </c>
      <c r="F2353" s="33">
        <f>(Table2634[[#This Row],[4 weeks average]]-B2301)/B2301</f>
        <v>6.3681638538773622E-2</v>
      </c>
    </row>
    <row r="2354" spans="1:6" x14ac:dyDescent="0.2">
      <c r="A2354" s="34">
        <v>43836</v>
      </c>
      <c r="B2354" s="25">
        <f>VLOOKUP(Table2634[[#This Row],[Date]],'DB Money Supply'!$A:$D,4)</f>
        <v>3948</v>
      </c>
      <c r="C2354" s="31">
        <f>(Table2634[[#This Row],[M1 Money Stock, Billions of Dollars, Weekly, Seasonally Adjusted]]-B2353)/B2353</f>
        <v>-3.9609455811488812E-3</v>
      </c>
      <c r="D2354" s="35">
        <f>(Table2634[[#This Row],[M1 Money Stock, Billions of Dollars, Weekly, Seasonally Adjusted]]-B2351)/B2351</f>
        <v>-1.1022044088176353E-2</v>
      </c>
      <c r="E2354" s="25">
        <f t="shared" si="36"/>
        <v>3975.6750000000002</v>
      </c>
      <c r="F2354" s="33">
        <f>(Table2634[[#This Row],[4 weeks average]]-B2302)/B2302</f>
        <v>6.8098167750255331E-2</v>
      </c>
    </row>
    <row r="2355" spans="1:6" x14ac:dyDescent="0.2">
      <c r="A2355" s="34">
        <v>43843</v>
      </c>
      <c r="B2355" s="25">
        <f>VLOOKUP(Table2634[[#This Row],[Date]],'DB Money Supply'!$A:$D,4)</f>
        <v>3949.7</v>
      </c>
      <c r="C2355" s="31">
        <f>(Table2634[[#This Row],[M1 Money Stock, Billions of Dollars, Weekly, Seasonally Adjusted]]-B2354)/B2354</f>
        <v>4.3059777102325686E-4</v>
      </c>
      <c r="D2355" s="35">
        <f>(Table2634[[#This Row],[M1 Money Stock, Billions of Dollars, Weekly, Seasonally Adjusted]]-B2352)/B2352</f>
        <v>-1.2328082020505171E-2</v>
      </c>
      <c r="E2355" s="25">
        <f t="shared" si="36"/>
        <v>3965.1000000000004</v>
      </c>
      <c r="F2355" s="33">
        <f>(Table2634[[#This Row],[4 weeks average]]-B2303)/B2303</f>
        <v>6.5801145068946104E-2</v>
      </c>
    </row>
    <row r="2356" spans="1:6" x14ac:dyDescent="0.2">
      <c r="A2356" s="34">
        <v>43850</v>
      </c>
      <c r="B2356" s="25">
        <f>VLOOKUP(Table2634[[#This Row],[Date]],'DB Money Supply'!$A:$D,4)</f>
        <v>3978</v>
      </c>
      <c r="C2356" s="31">
        <f>(Table2634[[#This Row],[M1 Money Stock, Billions of Dollars, Weekly, Seasonally Adjusted]]-B2355)/B2355</f>
        <v>7.1651011469225975E-3</v>
      </c>
      <c r="D2356" s="35">
        <f>(Table2634[[#This Row],[M1 Money Stock, Billions of Dollars, Weekly, Seasonally Adjusted]]-B2353)/B2353</f>
        <v>3.6077402427025715E-3</v>
      </c>
      <c r="E2356" s="25">
        <f t="shared" si="36"/>
        <v>3959.85</v>
      </c>
      <c r="F2356" s="33">
        <f>(Table2634[[#This Row],[4 weeks average]]-B2304)/B2304</f>
        <v>5.3964493891565303E-2</v>
      </c>
    </row>
    <row r="2357" spans="1:6" x14ac:dyDescent="0.2">
      <c r="A2357" s="34">
        <v>43857</v>
      </c>
      <c r="B2357" s="25">
        <f>VLOOKUP(Table2634[[#This Row],[Date]],'DB Money Supply'!$A:$D,4)</f>
        <v>3962.2</v>
      </c>
      <c r="C2357" s="31">
        <f>(Table2634[[#This Row],[M1 Money Stock, Billions of Dollars, Weekly, Seasonally Adjusted]]-B2356)/B2356</f>
        <v>-3.9718451483157823E-3</v>
      </c>
      <c r="D2357" s="35">
        <f>(Table2634[[#This Row],[M1 Money Stock, Billions of Dollars, Weekly, Seasonally Adjusted]]-B2354)/B2354</f>
        <v>3.5967578520769549E-3</v>
      </c>
      <c r="E2357" s="25">
        <f t="shared" si="36"/>
        <v>3959.4750000000004</v>
      </c>
      <c r="F2357" s="33">
        <f>(Table2634[[#This Row],[4 weeks average]]-B2305)/B2305</f>
        <v>5.4903554110939487E-2</v>
      </c>
    </row>
    <row r="2358" spans="1:6" x14ac:dyDescent="0.2">
      <c r="A2358" s="34">
        <v>43864</v>
      </c>
      <c r="B2358" s="25">
        <f>VLOOKUP(Table2634[[#This Row],[Date]],'DB Money Supply'!$A:$D,4)</f>
        <v>4081.4</v>
      </c>
      <c r="C2358" s="31">
        <f>(Table2634[[#This Row],[M1 Money Stock, Billions of Dollars, Weekly, Seasonally Adjusted]]-B2357)/B2357</f>
        <v>3.0084296602897451E-2</v>
      </c>
      <c r="D2358" s="35">
        <f>(Table2634[[#This Row],[M1 Money Stock, Billions of Dollars, Weekly, Seasonally Adjusted]]-B2355)/B2355</f>
        <v>3.3344304630731521E-2</v>
      </c>
      <c r="E2358" s="25">
        <f t="shared" si="36"/>
        <v>3992.8249999999998</v>
      </c>
      <c r="F2358" s="33">
        <f>(Table2634[[#This Row],[4 weeks average]]-B2306)/B2306</f>
        <v>5.2876882103209039E-2</v>
      </c>
    </row>
    <row r="2359" spans="1:6" x14ac:dyDescent="0.2">
      <c r="A2359" s="34">
        <v>43871</v>
      </c>
      <c r="B2359" s="25">
        <f>VLOOKUP(Table2634[[#This Row],[Date]],'DB Money Supply'!$A:$D,4)</f>
        <v>4012.8</v>
      </c>
      <c r="C2359" s="31">
        <f>(Table2634[[#This Row],[M1 Money Stock, Billions of Dollars, Weekly, Seasonally Adjusted]]-B2358)/B2358</f>
        <v>-1.6807958053609032E-2</v>
      </c>
      <c r="D2359" s="35">
        <f>(Table2634[[#This Row],[M1 Money Stock, Billions of Dollars, Weekly, Seasonally Adjusted]]-B2356)/B2356</f>
        <v>8.7481146304676169E-3</v>
      </c>
      <c r="E2359" s="25">
        <f t="shared" si="36"/>
        <v>4008.6000000000004</v>
      </c>
      <c r="F2359" s="33">
        <f>(Table2634[[#This Row],[4 weeks average]]-B2307)/B2307</f>
        <v>6.3627679898110856E-2</v>
      </c>
    </row>
    <row r="2360" spans="1:6" x14ac:dyDescent="0.2">
      <c r="A2360" s="34">
        <v>43878</v>
      </c>
      <c r="B2360" s="25">
        <f>VLOOKUP(Table2634[[#This Row],[Date]],'DB Money Supply'!$A:$D,4)</f>
        <v>3983.6</v>
      </c>
      <c r="C2360" s="31">
        <f>(Table2634[[#This Row],[M1 Money Stock, Billions of Dollars, Weekly, Seasonally Adjusted]]-B2359)/B2359</f>
        <v>-7.2767145135566869E-3</v>
      </c>
      <c r="D2360" s="35">
        <f>(Table2634[[#This Row],[M1 Money Stock, Billions of Dollars, Weekly, Seasonally Adjusted]]-B2357)/B2357</f>
        <v>5.4010398263591164E-3</v>
      </c>
      <c r="E2360" s="25">
        <f t="shared" si="36"/>
        <v>4010.0000000000005</v>
      </c>
      <c r="F2360" s="33">
        <f>(Table2634[[#This Row],[4 weeks average]]-B2308)/B2308</f>
        <v>6.7085340216610431E-2</v>
      </c>
    </row>
    <row r="2361" spans="1:6" x14ac:dyDescent="0.2">
      <c r="A2361" s="34">
        <v>43885</v>
      </c>
      <c r="B2361" s="25">
        <f>VLOOKUP(Table2634[[#This Row],[Date]],'DB Money Supply'!$A:$D,4)</f>
        <v>3971.4</v>
      </c>
      <c r="C2361" s="31">
        <f>(Table2634[[#This Row],[M1 Money Stock, Billions of Dollars, Weekly, Seasonally Adjusted]]-B2360)/B2360</f>
        <v>-3.0625564815744098E-3</v>
      </c>
      <c r="D2361" s="35">
        <f>(Table2634[[#This Row],[M1 Money Stock, Billions of Dollars, Weekly, Seasonally Adjusted]]-B2358)/B2358</f>
        <v>-2.6951536237565542E-2</v>
      </c>
      <c r="E2361" s="25">
        <f t="shared" si="36"/>
        <v>4012.3</v>
      </c>
      <c r="F2361" s="33">
        <f>(Table2634[[#This Row],[4 weeks average]]-B2309)/B2309</f>
        <v>7.1947635586428041E-2</v>
      </c>
    </row>
    <row r="2362" spans="1:6" x14ac:dyDescent="0.2">
      <c r="A2362" s="34">
        <v>43892</v>
      </c>
      <c r="B2362" s="25">
        <f>VLOOKUP(Table2634[[#This Row],[Date]],'DB Money Supply'!$A:$D,4)</f>
        <v>4028.2</v>
      </c>
      <c r="C2362" s="31">
        <f>(Table2634[[#This Row],[M1 Money Stock, Billions of Dollars, Weekly, Seasonally Adjusted]]-B2361)/B2361</f>
        <v>1.4302261167346458E-2</v>
      </c>
      <c r="D2362" s="35">
        <f>(Table2634[[#This Row],[M1 Money Stock, Billions of Dollars, Weekly, Seasonally Adjusted]]-B2359)/B2359</f>
        <v>3.8377192982455232E-3</v>
      </c>
      <c r="E2362" s="25">
        <f t="shared" si="36"/>
        <v>3999</v>
      </c>
      <c r="F2362" s="33">
        <f>(Table2634[[#This Row],[4 weeks average]]-B2310)/B2310</f>
        <v>6.1643835616438304E-2</v>
      </c>
    </row>
    <row r="2363" spans="1:6" x14ac:dyDescent="0.2">
      <c r="A2363" s="34">
        <v>43899</v>
      </c>
      <c r="B2363" s="25">
        <f>VLOOKUP(Table2634[[#This Row],[Date]],'DB Money Supply'!$A:$D,4)</f>
        <v>4063.6</v>
      </c>
      <c r="C2363" s="31">
        <f>(Table2634[[#This Row],[M1 Money Stock, Billions of Dollars, Weekly, Seasonally Adjusted]]-B2362)/B2362</f>
        <v>8.7880442877712357E-3</v>
      </c>
      <c r="D2363" s="35">
        <f>(Table2634[[#This Row],[M1 Money Stock, Billions of Dollars, Weekly, Seasonally Adjusted]]-B2360)/B2360</f>
        <v>2.0082337584094789E-2</v>
      </c>
      <c r="E2363" s="25">
        <f t="shared" si="36"/>
        <v>4011.7000000000003</v>
      </c>
      <c r="F2363" s="33">
        <f>(Table2634[[#This Row],[4 weeks average]]-B2311)/B2311</f>
        <v>7.3536888865102137E-2</v>
      </c>
    </row>
    <row r="2364" spans="1:6" x14ac:dyDescent="0.2">
      <c r="A2364" s="34">
        <v>43906</v>
      </c>
      <c r="B2364" s="25">
        <f>VLOOKUP(Table2634[[#This Row],[Date]],'DB Money Supply'!$A:$D,4)</f>
        <v>4126.8</v>
      </c>
      <c r="C2364" s="31">
        <f>(Table2634[[#This Row],[M1 Money Stock, Billions of Dollars, Weekly, Seasonally Adjusted]]-B2363)/B2363</f>
        <v>1.5552711881090727E-2</v>
      </c>
      <c r="D2364" s="35">
        <f>(Table2634[[#This Row],[M1 Money Stock, Billions of Dollars, Weekly, Seasonally Adjusted]]-B2361)/B2361</f>
        <v>3.9129777912071333E-2</v>
      </c>
      <c r="E2364" s="25">
        <f t="shared" si="36"/>
        <v>4047.5</v>
      </c>
      <c r="F2364" s="33">
        <f>(Table2634[[#This Row],[4 weeks average]]-B2312)/B2312</f>
        <v>8.9003686065595874E-2</v>
      </c>
    </row>
    <row r="2365" spans="1:6" x14ac:dyDescent="0.2">
      <c r="A2365" s="34">
        <v>43913</v>
      </c>
      <c r="B2365" s="25">
        <f>VLOOKUP(Table2634[[#This Row],[Date]],'DB Money Supply'!$A:$D,4)</f>
        <v>4313.6000000000004</v>
      </c>
      <c r="C2365" s="31">
        <f>(Table2634[[#This Row],[M1 Money Stock, Billions of Dollars, Weekly, Seasonally Adjusted]]-B2364)/B2364</f>
        <v>4.5265096442764413E-2</v>
      </c>
      <c r="D2365" s="35">
        <f>(Table2634[[#This Row],[M1 Money Stock, Billions of Dollars, Weekly, Seasonally Adjusted]]-B2362)/B2362</f>
        <v>7.0850503947172572E-2</v>
      </c>
      <c r="E2365" s="25">
        <f t="shared" si="36"/>
        <v>4133.0499999999993</v>
      </c>
      <c r="F2365" s="33">
        <f>(Table2634[[#This Row],[4 weeks average]]-B2313)/B2313</f>
        <v>0.10856154279430279</v>
      </c>
    </row>
    <row r="2366" spans="1:6" x14ac:dyDescent="0.2">
      <c r="A2366" s="34">
        <v>43920</v>
      </c>
      <c r="B2366" s="25">
        <f>VLOOKUP(Table2634[[#This Row],[Date]],'DB Money Supply'!$A:$D,4)</f>
        <v>4513.2</v>
      </c>
      <c r="C2366" s="31">
        <f>(Table2634[[#This Row],[M1 Money Stock, Billions of Dollars, Weekly, Seasonally Adjusted]]-B2365)/B2365</f>
        <v>4.6272255192878205E-2</v>
      </c>
      <c r="D2366" s="35">
        <f>(Table2634[[#This Row],[M1 Money Stock, Billions of Dollars, Weekly, Seasonally Adjusted]]-B2363)/B2363</f>
        <v>0.11064081110345504</v>
      </c>
      <c r="E2366" s="25">
        <f t="shared" si="36"/>
        <v>4254.3</v>
      </c>
      <c r="F2366" s="33">
        <f>(Table2634[[#This Row],[4 weeks average]]-B2314)/B2314</f>
        <v>0.14007396291135177</v>
      </c>
    </row>
    <row r="2367" spans="1:6" x14ac:dyDescent="0.2">
      <c r="A2367" s="34">
        <v>43927</v>
      </c>
      <c r="B2367" s="25">
        <f>VLOOKUP(Table2634[[#This Row],[Date]],'DB Money Supply'!$A:$D,4)</f>
        <v>4591.2</v>
      </c>
      <c r="C2367" s="31">
        <f>(Table2634[[#This Row],[M1 Money Stock, Billions of Dollars, Weekly, Seasonally Adjusted]]-B2366)/B2366</f>
        <v>1.7282637596383942E-2</v>
      </c>
      <c r="D2367" s="35">
        <f>(Table2634[[#This Row],[M1 Money Stock, Billions of Dollars, Weekly, Seasonally Adjusted]]-B2364)/B2364</f>
        <v>0.11253271299796443</v>
      </c>
      <c r="E2367" s="25">
        <f t="shared" si="36"/>
        <v>4386.2000000000007</v>
      </c>
      <c r="F2367" s="33">
        <f>(Table2634[[#This Row],[4 weeks average]]-B2315)/B2315</f>
        <v>0.17077727952167432</v>
      </c>
    </row>
    <row r="2368" spans="1:6" x14ac:dyDescent="0.2">
      <c r="A2368" s="34">
        <v>43934</v>
      </c>
      <c r="B2368" s="25">
        <f>VLOOKUP(Table2634[[#This Row],[Date]],'DB Money Supply'!$A:$D,4)</f>
        <v>4716.8</v>
      </c>
      <c r="C2368" s="31">
        <f>(Table2634[[#This Row],[M1 Money Stock, Billions of Dollars, Weekly, Seasonally Adjusted]]-B2367)/B2367</f>
        <v>2.7356682348841341E-2</v>
      </c>
      <c r="D2368" s="35">
        <f>(Table2634[[#This Row],[M1 Money Stock, Billions of Dollars, Weekly, Seasonally Adjusted]]-B2365)/B2365</f>
        <v>9.3471810089020724E-2</v>
      </c>
      <c r="E2368" s="25">
        <f t="shared" si="36"/>
        <v>4533.7</v>
      </c>
      <c r="F2368" s="33">
        <f>(Table2634[[#This Row],[4 weeks average]]-B2316)/B2316</f>
        <v>0.19414739503766526</v>
      </c>
    </row>
    <row r="2369" spans="1:6" x14ac:dyDescent="0.2">
      <c r="A2369" s="34">
        <v>43941</v>
      </c>
      <c r="B2369" s="25">
        <f>VLOOKUP(Table2634[[#This Row],[Date]],'DB Money Supply'!$A:$D,4)</f>
        <v>4850.1000000000004</v>
      </c>
      <c r="C2369" s="31">
        <f>(Table2634[[#This Row],[M1 Money Stock, Billions of Dollars, Weekly, Seasonally Adjusted]]-B2368)/B2368</f>
        <v>2.8260685210312112E-2</v>
      </c>
      <c r="D2369" s="35">
        <f>(Table2634[[#This Row],[M1 Money Stock, Billions of Dollars, Weekly, Seasonally Adjusted]]-B2366)/B2366</f>
        <v>7.4647700079766149E-2</v>
      </c>
      <c r="E2369" s="25">
        <f t="shared" si="36"/>
        <v>4667.8250000000007</v>
      </c>
      <c r="F2369" s="33">
        <f>(Table2634[[#This Row],[4 weeks average]]-B2317)/B2317</f>
        <v>0.23168109135046719</v>
      </c>
    </row>
    <row r="2370" spans="1:6" x14ac:dyDescent="0.2">
      <c r="A2370" s="34">
        <v>43948</v>
      </c>
      <c r="B2370" s="25">
        <f>VLOOKUP(Table2634[[#This Row],[Date]],'DB Money Supply'!$A:$D,4)</f>
        <v>4898.5</v>
      </c>
      <c r="C2370" s="31">
        <f>(Table2634[[#This Row],[M1 Money Stock, Billions of Dollars, Weekly, Seasonally Adjusted]]-B2369)/B2369</f>
        <v>9.9791756870991587E-3</v>
      </c>
      <c r="D2370" s="35">
        <f>(Table2634[[#This Row],[M1 Money Stock, Billions of Dollars, Weekly, Seasonally Adjusted]]-B2367)/B2367</f>
        <v>6.6932392402857685E-2</v>
      </c>
      <c r="E2370" s="25">
        <f t="shared" si="36"/>
        <v>4764.1499999999996</v>
      </c>
      <c r="F2370" s="33">
        <f>(Table2634[[#This Row],[4 weeks average]]-B2318)/B2318</f>
        <v>0.24935095586499867</v>
      </c>
    </row>
    <row r="2371" spans="1:6" x14ac:dyDescent="0.2">
      <c r="A2371" s="34">
        <v>43955</v>
      </c>
      <c r="B2371" s="25">
        <f>VLOOKUP(Table2634[[#This Row],[Date]],'DB Money Supply'!$A:$D,4)</f>
        <v>15982.1</v>
      </c>
      <c r="C2371" s="31">
        <f>(Table2634[[#This Row],[M1 Money Stock, Billions of Dollars, Weekly, Seasonally Adjusted]]-B2370)/B2370</f>
        <v>2.2626518321935287</v>
      </c>
      <c r="D2371" s="35">
        <f>(Table2634[[#This Row],[M1 Money Stock, Billions of Dollars, Weekly, Seasonally Adjusted]]-B2368)/B2368</f>
        <v>2.3883353120759834</v>
      </c>
      <c r="E2371" s="25">
        <f t="shared" si="36"/>
        <v>7611.875</v>
      </c>
      <c r="F2371" s="33">
        <f>(Table2634[[#This Row],[4 weeks average]]-B2319)/B2319</f>
        <v>1.0214778913822866</v>
      </c>
    </row>
    <row r="2372" spans="1:6" x14ac:dyDescent="0.2">
      <c r="A2372" s="34">
        <v>43962</v>
      </c>
      <c r="B2372" s="25">
        <f>VLOOKUP(Table2634[[#This Row],[Date]],'DB Money Supply'!$A:$D,4)</f>
        <v>16201.3</v>
      </c>
      <c r="C2372" s="31">
        <f>(Table2634[[#This Row],[M1 Money Stock, Billions of Dollars, Weekly, Seasonally Adjusted]]-B2371)/B2371</f>
        <v>1.3715344041145964E-2</v>
      </c>
      <c r="D2372" s="35">
        <f>(Table2634[[#This Row],[M1 Money Stock, Billions of Dollars, Weekly, Seasonally Adjusted]]-B2369)/B2369</f>
        <v>2.3404053524669592</v>
      </c>
      <c r="E2372" s="25">
        <f t="shared" si="36"/>
        <v>10483</v>
      </c>
      <c r="F2372" s="33">
        <f>(Table2634[[#This Row],[4 weeks average]]-B2320)/B2320</f>
        <v>1.7786465926259709</v>
      </c>
    </row>
    <row r="2373" spans="1:6" x14ac:dyDescent="0.2">
      <c r="A2373" s="34">
        <v>43969</v>
      </c>
      <c r="B2373" s="25">
        <f>VLOOKUP(Table2634[[#This Row],[Date]],'DB Money Supply'!$A:$D,4)</f>
        <v>16292.4</v>
      </c>
      <c r="C2373" s="31">
        <f>(Table2634[[#This Row],[M1 Money Stock, Billions of Dollars, Weekly, Seasonally Adjusted]]-B2372)/B2372</f>
        <v>5.6230055612821418E-3</v>
      </c>
      <c r="D2373" s="35">
        <f>(Table2634[[#This Row],[M1 Money Stock, Billions of Dollars, Weekly, Seasonally Adjusted]]-B2370)/B2370</f>
        <v>2.3259977544146166</v>
      </c>
      <c r="E2373" s="25">
        <f t="shared" si="36"/>
        <v>13343.574999999999</v>
      </c>
      <c r="F2373" s="33">
        <f>(Table2634[[#This Row],[4 weeks average]]-B2321)/B2321</f>
        <v>2.5282728258282869</v>
      </c>
    </row>
    <row r="2374" spans="1:6" x14ac:dyDescent="0.2">
      <c r="A2374" s="34">
        <v>43976</v>
      </c>
      <c r="B2374" s="25">
        <f>VLOOKUP(Table2634[[#This Row],[Date]],'DB Money Supply'!$A:$D,4)</f>
        <v>16319.7</v>
      </c>
      <c r="C2374" s="31">
        <f>(Table2634[[#This Row],[M1 Money Stock, Billions of Dollars, Weekly, Seasonally Adjusted]]-B2373)/B2373</f>
        <v>1.6756279001252788E-3</v>
      </c>
      <c r="D2374" s="35">
        <f>(Table2634[[#This Row],[M1 Money Stock, Billions of Dollars, Weekly, Seasonally Adjusted]]-B2371)/B2371</f>
        <v>2.1123632063370919E-2</v>
      </c>
      <c r="E2374" s="25">
        <f t="shared" si="36"/>
        <v>16198.875</v>
      </c>
      <c r="F2374" s="33">
        <f>(Table2634[[#This Row],[4 weeks average]]-B2322)/B2322</f>
        <v>3.2516732283464567</v>
      </c>
    </row>
    <row r="2375" spans="1:6" x14ac:dyDescent="0.2">
      <c r="A2375" s="34">
        <v>43983</v>
      </c>
      <c r="B2375" s="25">
        <f>VLOOKUP(Table2634[[#This Row],[Date]],'DB Money Supply'!$A:$D,4)</f>
        <v>16364.1</v>
      </c>
      <c r="C2375" s="31">
        <f>(Table2634[[#This Row],[M1 Money Stock, Billions of Dollars, Weekly, Seasonally Adjusted]]-B2374)/B2374</f>
        <v>2.7206382470265772E-3</v>
      </c>
      <c r="D2375" s="35">
        <f>(Table2634[[#This Row],[M1 Money Stock, Billions of Dollars, Weekly, Seasonally Adjusted]]-B2372)/B2372</f>
        <v>1.0048576348811582E-2</v>
      </c>
      <c r="E2375" s="25">
        <f t="shared" si="36"/>
        <v>16294.374999999998</v>
      </c>
      <c r="F2375" s="33">
        <f>(Table2634[[#This Row],[4 weeks average]]-B2323)/B2323</f>
        <v>3.2038066613348466</v>
      </c>
    </row>
    <row r="2376" spans="1:6" x14ac:dyDescent="0.2">
      <c r="A2376" s="34">
        <v>43990</v>
      </c>
      <c r="B2376" s="25">
        <f>VLOOKUP(Table2634[[#This Row],[Date]],'DB Money Supply'!$A:$D,4)</f>
        <v>16467</v>
      </c>
      <c r="C2376" s="31">
        <f>(Table2634[[#This Row],[M1 Money Stock, Billions of Dollars, Weekly, Seasonally Adjusted]]-B2375)/B2375</f>
        <v>6.2881551689368577E-3</v>
      </c>
      <c r="D2376" s="35">
        <f>(Table2634[[#This Row],[M1 Money Stock, Billions of Dollars, Weekly, Seasonally Adjusted]]-B2373)/B2373</f>
        <v>1.071665316343819E-2</v>
      </c>
      <c r="E2376" s="25">
        <f t="shared" si="36"/>
        <v>16360.8</v>
      </c>
      <c r="F2376" s="33">
        <f>(Table2634[[#This Row],[4 weeks average]]-B2324)/B2324</f>
        <v>3.2610688613397225</v>
      </c>
    </row>
    <row r="2377" spans="1:6" x14ac:dyDescent="0.2">
      <c r="A2377" s="34">
        <v>43997</v>
      </c>
      <c r="B2377" s="25">
        <f>VLOOKUP(Table2634[[#This Row],[Date]],'DB Money Supply'!$A:$D,4)</f>
        <v>16554.5</v>
      </c>
      <c r="C2377" s="31">
        <f>(Table2634[[#This Row],[M1 Money Stock, Billions of Dollars, Weekly, Seasonally Adjusted]]-B2376)/B2376</f>
        <v>5.3136576182668364E-3</v>
      </c>
      <c r="D2377" s="35">
        <f>(Table2634[[#This Row],[M1 Money Stock, Billions of Dollars, Weekly, Seasonally Adjusted]]-B2374)/B2374</f>
        <v>1.4387519378419901E-2</v>
      </c>
      <c r="E2377" s="25">
        <f t="shared" ref="E2377:E2440" si="37">AVERAGE(B2374:B2377)</f>
        <v>16426.325000000001</v>
      </c>
      <c r="F2377" s="33">
        <f>(Table2634[[#This Row],[4 weeks average]]-B2325)/B2325</f>
        <v>3.2859481813912228</v>
      </c>
    </row>
    <row r="2378" spans="1:6" x14ac:dyDescent="0.2">
      <c r="A2378" s="34">
        <v>44004</v>
      </c>
      <c r="B2378" s="25">
        <f>VLOOKUP(Table2634[[#This Row],[Date]],'DB Money Supply'!$A:$D,4)</f>
        <v>16654.8</v>
      </c>
      <c r="C2378" s="31">
        <f>(Table2634[[#This Row],[M1 Money Stock, Billions of Dollars, Weekly, Seasonally Adjusted]]-B2377)/B2377</f>
        <v>6.0587755595154953E-3</v>
      </c>
      <c r="D2378" s="35">
        <f>(Table2634[[#This Row],[M1 Money Stock, Billions of Dollars, Weekly, Seasonally Adjusted]]-B2375)/B2375</f>
        <v>1.7764496672594211E-2</v>
      </c>
      <c r="E2378" s="25">
        <f t="shared" si="37"/>
        <v>16510.099999999999</v>
      </c>
      <c r="F2378" s="33">
        <f>(Table2634[[#This Row],[4 weeks average]]-B2326)/B2326</f>
        <v>3.310956185701603</v>
      </c>
    </row>
    <row r="2379" spans="1:6" x14ac:dyDescent="0.2">
      <c r="A2379" s="34">
        <v>44011</v>
      </c>
      <c r="B2379" s="25">
        <f>VLOOKUP(Table2634[[#This Row],[Date]],'DB Money Supply'!$A:$D,4)</f>
        <v>16656.599999999999</v>
      </c>
      <c r="C2379" s="31">
        <f>(Table2634[[#This Row],[M1 Money Stock, Billions of Dollars, Weekly, Seasonally Adjusted]]-B2378)/B2378</f>
        <v>1.0807695078891806E-4</v>
      </c>
      <c r="D2379" s="35">
        <f>(Table2634[[#This Row],[M1 Money Stock, Billions of Dollars, Weekly, Seasonally Adjusted]]-B2376)/B2376</f>
        <v>1.151393696483868E-2</v>
      </c>
      <c r="E2379" s="25">
        <f t="shared" si="37"/>
        <v>16583.224999999999</v>
      </c>
      <c r="F2379" s="33">
        <f>(Table2634[[#This Row],[4 weeks average]]-B2327)/B2327</f>
        <v>3.3426362374630108</v>
      </c>
    </row>
    <row r="2380" spans="1:6" x14ac:dyDescent="0.2">
      <c r="A2380" s="34">
        <v>44018</v>
      </c>
      <c r="B2380" s="25">
        <f>VLOOKUP(Table2634[[#This Row],[Date]],'DB Money Supply'!$A:$D,4)</f>
        <v>16763.3</v>
      </c>
      <c r="C2380" s="31">
        <f>(Table2634[[#This Row],[M1 Money Stock, Billions of Dollars, Weekly, Seasonally Adjusted]]-B2379)/B2379</f>
        <v>6.4058691449636026E-3</v>
      </c>
      <c r="D2380" s="35">
        <f>(Table2634[[#This Row],[M1 Money Stock, Billions of Dollars, Weekly, Seasonally Adjusted]]-B2377)/B2377</f>
        <v>1.2612884714126025E-2</v>
      </c>
      <c r="E2380" s="25">
        <f t="shared" si="37"/>
        <v>16657.3</v>
      </c>
      <c r="F2380" s="33">
        <f>(Table2634[[#This Row],[4 weeks average]]-B2328)/B2328</f>
        <v>3.3407776098399955</v>
      </c>
    </row>
    <row r="2381" spans="1:6" x14ac:dyDescent="0.2">
      <c r="A2381" s="34">
        <v>44025</v>
      </c>
      <c r="B2381" s="25">
        <f>VLOOKUP(Table2634[[#This Row],[Date]],'DB Money Supply'!$A:$D,4)</f>
        <v>16836.7</v>
      </c>
      <c r="C2381" s="31">
        <f>(Table2634[[#This Row],[M1 Money Stock, Billions of Dollars, Weekly, Seasonally Adjusted]]-B2380)/B2380</f>
        <v>4.378612802968476E-3</v>
      </c>
      <c r="D2381" s="35">
        <f>(Table2634[[#This Row],[M1 Money Stock, Billions of Dollars, Weekly, Seasonally Adjusted]]-B2378)/B2378</f>
        <v>1.0921776304729056E-2</v>
      </c>
      <c r="E2381" s="25">
        <f t="shared" si="37"/>
        <v>16727.849999999999</v>
      </c>
      <c r="F2381" s="33">
        <f>(Table2634[[#This Row],[4 weeks average]]-B2329)/B2329</f>
        <v>3.3375729288214697</v>
      </c>
    </row>
    <row r="2382" spans="1:6" x14ac:dyDescent="0.2">
      <c r="A2382" s="34">
        <v>44032</v>
      </c>
      <c r="B2382" s="25">
        <f>VLOOKUP(Table2634[[#This Row],[Date]],'DB Money Supply'!$A:$D,4)</f>
        <v>16781.900000000001</v>
      </c>
      <c r="C2382" s="31">
        <f>(Table2634[[#This Row],[M1 Money Stock, Billions of Dollars, Weekly, Seasonally Adjusted]]-B2381)/B2381</f>
        <v>-3.2547945856372844E-3</v>
      </c>
      <c r="D2382" s="35">
        <f>(Table2634[[#This Row],[M1 Money Stock, Billions of Dollars, Weekly, Seasonally Adjusted]]-B2379)/B2379</f>
        <v>7.5225436163444473E-3</v>
      </c>
      <c r="E2382" s="25">
        <f t="shared" si="37"/>
        <v>16759.625</v>
      </c>
      <c r="F2382" s="33">
        <f>(Table2634[[#This Row],[4 weeks average]]-B2330)/B2330</f>
        <v>3.3246181039376581</v>
      </c>
    </row>
    <row r="2383" spans="1:6" x14ac:dyDescent="0.2">
      <c r="A2383" s="34">
        <v>44039</v>
      </c>
      <c r="B2383" s="25">
        <f>VLOOKUP(Table2634[[#This Row],[Date]],'DB Money Supply'!$A:$D,4)</f>
        <v>16753.3</v>
      </c>
      <c r="C2383" s="31">
        <f>(Table2634[[#This Row],[M1 Money Stock, Billions of Dollars, Weekly, Seasonally Adjusted]]-B2382)/B2382</f>
        <v>-1.7042170433623238E-3</v>
      </c>
      <c r="D2383" s="35">
        <f>(Table2634[[#This Row],[M1 Money Stock, Billions of Dollars, Weekly, Seasonally Adjusted]]-B2380)/B2380</f>
        <v>-5.9654125381040728E-4</v>
      </c>
      <c r="E2383" s="25">
        <f t="shared" si="37"/>
        <v>16783.8</v>
      </c>
      <c r="F2383" s="33">
        <f>(Table2634[[#This Row],[4 weeks average]]-B2331)/B2331</f>
        <v>3.3337636851890102</v>
      </c>
    </row>
    <row r="2384" spans="1:6" x14ac:dyDescent="0.2">
      <c r="A2384" s="34">
        <v>44046</v>
      </c>
      <c r="B2384" s="25">
        <f>VLOOKUP(Table2634[[#This Row],[Date]],'DB Money Supply'!$A:$D,4)</f>
        <v>16734.7</v>
      </c>
      <c r="C2384" s="31">
        <f>(Table2634[[#This Row],[M1 Money Stock, Billions of Dollars, Weekly, Seasonally Adjusted]]-B2383)/B2383</f>
        <v>-1.110229029504548E-3</v>
      </c>
      <c r="D2384" s="35">
        <f>(Table2634[[#This Row],[M1 Money Stock, Billions of Dollars, Weekly, Seasonally Adjusted]]-B2381)/B2381</f>
        <v>-6.0581943017337121E-3</v>
      </c>
      <c r="E2384" s="25">
        <f t="shared" si="37"/>
        <v>16776.650000000001</v>
      </c>
      <c r="F2384" s="33">
        <f>(Table2634[[#This Row],[4 weeks average]]-B2332)/B2332</f>
        <v>3.3293463394493048</v>
      </c>
    </row>
    <row r="2385" spans="1:6" x14ac:dyDescent="0.2">
      <c r="A2385" s="34">
        <v>44053</v>
      </c>
      <c r="B2385" s="25">
        <f>VLOOKUP(Table2634[[#This Row],[Date]],'DB Money Supply'!$A:$D,4)</f>
        <v>16888.900000000001</v>
      </c>
      <c r="C2385" s="31">
        <f>(Table2634[[#This Row],[M1 Money Stock, Billions of Dollars, Weekly, Seasonally Adjusted]]-B2384)/B2384</f>
        <v>9.2143868727853333E-3</v>
      </c>
      <c r="D2385" s="35">
        <f>(Table2634[[#This Row],[M1 Money Stock, Billions of Dollars, Weekly, Seasonally Adjusted]]-B2382)/B2382</f>
        <v>6.3759169104809343E-3</v>
      </c>
      <c r="E2385" s="25">
        <f t="shared" si="37"/>
        <v>16789.699999999997</v>
      </c>
      <c r="F2385" s="33">
        <f>(Table2634[[#This Row],[4 weeks average]]-B2333)/B2333</f>
        <v>3.3485366485366477</v>
      </c>
    </row>
    <row r="2386" spans="1:6" x14ac:dyDescent="0.2">
      <c r="A2386" s="34">
        <v>44060</v>
      </c>
      <c r="B2386" s="25">
        <f>VLOOKUP(Table2634[[#This Row],[Date]],'DB Money Supply'!$A:$D,4)</f>
        <v>16938.599999999999</v>
      </c>
      <c r="C2386" s="31">
        <f>(Table2634[[#This Row],[M1 Money Stock, Billions of Dollars, Weekly, Seasonally Adjusted]]-B2385)/B2385</f>
        <v>2.9427612218674445E-3</v>
      </c>
      <c r="D2386" s="35">
        <f>(Table2634[[#This Row],[M1 Money Stock, Billions of Dollars, Weekly, Seasonally Adjusted]]-B2383)/B2383</f>
        <v>1.106050748210796E-2</v>
      </c>
      <c r="E2386" s="25">
        <f t="shared" si="37"/>
        <v>16828.875</v>
      </c>
      <c r="F2386" s="33">
        <f>(Table2634[[#This Row],[4 weeks average]]-B2334)/B2334</f>
        <v>3.3912104686358417</v>
      </c>
    </row>
    <row r="2387" spans="1:6" x14ac:dyDescent="0.2">
      <c r="A2387" s="34">
        <v>44067</v>
      </c>
      <c r="B2387" s="25">
        <f>VLOOKUP(Table2634[[#This Row],[Date]],'DB Money Supply'!$A:$D,4)</f>
        <v>16880.599999999999</v>
      </c>
      <c r="C2387" s="31">
        <f>(Table2634[[#This Row],[M1 Money Stock, Billions of Dollars, Weekly, Seasonally Adjusted]]-B2386)/B2386</f>
        <v>-3.4241318644988371E-3</v>
      </c>
      <c r="D2387" s="35">
        <f>(Table2634[[#This Row],[M1 Money Stock, Billions of Dollars, Weekly, Seasonally Adjusted]]-B2384)/B2384</f>
        <v>8.718411444483487E-3</v>
      </c>
      <c r="E2387" s="25">
        <f t="shared" si="37"/>
        <v>16860.7</v>
      </c>
      <c r="F2387" s="33">
        <f>(Table2634[[#This Row],[4 weeks average]]-B2335)/B2335</f>
        <v>3.3850975292587777</v>
      </c>
    </row>
    <row r="2388" spans="1:6" x14ac:dyDescent="0.2">
      <c r="A2388" s="34">
        <v>44074</v>
      </c>
      <c r="B2388" s="25">
        <f>VLOOKUP(Table2634[[#This Row],[Date]],'DB Money Supply'!$A:$D,4)</f>
        <v>16962.8</v>
      </c>
      <c r="C2388" s="31">
        <f>(Table2634[[#This Row],[M1 Money Stock, Billions of Dollars, Weekly, Seasonally Adjusted]]-B2387)/B2387</f>
        <v>4.8694951601246841E-3</v>
      </c>
      <c r="D2388" s="35">
        <f>(Table2634[[#This Row],[M1 Money Stock, Billions of Dollars, Weekly, Seasonally Adjusted]]-B2385)/B2385</f>
        <v>4.3756550160163072E-3</v>
      </c>
      <c r="E2388" s="25">
        <f t="shared" si="37"/>
        <v>16917.724999999999</v>
      </c>
      <c r="F2388" s="33">
        <f>(Table2634[[#This Row],[4 weeks average]]-B2336)/B2336</f>
        <v>3.3624871067560593</v>
      </c>
    </row>
    <row r="2389" spans="1:6" x14ac:dyDescent="0.2">
      <c r="A2389" s="34">
        <v>44081</v>
      </c>
      <c r="B2389" s="25">
        <f>VLOOKUP(Table2634[[#This Row],[Date]],'DB Money Supply'!$A:$D,4)</f>
        <v>17087.5</v>
      </c>
      <c r="C2389" s="31">
        <f>(Table2634[[#This Row],[M1 Money Stock, Billions of Dollars, Weekly, Seasonally Adjusted]]-B2388)/B2388</f>
        <v>7.351380668285939E-3</v>
      </c>
      <c r="D2389" s="35">
        <f>(Table2634[[#This Row],[M1 Money Stock, Billions of Dollars, Weekly, Seasonally Adjusted]]-B2386)/B2386</f>
        <v>8.7905730107565843E-3</v>
      </c>
      <c r="E2389" s="25">
        <f t="shared" si="37"/>
        <v>16967.375</v>
      </c>
      <c r="F2389" s="33">
        <f>(Table2634[[#This Row],[4 weeks average]]-B2337)/B2337</f>
        <v>3.355187504812752</v>
      </c>
    </row>
    <row r="2390" spans="1:6" x14ac:dyDescent="0.2">
      <c r="A2390" s="34">
        <v>44088</v>
      </c>
      <c r="B2390" s="25">
        <f>VLOOKUP(Table2634[[#This Row],[Date]],'DB Money Supply'!$A:$D,4)</f>
        <v>17214.5</v>
      </c>
      <c r="C2390" s="31">
        <f>(Table2634[[#This Row],[M1 Money Stock, Billions of Dollars, Weekly, Seasonally Adjusted]]-B2389)/B2389</f>
        <v>7.4323335771762982E-3</v>
      </c>
      <c r="D2390" s="35">
        <f>(Table2634[[#This Row],[M1 Money Stock, Billions of Dollars, Weekly, Seasonally Adjusted]]-B2387)/B2387</f>
        <v>1.9780102602988132E-2</v>
      </c>
      <c r="E2390" s="25">
        <f t="shared" si="37"/>
        <v>17036.349999999999</v>
      </c>
      <c r="F2390" s="33">
        <f>(Table2634[[#This Row],[4 weeks average]]-B2338)/B2338</f>
        <v>3.3730042609990241</v>
      </c>
    </row>
    <row r="2391" spans="1:6" x14ac:dyDescent="0.2">
      <c r="A2391" s="34">
        <v>44095</v>
      </c>
      <c r="B2391" s="25">
        <f>VLOOKUP(Table2634[[#This Row],[Date]],'DB Money Supply'!$A:$D,4)</f>
        <v>17237.7</v>
      </c>
      <c r="C2391" s="31">
        <f>(Table2634[[#This Row],[M1 Money Stock, Billions of Dollars, Weekly, Seasonally Adjusted]]-B2390)/B2390</f>
        <v>1.3477010659618768E-3</v>
      </c>
      <c r="D2391" s="35">
        <f>(Table2634[[#This Row],[M1 Money Stock, Billions of Dollars, Weekly, Seasonally Adjusted]]-B2388)/B2388</f>
        <v>1.6206050887825209E-2</v>
      </c>
      <c r="E2391" s="25">
        <f t="shared" si="37"/>
        <v>17125.625</v>
      </c>
      <c r="F2391" s="33">
        <f>(Table2634[[#This Row],[4 weeks average]]-B2339)/B2339</f>
        <v>3.3787233770550484</v>
      </c>
    </row>
    <row r="2392" spans="1:6" x14ac:dyDescent="0.2">
      <c r="A2392" s="34">
        <v>44102</v>
      </c>
      <c r="B2392" s="25">
        <f>VLOOKUP(Table2634[[#This Row],[Date]],'DB Money Supply'!$A:$D,4)</f>
        <v>17175</v>
      </c>
      <c r="C2392" s="31">
        <f>(Table2634[[#This Row],[M1 Money Stock, Billions of Dollars, Weekly, Seasonally Adjusted]]-B2391)/B2391</f>
        <v>-3.6373762160845547E-3</v>
      </c>
      <c r="D2392" s="35">
        <f>(Table2634[[#This Row],[M1 Money Stock, Billions of Dollars, Weekly, Seasonally Adjusted]]-B2389)/B2389</f>
        <v>5.1207022677395757E-3</v>
      </c>
      <c r="E2392" s="25">
        <f t="shared" si="37"/>
        <v>17178.674999999999</v>
      </c>
      <c r="F2392" s="33">
        <f>(Table2634[[#This Row],[4 weeks average]]-B2340)/B2340</f>
        <v>3.3731670994348555</v>
      </c>
    </row>
    <row r="2393" spans="1:6" x14ac:dyDescent="0.2">
      <c r="A2393" s="34">
        <v>44109</v>
      </c>
      <c r="B2393" s="25">
        <f>VLOOKUP(Table2634[[#This Row],[Date]],'DB Money Supply'!$A:$D,4)</f>
        <v>17223.5</v>
      </c>
      <c r="C2393" s="31">
        <f>(Table2634[[#This Row],[M1 Money Stock, Billions of Dollars, Weekly, Seasonally Adjusted]]-B2392)/B2392</f>
        <v>2.8238719068413394E-3</v>
      </c>
      <c r="D2393" s="35">
        <f>(Table2634[[#This Row],[M1 Money Stock, Billions of Dollars, Weekly, Seasonally Adjusted]]-B2390)/B2390</f>
        <v>5.2281506869209101E-4</v>
      </c>
      <c r="E2393" s="25">
        <f t="shared" si="37"/>
        <v>17212.674999999999</v>
      </c>
      <c r="F2393" s="33">
        <f>(Table2634[[#This Row],[4 weeks average]]-B2341)/B2341</f>
        <v>3.4206474561471092</v>
      </c>
    </row>
    <row r="2394" spans="1:6" x14ac:dyDescent="0.2">
      <c r="A2394" s="34">
        <v>44116</v>
      </c>
      <c r="B2394" s="25">
        <f>VLOOKUP(Table2634[[#This Row],[Date]],'DB Money Supply'!$A:$D,4)</f>
        <v>17331.5</v>
      </c>
      <c r="C2394" s="31">
        <f>(Table2634[[#This Row],[M1 Money Stock, Billions of Dollars, Weekly, Seasonally Adjusted]]-B2393)/B2393</f>
        <v>6.2705025111040149E-3</v>
      </c>
      <c r="D2394" s="35">
        <f>(Table2634[[#This Row],[M1 Money Stock, Billions of Dollars, Weekly, Seasonally Adjusted]]-B2391)/B2391</f>
        <v>5.4415612291662616E-3</v>
      </c>
      <c r="E2394" s="25">
        <f t="shared" si="37"/>
        <v>17241.924999999999</v>
      </c>
      <c r="F2394" s="33">
        <f>(Table2634[[#This Row],[4 weeks average]]-B2342)/B2342</f>
        <v>3.3865885615427667</v>
      </c>
    </row>
    <row r="2395" spans="1:6" x14ac:dyDescent="0.2">
      <c r="A2395" s="34">
        <v>44123</v>
      </c>
      <c r="B2395" s="25">
        <f>VLOOKUP(Table2634[[#This Row],[Date]],'DB Money Supply'!$A:$D,4)</f>
        <v>17350.3</v>
      </c>
      <c r="C2395" s="31">
        <f>(Table2634[[#This Row],[M1 Money Stock, Billions of Dollars, Weekly, Seasonally Adjusted]]-B2394)/B2394</f>
        <v>1.0847301156852709E-3</v>
      </c>
      <c r="D2395" s="35">
        <f>(Table2634[[#This Row],[M1 Money Stock, Billions of Dollars, Weekly, Seasonally Adjusted]]-B2392)/B2392</f>
        <v>1.0206695778748139E-2</v>
      </c>
      <c r="E2395" s="25">
        <f t="shared" si="37"/>
        <v>17270.075000000001</v>
      </c>
      <c r="F2395" s="33">
        <f>(Table2634[[#This Row],[4 weeks average]]-B2343)/B2343</f>
        <v>3.3955395775006365</v>
      </c>
    </row>
    <row r="2396" spans="1:6" x14ac:dyDescent="0.2">
      <c r="A2396" s="34">
        <v>44130</v>
      </c>
      <c r="B2396" s="25">
        <f>VLOOKUP(Table2634[[#This Row],[Date]],'DB Money Supply'!$A:$D,4)</f>
        <v>17375.900000000001</v>
      </c>
      <c r="C2396" s="31">
        <f>(Table2634[[#This Row],[M1 Money Stock, Billions of Dollars, Weekly, Seasonally Adjusted]]-B2395)/B2395</f>
        <v>1.4754788101647917E-3</v>
      </c>
      <c r="D2396" s="35">
        <f>(Table2634[[#This Row],[M1 Money Stock, Billions of Dollars, Weekly, Seasonally Adjusted]]-B2393)/B2393</f>
        <v>8.848375765669084E-3</v>
      </c>
      <c r="E2396" s="25">
        <f t="shared" si="37"/>
        <v>17320.300000000003</v>
      </c>
      <c r="F2396" s="33">
        <f>(Table2634[[#This Row],[4 weeks average]]-B2344)/B2344</f>
        <v>3.4021603761596144</v>
      </c>
    </row>
    <row r="2397" spans="1:6" x14ac:dyDescent="0.2">
      <c r="A2397" s="34">
        <v>44137</v>
      </c>
      <c r="B2397" s="25">
        <f>VLOOKUP(Table2634[[#This Row],[Date]],'DB Money Supply'!$A:$D,4)</f>
        <v>17431</v>
      </c>
      <c r="C2397" s="31">
        <f>(Table2634[[#This Row],[M1 Money Stock, Billions of Dollars, Weekly, Seasonally Adjusted]]-B2396)/B2396</f>
        <v>3.1710587653012816E-3</v>
      </c>
      <c r="D2397" s="35">
        <f>(Table2634[[#This Row],[M1 Money Stock, Billions of Dollars, Weekly, Seasonally Adjusted]]-B2394)/B2394</f>
        <v>5.7409918356749268E-3</v>
      </c>
      <c r="E2397" s="25">
        <f t="shared" si="37"/>
        <v>17372.175000000003</v>
      </c>
      <c r="F2397" s="33">
        <f>(Table2634[[#This Row],[4 weeks average]]-B2345)/B2345</f>
        <v>3.3921257553156532</v>
      </c>
    </row>
    <row r="2398" spans="1:6" x14ac:dyDescent="0.2">
      <c r="A2398" s="34">
        <v>44144</v>
      </c>
      <c r="B2398" s="25">
        <f>VLOOKUP(Table2634[[#This Row],[Date]],'DB Money Supply'!$A:$D,4)</f>
        <v>17593.099999999999</v>
      </c>
      <c r="C2398" s="31">
        <f>(Table2634[[#This Row],[M1 Money Stock, Billions of Dollars, Weekly, Seasonally Adjusted]]-B2397)/B2397</f>
        <v>9.2995238368423234E-3</v>
      </c>
      <c r="D2398" s="35">
        <f>(Table2634[[#This Row],[M1 Money Stock, Billions of Dollars, Weekly, Seasonally Adjusted]]-B2395)/B2395</f>
        <v>1.399399434015546E-2</v>
      </c>
      <c r="E2398" s="25">
        <f t="shared" si="37"/>
        <v>17437.574999999997</v>
      </c>
      <c r="F2398" s="33">
        <f>(Table2634[[#This Row],[4 weeks average]]-B2346)/B2346</f>
        <v>3.4085490721545222</v>
      </c>
    </row>
    <row r="2399" spans="1:6" x14ac:dyDescent="0.2">
      <c r="A2399" s="34">
        <v>44151</v>
      </c>
      <c r="B2399" s="25">
        <f>VLOOKUP(Table2634[[#This Row],[Date]],'DB Money Supply'!$A:$D,4)</f>
        <v>17638.099999999999</v>
      </c>
      <c r="C2399" s="31">
        <f>(Table2634[[#This Row],[M1 Money Stock, Billions of Dollars, Weekly, Seasonally Adjusted]]-B2398)/B2398</f>
        <v>2.5578209639006205E-3</v>
      </c>
      <c r="D2399" s="35">
        <f>(Table2634[[#This Row],[M1 Money Stock, Billions of Dollars, Weekly, Seasonally Adjusted]]-B2396)/B2396</f>
        <v>1.5089865848675296E-2</v>
      </c>
      <c r="E2399" s="25">
        <f t="shared" si="37"/>
        <v>17509.525000000001</v>
      </c>
      <c r="F2399" s="33">
        <f>(Table2634[[#This Row],[4 weeks average]]-B2347)/B2347</f>
        <v>3.4576183808553975</v>
      </c>
    </row>
    <row r="2400" spans="1:6" x14ac:dyDescent="0.2">
      <c r="A2400" s="34">
        <v>44158</v>
      </c>
      <c r="B2400" s="25">
        <f>VLOOKUP(Table2634[[#This Row],[Date]],'DB Money Supply'!$A:$D,4)</f>
        <v>17657.599999999999</v>
      </c>
      <c r="C2400" s="31">
        <f>(Table2634[[#This Row],[M1 Money Stock, Billions of Dollars, Weekly, Seasonally Adjusted]]-B2399)/B2399</f>
        <v>1.1055612565979329E-3</v>
      </c>
      <c r="D2400" s="35">
        <f>(Table2634[[#This Row],[M1 Money Stock, Billions of Dollars, Weekly, Seasonally Adjusted]]-B2397)/B2397</f>
        <v>1.2999827892834522E-2</v>
      </c>
      <c r="E2400" s="25">
        <f t="shared" si="37"/>
        <v>17579.949999999997</v>
      </c>
      <c r="F2400" s="33">
        <f>(Table2634[[#This Row],[4 weeks average]]-B2348)/B2348</f>
        <v>3.4365804416403778</v>
      </c>
    </row>
    <row r="2401" spans="1:6" x14ac:dyDescent="0.2">
      <c r="A2401" s="34">
        <v>44165</v>
      </c>
      <c r="B2401" s="25">
        <f>VLOOKUP(Table2634[[#This Row],[Date]],'DB Money Supply'!$A:$D,4)</f>
        <v>17547.400000000001</v>
      </c>
      <c r="C2401" s="31">
        <f>(Table2634[[#This Row],[M1 Money Stock, Billions of Dollars, Weekly, Seasonally Adjusted]]-B2400)/B2400</f>
        <v>-6.2409387459222716E-3</v>
      </c>
      <c r="D2401" s="35">
        <f>(Table2634[[#This Row],[M1 Money Stock, Billions of Dollars, Weekly, Seasonally Adjusted]]-B2398)/B2398</f>
        <v>-2.5976092900055758E-3</v>
      </c>
      <c r="E2401" s="25">
        <f t="shared" si="37"/>
        <v>17609.05</v>
      </c>
      <c r="F2401" s="33">
        <f>(Table2634[[#This Row],[4 weeks average]]-B2349)/B2349</f>
        <v>3.4537027669583691</v>
      </c>
    </row>
    <row r="2402" spans="1:6" x14ac:dyDescent="0.2">
      <c r="A2402" s="34">
        <v>44172</v>
      </c>
      <c r="B2402" s="25">
        <f>VLOOKUP(Table2634[[#This Row],[Date]],'DB Money Supply'!$A:$D,4)</f>
        <v>17777</v>
      </c>
      <c r="C2402" s="31">
        <f>(Table2634[[#This Row],[M1 Money Stock, Billions of Dollars, Weekly, Seasonally Adjusted]]-B2401)/B2401</f>
        <v>1.3084559535885575E-2</v>
      </c>
      <c r="D2402" s="35">
        <f>(Table2634[[#This Row],[M1 Money Stock, Billions of Dollars, Weekly, Seasonally Adjusted]]-B2399)/B2399</f>
        <v>7.874997873920743E-3</v>
      </c>
      <c r="E2402" s="25">
        <f t="shared" si="37"/>
        <v>17655.025000000001</v>
      </c>
      <c r="F2402" s="33">
        <f>(Table2634[[#This Row],[4 weeks average]]-B2350)/B2350</f>
        <v>3.4377199376633825</v>
      </c>
    </row>
    <row r="2403" spans="1:6" x14ac:dyDescent="0.2">
      <c r="A2403" s="34">
        <v>44179</v>
      </c>
      <c r="B2403" s="25">
        <f>VLOOKUP(Table2634[[#This Row],[Date]],'DB Money Supply'!$A:$D,4)</f>
        <v>17853.099999999999</v>
      </c>
      <c r="C2403" s="31">
        <f>(Table2634[[#This Row],[M1 Money Stock, Billions of Dollars, Weekly, Seasonally Adjusted]]-B2402)/B2402</f>
        <v>4.2808122855374107E-3</v>
      </c>
      <c r="D2403" s="35">
        <f>(Table2634[[#This Row],[M1 Money Stock, Billions of Dollars, Weekly, Seasonally Adjusted]]-B2400)/B2400</f>
        <v>1.1071719826023922E-2</v>
      </c>
      <c r="E2403" s="25">
        <f t="shared" si="37"/>
        <v>17708.775000000001</v>
      </c>
      <c r="F2403" s="33">
        <f>(Table2634[[#This Row],[4 weeks average]]-B2351)/B2351</f>
        <v>3.4360658817635272</v>
      </c>
    </row>
    <row r="2404" spans="1:6" x14ac:dyDescent="0.2">
      <c r="A2404" s="34">
        <v>44186</v>
      </c>
      <c r="B2404" s="25">
        <f>VLOOKUP(Table2634[[#This Row],[Date]],'DB Money Supply'!$A:$D,4)</f>
        <v>17762.599999999999</v>
      </c>
      <c r="C2404" s="31">
        <f>(Table2634[[#This Row],[M1 Money Stock, Billions of Dollars, Weekly, Seasonally Adjusted]]-B2403)/B2403</f>
        <v>-5.0691476550290991E-3</v>
      </c>
      <c r="D2404" s="35">
        <f>(Table2634[[#This Row],[M1 Money Stock, Billions of Dollars, Weekly, Seasonally Adjusted]]-B2401)/B2401</f>
        <v>1.22639251399066E-2</v>
      </c>
      <c r="E2404" s="25">
        <f t="shared" si="37"/>
        <v>17735.025000000001</v>
      </c>
      <c r="F2404" s="33">
        <f>(Table2634[[#This Row],[4 weeks average]]-B2352)/B2352</f>
        <v>3.4348649662415607</v>
      </c>
    </row>
    <row r="2405" spans="1:6" x14ac:dyDescent="0.2">
      <c r="A2405" s="34">
        <v>44193</v>
      </c>
      <c r="B2405" s="25">
        <f>VLOOKUP(Table2634[[#This Row],[Date]],'DB Money Supply'!$A:$D,4)</f>
        <v>17661.3</v>
      </c>
      <c r="C2405" s="31">
        <f>(Table2634[[#This Row],[M1 Money Stock, Billions of Dollars, Weekly, Seasonally Adjusted]]-B2404)/B2404</f>
        <v>-5.7029939310686093E-3</v>
      </c>
      <c r="D2405" s="35">
        <f>(Table2634[[#This Row],[M1 Money Stock, Billions of Dollars, Weekly, Seasonally Adjusted]]-B2402)/B2402</f>
        <v>-6.508409742926294E-3</v>
      </c>
      <c r="E2405" s="25">
        <f t="shared" si="37"/>
        <v>17763.5</v>
      </c>
      <c r="F2405" s="33">
        <f>(Table2634[[#This Row],[4 weeks average]]-B2353)/B2353</f>
        <v>3.4815450210661756</v>
      </c>
    </row>
    <row r="2406" spans="1:6" x14ac:dyDescent="0.2">
      <c r="A2406" s="34">
        <v>44200</v>
      </c>
      <c r="B2406" s="25">
        <f>VLOOKUP(Table2634[[#This Row],[Date]],'DB Money Supply'!$A:$D,4)</f>
        <v>17773.3</v>
      </c>
      <c r="C2406" s="31">
        <f>(Table2634[[#This Row],[M1 Money Stock, Billions of Dollars, Weekly, Seasonally Adjusted]]-B2405)/B2405</f>
        <v>6.3415490365941359E-3</v>
      </c>
      <c r="D2406" s="35">
        <f>(Table2634[[#This Row],[M1 Money Stock, Billions of Dollars, Weekly, Seasonally Adjusted]]-B2403)/B2403</f>
        <v>-4.4698119654289327E-3</v>
      </c>
      <c r="E2406" s="25">
        <f t="shared" si="37"/>
        <v>17762.575000000001</v>
      </c>
      <c r="F2406" s="33">
        <f>(Table2634[[#This Row],[4 weeks average]]-B2354)/B2354</f>
        <v>3.4991324721377914</v>
      </c>
    </row>
    <row r="2407" spans="1:6" x14ac:dyDescent="0.2">
      <c r="A2407" s="34">
        <v>44207</v>
      </c>
      <c r="B2407" s="25">
        <f>VLOOKUP(Table2634[[#This Row],[Date]],'DB Money Supply'!$A:$D,4)</f>
        <v>18147.8</v>
      </c>
      <c r="C2407" s="31">
        <f>(Table2634[[#This Row],[M1 Money Stock, Billions of Dollars, Weekly, Seasonally Adjusted]]-B2406)/B2406</f>
        <v>2.1070932241058219E-2</v>
      </c>
      <c r="D2407" s="35">
        <f>(Table2634[[#This Row],[M1 Money Stock, Billions of Dollars, Weekly, Seasonally Adjusted]]-B2404)/B2404</f>
        <v>2.1686014434823774E-2</v>
      </c>
      <c r="E2407" s="25">
        <f t="shared" si="37"/>
        <v>17836.25</v>
      </c>
      <c r="F2407" s="33">
        <f>(Table2634[[#This Row],[4 weeks average]]-B2355)/B2355</f>
        <v>3.5158493050105073</v>
      </c>
    </row>
    <row r="2408" spans="1:6" x14ac:dyDescent="0.2">
      <c r="A2408" s="34">
        <v>44214</v>
      </c>
      <c r="B2408" s="25">
        <f>VLOOKUP(Table2634[[#This Row],[Date]],'DB Money Supply'!$A:$D,4)</f>
        <v>18158.599999999999</v>
      </c>
      <c r="C2408" s="31">
        <f>(Table2634[[#This Row],[M1 Money Stock, Billions of Dollars, Weekly, Seasonally Adjusted]]-B2407)/B2407</f>
        <v>5.9511345727852817E-4</v>
      </c>
      <c r="D2408" s="35">
        <f>(Table2634[[#This Row],[M1 Money Stock, Billions of Dollars, Weekly, Seasonally Adjusted]]-B2405)/B2405</f>
        <v>2.8157610141948741E-2</v>
      </c>
      <c r="E2408" s="25">
        <f t="shared" si="37"/>
        <v>17935.25</v>
      </c>
      <c r="F2408" s="33">
        <f>(Table2634[[#This Row],[4 weeks average]]-B2356)/B2356</f>
        <v>3.5086098541980895</v>
      </c>
    </row>
    <row r="2409" spans="1:6" x14ac:dyDescent="0.2">
      <c r="A2409" s="34">
        <v>44221</v>
      </c>
      <c r="B2409" s="25">
        <f>VLOOKUP(Table2634[[#This Row],[Date]],'DB Money Supply'!$A:$D,4)</f>
        <v>18116.2</v>
      </c>
      <c r="C2409" s="31">
        <f>(Table2634[[#This Row],[M1 Money Stock, Billions of Dollars, Weekly, Seasonally Adjusted]]-B2408)/B2408</f>
        <v>-2.3349817717223695E-3</v>
      </c>
      <c r="D2409" s="35">
        <f>(Table2634[[#This Row],[M1 Money Stock, Billions of Dollars, Weekly, Seasonally Adjusted]]-B2406)/B2406</f>
        <v>1.9292984420450982E-2</v>
      </c>
      <c r="E2409" s="25">
        <f t="shared" si="37"/>
        <v>18048.974999999999</v>
      </c>
      <c r="F2409" s="33">
        <f>(Table2634[[#This Row],[4 weeks average]]-B2357)/B2357</f>
        <v>3.5552912523345612</v>
      </c>
    </row>
    <row r="2410" spans="1:6" x14ac:dyDescent="0.2">
      <c r="A2410" s="34">
        <v>44228</v>
      </c>
      <c r="B2410" s="25">
        <f>VLOOKUP(Table2634[[#This Row],[Date]],'DB Money Supply'!$A:$D,4)</f>
        <v>18115.2</v>
      </c>
      <c r="C2410" s="31">
        <f>(Table2634[[#This Row],[M1 Money Stock, Billions of Dollars, Weekly, Seasonally Adjusted]]-B2409)/B2409</f>
        <v>-5.5199213963193162E-5</v>
      </c>
      <c r="D2410" s="35">
        <f>(Table2634[[#This Row],[M1 Money Stock, Billions of Dollars, Weekly, Seasonally Adjusted]]-B2407)/B2407</f>
        <v>-1.7963609914148572E-3</v>
      </c>
      <c r="E2410" s="25">
        <f t="shared" si="37"/>
        <v>18134.449999999997</v>
      </c>
      <c r="F2410" s="33">
        <f>(Table2634[[#This Row],[4 weeks average]]-B2358)/B2358</f>
        <v>3.4431935120301849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F760"/>
  <sheetViews>
    <sheetView tabSelected="1" zoomScale="170" zoomScaleNormal="170" workbookViewId="0">
      <pane ySplit="5" topLeftCell="A713" activePane="bottomLeft" state="frozen"/>
      <selection pane="bottomLeft" activeCell="O764" sqref="O764"/>
    </sheetView>
  </sheetViews>
  <sheetFormatPr baseColWidth="10" defaultColWidth="9.1640625" defaultRowHeight="15" x14ac:dyDescent="0.2"/>
  <cols>
    <col min="1" max="1" width="16.6640625" style="16" customWidth="1"/>
    <col min="2" max="2" width="19" style="78" customWidth="1"/>
    <col min="3" max="3" width="14.6640625" style="16" customWidth="1"/>
    <col min="4" max="4" width="14.6640625" style="78" customWidth="1"/>
    <col min="5" max="8" width="9.1640625" style="78" customWidth="1"/>
    <col min="9" max="16384" width="9.1640625" style="78"/>
  </cols>
  <sheetData>
    <row r="1" spans="1:6" x14ac:dyDescent="0.2">
      <c r="A1" t="s">
        <v>26</v>
      </c>
    </row>
    <row r="2" spans="1:6" x14ac:dyDescent="0.2">
      <c r="A2" s="78" t="s">
        <v>987</v>
      </c>
    </row>
    <row r="3" spans="1:6" x14ac:dyDescent="0.2">
      <c r="E3" s="18" t="s">
        <v>988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60" t="s">
        <v>78</v>
      </c>
      <c r="B5" s="61" t="s">
        <v>989</v>
      </c>
      <c r="C5" s="62" t="s">
        <v>990</v>
      </c>
      <c r="D5" s="62" t="s">
        <v>991</v>
      </c>
    </row>
    <row r="6" spans="1:6" x14ac:dyDescent="0.2">
      <c r="A6" s="57">
        <v>21551</v>
      </c>
      <c r="B6" s="59">
        <f>VLOOKUP(Table26[[#This Row],[Date]],'DB Money Supply'!$A:$E,5)</f>
        <v>286.60000000000002</v>
      </c>
      <c r="C6" s="58"/>
      <c r="D6" s="58"/>
    </row>
    <row r="7" spans="1:6" x14ac:dyDescent="0.2">
      <c r="A7" s="34">
        <v>21582</v>
      </c>
      <c r="B7" s="59">
        <f>VLOOKUP(Table26[[#This Row],[Date]],'DB Money Supply'!$A:$E,5)</f>
        <v>287.7</v>
      </c>
      <c r="C7" s="31">
        <f>(Table26[[#This Row],[M2 Money Stock, Billions of Dollars, Monthly, Seasonally Adjusted]]-B6)/B6</f>
        <v>3.8381018841589874E-3</v>
      </c>
      <c r="D7" s="32">
        <f>((1+Table26[[#This Row],[Monthly change]])^12)-1</f>
        <v>4.7042017029254479E-2</v>
      </c>
    </row>
    <row r="8" spans="1:6" x14ac:dyDescent="0.2">
      <c r="A8" s="57">
        <v>21610</v>
      </c>
      <c r="B8" s="59">
        <f>VLOOKUP(Table26[[#This Row],[Date]],'DB Money Supply'!$A:$E,5)</f>
        <v>289.2</v>
      </c>
      <c r="C8" s="31">
        <f>(Table26[[#This Row],[M2 Money Stock, Billions of Dollars, Monthly, Seasonally Adjusted]]-B7)/B7</f>
        <v>5.2137643378519297E-3</v>
      </c>
      <c r="D8" s="32">
        <f>((1+Table26[[#This Row],[Monthly change]])^12)-1</f>
        <v>6.4390821296758549E-2</v>
      </c>
    </row>
    <row r="9" spans="1:6" x14ac:dyDescent="0.2">
      <c r="A9" s="34">
        <v>21641</v>
      </c>
      <c r="B9" s="59">
        <f>VLOOKUP(Table26[[#This Row],[Date]],'DB Money Supply'!$A:$E,5)</f>
        <v>290.10000000000002</v>
      </c>
      <c r="C9" s="31">
        <f>(Table26[[#This Row],[M2 Money Stock, Billions of Dollars, Monthly, Seasonally Adjusted]]-B8)/B8</f>
        <v>3.1120331950208651E-3</v>
      </c>
      <c r="D9" s="32">
        <f>((1+Table26[[#This Row],[Monthly change]])^12)-1</f>
        <v>3.7990269178933556E-2</v>
      </c>
    </row>
    <row r="10" spans="1:6" x14ac:dyDescent="0.2">
      <c r="A10" s="57">
        <v>21671</v>
      </c>
      <c r="B10" s="59">
        <f>VLOOKUP(Table26[[#This Row],[Date]],'DB Money Supply'!$A:$E,5)</f>
        <v>292.2</v>
      </c>
      <c r="C10" s="31">
        <f>(Table26[[#This Row],[M2 Money Stock, Billions of Dollars, Monthly, Seasonally Adjusted]]-B9)/B9</f>
        <v>7.2388831437434189E-3</v>
      </c>
      <c r="D10" s="32">
        <f>((1+Table26[[#This Row],[Monthly change]])^12)-1</f>
        <v>9.0409919272929296E-2</v>
      </c>
    </row>
    <row r="11" spans="1:6" x14ac:dyDescent="0.2">
      <c r="A11" s="34">
        <v>21702</v>
      </c>
      <c r="B11" s="59">
        <f>VLOOKUP(Table26[[#This Row],[Date]],'DB Money Supply'!$A:$E,5)</f>
        <v>294.10000000000002</v>
      </c>
      <c r="C11" s="31">
        <f>(Table26[[#This Row],[M2 Money Stock, Billions of Dollars, Monthly, Seasonally Adjusted]]-B10)/B10</f>
        <v>6.5023956194388572E-3</v>
      </c>
      <c r="D11" s="32">
        <f>((1+Table26[[#This Row],[Monthly change]])^12)-1</f>
        <v>8.0880681765962859E-2</v>
      </c>
    </row>
    <row r="12" spans="1:6" x14ac:dyDescent="0.2">
      <c r="A12" s="57">
        <v>21732</v>
      </c>
      <c r="B12" s="59">
        <f>VLOOKUP(Table26[[#This Row],[Date]],'DB Money Supply'!$A:$E,5)</f>
        <v>295.2</v>
      </c>
      <c r="C12" s="31">
        <f>(Table26[[#This Row],[M2 Money Stock, Billions of Dollars, Monthly, Seasonally Adjusted]]-B11)/B11</f>
        <v>3.7402244134646916E-3</v>
      </c>
      <c r="D12" s="32">
        <f>((1+Table26[[#This Row],[Monthly change]])^12)-1</f>
        <v>4.5817593876198659E-2</v>
      </c>
    </row>
    <row r="13" spans="1:6" x14ac:dyDescent="0.2">
      <c r="A13" s="34">
        <v>21763</v>
      </c>
      <c r="B13" s="59">
        <f>VLOOKUP(Table26[[#This Row],[Date]],'DB Money Supply'!$A:$E,5)</f>
        <v>296.39999999999998</v>
      </c>
      <c r="C13" s="31">
        <f>(Table26[[#This Row],[M2 Money Stock, Billions of Dollars, Monthly, Seasonally Adjusted]]-B12)/B12</f>
        <v>4.0650406504064655E-3</v>
      </c>
      <c r="D13" s="32">
        <f>((1+Table26[[#This Row],[Monthly change]])^12)-1</f>
        <v>4.9886022573404576E-2</v>
      </c>
    </row>
    <row r="14" spans="1:6" x14ac:dyDescent="0.2">
      <c r="A14" s="57">
        <v>21794</v>
      </c>
      <c r="B14" s="59">
        <f>VLOOKUP(Table26[[#This Row],[Date]],'DB Money Supply'!$A:$E,5)</f>
        <v>296.7</v>
      </c>
      <c r="C14" s="31">
        <f>(Table26[[#This Row],[M2 Money Stock, Billions of Dollars, Monthly, Seasonally Adjusted]]-B13)/B13</f>
        <v>1.0121457489878926E-3</v>
      </c>
      <c r="D14" s="32">
        <f>((1+Table26[[#This Row],[Monthly change]])^12)-1</f>
        <v>1.2213590597274226E-2</v>
      </c>
    </row>
    <row r="15" spans="1:6" x14ac:dyDescent="0.2">
      <c r="A15" s="34">
        <v>21824</v>
      </c>
      <c r="B15" s="59">
        <f>VLOOKUP(Table26[[#This Row],[Date]],'DB Money Supply'!$A:$E,5)</f>
        <v>296.5</v>
      </c>
      <c r="C15" s="31">
        <f>(Table26[[#This Row],[M2 Money Stock, Billions of Dollars, Monthly, Seasonally Adjusted]]-B14)/B14</f>
        <v>-6.7408156386918993E-4</v>
      </c>
      <c r="D15" s="32">
        <f>((1+Table26[[#This Row],[Monthly change]])^12)-1</f>
        <v>-8.0590565758287269E-3</v>
      </c>
    </row>
    <row r="16" spans="1:6" x14ac:dyDescent="0.2">
      <c r="A16" s="57">
        <v>21855</v>
      </c>
      <c r="B16" s="59">
        <f>VLOOKUP(Table26[[#This Row],[Date]],'DB Money Supply'!$A:$E,5)</f>
        <v>297.10000000000002</v>
      </c>
      <c r="C16" s="31">
        <f>(Table26[[#This Row],[M2 Money Stock, Billions of Dollars, Monthly, Seasonally Adjusted]]-B15)/B15</f>
        <v>2.0236087689714088E-3</v>
      </c>
      <c r="D16" s="32">
        <f>((1+Table26[[#This Row],[Monthly change]])^12)-1</f>
        <v>2.4555406122701129E-2</v>
      </c>
    </row>
    <row r="17" spans="1:4" x14ac:dyDescent="0.2">
      <c r="A17" s="34">
        <v>21885</v>
      </c>
      <c r="B17" s="59">
        <f>VLOOKUP(Table26[[#This Row],[Date]],'DB Money Supply'!$A:$E,5)</f>
        <v>297.8</v>
      </c>
      <c r="C17" s="31">
        <f>(Table26[[#This Row],[M2 Money Stock, Billions of Dollars, Monthly, Seasonally Adjusted]]-B16)/B16</f>
        <v>2.3561090541904697E-3</v>
      </c>
      <c r="D17" s="32">
        <f>((1+Table26[[#This Row],[Monthly change]])^12)-1</f>
        <v>2.864258391084018E-2</v>
      </c>
    </row>
    <row r="18" spans="1:4" x14ac:dyDescent="0.2">
      <c r="A18" s="57">
        <v>21916</v>
      </c>
      <c r="B18" s="59">
        <f>VLOOKUP(Table26[[#This Row],[Date]],'DB Money Supply'!$A:$E,5)</f>
        <v>298.2</v>
      </c>
      <c r="C18" s="31">
        <f>(Table26[[#This Row],[M2 Money Stock, Billions of Dollars, Monthly, Seasonally Adjusted]]-B17)/B17</f>
        <v>1.3431833445264514E-3</v>
      </c>
      <c r="D18" s="32">
        <f>((1+Table26[[#This Row],[Monthly change]])^12)-1</f>
        <v>1.623780821219678E-2</v>
      </c>
    </row>
    <row r="19" spans="1:4" x14ac:dyDescent="0.2">
      <c r="A19" s="34">
        <v>21947</v>
      </c>
      <c r="B19" s="59">
        <f>VLOOKUP(Table26[[#This Row],[Date]],'DB Money Supply'!$A:$E,5)</f>
        <v>298.39999999999998</v>
      </c>
      <c r="C19" s="31">
        <f>(Table26[[#This Row],[M2 Money Stock, Billions of Dollars, Monthly, Seasonally Adjusted]]-B18)/B18</f>
        <v>6.7069081153584389E-4</v>
      </c>
      <c r="D19" s="32">
        <f>((1+Table26[[#This Row],[Monthly change]])^12)-1</f>
        <v>8.0780447383088649E-3</v>
      </c>
    </row>
    <row r="20" spans="1:4" x14ac:dyDescent="0.2">
      <c r="A20" s="57">
        <v>21976</v>
      </c>
      <c r="B20" s="59">
        <f>VLOOKUP(Table26[[#This Row],[Date]],'DB Money Supply'!$A:$E,5)</f>
        <v>299.3</v>
      </c>
      <c r="C20" s="31">
        <f>(Table26[[#This Row],[M2 Money Stock, Billions of Dollars, Monthly, Seasonally Adjusted]]-B19)/B19</f>
        <v>3.0160857908848328E-3</v>
      </c>
      <c r="D20" s="32">
        <f>((1+Table26[[#This Row],[Monthly change]])^12)-1</f>
        <v>3.6799493764583913E-2</v>
      </c>
    </row>
    <row r="21" spans="1:4" x14ac:dyDescent="0.2">
      <c r="A21" s="34">
        <v>22007</v>
      </c>
      <c r="B21" s="59">
        <f>VLOOKUP(Table26[[#This Row],[Date]],'DB Money Supply'!$A:$E,5)</f>
        <v>300.10000000000002</v>
      </c>
      <c r="C21" s="31">
        <f>(Table26[[#This Row],[M2 Money Stock, Billions of Dollars, Monthly, Seasonally Adjusted]]-B20)/B20</f>
        <v>2.6729034413632185E-3</v>
      </c>
      <c r="D21" s="32">
        <f>((1+Table26[[#This Row],[Monthly change]])^12)-1</f>
        <v>3.2550599107734612E-2</v>
      </c>
    </row>
    <row r="22" spans="1:4" x14ac:dyDescent="0.2">
      <c r="A22" s="57">
        <v>22037</v>
      </c>
      <c r="B22" s="59">
        <f>VLOOKUP(Table26[[#This Row],[Date]],'DB Money Supply'!$A:$E,5)</f>
        <v>300.89999999999998</v>
      </c>
      <c r="C22" s="31">
        <f>(Table26[[#This Row],[M2 Money Stock, Billions of Dollars, Monthly, Seasonally Adjusted]]-B21)/B21</f>
        <v>2.6657780739751898E-3</v>
      </c>
      <c r="D22" s="32">
        <f>((1+Table26[[#This Row],[Monthly change]])^12)-1</f>
        <v>3.246255027601852E-2</v>
      </c>
    </row>
    <row r="23" spans="1:4" x14ac:dyDescent="0.2">
      <c r="A23" s="34">
        <v>22068</v>
      </c>
      <c r="B23" s="59">
        <f>VLOOKUP(Table26[[#This Row],[Date]],'DB Money Supply'!$A:$E,5)</f>
        <v>302.3</v>
      </c>
      <c r="C23" s="31">
        <f>(Table26[[#This Row],[M2 Money Stock, Billions of Dollars, Monthly, Seasonally Adjusted]]-B22)/B22</f>
        <v>4.6527085410436502E-3</v>
      </c>
      <c r="D23" s="32">
        <f>((1+Table26[[#This Row],[Monthly change]])^12)-1</f>
        <v>5.7283642676941415E-2</v>
      </c>
    </row>
    <row r="24" spans="1:4" x14ac:dyDescent="0.2">
      <c r="A24" s="57">
        <v>22098</v>
      </c>
      <c r="B24" s="59">
        <f>VLOOKUP(Table26[[#This Row],[Date]],'DB Money Supply'!$A:$E,5)</f>
        <v>304.10000000000002</v>
      </c>
      <c r="C24" s="31">
        <f>(Table26[[#This Row],[M2 Money Stock, Billions of Dollars, Monthly, Seasonally Adjusted]]-B23)/B23</f>
        <v>5.9543499834601764E-3</v>
      </c>
      <c r="D24" s="32">
        <f>((1+Table26[[#This Row],[Monthly change]])^12)-1</f>
        <v>7.3839254301748314E-2</v>
      </c>
    </row>
    <row r="25" spans="1:4" x14ac:dyDescent="0.2">
      <c r="A25" s="57">
        <v>22129</v>
      </c>
      <c r="B25" s="59">
        <f>VLOOKUP(Table26[[#This Row],[Date]],'DB Money Supply'!$A:$E,5)</f>
        <v>306.89999999999998</v>
      </c>
      <c r="C25" s="31">
        <f>(Table26[[#This Row],[M2 Money Stock, Billions of Dollars, Monthly, Seasonally Adjusted]]-B24)/B24</f>
        <v>9.2074975337058679E-3</v>
      </c>
      <c r="D25" s="32">
        <f>((1+Table26[[#This Row],[Monthly change]])^12)-1</f>
        <v>0.11626066034990168</v>
      </c>
    </row>
    <row r="26" spans="1:4" x14ac:dyDescent="0.2">
      <c r="A26" s="34">
        <v>22160</v>
      </c>
      <c r="B26" s="59">
        <f>VLOOKUP(Table26[[#This Row],[Date]],'DB Money Supply'!$A:$E,5)</f>
        <v>308.39999999999998</v>
      </c>
      <c r="C26" s="31">
        <f>(Table26[[#This Row],[M2 Money Stock, Billions of Dollars, Monthly, Seasonally Adjusted]]-B25)/B25</f>
        <v>4.8875855327468231E-3</v>
      </c>
      <c r="D26" s="32">
        <f>((1+Table26[[#This Row],[Monthly change]])^12)-1</f>
        <v>6.0253638136687382E-2</v>
      </c>
    </row>
    <row r="27" spans="1:4" x14ac:dyDescent="0.2">
      <c r="A27" s="57">
        <v>22190</v>
      </c>
      <c r="B27" s="59">
        <f>VLOOKUP(Table26[[#This Row],[Date]],'DB Money Supply'!$A:$E,5)</f>
        <v>309.5</v>
      </c>
      <c r="C27" s="31">
        <f>(Table26[[#This Row],[M2 Money Stock, Billions of Dollars, Monthly, Seasonally Adjusted]]-B26)/B26</f>
        <v>3.5667963683528627E-3</v>
      </c>
      <c r="D27" s="32">
        <f>((1+Table26[[#This Row],[Monthly change]])^12)-1</f>
        <v>4.365127431406135E-2</v>
      </c>
    </row>
    <row r="28" spans="1:4" x14ac:dyDescent="0.2">
      <c r="A28" s="34">
        <v>22221</v>
      </c>
      <c r="B28" s="59">
        <f>VLOOKUP(Table26[[#This Row],[Date]],'DB Money Supply'!$A:$E,5)</f>
        <v>310.89999999999998</v>
      </c>
      <c r="C28" s="31">
        <f>(Table26[[#This Row],[M2 Money Stock, Billions of Dollars, Monthly, Seasonally Adjusted]]-B27)/B27</f>
        <v>4.5234248788367602E-3</v>
      </c>
      <c r="D28" s="32">
        <f>((1+Table26[[#This Row],[Monthly change]])^12)-1</f>
        <v>5.5652120094355606E-2</v>
      </c>
    </row>
    <row r="29" spans="1:4" x14ac:dyDescent="0.2">
      <c r="A29" s="57">
        <v>22251</v>
      </c>
      <c r="B29" s="59">
        <f>VLOOKUP(Table26[[#This Row],[Date]],'DB Money Supply'!$A:$E,5)</f>
        <v>312.39999999999998</v>
      </c>
      <c r="C29" s="31">
        <f>(Table26[[#This Row],[M2 Money Stock, Billions of Dollars, Monthly, Seasonally Adjusted]]-B28)/B28</f>
        <v>4.8247024766806049E-3</v>
      </c>
      <c r="D29" s="32">
        <f>((1+Table26[[#This Row],[Monthly change]])^12)-1</f>
        <v>5.9457739595479175E-2</v>
      </c>
    </row>
    <row r="30" spans="1:4" x14ac:dyDescent="0.2">
      <c r="A30" s="34">
        <v>22282</v>
      </c>
      <c r="B30" s="59">
        <f>VLOOKUP(Table26[[#This Row],[Date]],'DB Money Supply'!$A:$E,5)</f>
        <v>314.10000000000002</v>
      </c>
      <c r="C30" s="31">
        <f>(Table26[[#This Row],[M2 Money Stock, Billions of Dollars, Monthly, Seasonally Adjusted]]-B29)/B29</f>
        <v>5.4417413572344607E-3</v>
      </c>
      <c r="D30" s="32">
        <f>((1+Table26[[#This Row],[Monthly change]])^12)-1</f>
        <v>6.7291214034367774E-2</v>
      </c>
    </row>
    <row r="31" spans="1:4" x14ac:dyDescent="0.2">
      <c r="A31" s="57">
        <v>22313</v>
      </c>
      <c r="B31" s="59">
        <f>VLOOKUP(Table26[[#This Row],[Date]],'DB Money Supply'!$A:$E,5)</f>
        <v>316.5</v>
      </c>
      <c r="C31" s="31">
        <f>(Table26[[#This Row],[M2 Money Stock, Billions of Dollars, Monthly, Seasonally Adjusted]]-B30)/B30</f>
        <v>7.6408787010505477E-3</v>
      </c>
      <c r="D31" s="32">
        <f>((1+Table26[[#This Row],[Monthly change]])^12)-1</f>
        <v>9.5643673753004199E-2</v>
      </c>
    </row>
    <row r="32" spans="1:4" x14ac:dyDescent="0.2">
      <c r="A32" s="34">
        <v>22341</v>
      </c>
      <c r="B32" s="59">
        <f>VLOOKUP(Table26[[#This Row],[Date]],'DB Money Supply'!$A:$E,5)</f>
        <v>318.3</v>
      </c>
      <c r="C32" s="31">
        <f>(Table26[[#This Row],[M2 Money Stock, Billions of Dollars, Monthly, Seasonally Adjusted]]-B31)/B31</f>
        <v>5.6872037914692305E-3</v>
      </c>
      <c r="D32" s="32">
        <f>((1+Table26[[#This Row],[Monthly change]])^12)-1</f>
        <v>7.0422159707942633E-2</v>
      </c>
    </row>
    <row r="33" spans="1:4" x14ac:dyDescent="0.2">
      <c r="A33" s="57">
        <v>22372</v>
      </c>
      <c r="B33" s="59">
        <f>VLOOKUP(Table26[[#This Row],[Date]],'DB Money Supply'!$A:$E,5)</f>
        <v>319.89999999999998</v>
      </c>
      <c r="C33" s="31">
        <f>(Table26[[#This Row],[M2 Money Stock, Billions of Dollars, Monthly, Seasonally Adjusted]]-B32)/B32</f>
        <v>5.0267043669493111E-3</v>
      </c>
      <c r="D33" s="32">
        <f>((1+Table26[[#This Row],[Monthly change]])^12)-1</f>
        <v>6.201638592550518E-2</v>
      </c>
    </row>
    <row r="34" spans="1:4" x14ac:dyDescent="0.2">
      <c r="A34" s="34">
        <v>22402</v>
      </c>
      <c r="B34" s="59">
        <f>VLOOKUP(Table26[[#This Row],[Date]],'DB Money Supply'!$A:$E,5)</f>
        <v>322.2</v>
      </c>
      <c r="C34" s="31">
        <f>(Table26[[#This Row],[M2 Money Stock, Billions of Dollars, Monthly, Seasonally Adjusted]]-B33)/B33</f>
        <v>7.1897467958737466E-3</v>
      </c>
      <c r="D34" s="32">
        <f>((1+Table26[[#This Row],[Monthly change]])^12)-1</f>
        <v>8.977176613461868E-2</v>
      </c>
    </row>
    <row r="35" spans="1:4" x14ac:dyDescent="0.2">
      <c r="A35" s="57">
        <v>22433</v>
      </c>
      <c r="B35" s="59">
        <f>VLOOKUP(Table26[[#This Row],[Date]],'DB Money Supply'!$A:$E,5)</f>
        <v>324.3</v>
      </c>
      <c r="C35" s="31">
        <f>(Table26[[#This Row],[M2 Money Stock, Billions of Dollars, Monthly, Seasonally Adjusted]]-B34)/B34</f>
        <v>6.5176908752328459E-3</v>
      </c>
      <c r="D35" s="32">
        <f>((1+Table26[[#This Row],[Monthly change]])^12)-1</f>
        <v>8.1077804734768666E-2</v>
      </c>
    </row>
    <row r="36" spans="1:4" x14ac:dyDescent="0.2">
      <c r="A36" s="34">
        <v>22463</v>
      </c>
      <c r="B36" s="59">
        <f>VLOOKUP(Table26[[#This Row],[Date]],'DB Money Supply'!$A:$E,5)</f>
        <v>325.60000000000002</v>
      </c>
      <c r="C36" s="31">
        <f>(Table26[[#This Row],[M2 Money Stock, Billions of Dollars, Monthly, Seasonally Adjusted]]-B35)/B35</f>
        <v>4.008633980881934E-3</v>
      </c>
      <c r="D36" s="32">
        <f>((1+Table26[[#This Row],[Monthly change]])^12)-1</f>
        <v>4.9178471445572747E-2</v>
      </c>
    </row>
    <row r="37" spans="1:4" x14ac:dyDescent="0.2">
      <c r="A37" s="57">
        <v>22494</v>
      </c>
      <c r="B37" s="59">
        <f>VLOOKUP(Table26[[#This Row],[Date]],'DB Money Supply'!$A:$E,5)</f>
        <v>327.60000000000002</v>
      </c>
      <c r="C37" s="31">
        <f>(Table26[[#This Row],[M2 Money Stock, Billions of Dollars, Monthly, Seasonally Adjusted]]-B36)/B36</f>
        <v>6.1425061425061421E-3</v>
      </c>
      <c r="D37" s="32">
        <f>((1+Table26[[#This Row],[Monthly change]])^12)-1</f>
        <v>7.6251977553662975E-2</v>
      </c>
    </row>
    <row r="38" spans="1:4" x14ac:dyDescent="0.2">
      <c r="A38" s="34">
        <v>22525</v>
      </c>
      <c r="B38" s="59">
        <f>VLOOKUP(Table26[[#This Row],[Date]],'DB Money Supply'!$A:$E,5)</f>
        <v>329.5</v>
      </c>
      <c r="C38" s="31">
        <f>(Table26[[#This Row],[M2 Money Stock, Billions of Dollars, Monthly, Seasonally Adjusted]]-B37)/B37</f>
        <v>5.7997557997557297E-3</v>
      </c>
      <c r="D38" s="32">
        <f>((1+Table26[[#This Row],[Monthly change]])^12)-1</f>
        <v>7.1860607164506707E-2</v>
      </c>
    </row>
    <row r="39" spans="1:4" x14ac:dyDescent="0.2">
      <c r="A39" s="57">
        <v>22555</v>
      </c>
      <c r="B39" s="59">
        <f>VLOOKUP(Table26[[#This Row],[Date]],'DB Money Supply'!$A:$E,5)</f>
        <v>331.1</v>
      </c>
      <c r="C39" s="31">
        <f>(Table26[[#This Row],[M2 Money Stock, Billions of Dollars, Monthly, Seasonally Adjusted]]-B38)/B38</f>
        <v>4.8558421851290527E-3</v>
      </c>
      <c r="D39" s="32">
        <f>((1+Table26[[#This Row],[Monthly change]])^12)-1</f>
        <v>5.9851800316851111E-2</v>
      </c>
    </row>
    <row r="40" spans="1:4" x14ac:dyDescent="0.2">
      <c r="A40" s="34">
        <v>22586</v>
      </c>
      <c r="B40" s="59">
        <f>VLOOKUP(Table26[[#This Row],[Date]],'DB Money Supply'!$A:$E,5)</f>
        <v>333.4</v>
      </c>
      <c r="C40" s="31">
        <f>(Table26[[#This Row],[M2 Money Stock, Billions of Dollars, Monthly, Seasonally Adjusted]]-B39)/B39</f>
        <v>6.9465418302626231E-3</v>
      </c>
      <c r="D40" s="32">
        <f>((1+Table26[[#This Row],[Monthly change]])^12)-1</f>
        <v>8.661820507783724E-2</v>
      </c>
    </row>
    <row r="41" spans="1:4" x14ac:dyDescent="0.2">
      <c r="A41" s="57">
        <v>22616</v>
      </c>
      <c r="B41" s="59">
        <f>VLOOKUP(Table26[[#This Row],[Date]],'DB Money Supply'!$A:$E,5)</f>
        <v>335.5</v>
      </c>
      <c r="C41" s="31">
        <f>(Table26[[#This Row],[M2 Money Stock, Billions of Dollars, Monthly, Seasonally Adjusted]]-B40)/B40</f>
        <v>6.2987402519496787E-3</v>
      </c>
      <c r="D41" s="32">
        <f>((1+Table26[[#This Row],[Monthly change]])^12)-1</f>
        <v>7.8259139926972532E-2</v>
      </c>
    </row>
    <row r="42" spans="1:4" x14ac:dyDescent="0.2">
      <c r="A42" s="34">
        <v>22647</v>
      </c>
      <c r="B42" s="59">
        <f>VLOOKUP(Table26[[#This Row],[Date]],'DB Money Supply'!$A:$E,5)</f>
        <v>337.5</v>
      </c>
      <c r="C42" s="31">
        <f>(Table26[[#This Row],[M2 Money Stock, Billions of Dollars, Monthly, Seasonally Adjusted]]-B41)/B41</f>
        <v>5.9612518628912071E-3</v>
      </c>
      <c r="D42" s="32">
        <f>((1+Table26[[#This Row],[Monthly change]])^12)-1</f>
        <v>7.392766931278083E-2</v>
      </c>
    </row>
    <row r="43" spans="1:4" x14ac:dyDescent="0.2">
      <c r="A43" s="57">
        <v>22678</v>
      </c>
      <c r="B43" s="59">
        <f>VLOOKUP(Table26[[#This Row],[Date]],'DB Money Supply'!$A:$E,5)</f>
        <v>340.1</v>
      </c>
      <c r="C43" s="31">
        <f>(Table26[[#This Row],[M2 Money Stock, Billions of Dollars, Monthly, Seasonally Adjusted]]-B42)/B42</f>
        <v>7.7037037037037707E-3</v>
      </c>
      <c r="D43" s="32">
        <f>((1+Table26[[#This Row],[Monthly change]])^12)-1</f>
        <v>9.6463697164686169E-2</v>
      </c>
    </row>
    <row r="44" spans="1:4" x14ac:dyDescent="0.2">
      <c r="A44" s="57">
        <v>22706</v>
      </c>
      <c r="B44" s="59">
        <f>VLOOKUP(Table26[[#This Row],[Date]],'DB Money Supply'!$A:$E,5)</f>
        <v>343.1</v>
      </c>
      <c r="C44" s="31">
        <f>(Table26[[#This Row],[M2 Money Stock, Billions of Dollars, Monthly, Seasonally Adjusted]]-B43)/B43</f>
        <v>8.8209350191120247E-3</v>
      </c>
      <c r="D44" s="32">
        <f>((1+Table26[[#This Row],[Monthly change]])^12)-1</f>
        <v>0.11114064323381889</v>
      </c>
    </row>
    <row r="45" spans="1:4" x14ac:dyDescent="0.2">
      <c r="A45" s="34">
        <v>22737</v>
      </c>
      <c r="B45" s="59">
        <f>VLOOKUP(Table26[[#This Row],[Date]],'DB Money Supply'!$A:$E,5)</f>
        <v>345.5</v>
      </c>
      <c r="C45" s="31">
        <f>(Table26[[#This Row],[M2 Money Stock, Billions of Dollars, Monthly, Seasonally Adjusted]]-B44)/B44</f>
        <v>6.9950451763333638E-3</v>
      </c>
      <c r="D45" s="32">
        <f>((1+Table26[[#This Row],[Monthly change]])^12)-1</f>
        <v>8.7246463860201517E-2</v>
      </c>
    </row>
    <row r="46" spans="1:4" x14ac:dyDescent="0.2">
      <c r="A46" s="57">
        <v>22767</v>
      </c>
      <c r="B46" s="59">
        <f>VLOOKUP(Table26[[#This Row],[Date]],'DB Money Supply'!$A:$E,5)</f>
        <v>347.5</v>
      </c>
      <c r="C46" s="31">
        <f>(Table26[[#This Row],[M2 Money Stock, Billions of Dollars, Monthly, Seasonally Adjusted]]-B45)/B45</f>
        <v>5.7887120115774236E-3</v>
      </c>
      <c r="D46" s="32">
        <f>((1+Table26[[#This Row],[Monthly change]])^12)-1</f>
        <v>7.1719385973000538E-2</v>
      </c>
    </row>
    <row r="47" spans="1:4" x14ac:dyDescent="0.2">
      <c r="A47" s="34">
        <v>22798</v>
      </c>
      <c r="B47" s="59">
        <f>VLOOKUP(Table26[[#This Row],[Date]],'DB Money Supply'!$A:$E,5)</f>
        <v>349.3</v>
      </c>
      <c r="C47" s="31">
        <f>(Table26[[#This Row],[M2 Money Stock, Billions of Dollars, Monthly, Seasonally Adjusted]]-B46)/B46</f>
        <v>5.1798561151079467E-3</v>
      </c>
      <c r="D47" s="32">
        <f>((1+Table26[[#This Row],[Monthly change]])^12)-1</f>
        <v>6.3960048375554468E-2</v>
      </c>
    </row>
    <row r="48" spans="1:4" x14ac:dyDescent="0.2">
      <c r="A48" s="57">
        <v>22828</v>
      </c>
      <c r="B48" s="59">
        <f>VLOOKUP(Table26[[#This Row],[Date]],'DB Money Supply'!$A:$E,5)</f>
        <v>350.8</v>
      </c>
      <c r="C48" s="31">
        <f>(Table26[[#This Row],[M2 Money Stock, Billions of Dollars, Monthly, Seasonally Adjusted]]-B47)/B47</f>
        <v>4.2943028914972804E-3</v>
      </c>
      <c r="D48" s="32">
        <f>((1+Table26[[#This Row],[Monthly change]])^12)-1</f>
        <v>5.2766334767323508E-2</v>
      </c>
    </row>
    <row r="49" spans="1:4" x14ac:dyDescent="0.2">
      <c r="A49" s="34">
        <v>22859</v>
      </c>
      <c r="B49" s="59">
        <f>VLOOKUP(Table26[[#This Row],[Date]],'DB Money Supply'!$A:$E,5)</f>
        <v>352.8</v>
      </c>
      <c r="C49" s="31">
        <f>(Table26[[#This Row],[M2 Money Stock, Billions of Dollars, Monthly, Seasonally Adjusted]]-B48)/B48</f>
        <v>5.7012542759407071E-3</v>
      </c>
      <c r="D49" s="32">
        <f>((1+Table26[[#This Row],[Monthly change]])^12)-1</f>
        <v>7.0601632278852744E-2</v>
      </c>
    </row>
    <row r="50" spans="1:4" x14ac:dyDescent="0.2">
      <c r="A50" s="57">
        <v>22890</v>
      </c>
      <c r="B50" s="59">
        <f>VLOOKUP(Table26[[#This Row],[Date]],'DB Money Supply'!$A:$E,5)</f>
        <v>354.9</v>
      </c>
      <c r="C50" s="31">
        <f>(Table26[[#This Row],[M2 Money Stock, Billions of Dollars, Monthly, Seasonally Adjusted]]-B49)/B49</f>
        <v>5.9523809523808558E-3</v>
      </c>
      <c r="D50" s="32">
        <f>((1+Table26[[#This Row],[Monthly change]])^12)-1</f>
        <v>7.3814031684800163E-2</v>
      </c>
    </row>
    <row r="51" spans="1:4" x14ac:dyDescent="0.2">
      <c r="A51" s="34">
        <v>22920</v>
      </c>
      <c r="B51" s="59">
        <f>VLOOKUP(Table26[[#This Row],[Date]],'DB Money Supply'!$A:$E,5)</f>
        <v>357.2</v>
      </c>
      <c r="C51" s="31">
        <f>(Table26[[#This Row],[M2 Money Stock, Billions of Dollars, Monthly, Seasonally Adjusted]]-B50)/B50</f>
        <v>6.4806987883911284E-3</v>
      </c>
      <c r="D51" s="32">
        <f>((1+Table26[[#This Row],[Monthly change]])^12)-1</f>
        <v>8.0601112770998462E-2</v>
      </c>
    </row>
    <row r="52" spans="1:4" x14ac:dyDescent="0.2">
      <c r="A52" s="57">
        <v>22951</v>
      </c>
      <c r="B52" s="59">
        <f>VLOOKUP(Table26[[#This Row],[Date]],'DB Money Supply'!$A:$E,5)</f>
        <v>359.8</v>
      </c>
      <c r="C52" s="31">
        <f>(Table26[[#This Row],[M2 Money Stock, Billions of Dollars, Monthly, Seasonally Adjusted]]-B51)/B51</f>
        <v>7.2788353863382496E-3</v>
      </c>
      <c r="D52" s="32">
        <f>((1+Table26[[#This Row],[Monthly change]])^12)-1</f>
        <v>9.0929047287370279E-2</v>
      </c>
    </row>
    <row r="53" spans="1:4" x14ac:dyDescent="0.2">
      <c r="A53" s="34">
        <v>22981</v>
      </c>
      <c r="B53" s="59">
        <f>VLOOKUP(Table26[[#This Row],[Date]],'DB Money Supply'!$A:$E,5)</f>
        <v>362.7</v>
      </c>
      <c r="C53" s="31">
        <f>(Table26[[#This Row],[M2 Money Stock, Billions of Dollars, Monthly, Seasonally Adjusted]]-B52)/B52</f>
        <v>8.0600333518620823E-3</v>
      </c>
      <c r="D53" s="32">
        <f>((1+Table26[[#This Row],[Monthly change]])^12)-1</f>
        <v>0.10112534445536836</v>
      </c>
    </row>
    <row r="54" spans="1:4" x14ac:dyDescent="0.2">
      <c r="A54" s="57">
        <v>23012</v>
      </c>
      <c r="B54" s="59">
        <f>VLOOKUP(Table26[[#This Row],[Date]],'DB Money Supply'!$A:$E,5)</f>
        <v>365.2</v>
      </c>
      <c r="C54" s="31">
        <f>(Table26[[#This Row],[M2 Money Stock, Billions of Dollars, Monthly, Seasonally Adjusted]]-B53)/B53</f>
        <v>6.8927488282326992E-3</v>
      </c>
      <c r="D54" s="32">
        <f>((1+Table26[[#This Row],[Monthly change]])^12)-1</f>
        <v>8.5921819145749589E-2</v>
      </c>
    </row>
    <row r="55" spans="1:4" x14ac:dyDescent="0.2">
      <c r="A55" s="34">
        <v>23043</v>
      </c>
      <c r="B55" s="59">
        <f>VLOOKUP(Table26[[#This Row],[Date]],'DB Money Supply'!$A:$E,5)</f>
        <v>367.9</v>
      </c>
      <c r="C55" s="31">
        <f>(Table26[[#This Row],[M2 Money Stock, Billions of Dollars, Monthly, Seasonally Adjusted]]-B54)/B54</f>
        <v>7.3932092004380849E-3</v>
      </c>
      <c r="D55" s="32">
        <f>((1+Table26[[#This Row],[Monthly change]])^12)-1</f>
        <v>9.2416440810976441E-2</v>
      </c>
    </row>
    <row r="56" spans="1:4" x14ac:dyDescent="0.2">
      <c r="A56" s="57">
        <v>23071</v>
      </c>
      <c r="B56" s="59">
        <f>VLOOKUP(Table26[[#This Row],[Date]],'DB Money Supply'!$A:$E,5)</f>
        <v>370.7</v>
      </c>
      <c r="C56" s="31">
        <f>(Table26[[#This Row],[M2 Money Stock, Billions of Dollars, Monthly, Seasonally Adjusted]]-B55)/B55</f>
        <v>7.6107637945094092E-3</v>
      </c>
      <c r="D56" s="32">
        <f>((1+Table26[[#This Row],[Monthly change]])^12)-1</f>
        <v>9.5250798261887981E-2</v>
      </c>
    </row>
    <row r="57" spans="1:4" x14ac:dyDescent="0.2">
      <c r="A57" s="34">
        <v>23102</v>
      </c>
      <c r="B57" s="59">
        <f>VLOOKUP(Table26[[#This Row],[Date]],'DB Money Supply'!$A:$E,5)</f>
        <v>373.3</v>
      </c>
      <c r="C57" s="31">
        <f>(Table26[[#This Row],[M2 Money Stock, Billions of Dollars, Monthly, Seasonally Adjusted]]-B56)/B56</f>
        <v>7.01375775559758E-3</v>
      </c>
      <c r="D57" s="32">
        <f>((1+Table26[[#This Row],[Monthly change]])^12)-1</f>
        <v>8.7488934945543217E-2</v>
      </c>
    </row>
    <row r="58" spans="1:4" x14ac:dyDescent="0.2">
      <c r="A58" s="57">
        <v>23132</v>
      </c>
      <c r="B58" s="59">
        <f>VLOOKUP(Table26[[#This Row],[Date]],'DB Money Supply'!$A:$E,5)</f>
        <v>376.1</v>
      </c>
      <c r="C58" s="31">
        <f>(Table26[[#This Row],[M2 Money Stock, Billions of Dollars, Monthly, Seasonally Adjusted]]-B57)/B57</f>
        <v>7.5006697026520526E-3</v>
      </c>
      <c r="D58" s="32">
        <f>((1+Table26[[#This Row],[Monthly change]])^12)-1</f>
        <v>9.3815622570933677E-2</v>
      </c>
    </row>
    <row r="59" spans="1:4" x14ac:dyDescent="0.2">
      <c r="A59" s="34">
        <v>23163</v>
      </c>
      <c r="B59" s="59">
        <f>VLOOKUP(Table26[[#This Row],[Date]],'DB Money Supply'!$A:$E,5)</f>
        <v>378.4</v>
      </c>
      <c r="C59" s="31">
        <f>(Table26[[#This Row],[M2 Money Stock, Billions of Dollars, Monthly, Seasonally Adjusted]]-B58)/B58</f>
        <v>6.1153948417972731E-3</v>
      </c>
      <c r="D59" s="32">
        <f>((1+Table26[[#This Row],[Monthly change]])^12)-1</f>
        <v>7.5904023657766162E-2</v>
      </c>
    </row>
    <row r="60" spans="1:4" x14ac:dyDescent="0.2">
      <c r="A60" s="57">
        <v>23193</v>
      </c>
      <c r="B60" s="59">
        <f>VLOOKUP(Table26[[#This Row],[Date]],'DB Money Supply'!$A:$E,5)</f>
        <v>381.1</v>
      </c>
      <c r="C60" s="31">
        <f>(Table26[[#This Row],[M2 Money Stock, Billions of Dollars, Monthly, Seasonally Adjusted]]-B59)/B59</f>
        <v>7.1353065539113258E-3</v>
      </c>
      <c r="D60" s="32">
        <f>((1+Table26[[#This Row],[Monthly change]])^12)-1</f>
        <v>8.906512901996666E-2</v>
      </c>
    </row>
    <row r="61" spans="1:4" x14ac:dyDescent="0.2">
      <c r="A61" s="34">
        <v>23224</v>
      </c>
      <c r="B61" s="59">
        <f>VLOOKUP(Table26[[#This Row],[Date]],'DB Money Supply'!$A:$E,5)</f>
        <v>383.6</v>
      </c>
      <c r="C61" s="31">
        <f>(Table26[[#This Row],[M2 Money Stock, Billions of Dollars, Monthly, Seasonally Adjusted]]-B60)/B60</f>
        <v>6.5599580162686959E-3</v>
      </c>
      <c r="D61" s="32">
        <f>((1+Table26[[#This Row],[Monthly change]])^12)-1</f>
        <v>8.1622708697608237E-2</v>
      </c>
    </row>
    <row r="62" spans="1:4" x14ac:dyDescent="0.2">
      <c r="A62" s="57">
        <v>23255</v>
      </c>
      <c r="B62" s="59">
        <f>VLOOKUP(Table26[[#This Row],[Date]],'DB Money Supply'!$A:$E,5)</f>
        <v>386</v>
      </c>
      <c r="C62" s="31">
        <f>(Table26[[#This Row],[M2 Money Stock, Billions of Dollars, Monthly, Seasonally Adjusted]]-B61)/B61</f>
        <v>6.2565172054222552E-3</v>
      </c>
      <c r="D62" s="32">
        <f>((1+Table26[[#This Row],[Monthly change]])^12)-1</f>
        <v>7.7716356210969284E-2</v>
      </c>
    </row>
    <row r="63" spans="1:4" x14ac:dyDescent="0.2">
      <c r="A63" s="57">
        <v>23285</v>
      </c>
      <c r="B63" s="59">
        <f>VLOOKUP(Table26[[#This Row],[Date]],'DB Money Supply'!$A:$E,5)</f>
        <v>388.3</v>
      </c>
      <c r="C63" s="31">
        <f>(Table26[[#This Row],[M2 Money Stock, Billions of Dollars, Monthly, Seasonally Adjusted]]-B62)/B62</f>
        <v>5.9585492227979568E-3</v>
      </c>
      <c r="D63" s="32">
        <f>((1+Table26[[#This Row],[Monthly change]])^12)-1</f>
        <v>7.3893046940394447E-2</v>
      </c>
    </row>
    <row r="64" spans="1:4" x14ac:dyDescent="0.2">
      <c r="A64" s="34">
        <v>23316</v>
      </c>
      <c r="B64" s="59">
        <f>VLOOKUP(Table26[[#This Row],[Date]],'DB Money Supply'!$A:$E,5)</f>
        <v>391.5</v>
      </c>
      <c r="C64" s="31">
        <f>(Table26[[#This Row],[M2 Money Stock, Billions of Dollars, Monthly, Seasonally Adjusted]]-B63)/B63</f>
        <v>8.2410507339685506E-3</v>
      </c>
      <c r="D64" s="32">
        <f>((1+Table26[[#This Row],[Monthly change]])^12)-1</f>
        <v>0.10350043875629855</v>
      </c>
    </row>
    <row r="65" spans="1:4" x14ac:dyDescent="0.2">
      <c r="A65" s="57">
        <v>23346</v>
      </c>
      <c r="B65" s="59">
        <f>VLOOKUP(Table26[[#This Row],[Date]],'DB Money Supply'!$A:$E,5)</f>
        <v>393.2</v>
      </c>
      <c r="C65" s="31">
        <f>(Table26[[#This Row],[M2 Money Stock, Billions of Dollars, Monthly, Seasonally Adjusted]]-B64)/B64</f>
        <v>4.3422733077905203E-3</v>
      </c>
      <c r="D65" s="32">
        <f>((1+Table26[[#This Row],[Monthly change]])^12)-1</f>
        <v>5.3369921686587274E-2</v>
      </c>
    </row>
    <row r="66" spans="1:4" x14ac:dyDescent="0.2">
      <c r="A66" s="34">
        <v>23377</v>
      </c>
      <c r="B66" s="59">
        <f>VLOOKUP(Table26[[#This Row],[Date]],'DB Money Supply'!$A:$E,5)</f>
        <v>395.2</v>
      </c>
      <c r="C66" s="31">
        <f>(Table26[[#This Row],[M2 Money Stock, Billions of Dollars, Monthly, Seasonally Adjusted]]-B65)/B65</f>
        <v>5.0864699898270603E-3</v>
      </c>
      <c r="D66" s="32">
        <f>((1+Table26[[#This Row],[Monthly change]])^12)-1</f>
        <v>6.2774489179018955E-2</v>
      </c>
    </row>
    <row r="67" spans="1:4" x14ac:dyDescent="0.2">
      <c r="A67" s="57">
        <v>23408</v>
      </c>
      <c r="B67" s="59">
        <f>VLOOKUP(Table26[[#This Row],[Date]],'DB Money Supply'!$A:$E,5)</f>
        <v>397.6</v>
      </c>
      <c r="C67" s="31">
        <f>(Table26[[#This Row],[M2 Money Stock, Billions of Dollars, Monthly, Seasonally Adjusted]]-B66)/B66</f>
        <v>6.0728744939272123E-3</v>
      </c>
      <c r="D67" s="32">
        <f>((1+Table26[[#This Row],[Monthly change]])^12)-1</f>
        <v>7.5358513493215318E-2</v>
      </c>
    </row>
    <row r="68" spans="1:4" x14ac:dyDescent="0.2">
      <c r="A68" s="34">
        <v>23437</v>
      </c>
      <c r="B68" s="59">
        <f>VLOOKUP(Table26[[#This Row],[Date]],'DB Money Supply'!$A:$E,5)</f>
        <v>399.8</v>
      </c>
      <c r="C68" s="31">
        <f>(Table26[[#This Row],[M2 Money Stock, Billions of Dollars, Monthly, Seasonally Adjusted]]-B67)/B67</f>
        <v>5.5331991951709973E-3</v>
      </c>
      <c r="D68" s="32">
        <f>((1+Table26[[#This Row],[Monthly change]])^12)-1</f>
        <v>6.8456803159319124E-2</v>
      </c>
    </row>
    <row r="69" spans="1:4" x14ac:dyDescent="0.2">
      <c r="A69" s="57">
        <v>23468</v>
      </c>
      <c r="B69" s="59">
        <f>VLOOKUP(Table26[[#This Row],[Date]],'DB Money Supply'!$A:$E,5)</f>
        <v>401.7</v>
      </c>
      <c r="C69" s="31">
        <f>(Table26[[#This Row],[M2 Money Stock, Billions of Dollars, Monthly, Seasonally Adjusted]]-B68)/B68</f>
        <v>4.75237618809399E-3</v>
      </c>
      <c r="D69" s="32">
        <f>((1+Table26[[#This Row],[Monthly change]])^12)-1</f>
        <v>5.8542997137401409E-2</v>
      </c>
    </row>
    <row r="70" spans="1:4" x14ac:dyDescent="0.2">
      <c r="A70" s="34">
        <v>23498</v>
      </c>
      <c r="B70" s="59">
        <f>VLOOKUP(Table26[[#This Row],[Date]],'DB Money Supply'!$A:$E,5)</f>
        <v>404.2</v>
      </c>
      <c r="C70" s="31">
        <f>(Table26[[#This Row],[M2 Money Stock, Billions of Dollars, Monthly, Seasonally Adjusted]]-B69)/B69</f>
        <v>6.2235499128703011E-3</v>
      </c>
      <c r="D70" s="32">
        <f>((1+Table26[[#This Row],[Monthly change]])^12)-1</f>
        <v>7.7292730763296014E-2</v>
      </c>
    </row>
    <row r="71" spans="1:4" x14ac:dyDescent="0.2">
      <c r="A71" s="57">
        <v>23529</v>
      </c>
      <c r="B71" s="59">
        <f>VLOOKUP(Table26[[#This Row],[Date]],'DB Money Supply'!$A:$E,5)</f>
        <v>407.1</v>
      </c>
      <c r="C71" s="31">
        <f>(Table26[[#This Row],[M2 Money Stock, Billions of Dollars, Monthly, Seasonally Adjusted]]-B70)/B70</f>
        <v>7.1746660069273481E-3</v>
      </c>
      <c r="D71" s="32">
        <f>((1+Table26[[#This Row],[Monthly change]])^12)-1</f>
        <v>8.9575974650082379E-2</v>
      </c>
    </row>
    <row r="72" spans="1:4" x14ac:dyDescent="0.2">
      <c r="A72" s="34">
        <v>23559</v>
      </c>
      <c r="B72" s="59">
        <f>VLOOKUP(Table26[[#This Row],[Date]],'DB Money Supply'!$A:$E,5)</f>
        <v>410.1</v>
      </c>
      <c r="C72" s="31">
        <f>(Table26[[#This Row],[M2 Money Stock, Billions of Dollars, Monthly, Seasonally Adjusted]]-B71)/B71</f>
        <v>7.369196757553426E-3</v>
      </c>
      <c r="D72" s="32">
        <f>((1+Table26[[#This Row],[Monthly change]])^12)-1</f>
        <v>9.2104012871397467E-2</v>
      </c>
    </row>
    <row r="73" spans="1:4" x14ac:dyDescent="0.2">
      <c r="A73" s="57">
        <v>23590</v>
      </c>
      <c r="B73" s="59">
        <f>VLOOKUP(Table26[[#This Row],[Date]],'DB Money Supply'!$A:$E,5)</f>
        <v>413.4</v>
      </c>
      <c r="C73" s="31">
        <f>(Table26[[#This Row],[M2 Money Stock, Billions of Dollars, Monthly, Seasonally Adjusted]]-B72)/B72</f>
        <v>8.0468178493049367E-3</v>
      </c>
      <c r="D73" s="32">
        <f>((1+Table26[[#This Row],[Monthly change]])^12)-1</f>
        <v>0.100952130061982</v>
      </c>
    </row>
    <row r="74" spans="1:4" x14ac:dyDescent="0.2">
      <c r="A74" s="34">
        <v>23621</v>
      </c>
      <c r="B74" s="59">
        <f>VLOOKUP(Table26[[#This Row],[Date]],'DB Money Supply'!$A:$E,5)</f>
        <v>416.9</v>
      </c>
      <c r="C74" s="31">
        <f>(Table26[[#This Row],[M2 Money Stock, Billions of Dollars, Monthly, Seasonally Adjusted]]-B73)/B73</f>
        <v>8.4663763909046934E-3</v>
      </c>
      <c r="D74" s="32">
        <f>((1+Table26[[#This Row],[Monthly change]])^12)-1</f>
        <v>0.10646345419211234</v>
      </c>
    </row>
    <row r="75" spans="1:4" x14ac:dyDescent="0.2">
      <c r="A75" s="57">
        <v>23651</v>
      </c>
      <c r="B75" s="59">
        <f>VLOOKUP(Table26[[#This Row],[Date]],'DB Money Supply'!$A:$E,5)</f>
        <v>419.1</v>
      </c>
      <c r="C75" s="31">
        <f>(Table26[[#This Row],[M2 Money Stock, Billions of Dollars, Monthly, Seasonally Adjusted]]-B74)/B74</f>
        <v>5.2770448548813756E-3</v>
      </c>
      <c r="D75" s="32">
        <f>((1+Table26[[#This Row],[Monthly change]])^12)-1</f>
        <v>6.5195169940009512E-2</v>
      </c>
    </row>
    <row r="76" spans="1:4" x14ac:dyDescent="0.2">
      <c r="A76" s="34">
        <v>23682</v>
      </c>
      <c r="B76" s="59">
        <f>VLOOKUP(Table26[[#This Row],[Date]],'DB Money Supply'!$A:$E,5)</f>
        <v>422</v>
      </c>
      <c r="C76" s="31">
        <f>(Table26[[#This Row],[M2 Money Stock, Billions of Dollars, Monthly, Seasonally Adjusted]]-B75)/B75</f>
        <v>6.9195895967548967E-3</v>
      </c>
      <c r="D76" s="32">
        <f>((1+Table26[[#This Row],[Monthly change]])^12)-1</f>
        <v>8.6269239463626413E-2</v>
      </c>
    </row>
    <row r="77" spans="1:4" x14ac:dyDescent="0.2">
      <c r="A77" s="57">
        <v>23712</v>
      </c>
      <c r="B77" s="59">
        <f>VLOOKUP(Table26[[#This Row],[Date]],'DB Money Supply'!$A:$E,5)</f>
        <v>424.7</v>
      </c>
      <c r="C77" s="31">
        <f>(Table26[[#This Row],[M2 Money Stock, Billions of Dollars, Monthly, Seasonally Adjusted]]-B76)/B76</f>
        <v>6.3981042654028169E-3</v>
      </c>
      <c r="D77" s="32">
        <f>((1+Table26[[#This Row],[Monthly change]])^12)-1</f>
        <v>7.953746839592446E-2</v>
      </c>
    </row>
    <row r="78" spans="1:4" x14ac:dyDescent="0.2">
      <c r="A78" s="34">
        <v>23743</v>
      </c>
      <c r="B78" s="59">
        <f>VLOOKUP(Table26[[#This Row],[Date]],'DB Money Supply'!$A:$E,5)</f>
        <v>427.5</v>
      </c>
      <c r="C78" s="31">
        <f>(Table26[[#This Row],[M2 Money Stock, Billions of Dollars, Monthly, Seasonally Adjusted]]-B77)/B77</f>
        <v>6.5928890981869822E-3</v>
      </c>
      <c r="D78" s="32">
        <f>((1+Table26[[#This Row],[Monthly change]])^12)-1</f>
        <v>8.2047427552081498E-2</v>
      </c>
    </row>
    <row r="79" spans="1:4" x14ac:dyDescent="0.2">
      <c r="A79" s="57">
        <v>23774</v>
      </c>
      <c r="B79" s="59">
        <f>VLOOKUP(Table26[[#This Row],[Date]],'DB Money Supply'!$A:$E,5)</f>
        <v>430.4</v>
      </c>
      <c r="C79" s="31">
        <f>(Table26[[#This Row],[M2 Money Stock, Billions of Dollars, Monthly, Seasonally Adjusted]]-B78)/B78</f>
        <v>6.7836257309940992E-3</v>
      </c>
      <c r="D79" s="32">
        <f>((1+Table26[[#This Row],[Monthly change]])^12)-1</f>
        <v>8.4510405138024325E-2</v>
      </c>
    </row>
    <row r="80" spans="1:4" x14ac:dyDescent="0.2">
      <c r="A80" s="34">
        <v>23802</v>
      </c>
      <c r="B80" s="59">
        <f>VLOOKUP(Table26[[#This Row],[Date]],'DB Money Supply'!$A:$E,5)</f>
        <v>433.2</v>
      </c>
      <c r="C80" s="31">
        <f>(Table26[[#This Row],[M2 Money Stock, Billions of Dollars, Monthly, Seasonally Adjusted]]-B79)/B79</f>
        <v>6.5055762081784657E-3</v>
      </c>
      <c r="D80" s="32">
        <f>((1+Table26[[#This Row],[Monthly change]])^12)-1</f>
        <v>8.0921670004338697E-2</v>
      </c>
    </row>
    <row r="81" spans="1:4" x14ac:dyDescent="0.2">
      <c r="A81" s="57">
        <v>23833</v>
      </c>
      <c r="B81" s="59">
        <f>VLOOKUP(Table26[[#This Row],[Date]],'DB Money Supply'!$A:$E,5)</f>
        <v>435.4</v>
      </c>
      <c r="C81" s="31">
        <f>(Table26[[#This Row],[M2 Money Stock, Billions of Dollars, Monthly, Seasonally Adjusted]]-B80)/B80</f>
        <v>5.0784856879039445E-3</v>
      </c>
      <c r="D81" s="32">
        <f>((1+Table26[[#This Row],[Monthly change]])^12)-1</f>
        <v>6.2673182771061819E-2</v>
      </c>
    </row>
    <row r="82" spans="1:4" x14ac:dyDescent="0.2">
      <c r="A82" s="57">
        <v>23863</v>
      </c>
      <c r="B82" s="59">
        <f>VLOOKUP(Table26[[#This Row],[Date]],'DB Money Supply'!$A:$E,5)</f>
        <v>437.1</v>
      </c>
      <c r="C82" s="31">
        <f>(Table26[[#This Row],[M2 Money Stock, Billions of Dollars, Monthly, Seasonally Adjusted]]-B81)/B81</f>
        <v>3.9044556729445237E-3</v>
      </c>
      <c r="D82" s="32">
        <f>((1+Table26[[#This Row],[Monthly change]])^12)-1</f>
        <v>4.7872833887410815E-2</v>
      </c>
    </row>
    <row r="83" spans="1:4" x14ac:dyDescent="0.2">
      <c r="A83" s="34">
        <v>23894</v>
      </c>
      <c r="B83" s="59">
        <f>VLOOKUP(Table26[[#This Row],[Date]],'DB Money Supply'!$A:$E,5)</f>
        <v>440.1</v>
      </c>
      <c r="C83" s="31">
        <f>(Table26[[#This Row],[M2 Money Stock, Billions of Dollars, Monthly, Seasonally Adjusted]]-B82)/B82</f>
        <v>6.8634179821551126E-3</v>
      </c>
      <c r="D83" s="32">
        <f>((1+Table26[[#This Row],[Monthly change]])^12)-1</f>
        <v>8.554228434533373E-2</v>
      </c>
    </row>
    <row r="84" spans="1:4" x14ac:dyDescent="0.2">
      <c r="A84" s="57">
        <v>23924</v>
      </c>
      <c r="B84" s="59">
        <f>VLOOKUP(Table26[[#This Row],[Date]],'DB Money Supply'!$A:$E,5)</f>
        <v>442.9</v>
      </c>
      <c r="C84" s="31">
        <f>(Table26[[#This Row],[M2 Money Stock, Billions of Dollars, Monthly, Seasonally Adjusted]]-B83)/B83</f>
        <v>6.3621904112700625E-3</v>
      </c>
      <c r="D84" s="32">
        <f>((1+Table26[[#This Row],[Monthly change]])^12)-1</f>
        <v>7.9075272661200291E-2</v>
      </c>
    </row>
    <row r="85" spans="1:4" x14ac:dyDescent="0.2">
      <c r="A85" s="34">
        <v>23955</v>
      </c>
      <c r="B85" s="59">
        <f>VLOOKUP(Table26[[#This Row],[Date]],'DB Money Supply'!$A:$E,5)</f>
        <v>445.8</v>
      </c>
      <c r="C85" s="31">
        <f>(Table26[[#This Row],[M2 Money Stock, Billions of Dollars, Monthly, Seasonally Adjusted]]-B84)/B84</f>
        <v>6.54775344321525E-3</v>
      </c>
      <c r="D85" s="32">
        <f>((1+Table26[[#This Row],[Monthly change]])^12)-1</f>
        <v>8.1465342655360207E-2</v>
      </c>
    </row>
    <row r="86" spans="1:4" x14ac:dyDescent="0.2">
      <c r="A86" s="57">
        <v>23986</v>
      </c>
      <c r="B86" s="59">
        <f>VLOOKUP(Table26[[#This Row],[Date]],'DB Money Supply'!$A:$E,5)</f>
        <v>449.5</v>
      </c>
      <c r="C86" s="31">
        <f>(Table26[[#This Row],[M2 Money Stock, Billions of Dollars, Monthly, Seasonally Adjusted]]-B85)/B85</f>
        <v>8.299685957828597E-3</v>
      </c>
      <c r="D86" s="32">
        <f>((1+Table26[[#This Row],[Monthly change]])^12)-1</f>
        <v>0.10427078662456313</v>
      </c>
    </row>
    <row r="87" spans="1:4" x14ac:dyDescent="0.2">
      <c r="A87" s="34">
        <v>24016</v>
      </c>
      <c r="B87" s="59">
        <f>VLOOKUP(Table26[[#This Row],[Date]],'DB Money Supply'!$A:$E,5)</f>
        <v>452.6</v>
      </c>
      <c r="C87" s="31">
        <f>(Table26[[#This Row],[M2 Money Stock, Billions of Dollars, Monthly, Seasonally Adjusted]]-B86)/B86</f>
        <v>6.8965517241379812E-3</v>
      </c>
      <c r="D87" s="32">
        <f>((1+Table26[[#This Row],[Monthly change]])^12)-1</f>
        <v>8.5971036702589654E-2</v>
      </c>
    </row>
    <row r="88" spans="1:4" x14ac:dyDescent="0.2">
      <c r="A88" s="57">
        <v>24047</v>
      </c>
      <c r="B88" s="59">
        <f>VLOOKUP(Table26[[#This Row],[Date]],'DB Money Supply'!$A:$E,5)</f>
        <v>455.7</v>
      </c>
      <c r="C88" s="31">
        <f>(Table26[[#This Row],[M2 Money Stock, Billions of Dollars, Monthly, Seasonally Adjusted]]-B87)/B87</f>
        <v>6.8493150684930748E-3</v>
      </c>
      <c r="D88" s="32">
        <f>((1+Table26[[#This Row],[Monthly change]])^12)-1</f>
        <v>8.5359838986728054E-2</v>
      </c>
    </row>
    <row r="89" spans="1:4" x14ac:dyDescent="0.2">
      <c r="A89" s="34">
        <v>24077</v>
      </c>
      <c r="B89" s="59">
        <f>VLOOKUP(Table26[[#This Row],[Date]],'DB Money Supply'!$A:$E,5)</f>
        <v>459.2</v>
      </c>
      <c r="C89" s="31">
        <f>(Table26[[#This Row],[M2 Money Stock, Billions of Dollars, Monthly, Seasonally Adjusted]]-B88)/B88</f>
        <v>7.6804915514592934E-3</v>
      </c>
      <c r="D89" s="32">
        <f>((1+Table26[[#This Row],[Monthly change]])^12)-1</f>
        <v>9.6160655014751795E-2</v>
      </c>
    </row>
    <row r="90" spans="1:4" x14ac:dyDescent="0.2">
      <c r="A90" s="57">
        <v>24108</v>
      </c>
      <c r="B90" s="59">
        <f>VLOOKUP(Table26[[#This Row],[Date]],'DB Money Supply'!$A:$E,5)</f>
        <v>462</v>
      </c>
      <c r="C90" s="31">
        <f>(Table26[[#This Row],[M2 Money Stock, Billions of Dollars, Monthly, Seasonally Adjusted]]-B89)/B89</f>
        <v>6.0975609756097806E-3</v>
      </c>
      <c r="D90" s="32">
        <f>((1+Table26[[#This Row],[Monthly change]])^12)-1</f>
        <v>7.5675195139639273E-2</v>
      </c>
    </row>
    <row r="91" spans="1:4" x14ac:dyDescent="0.2">
      <c r="A91" s="34">
        <v>24139</v>
      </c>
      <c r="B91" s="59">
        <f>VLOOKUP(Table26[[#This Row],[Date]],'DB Money Supply'!$A:$E,5)</f>
        <v>464.6</v>
      </c>
      <c r="C91" s="31">
        <f>(Table26[[#This Row],[M2 Money Stock, Billions of Dollars, Monthly, Seasonally Adjusted]]-B90)/B90</f>
        <v>5.6277056277056767E-3</v>
      </c>
      <c r="D91" s="32">
        <f>((1+Table26[[#This Row],[Monthly change]])^12)-1</f>
        <v>6.9662471009258153E-2</v>
      </c>
    </row>
    <row r="92" spans="1:4" x14ac:dyDescent="0.2">
      <c r="A92" s="57">
        <v>24167</v>
      </c>
      <c r="B92" s="59">
        <f>VLOOKUP(Table26[[#This Row],[Date]],'DB Money Supply'!$A:$E,5)</f>
        <v>467.2</v>
      </c>
      <c r="C92" s="31">
        <f>(Table26[[#This Row],[M2 Money Stock, Billions of Dollars, Monthly, Seasonally Adjusted]]-B91)/B91</f>
        <v>5.5962117950924791E-3</v>
      </c>
      <c r="D92" s="32">
        <f>((1+Table26[[#This Row],[Monthly change]])^12)-1</f>
        <v>6.9260549280688144E-2</v>
      </c>
    </row>
    <row r="93" spans="1:4" x14ac:dyDescent="0.2">
      <c r="A93" s="34">
        <v>24198</v>
      </c>
      <c r="B93" s="59">
        <f>VLOOKUP(Table26[[#This Row],[Date]],'DB Money Supply'!$A:$E,5)</f>
        <v>469.3</v>
      </c>
      <c r="C93" s="31">
        <f>(Table26[[#This Row],[M2 Money Stock, Billions of Dollars, Monthly, Seasonally Adjusted]]-B92)/B92</f>
        <v>4.4948630136986793E-3</v>
      </c>
      <c r="D93" s="32">
        <f>((1+Table26[[#This Row],[Monthly change]])^12)-1</f>
        <v>5.5291988975153306E-2</v>
      </c>
    </row>
    <row r="94" spans="1:4" x14ac:dyDescent="0.2">
      <c r="A94" s="57">
        <v>24228</v>
      </c>
      <c r="B94" s="59">
        <f>VLOOKUP(Table26[[#This Row],[Date]],'DB Money Supply'!$A:$E,5)</f>
        <v>470.1</v>
      </c>
      <c r="C94" s="31">
        <f>(Table26[[#This Row],[M2 Money Stock, Billions of Dollars, Monthly, Seasonally Adjusted]]-B93)/B93</f>
        <v>1.7046665246111471E-3</v>
      </c>
      <c r="D94" s="32">
        <f>((1+Table26[[#This Row],[Monthly change]])^12)-1</f>
        <v>2.0648880877381925E-2</v>
      </c>
    </row>
    <row r="95" spans="1:4" x14ac:dyDescent="0.2">
      <c r="A95" s="34">
        <v>24259</v>
      </c>
      <c r="B95" s="59">
        <f>VLOOKUP(Table26[[#This Row],[Date]],'DB Money Supply'!$A:$E,5)</f>
        <v>471.2</v>
      </c>
      <c r="C95" s="31">
        <f>(Table26[[#This Row],[M2 Money Stock, Billions of Dollars, Monthly, Seasonally Adjusted]]-B94)/B94</f>
        <v>2.3399276749627011E-3</v>
      </c>
      <c r="D95" s="32">
        <f>((1+Table26[[#This Row],[Monthly change]])^12)-1</f>
        <v>2.8443332832713164E-2</v>
      </c>
    </row>
    <row r="96" spans="1:4" x14ac:dyDescent="0.2">
      <c r="A96" s="57">
        <v>24289</v>
      </c>
      <c r="B96" s="59">
        <f>VLOOKUP(Table26[[#This Row],[Date]],'DB Money Supply'!$A:$E,5)</f>
        <v>470.9</v>
      </c>
      <c r="C96" s="31">
        <f>(Table26[[#This Row],[M2 Money Stock, Billions of Dollars, Monthly, Seasonally Adjusted]]-B95)/B95</f>
        <v>-6.3667232597625501E-4</v>
      </c>
      <c r="D96" s="32">
        <f>((1+Table26[[#This Row],[Monthly change]])^12)-1</f>
        <v>-7.613371398280222E-3</v>
      </c>
    </row>
    <row r="97" spans="1:4" x14ac:dyDescent="0.2">
      <c r="A97" s="34">
        <v>24320</v>
      </c>
      <c r="B97" s="59">
        <f>VLOOKUP(Table26[[#This Row],[Date]],'DB Money Supply'!$A:$E,5)</f>
        <v>472.6</v>
      </c>
      <c r="C97" s="31">
        <f>(Table26[[#This Row],[M2 Money Stock, Billions of Dollars, Monthly, Seasonally Adjusted]]-B96)/B96</f>
        <v>3.6101083032491943E-3</v>
      </c>
      <c r="D97" s="32">
        <f>((1+Table26[[#This Row],[Monthly change]])^12)-1</f>
        <v>4.4191905440243984E-2</v>
      </c>
    </row>
    <row r="98" spans="1:4" x14ac:dyDescent="0.2">
      <c r="A98" s="57">
        <v>24351</v>
      </c>
      <c r="B98" s="59">
        <f>VLOOKUP(Table26[[#This Row],[Date]],'DB Money Supply'!$A:$E,5)</f>
        <v>475.4</v>
      </c>
      <c r="C98" s="31">
        <f>(Table26[[#This Row],[M2 Money Stock, Billions of Dollars, Monthly, Seasonally Adjusted]]-B97)/B97</f>
        <v>5.9246720270841186E-3</v>
      </c>
      <c r="D98" s="32">
        <f>((1+Table26[[#This Row],[Monthly change]])^12)-1</f>
        <v>7.3459147385176005E-2</v>
      </c>
    </row>
    <row r="99" spans="1:4" x14ac:dyDescent="0.2">
      <c r="A99" s="34">
        <v>24381</v>
      </c>
      <c r="B99" s="59">
        <f>VLOOKUP(Table26[[#This Row],[Date]],'DB Money Supply'!$A:$E,5)</f>
        <v>475.7</v>
      </c>
      <c r="C99" s="31">
        <f>(Table26[[#This Row],[M2 Money Stock, Billions of Dollars, Monthly, Seasonally Adjusted]]-B98)/B98</f>
        <v>6.3104753891462216E-4</v>
      </c>
      <c r="D99" s="32">
        <f>((1+Table26[[#This Row],[Monthly change]])^12)-1</f>
        <v>7.5989084165162257E-3</v>
      </c>
    </row>
    <row r="100" spans="1:4" x14ac:dyDescent="0.2">
      <c r="A100" s="57">
        <v>24412</v>
      </c>
      <c r="B100" s="59">
        <f>VLOOKUP(Table26[[#This Row],[Date]],'DB Money Supply'!$A:$E,5)</f>
        <v>477.3</v>
      </c>
      <c r="C100" s="31">
        <f>(Table26[[#This Row],[M2 Money Stock, Billions of Dollars, Monthly, Seasonally Adjusted]]-B99)/B99</f>
        <v>3.3634643682993962E-3</v>
      </c>
      <c r="D100" s="32">
        <f>((1+Table26[[#This Row],[Monthly change]])^12)-1</f>
        <v>4.111665813389398E-2</v>
      </c>
    </row>
    <row r="101" spans="1:4" x14ac:dyDescent="0.2">
      <c r="A101" s="57">
        <v>24442</v>
      </c>
      <c r="B101" s="59">
        <f>VLOOKUP(Table26[[#This Row],[Date]],'DB Money Supply'!$A:$E,5)</f>
        <v>480.2</v>
      </c>
      <c r="C101" s="31">
        <f>(Table26[[#This Row],[M2 Money Stock, Billions of Dollars, Monthly, Seasonally Adjusted]]-B100)/B100</f>
        <v>6.0758432851455626E-3</v>
      </c>
      <c r="D101" s="32">
        <f>((1+Table26[[#This Row],[Monthly change]])^12)-1</f>
        <v>7.5396593041605842E-2</v>
      </c>
    </row>
    <row r="102" spans="1:4" x14ac:dyDescent="0.2">
      <c r="A102" s="34">
        <v>24473</v>
      </c>
      <c r="B102" s="59">
        <f>VLOOKUP(Table26[[#This Row],[Date]],'DB Money Supply'!$A:$E,5)</f>
        <v>481.6</v>
      </c>
      <c r="C102" s="31">
        <f>(Table26[[#This Row],[M2 Money Stock, Billions of Dollars, Monthly, Seasonally Adjusted]]-B101)/B101</f>
        <v>2.9154518950438029E-3</v>
      </c>
      <c r="D102" s="32">
        <f>((1+Table26[[#This Row],[Monthly change]])^12)-1</f>
        <v>3.5551901219228688E-2</v>
      </c>
    </row>
    <row r="103" spans="1:4" x14ac:dyDescent="0.2">
      <c r="A103" s="57">
        <v>24504</v>
      </c>
      <c r="B103" s="59">
        <f>VLOOKUP(Table26[[#This Row],[Date]],'DB Money Supply'!$A:$E,5)</f>
        <v>485.1</v>
      </c>
      <c r="C103" s="31">
        <f>(Table26[[#This Row],[M2 Money Stock, Billions of Dollars, Monthly, Seasonally Adjusted]]-B102)/B102</f>
        <v>7.2674418604651162E-3</v>
      </c>
      <c r="D103" s="32">
        <f>((1+Table26[[#This Row],[Monthly change]])^12)-1</f>
        <v>9.0780979983761556E-2</v>
      </c>
    </row>
    <row r="104" spans="1:4" x14ac:dyDescent="0.2">
      <c r="A104" s="34">
        <v>24532</v>
      </c>
      <c r="B104" s="59">
        <f>VLOOKUP(Table26[[#This Row],[Date]],'DB Money Supply'!$A:$E,5)</f>
        <v>489.7</v>
      </c>
      <c r="C104" s="31">
        <f>(Table26[[#This Row],[M2 Money Stock, Billions of Dollars, Monthly, Seasonally Adjusted]]-B103)/B103</f>
        <v>9.4825809111522691E-3</v>
      </c>
      <c r="D104" s="32">
        <f>((1+Table26[[#This Row],[Monthly change]])^12)-1</f>
        <v>0.11991729797314576</v>
      </c>
    </row>
    <row r="105" spans="1:4" x14ac:dyDescent="0.2">
      <c r="A105" s="57">
        <v>24563</v>
      </c>
      <c r="B105" s="59">
        <f>VLOOKUP(Table26[[#This Row],[Date]],'DB Money Supply'!$A:$E,5)</f>
        <v>492.1</v>
      </c>
      <c r="C105" s="31">
        <f>(Table26[[#This Row],[M2 Money Stock, Billions of Dollars, Monthly, Seasonally Adjusted]]-B104)/B104</f>
        <v>4.9009597712886136E-3</v>
      </c>
      <c r="D105" s="32">
        <f>((1+Table26[[#This Row],[Monthly change]])^12)-1</f>
        <v>6.0422983921963658E-2</v>
      </c>
    </row>
    <row r="106" spans="1:4" x14ac:dyDescent="0.2">
      <c r="A106" s="34">
        <v>24593</v>
      </c>
      <c r="B106" s="59">
        <f>VLOOKUP(Table26[[#This Row],[Date]],'DB Money Supply'!$A:$E,5)</f>
        <v>497.2</v>
      </c>
      <c r="C106" s="31">
        <f>(Table26[[#This Row],[M2 Money Stock, Billions of Dollars, Monthly, Seasonally Adjusted]]-B105)/B105</f>
        <v>1.0363747205852399E-2</v>
      </c>
      <c r="D106" s="32">
        <f>((1+Table26[[#This Row],[Monthly change]])^12)-1</f>
        <v>0.13170454286310096</v>
      </c>
    </row>
    <row r="107" spans="1:4" x14ac:dyDescent="0.2">
      <c r="A107" s="57">
        <v>24624</v>
      </c>
      <c r="B107" s="59">
        <f>VLOOKUP(Table26[[#This Row],[Date]],'DB Money Supply'!$A:$E,5)</f>
        <v>502</v>
      </c>
      <c r="C107" s="31">
        <f>(Table26[[#This Row],[M2 Money Stock, Billions of Dollars, Monthly, Seasonally Adjusted]]-B106)/B106</f>
        <v>9.6540627514079078E-3</v>
      </c>
      <c r="D107" s="32">
        <f>((1+Table26[[#This Row],[Monthly change]])^12)-1</f>
        <v>0.12220233005696479</v>
      </c>
    </row>
    <row r="108" spans="1:4" x14ac:dyDescent="0.2">
      <c r="A108" s="34">
        <v>24654</v>
      </c>
      <c r="B108" s="59">
        <f>VLOOKUP(Table26[[#This Row],[Date]],'DB Money Supply'!$A:$E,5)</f>
        <v>506.3</v>
      </c>
      <c r="C108" s="31">
        <f>(Table26[[#This Row],[M2 Money Stock, Billions of Dollars, Monthly, Seasonally Adjusted]]-B107)/B107</f>
        <v>8.5657370517928516E-3</v>
      </c>
      <c r="D108" s="32">
        <f>((1+Table26[[#This Row],[Monthly change]])^12)-1</f>
        <v>0.10777235496634896</v>
      </c>
    </row>
    <row r="109" spans="1:4" x14ac:dyDescent="0.2">
      <c r="A109" s="57">
        <v>24685</v>
      </c>
      <c r="B109" s="59">
        <f>VLOOKUP(Table26[[#This Row],[Date]],'DB Money Supply'!$A:$E,5)</f>
        <v>510.8</v>
      </c>
      <c r="C109" s="31">
        <f>(Table26[[#This Row],[M2 Money Stock, Billions of Dollars, Monthly, Seasonally Adjusted]]-B108)/B108</f>
        <v>8.888011060635987E-3</v>
      </c>
      <c r="D109" s="32">
        <f>((1+Table26[[#This Row],[Monthly change]])^12)-1</f>
        <v>0.11202751829487401</v>
      </c>
    </row>
    <row r="110" spans="1:4" x14ac:dyDescent="0.2">
      <c r="A110" s="34">
        <v>24716</v>
      </c>
      <c r="B110" s="59">
        <f>VLOOKUP(Table26[[#This Row],[Date]],'DB Money Supply'!$A:$E,5)</f>
        <v>514.70000000000005</v>
      </c>
      <c r="C110" s="31">
        <f>(Table26[[#This Row],[M2 Money Stock, Billions of Dollars, Monthly, Seasonally Adjusted]]-B109)/B109</f>
        <v>7.6350822239624784E-3</v>
      </c>
      <c r="D110" s="32">
        <f>((1+Table26[[#This Row],[Monthly change]])^12)-1</f>
        <v>9.5568043563857286E-2</v>
      </c>
    </row>
    <row r="111" spans="1:4" x14ac:dyDescent="0.2">
      <c r="A111" s="57">
        <v>24746</v>
      </c>
      <c r="B111" s="59">
        <f>VLOOKUP(Table26[[#This Row],[Date]],'DB Money Supply'!$A:$E,5)</f>
        <v>518.20000000000005</v>
      </c>
      <c r="C111" s="31">
        <f>(Table26[[#This Row],[M2 Money Stock, Billions of Dollars, Monthly, Seasonally Adjusted]]-B110)/B110</f>
        <v>6.800077715173887E-3</v>
      </c>
      <c r="D111" s="32">
        <f>((1+Table26[[#This Row],[Monthly change]])^12)-1</f>
        <v>8.4723089785599281E-2</v>
      </c>
    </row>
    <row r="112" spans="1:4" x14ac:dyDescent="0.2">
      <c r="A112" s="34">
        <v>24777</v>
      </c>
      <c r="B112" s="59">
        <f>VLOOKUP(Table26[[#This Row],[Date]],'DB Money Supply'!$A:$E,5)</f>
        <v>521.20000000000005</v>
      </c>
      <c r="C112" s="31">
        <f>(Table26[[#This Row],[M2 Money Stock, Billions of Dollars, Monthly, Seasonally Adjusted]]-B111)/B111</f>
        <v>5.7892705519104592E-3</v>
      </c>
      <c r="D112" s="32">
        <f>((1+Table26[[#This Row],[Monthly change]])^12)-1</f>
        <v>7.1726527834792275E-2</v>
      </c>
    </row>
    <row r="113" spans="1:4" x14ac:dyDescent="0.2">
      <c r="A113" s="57">
        <v>24807</v>
      </c>
      <c r="B113" s="59">
        <f>VLOOKUP(Table26[[#This Row],[Date]],'DB Money Supply'!$A:$E,5)</f>
        <v>524.79999999999995</v>
      </c>
      <c r="C113" s="31">
        <f>(Table26[[#This Row],[M2 Money Stock, Billions of Dollars, Monthly, Seasonally Adjusted]]-B112)/B112</f>
        <v>6.907137375287622E-3</v>
      </c>
      <c r="D113" s="32">
        <f>((1+Table26[[#This Row],[Monthly change]])^12)-1</f>
        <v>8.6108048298451756E-2</v>
      </c>
    </row>
    <row r="114" spans="1:4" x14ac:dyDescent="0.2">
      <c r="A114" s="34">
        <v>24838</v>
      </c>
      <c r="B114" s="59">
        <f>VLOOKUP(Table26[[#This Row],[Date]],'DB Money Supply'!$A:$E,5)</f>
        <v>527.4</v>
      </c>
      <c r="C114" s="31">
        <f>(Table26[[#This Row],[M2 Money Stock, Billions of Dollars, Monthly, Seasonally Adjusted]]-B113)/B113</f>
        <v>4.9542682926829703E-3</v>
      </c>
      <c r="D114" s="32">
        <f>((1+Table26[[#This Row],[Monthly change]])^12)-1</f>
        <v>6.1098227512744518E-2</v>
      </c>
    </row>
    <row r="115" spans="1:4" x14ac:dyDescent="0.2">
      <c r="A115" s="57">
        <v>24869</v>
      </c>
      <c r="B115" s="59">
        <f>VLOOKUP(Table26[[#This Row],[Date]],'DB Money Supply'!$A:$E,5)</f>
        <v>530.4</v>
      </c>
      <c r="C115" s="31">
        <f>(Table26[[#This Row],[M2 Money Stock, Billions of Dollars, Monthly, Seasonally Adjusted]]-B114)/B114</f>
        <v>5.6882821387940841E-3</v>
      </c>
      <c r="D115" s="32">
        <f>((1+Table26[[#This Row],[Monthly change]])^12)-1</f>
        <v>7.0435932901141918E-2</v>
      </c>
    </row>
    <row r="116" spans="1:4" x14ac:dyDescent="0.2">
      <c r="A116" s="34">
        <v>24898</v>
      </c>
      <c r="B116" s="59">
        <f>VLOOKUP(Table26[[#This Row],[Date]],'DB Money Supply'!$A:$E,5)</f>
        <v>533.20000000000005</v>
      </c>
      <c r="C116" s="31">
        <f>(Table26[[#This Row],[M2 Money Stock, Billions of Dollars, Monthly, Seasonally Adjusted]]-B115)/B115</f>
        <v>5.2790346907995254E-3</v>
      </c>
      <c r="D116" s="32">
        <f>((1+Table26[[#This Row],[Monthly change]])^12)-1</f>
        <v>6.5220471462948737E-2</v>
      </c>
    </row>
    <row r="117" spans="1:4" x14ac:dyDescent="0.2">
      <c r="A117" s="57">
        <v>24929</v>
      </c>
      <c r="B117" s="59">
        <f>VLOOKUP(Table26[[#This Row],[Date]],'DB Money Supply'!$A:$E,5)</f>
        <v>535.70000000000005</v>
      </c>
      <c r="C117" s="31">
        <f>(Table26[[#This Row],[M2 Money Stock, Billions of Dollars, Monthly, Seasonally Adjusted]]-B116)/B116</f>
        <v>4.6886721680420105E-3</v>
      </c>
      <c r="D117" s="32">
        <f>((1+Table26[[#This Row],[Monthly change]])^12)-1</f>
        <v>5.7737904031839093E-2</v>
      </c>
    </row>
    <row r="118" spans="1:4" x14ac:dyDescent="0.2">
      <c r="A118" s="34">
        <v>24959</v>
      </c>
      <c r="B118" s="59">
        <f>VLOOKUP(Table26[[#This Row],[Date]],'DB Money Supply'!$A:$E,5)</f>
        <v>538.9</v>
      </c>
      <c r="C118" s="31">
        <f>(Table26[[#This Row],[M2 Money Stock, Billions of Dollars, Monthly, Seasonally Adjusted]]-B117)/B117</f>
        <v>5.9734926264699111E-3</v>
      </c>
      <c r="D118" s="32">
        <f>((1+Table26[[#This Row],[Monthly change]])^12)-1</f>
        <v>7.4084493339440227E-2</v>
      </c>
    </row>
    <row r="119" spans="1:4" x14ac:dyDescent="0.2">
      <c r="A119" s="57">
        <v>24990</v>
      </c>
      <c r="B119" s="59">
        <f>VLOOKUP(Table26[[#This Row],[Date]],'DB Money Supply'!$A:$E,5)</f>
        <v>542.6</v>
      </c>
      <c r="C119" s="31">
        <f>(Table26[[#This Row],[M2 Money Stock, Billions of Dollars, Monthly, Seasonally Adjusted]]-B118)/B118</f>
        <v>6.8658378177770376E-3</v>
      </c>
      <c r="D119" s="32">
        <f>((1+Table26[[#This Row],[Monthly change]])^12)-1</f>
        <v>8.5573591891893619E-2</v>
      </c>
    </row>
    <row r="120" spans="1:4" x14ac:dyDescent="0.2">
      <c r="A120" s="57">
        <v>25020</v>
      </c>
      <c r="B120" s="59">
        <f>VLOOKUP(Table26[[#This Row],[Date]],'DB Money Supply'!$A:$E,5)</f>
        <v>545.6</v>
      </c>
      <c r="C120" s="31">
        <f>(Table26[[#This Row],[M2 Money Stock, Billions of Dollars, Monthly, Seasonally Adjusted]]-B119)/B119</f>
        <v>5.5289347585698485E-3</v>
      </c>
      <c r="D120" s="32">
        <f>((1+Table26[[#This Row],[Monthly change]])^12)-1</f>
        <v>6.8402428902662127E-2</v>
      </c>
    </row>
    <row r="121" spans="1:4" x14ac:dyDescent="0.2">
      <c r="A121" s="34">
        <v>25051</v>
      </c>
      <c r="B121" s="59">
        <f>VLOOKUP(Table26[[#This Row],[Date]],'DB Money Supply'!$A:$E,5)</f>
        <v>549.4</v>
      </c>
      <c r="C121" s="31">
        <f>(Table26[[#This Row],[M2 Money Stock, Billions of Dollars, Monthly, Seasonally Adjusted]]-B120)/B120</f>
        <v>6.9648093841641395E-3</v>
      </c>
      <c r="D121" s="32">
        <f>((1+Table26[[#This Row],[Monthly change]])^12)-1</f>
        <v>8.6854783722454476E-2</v>
      </c>
    </row>
    <row r="122" spans="1:4" x14ac:dyDescent="0.2">
      <c r="A122" s="57">
        <v>25082</v>
      </c>
      <c r="B122" s="59">
        <f>VLOOKUP(Table26[[#This Row],[Date]],'DB Money Supply'!$A:$E,5)</f>
        <v>553.6</v>
      </c>
      <c r="C122" s="31">
        <f>(Table26[[#This Row],[M2 Money Stock, Billions of Dollars, Monthly, Seasonally Adjusted]]-B121)/B121</f>
        <v>7.6447033127048517E-3</v>
      </c>
      <c r="D122" s="32">
        <f>((1+Table26[[#This Row],[Monthly change]])^12)-1</f>
        <v>9.5693578425970705E-2</v>
      </c>
    </row>
    <row r="123" spans="1:4" x14ac:dyDescent="0.2">
      <c r="A123" s="34">
        <v>25112</v>
      </c>
      <c r="B123" s="59">
        <f>VLOOKUP(Table26[[#This Row],[Date]],'DB Money Supply'!$A:$E,5)</f>
        <v>557.6</v>
      </c>
      <c r="C123" s="31">
        <f>(Table26[[#This Row],[M2 Money Stock, Billions of Dollars, Monthly, Seasonally Adjusted]]-B122)/B122</f>
        <v>7.2254335260115606E-3</v>
      </c>
      <c r="D123" s="32">
        <f>((1+Table26[[#This Row],[Monthly change]])^12)-1</f>
        <v>9.0235209739946143E-2</v>
      </c>
    </row>
    <row r="124" spans="1:4" x14ac:dyDescent="0.2">
      <c r="A124" s="57">
        <v>25143</v>
      </c>
      <c r="B124" s="59">
        <f>VLOOKUP(Table26[[#This Row],[Date]],'DB Money Supply'!$A:$E,5)</f>
        <v>562.4</v>
      </c>
      <c r="C124" s="31">
        <f>(Table26[[#This Row],[M2 Money Stock, Billions of Dollars, Monthly, Seasonally Adjusted]]-B123)/B123</f>
        <v>8.6083213773313384E-3</v>
      </c>
      <c r="D124" s="32">
        <f>((1+Table26[[#This Row],[Monthly change]])^12)-1</f>
        <v>0.1083337624379479</v>
      </c>
    </row>
    <row r="125" spans="1:4" x14ac:dyDescent="0.2">
      <c r="A125" s="34">
        <v>25173</v>
      </c>
      <c r="B125" s="59">
        <f>VLOOKUP(Table26[[#This Row],[Date]],'DB Money Supply'!$A:$E,5)</f>
        <v>566.79999999999995</v>
      </c>
      <c r="C125" s="31">
        <f>(Table26[[#This Row],[M2 Money Stock, Billions of Dollars, Monthly, Seasonally Adjusted]]-B124)/B124</f>
        <v>7.8236130867709412E-3</v>
      </c>
      <c r="D125" s="32">
        <f>((1+Table26[[#This Row],[Monthly change]])^12)-1</f>
        <v>9.803037631952316E-2</v>
      </c>
    </row>
    <row r="126" spans="1:4" x14ac:dyDescent="0.2">
      <c r="A126" s="57">
        <v>25204</v>
      </c>
      <c r="B126" s="59">
        <f>VLOOKUP(Table26[[#This Row],[Date]],'DB Money Supply'!$A:$E,5)</f>
        <v>569.29999999999995</v>
      </c>
      <c r="C126" s="31">
        <f>(Table26[[#This Row],[M2 Money Stock, Billions of Dollars, Monthly, Seasonally Adjusted]]-B125)/B125</f>
        <v>4.4107268877911082E-3</v>
      </c>
      <c r="D126" s="32">
        <f>((1+Table26[[#This Row],[Monthly change]])^12)-1</f>
        <v>5.4231786978178542E-2</v>
      </c>
    </row>
    <row r="127" spans="1:4" x14ac:dyDescent="0.2">
      <c r="A127" s="34">
        <v>25235</v>
      </c>
      <c r="B127" s="59">
        <f>VLOOKUP(Table26[[#This Row],[Date]],'DB Money Supply'!$A:$E,5)</f>
        <v>571.9</v>
      </c>
      <c r="C127" s="31">
        <f>(Table26[[#This Row],[M2 Money Stock, Billions of Dollars, Monthly, Seasonally Adjusted]]-B126)/B126</f>
        <v>4.5670121201475903E-3</v>
      </c>
      <c r="D127" s="32">
        <f>((1+Table26[[#This Row],[Monthly change]])^12)-1</f>
        <v>5.6201920469204358E-2</v>
      </c>
    </row>
    <row r="128" spans="1:4" x14ac:dyDescent="0.2">
      <c r="A128" s="57">
        <v>25263</v>
      </c>
      <c r="B128" s="59">
        <f>VLOOKUP(Table26[[#This Row],[Date]],'DB Money Supply'!$A:$E,5)</f>
        <v>574.4</v>
      </c>
      <c r="C128" s="31">
        <f>(Table26[[#This Row],[M2 Money Stock, Billions of Dollars, Monthly, Seasonally Adjusted]]-B127)/B127</f>
        <v>4.3713936002797698E-3</v>
      </c>
      <c r="D128" s="32">
        <f>((1+Table26[[#This Row],[Monthly change]])^12)-1</f>
        <v>5.3736481969479E-2</v>
      </c>
    </row>
    <row r="129" spans="1:4" x14ac:dyDescent="0.2">
      <c r="A129" s="34">
        <v>25294</v>
      </c>
      <c r="B129" s="59">
        <f>VLOOKUP(Table26[[#This Row],[Date]],'DB Money Supply'!$A:$E,5)</f>
        <v>575.70000000000005</v>
      </c>
      <c r="C129" s="31">
        <f>(Table26[[#This Row],[M2 Money Stock, Billions of Dollars, Monthly, Seasonally Adjusted]]-B128)/B128</f>
        <v>2.2632311977717067E-3</v>
      </c>
      <c r="D129" s="32">
        <f>((1+Table26[[#This Row],[Monthly change]])^12)-1</f>
        <v>2.7499404034497132E-2</v>
      </c>
    </row>
    <row r="130" spans="1:4" x14ac:dyDescent="0.2">
      <c r="A130" s="57">
        <v>25324</v>
      </c>
      <c r="B130" s="59">
        <f>VLOOKUP(Table26[[#This Row],[Date]],'DB Money Supply'!$A:$E,5)</f>
        <v>576.5</v>
      </c>
      <c r="C130" s="31">
        <f>(Table26[[#This Row],[M2 Money Stock, Billions of Dollars, Monthly, Seasonally Adjusted]]-B129)/B129</f>
        <v>1.3896126454749948E-3</v>
      </c>
      <c r="D130" s="32">
        <f>((1+Table26[[#This Row],[Monthly change]])^12)-1</f>
        <v>1.6803391476055918E-2</v>
      </c>
    </row>
    <row r="131" spans="1:4" x14ac:dyDescent="0.2">
      <c r="A131" s="34">
        <v>25355</v>
      </c>
      <c r="B131" s="59">
        <f>VLOOKUP(Table26[[#This Row],[Date]],'DB Money Supply'!$A:$E,5)</f>
        <v>578.5</v>
      </c>
      <c r="C131" s="31">
        <f>(Table26[[#This Row],[M2 Money Stock, Billions of Dollars, Monthly, Seasonally Adjusted]]-B130)/B130</f>
        <v>3.469210754553339E-3</v>
      </c>
      <c r="D131" s="32">
        <f>((1+Table26[[#This Row],[Monthly change]])^12)-1</f>
        <v>4.2434124843186094E-2</v>
      </c>
    </row>
    <row r="132" spans="1:4" x14ac:dyDescent="0.2">
      <c r="A132" s="57">
        <v>25385</v>
      </c>
      <c r="B132" s="59">
        <f>VLOOKUP(Table26[[#This Row],[Date]],'DB Money Supply'!$A:$E,5)</f>
        <v>579.5</v>
      </c>
      <c r="C132" s="31">
        <f>(Table26[[#This Row],[M2 Money Stock, Billions of Dollars, Monthly, Seasonally Adjusted]]-B131)/B131</f>
        <v>1.7286084701815039E-3</v>
      </c>
      <c r="D132" s="32">
        <f>((1+Table26[[#This Row],[Monthly change]])^12)-1</f>
        <v>2.0941656183408153E-2</v>
      </c>
    </row>
    <row r="133" spans="1:4" x14ac:dyDescent="0.2">
      <c r="A133" s="34">
        <v>25416</v>
      </c>
      <c r="B133" s="59">
        <f>VLOOKUP(Table26[[#This Row],[Date]],'DB Money Supply'!$A:$E,5)</f>
        <v>580.1</v>
      </c>
      <c r="C133" s="31">
        <f>(Table26[[#This Row],[M2 Money Stock, Billions of Dollars, Monthly, Seasonally Adjusted]]-B132)/B132</f>
        <v>1.0353753235548279E-3</v>
      </c>
      <c r="D133" s="32">
        <f>((1+Table26[[#This Row],[Monthly change]])^12)-1</f>
        <v>1.2495500771836143E-2</v>
      </c>
    </row>
    <row r="134" spans="1:4" x14ac:dyDescent="0.2">
      <c r="A134" s="57">
        <v>25447</v>
      </c>
      <c r="B134" s="59">
        <f>VLOOKUP(Table26[[#This Row],[Date]],'DB Money Supply'!$A:$E,5)</f>
        <v>582.1</v>
      </c>
      <c r="C134" s="31">
        <f>(Table26[[#This Row],[M2 Money Stock, Billions of Dollars, Monthly, Seasonally Adjusted]]-B133)/B133</f>
        <v>3.4476814342354763E-3</v>
      </c>
      <c r="D134" s="32">
        <f>((1+Table26[[#This Row],[Monthly change]])^12)-1</f>
        <v>4.2165772812110092E-2</v>
      </c>
    </row>
    <row r="135" spans="1:4" x14ac:dyDescent="0.2">
      <c r="A135" s="34">
        <v>25477</v>
      </c>
      <c r="B135" s="59">
        <f>VLOOKUP(Table26[[#This Row],[Date]],'DB Money Supply'!$A:$E,5)</f>
        <v>583.4</v>
      </c>
      <c r="C135" s="31">
        <f>(Table26[[#This Row],[M2 Money Stock, Billions of Dollars, Monthly, Seasonally Adjusted]]-B134)/B134</f>
        <v>2.2332932485826396E-3</v>
      </c>
      <c r="D135" s="32">
        <f>((1+Table26[[#This Row],[Monthly change]])^12)-1</f>
        <v>2.71311633867799E-2</v>
      </c>
    </row>
    <row r="136" spans="1:4" x14ac:dyDescent="0.2">
      <c r="A136" s="57">
        <v>25508</v>
      </c>
      <c r="B136" s="59">
        <f>VLOOKUP(Table26[[#This Row],[Date]],'DB Money Supply'!$A:$E,5)</f>
        <v>585.4</v>
      </c>
      <c r="C136" s="31">
        <f>(Table26[[#This Row],[M2 Money Stock, Billions of Dollars, Monthly, Seasonally Adjusted]]-B135)/B135</f>
        <v>3.4281796366129585E-3</v>
      </c>
      <c r="D136" s="32">
        <f>((1+Table26[[#This Row],[Monthly change]])^12)-1</f>
        <v>4.1922747482108669E-2</v>
      </c>
    </row>
    <row r="137" spans="1:4" x14ac:dyDescent="0.2">
      <c r="A137" s="34">
        <v>25538</v>
      </c>
      <c r="B137" s="59">
        <f>VLOOKUP(Table26[[#This Row],[Date]],'DB Money Supply'!$A:$E,5)</f>
        <v>587.9</v>
      </c>
      <c r="C137" s="31">
        <f>(Table26[[#This Row],[M2 Money Stock, Billions of Dollars, Monthly, Seasonally Adjusted]]-B136)/B136</f>
        <v>4.2705842159207379E-3</v>
      </c>
      <c r="D137" s="32">
        <f>((1+Table26[[#This Row],[Monthly change]])^12)-1</f>
        <v>5.2468012096399619E-2</v>
      </c>
    </row>
    <row r="138" spans="1:4" x14ac:dyDescent="0.2">
      <c r="A138" s="57">
        <v>25569</v>
      </c>
      <c r="B138" s="59">
        <f>VLOOKUP(Table26[[#This Row],[Date]],'DB Money Supply'!$A:$E,5)</f>
        <v>589.6</v>
      </c>
      <c r="C138" s="31">
        <f>(Table26[[#This Row],[M2 Money Stock, Billions of Dollars, Monthly, Seasonally Adjusted]]-B137)/B137</f>
        <v>2.8916482394965907E-3</v>
      </c>
      <c r="D138" s="32">
        <f>((1+Table26[[#This Row],[Monthly change]])^12)-1</f>
        <v>3.5257000549262507E-2</v>
      </c>
    </row>
    <row r="139" spans="1:4" x14ac:dyDescent="0.2">
      <c r="A139" s="57">
        <v>25600</v>
      </c>
      <c r="B139" s="59">
        <f>VLOOKUP(Table26[[#This Row],[Date]],'DB Money Supply'!$A:$E,5)</f>
        <v>586.29999999999995</v>
      </c>
      <c r="C139" s="31">
        <f>(Table26[[#This Row],[M2 Money Stock, Billions of Dollars, Monthly, Seasonally Adjusted]]-B138)/B138</f>
        <v>-5.5970149253732502E-3</v>
      </c>
      <c r="D139" s="32">
        <f>((1+Table26[[#This Row],[Monthly change]])^12)-1</f>
        <v>-6.5134717404086162E-2</v>
      </c>
    </row>
    <row r="140" spans="1:4" x14ac:dyDescent="0.2">
      <c r="A140" s="34">
        <v>25628</v>
      </c>
      <c r="B140" s="59">
        <f>VLOOKUP(Table26[[#This Row],[Date]],'DB Money Supply'!$A:$E,5)</f>
        <v>587.29999999999995</v>
      </c>
      <c r="C140" s="31">
        <f>(Table26[[#This Row],[M2 Money Stock, Billions of Dollars, Monthly, Seasonally Adjusted]]-B139)/B139</f>
        <v>1.7056114617090229E-3</v>
      </c>
      <c r="D140" s="32">
        <f>((1+Table26[[#This Row],[Monthly change]])^12)-1</f>
        <v>2.0660434630030977E-2</v>
      </c>
    </row>
    <row r="141" spans="1:4" x14ac:dyDescent="0.2">
      <c r="A141" s="57">
        <v>25659</v>
      </c>
      <c r="B141" s="59">
        <f>VLOOKUP(Table26[[#This Row],[Date]],'DB Money Supply'!$A:$E,5)</f>
        <v>588.4</v>
      </c>
      <c r="C141" s="31">
        <f>(Table26[[#This Row],[M2 Money Stock, Billions of Dollars, Monthly, Seasonally Adjusted]]-B140)/B140</f>
        <v>1.8729780350758094E-3</v>
      </c>
      <c r="D141" s="32">
        <f>((1+Table26[[#This Row],[Monthly change]])^12)-1</f>
        <v>2.2708719123160748E-2</v>
      </c>
    </row>
    <row r="142" spans="1:4" x14ac:dyDescent="0.2">
      <c r="A142" s="34">
        <v>25689</v>
      </c>
      <c r="B142" s="59">
        <f>VLOOKUP(Table26[[#This Row],[Date]],'DB Money Supply'!$A:$E,5)</f>
        <v>591.5</v>
      </c>
      <c r="C142" s="31">
        <f>(Table26[[#This Row],[M2 Money Stock, Billions of Dollars, Monthly, Seasonally Adjusted]]-B141)/B141</f>
        <v>5.2685248130523842E-3</v>
      </c>
      <c r="D142" s="32">
        <f>((1+Table26[[#This Row],[Monthly change]])^12)-1</f>
        <v>6.5086840586452199E-2</v>
      </c>
    </row>
    <row r="143" spans="1:4" x14ac:dyDescent="0.2">
      <c r="A143" s="57">
        <v>25720</v>
      </c>
      <c r="B143" s="59">
        <f>VLOOKUP(Table26[[#This Row],[Date]],'DB Money Supply'!$A:$E,5)</f>
        <v>595.20000000000005</v>
      </c>
      <c r="C143" s="31">
        <f>(Table26[[#This Row],[M2 Money Stock, Billions of Dollars, Monthly, Seasonally Adjusted]]-B142)/B142</f>
        <v>6.2552831783601786E-3</v>
      </c>
      <c r="D143" s="32">
        <f>((1+Table26[[#This Row],[Monthly change]])^12)-1</f>
        <v>7.770049637218146E-2</v>
      </c>
    </row>
    <row r="144" spans="1:4" x14ac:dyDescent="0.2">
      <c r="A144" s="34">
        <v>25750</v>
      </c>
      <c r="B144" s="59">
        <f>VLOOKUP(Table26[[#This Row],[Date]],'DB Money Supply'!$A:$E,5)</f>
        <v>599.1</v>
      </c>
      <c r="C144" s="31">
        <f>(Table26[[#This Row],[M2 Money Stock, Billions of Dollars, Monthly, Seasonally Adjusted]]-B143)/B143</f>
        <v>6.5524193548386709E-3</v>
      </c>
      <c r="D144" s="32">
        <f>((1+Table26[[#This Row],[Monthly change]])^12)-1</f>
        <v>8.1525502547609818E-2</v>
      </c>
    </row>
    <row r="145" spans="1:4" x14ac:dyDescent="0.2">
      <c r="A145" s="57">
        <v>25781</v>
      </c>
      <c r="B145" s="59">
        <f>VLOOKUP(Table26[[#This Row],[Date]],'DB Money Supply'!$A:$E,5)</f>
        <v>604.9</v>
      </c>
      <c r="C145" s="31">
        <f>(Table26[[#This Row],[M2 Money Stock, Billions of Dollars, Monthly, Seasonally Adjusted]]-B144)/B144</f>
        <v>9.6811884493406015E-3</v>
      </c>
      <c r="D145" s="32">
        <f>((1+Table26[[#This Row],[Monthly change]])^12)-1</f>
        <v>0.1225641770022301</v>
      </c>
    </row>
    <row r="146" spans="1:4" x14ac:dyDescent="0.2">
      <c r="A146" s="34">
        <v>25812</v>
      </c>
      <c r="B146" s="59">
        <f>VLOOKUP(Table26[[#This Row],[Date]],'DB Money Supply'!$A:$E,5)</f>
        <v>611.20000000000005</v>
      </c>
      <c r="C146" s="31">
        <f>(Table26[[#This Row],[M2 Money Stock, Billions of Dollars, Monthly, Seasonally Adjusted]]-B145)/B145</f>
        <v>1.0414944618945394E-2</v>
      </c>
      <c r="D146" s="32">
        <f>((1+Table26[[#This Row],[Monthly change]])^12)-1</f>
        <v>0.13239288698502349</v>
      </c>
    </row>
    <row r="147" spans="1:4" x14ac:dyDescent="0.2">
      <c r="A147" s="57">
        <v>25842</v>
      </c>
      <c r="B147" s="59">
        <f>VLOOKUP(Table26[[#This Row],[Date]],'DB Money Supply'!$A:$E,5)</f>
        <v>616.4</v>
      </c>
      <c r="C147" s="31">
        <f>(Table26[[#This Row],[M2 Money Stock, Billions of Dollars, Monthly, Seasonally Adjusted]]-B146)/B146</f>
        <v>8.5078534031412488E-3</v>
      </c>
      <c r="D147" s="32">
        <f>((1+Table26[[#This Row],[Monthly change]])^12)-1</f>
        <v>0.10700966791302613</v>
      </c>
    </row>
    <row r="148" spans="1:4" x14ac:dyDescent="0.2">
      <c r="A148" s="34">
        <v>25873</v>
      </c>
      <c r="B148" s="59">
        <f>VLOOKUP(Table26[[#This Row],[Date]],'DB Money Supply'!$A:$E,5)</f>
        <v>621.1</v>
      </c>
      <c r="C148" s="31">
        <f>(Table26[[#This Row],[M2 Money Stock, Billions of Dollars, Monthly, Seasonally Adjusted]]-B147)/B147</f>
        <v>7.6249188838417355E-3</v>
      </c>
      <c r="D148" s="32">
        <f>((1+Table26[[#This Row],[Monthly change]])^12)-1</f>
        <v>9.5435447787733496E-2</v>
      </c>
    </row>
    <row r="149" spans="1:4" x14ac:dyDescent="0.2">
      <c r="A149" s="57">
        <v>25903</v>
      </c>
      <c r="B149" s="59">
        <f>VLOOKUP(Table26[[#This Row],[Date]],'DB Money Supply'!$A:$E,5)</f>
        <v>626.5</v>
      </c>
      <c r="C149" s="31">
        <f>(Table26[[#This Row],[M2 Money Stock, Billions of Dollars, Monthly, Seasonally Adjusted]]-B148)/B148</f>
        <v>8.6942521333118299E-3</v>
      </c>
      <c r="D149" s="32">
        <f>((1+Table26[[#This Row],[Monthly change]])^12)-1</f>
        <v>0.10946741874592725</v>
      </c>
    </row>
    <row r="150" spans="1:4" x14ac:dyDescent="0.2">
      <c r="A150" s="34">
        <v>25934</v>
      </c>
      <c r="B150" s="59">
        <f>VLOOKUP(Table26[[#This Row],[Date]],'DB Money Supply'!$A:$E,5)</f>
        <v>632.9</v>
      </c>
      <c r="C150" s="31">
        <f>(Table26[[#This Row],[M2 Money Stock, Billions of Dollars, Monthly, Seasonally Adjusted]]-B149)/B149</f>
        <v>1.021548284118113E-2</v>
      </c>
      <c r="D150" s="32">
        <f>((1+Table26[[#This Row],[Monthly change]])^12)-1</f>
        <v>0.12971330635249756</v>
      </c>
    </row>
    <row r="151" spans="1:4" x14ac:dyDescent="0.2">
      <c r="A151" s="57">
        <v>25965</v>
      </c>
      <c r="B151" s="59">
        <f>VLOOKUP(Table26[[#This Row],[Date]],'DB Money Supply'!$A:$E,5)</f>
        <v>641</v>
      </c>
      <c r="C151" s="31">
        <f>(Table26[[#This Row],[M2 Money Stock, Billions of Dollars, Monthly, Seasonally Adjusted]]-B150)/B150</f>
        <v>1.2798230368146663E-2</v>
      </c>
      <c r="D151" s="32">
        <f>((1+Table26[[#This Row],[Monthly change]])^12)-1</f>
        <v>0.16486395301768031</v>
      </c>
    </row>
    <row r="152" spans="1:4" x14ac:dyDescent="0.2">
      <c r="A152" s="34">
        <v>25993</v>
      </c>
      <c r="B152" s="59">
        <f>VLOOKUP(Table26[[#This Row],[Date]],'DB Money Supply'!$A:$E,5)</f>
        <v>649.9</v>
      </c>
      <c r="C152" s="31">
        <f>(Table26[[#This Row],[M2 Money Stock, Billions of Dollars, Monthly, Seasonally Adjusted]]-B151)/B151</f>
        <v>1.3884555382215252E-2</v>
      </c>
      <c r="D152" s="32">
        <f>((1+Table26[[#This Row],[Monthly change]])^12)-1</f>
        <v>0.17994588322905081</v>
      </c>
    </row>
    <row r="153" spans="1:4" x14ac:dyDescent="0.2">
      <c r="A153" s="57">
        <v>26024</v>
      </c>
      <c r="B153" s="59">
        <f>VLOOKUP(Table26[[#This Row],[Date]],'DB Money Supply'!$A:$E,5)</f>
        <v>658.4</v>
      </c>
      <c r="C153" s="31">
        <f>(Table26[[#This Row],[M2 Money Stock, Billions of Dollars, Monthly, Seasonally Adjusted]]-B152)/B152</f>
        <v>1.30789352208032E-2</v>
      </c>
      <c r="D153" s="32">
        <f>((1+Table26[[#This Row],[Monthly change]])^12)-1</f>
        <v>0.16874407670810632</v>
      </c>
    </row>
    <row r="154" spans="1:4" x14ac:dyDescent="0.2">
      <c r="A154" s="34">
        <v>26054</v>
      </c>
      <c r="B154" s="59">
        <f>VLOOKUP(Table26[[#This Row],[Date]],'DB Money Supply'!$A:$E,5)</f>
        <v>666.7</v>
      </c>
      <c r="C154" s="31">
        <f>(Table26[[#This Row],[M2 Money Stock, Billions of Dollars, Monthly, Seasonally Adjusted]]-B153)/B153</f>
        <v>1.2606318347509218E-2</v>
      </c>
      <c r="D154" s="32">
        <f>((1+Table26[[#This Row],[Monthly change]])^12)-1</f>
        <v>0.1622179938717212</v>
      </c>
    </row>
    <row r="155" spans="1:4" x14ac:dyDescent="0.2">
      <c r="A155" s="57">
        <v>26085</v>
      </c>
      <c r="B155" s="59">
        <f>VLOOKUP(Table26[[#This Row],[Date]],'DB Money Supply'!$A:$E,5)</f>
        <v>673</v>
      </c>
      <c r="C155" s="31">
        <f>(Table26[[#This Row],[M2 Money Stock, Billions of Dollars, Monthly, Seasonally Adjusted]]-B154)/B154</f>
        <v>9.4495275236237495E-3</v>
      </c>
      <c r="D155" s="32">
        <f>((1+Table26[[#This Row],[Monthly change]])^12)-1</f>
        <v>0.11947734512255104</v>
      </c>
    </row>
    <row r="156" spans="1:4" x14ac:dyDescent="0.2">
      <c r="A156" s="34">
        <v>26115</v>
      </c>
      <c r="B156" s="59">
        <f>VLOOKUP(Table26[[#This Row],[Date]],'DB Money Supply'!$A:$E,5)</f>
        <v>679.6</v>
      </c>
      <c r="C156" s="31">
        <f>(Table26[[#This Row],[M2 Money Stock, Billions of Dollars, Monthly, Seasonally Adjusted]]-B155)/B155</f>
        <v>9.8068350668648191E-3</v>
      </c>
      <c r="D156" s="32">
        <f>((1+Table26[[#This Row],[Monthly change]])^12)-1</f>
        <v>0.12424165266351106</v>
      </c>
    </row>
    <row r="157" spans="1:4" x14ac:dyDescent="0.2">
      <c r="A157" s="57">
        <v>26146</v>
      </c>
      <c r="B157" s="59">
        <f>VLOOKUP(Table26[[#This Row],[Date]],'DB Money Supply'!$A:$E,5)</f>
        <v>685.5</v>
      </c>
      <c r="C157" s="31">
        <f>(Table26[[#This Row],[M2 Money Stock, Billions of Dollars, Monthly, Seasonally Adjusted]]-B156)/B156</f>
        <v>8.6815773984696542E-3</v>
      </c>
      <c r="D157" s="32">
        <f>((1+Table26[[#This Row],[Monthly change]])^12)-1</f>
        <v>0.1093001383215404</v>
      </c>
    </row>
    <row r="158" spans="1:4" x14ac:dyDescent="0.2">
      <c r="A158" s="57">
        <v>26177</v>
      </c>
      <c r="B158" s="59">
        <f>VLOOKUP(Table26[[#This Row],[Date]],'DB Money Supply'!$A:$E,5)</f>
        <v>692.5</v>
      </c>
      <c r="C158" s="31">
        <f>(Table26[[#This Row],[M2 Money Stock, Billions of Dollars, Monthly, Seasonally Adjusted]]-B157)/B157</f>
        <v>1.0211524434719184E-2</v>
      </c>
      <c r="D158" s="32">
        <f>((1+Table26[[#This Row],[Monthly change]])^12)-1</f>
        <v>0.12966018776753319</v>
      </c>
    </row>
    <row r="159" spans="1:4" x14ac:dyDescent="0.2">
      <c r="A159" s="34">
        <v>26207</v>
      </c>
      <c r="B159" s="59">
        <f>VLOOKUP(Table26[[#This Row],[Date]],'DB Money Supply'!$A:$E,5)</f>
        <v>698.4</v>
      </c>
      <c r="C159" s="31">
        <f>(Table26[[#This Row],[M2 Money Stock, Billions of Dollars, Monthly, Seasonally Adjusted]]-B158)/B158</f>
        <v>8.5198555956678378E-3</v>
      </c>
      <c r="D159" s="32">
        <f>((1+Table26[[#This Row],[Monthly change]])^12)-1</f>
        <v>0.10716777174326308</v>
      </c>
    </row>
    <row r="160" spans="1:4" x14ac:dyDescent="0.2">
      <c r="A160" s="57">
        <v>26238</v>
      </c>
      <c r="B160" s="59">
        <f>VLOOKUP(Table26[[#This Row],[Date]],'DB Money Supply'!$A:$E,5)</f>
        <v>704.6</v>
      </c>
      <c r="C160" s="31">
        <f>(Table26[[#This Row],[M2 Money Stock, Billions of Dollars, Monthly, Seasonally Adjusted]]-B159)/B159</f>
        <v>8.8774341351661595E-3</v>
      </c>
      <c r="D160" s="32">
        <f>((1+Table26[[#This Row],[Monthly change]])^12)-1</f>
        <v>0.11188762779505268</v>
      </c>
    </row>
    <row r="161" spans="1:4" x14ac:dyDescent="0.2">
      <c r="A161" s="34">
        <v>26268</v>
      </c>
      <c r="B161" s="59">
        <f>VLOOKUP(Table26[[#This Row],[Date]],'DB Money Supply'!$A:$E,5)</f>
        <v>710.3</v>
      </c>
      <c r="C161" s="31">
        <f>(Table26[[#This Row],[M2 Money Stock, Billions of Dollars, Monthly, Seasonally Adjusted]]-B160)/B160</f>
        <v>8.0896962815781032E-3</v>
      </c>
      <c r="D161" s="32">
        <f>((1+Table26[[#This Row],[Monthly change]])^12)-1</f>
        <v>0.10151422475188676</v>
      </c>
    </row>
    <row r="162" spans="1:4" x14ac:dyDescent="0.2">
      <c r="A162" s="57">
        <v>26299</v>
      </c>
      <c r="B162" s="59">
        <f>VLOOKUP(Table26[[#This Row],[Date]],'DB Money Supply'!$A:$E,5)</f>
        <v>717.7</v>
      </c>
      <c r="C162" s="31">
        <f>(Table26[[#This Row],[M2 Money Stock, Billions of Dollars, Monthly, Seasonally Adjusted]]-B161)/B161</f>
        <v>1.0418133183162172E-2</v>
      </c>
      <c r="D162" s="32">
        <f>((1+Table26[[#This Row],[Monthly change]])^12)-1</f>
        <v>0.13243576960619552</v>
      </c>
    </row>
    <row r="163" spans="1:4" x14ac:dyDescent="0.2">
      <c r="A163" s="34">
        <v>26330</v>
      </c>
      <c r="B163" s="59">
        <f>VLOOKUP(Table26[[#This Row],[Date]],'DB Money Supply'!$A:$E,5)</f>
        <v>725.7</v>
      </c>
      <c r="C163" s="31">
        <f>(Table26[[#This Row],[M2 Money Stock, Billions of Dollars, Monthly, Seasonally Adjusted]]-B162)/B162</f>
        <v>1.1146718684687194E-2</v>
      </c>
      <c r="D163" s="32">
        <f>((1+Table26[[#This Row],[Monthly change]])^12)-1</f>
        <v>0.14227355425517385</v>
      </c>
    </row>
    <row r="164" spans="1:4" x14ac:dyDescent="0.2">
      <c r="A164" s="57">
        <v>26359</v>
      </c>
      <c r="B164" s="59">
        <f>VLOOKUP(Table26[[#This Row],[Date]],'DB Money Supply'!$A:$E,5)</f>
        <v>733.5</v>
      </c>
      <c r="C164" s="31">
        <f>(Table26[[#This Row],[M2 Money Stock, Billions of Dollars, Monthly, Seasonally Adjusted]]-B163)/B163</f>
        <v>1.0748243075651032E-2</v>
      </c>
      <c r="D164" s="32">
        <f>((1+Table26[[#This Row],[Monthly change]])^12)-1</f>
        <v>0.13688344166597299</v>
      </c>
    </row>
    <row r="165" spans="1:4" x14ac:dyDescent="0.2">
      <c r="A165" s="34">
        <v>26390</v>
      </c>
      <c r="B165" s="59">
        <f>VLOOKUP(Table26[[#This Row],[Date]],'DB Money Supply'!$A:$E,5)</f>
        <v>738.4</v>
      </c>
      <c r="C165" s="31">
        <f>(Table26[[#This Row],[M2 Money Stock, Billions of Dollars, Monthly, Seasonally Adjusted]]-B164)/B164</f>
        <v>6.680299931833643E-3</v>
      </c>
      <c r="D165" s="32">
        <f>((1+Table26[[#This Row],[Monthly change]])^12)-1</f>
        <v>8.317552438832676E-2</v>
      </c>
    </row>
    <row r="166" spans="1:4" x14ac:dyDescent="0.2">
      <c r="A166" s="57">
        <v>26420</v>
      </c>
      <c r="B166" s="59">
        <f>VLOOKUP(Table26[[#This Row],[Date]],'DB Money Supply'!$A:$E,5)</f>
        <v>743.3</v>
      </c>
      <c r="C166" s="31">
        <f>(Table26[[#This Row],[M2 Money Stock, Billions of Dollars, Monthly, Seasonally Adjusted]]-B165)/B165</f>
        <v>6.635969664138648E-3</v>
      </c>
      <c r="D166" s="32">
        <f>((1+Table26[[#This Row],[Monthly change]])^12)-1</f>
        <v>8.2603277176466428E-2</v>
      </c>
    </row>
    <row r="167" spans="1:4" x14ac:dyDescent="0.2">
      <c r="A167" s="34">
        <v>26451</v>
      </c>
      <c r="B167" s="59">
        <f>VLOOKUP(Table26[[#This Row],[Date]],'DB Money Supply'!$A:$E,5)</f>
        <v>749.7</v>
      </c>
      <c r="C167" s="31">
        <f>(Table26[[#This Row],[M2 Money Stock, Billions of Dollars, Monthly, Seasonally Adjusted]]-B166)/B166</f>
        <v>8.6102515807884982E-3</v>
      </c>
      <c r="D167" s="32">
        <f>((1+Table26[[#This Row],[Monthly change]])^12)-1</f>
        <v>0.10835921531750903</v>
      </c>
    </row>
    <row r="168" spans="1:4" x14ac:dyDescent="0.2">
      <c r="A168" s="57">
        <v>26481</v>
      </c>
      <c r="B168" s="59">
        <f>VLOOKUP(Table26[[#This Row],[Date]],'DB Money Supply'!$A:$E,5)</f>
        <v>759.5</v>
      </c>
      <c r="C168" s="31">
        <f>(Table26[[#This Row],[M2 Money Stock, Billions of Dollars, Monthly, Seasonally Adjusted]]-B167)/B167</f>
        <v>1.3071895424836539E-2</v>
      </c>
      <c r="D168" s="32">
        <f>((1+Table26[[#This Row],[Monthly change]])^12)-1</f>
        <v>0.1686466224414771</v>
      </c>
    </row>
    <row r="169" spans="1:4" x14ac:dyDescent="0.2">
      <c r="A169" s="34">
        <v>26512</v>
      </c>
      <c r="B169" s="59">
        <f>VLOOKUP(Table26[[#This Row],[Date]],'DB Money Supply'!$A:$E,5)</f>
        <v>768.7</v>
      </c>
      <c r="C169" s="31">
        <f>(Table26[[#This Row],[M2 Money Stock, Billions of Dollars, Monthly, Seasonally Adjusted]]-B168)/B168</f>
        <v>1.2113232389730146E-2</v>
      </c>
      <c r="D169" s="32">
        <f>((1+Table26[[#This Row],[Monthly change]])^12)-1</f>
        <v>0.15544488523413924</v>
      </c>
    </row>
    <row r="170" spans="1:4" x14ac:dyDescent="0.2">
      <c r="A170" s="57">
        <v>26543</v>
      </c>
      <c r="B170" s="59">
        <f>VLOOKUP(Table26[[#This Row],[Date]],'DB Money Supply'!$A:$E,5)</f>
        <v>778.3</v>
      </c>
      <c r="C170" s="31">
        <f>(Table26[[#This Row],[M2 Money Stock, Billions of Dollars, Monthly, Seasonally Adjusted]]-B169)/B169</f>
        <v>1.2488617145830504E-2</v>
      </c>
      <c r="D170" s="32">
        <f>((1+Table26[[#This Row],[Monthly change]])^12)-1</f>
        <v>0.16059793244946441</v>
      </c>
    </row>
    <row r="171" spans="1:4" x14ac:dyDescent="0.2">
      <c r="A171" s="34">
        <v>26573</v>
      </c>
      <c r="B171" s="59">
        <f>VLOOKUP(Table26[[#This Row],[Date]],'DB Money Supply'!$A:$E,5)</f>
        <v>786.9</v>
      </c>
      <c r="C171" s="31">
        <f>(Table26[[#This Row],[M2 Money Stock, Billions of Dollars, Monthly, Seasonally Adjusted]]-B170)/B170</f>
        <v>1.1049723756906106E-2</v>
      </c>
      <c r="D171" s="32">
        <f>((1+Table26[[#This Row],[Monthly change]])^12)-1</f>
        <v>0.14095936746254489</v>
      </c>
    </row>
    <row r="172" spans="1:4" x14ac:dyDescent="0.2">
      <c r="A172" s="57">
        <v>26604</v>
      </c>
      <c r="B172" s="59">
        <f>VLOOKUP(Table26[[#This Row],[Date]],'DB Money Supply'!$A:$E,5)</f>
        <v>793.9</v>
      </c>
      <c r="C172" s="31">
        <f>(Table26[[#This Row],[M2 Money Stock, Billions of Dollars, Monthly, Seasonally Adjusted]]-B171)/B171</f>
        <v>8.8956665395857164E-3</v>
      </c>
      <c r="D172" s="32">
        <f>((1+Table26[[#This Row],[Monthly change]])^12)-1</f>
        <v>0.11212877978428692</v>
      </c>
    </row>
    <row r="173" spans="1:4" x14ac:dyDescent="0.2">
      <c r="A173" s="34">
        <v>26634</v>
      </c>
      <c r="B173" s="59">
        <f>VLOOKUP(Table26[[#This Row],[Date]],'DB Money Supply'!$A:$E,5)</f>
        <v>802.3</v>
      </c>
      <c r="C173" s="31">
        <f>(Table26[[#This Row],[M2 Money Stock, Billions of Dollars, Monthly, Seasonally Adjusted]]-B172)/B172</f>
        <v>1.0580677667212468E-2</v>
      </c>
      <c r="D173" s="32">
        <f>((1+Table26[[#This Row],[Monthly change]])^12)-1</f>
        <v>0.13462378422483812</v>
      </c>
    </row>
    <row r="174" spans="1:4" x14ac:dyDescent="0.2">
      <c r="A174" s="57">
        <v>26665</v>
      </c>
      <c r="B174" s="59">
        <f>VLOOKUP(Table26[[#This Row],[Date]],'DB Money Supply'!$A:$E,5)</f>
        <v>810.3</v>
      </c>
      <c r="C174" s="31">
        <f>(Table26[[#This Row],[M2 Money Stock, Billions of Dollars, Monthly, Seasonally Adjusted]]-B173)/B173</f>
        <v>9.9713324192945291E-3</v>
      </c>
      <c r="D174" s="32">
        <f>((1+Table26[[#This Row],[Monthly change]])^12)-1</f>
        <v>0.12644128789345643</v>
      </c>
    </row>
    <row r="175" spans="1:4" x14ac:dyDescent="0.2">
      <c r="A175" s="34">
        <v>26696</v>
      </c>
      <c r="B175" s="59">
        <f>VLOOKUP(Table26[[#This Row],[Date]],'DB Money Supply'!$A:$E,5)</f>
        <v>814.1</v>
      </c>
      <c r="C175" s="31">
        <f>(Table26[[#This Row],[M2 Money Stock, Billions of Dollars, Monthly, Seasonally Adjusted]]-B174)/B174</f>
        <v>4.6896211279773767E-3</v>
      </c>
      <c r="D175" s="32">
        <f>((1+Table26[[#This Row],[Monthly change]])^12)-1</f>
        <v>5.7749892893290022E-2</v>
      </c>
    </row>
    <row r="176" spans="1:4" x14ac:dyDescent="0.2">
      <c r="A176" s="57">
        <v>26724</v>
      </c>
      <c r="B176" s="59">
        <f>VLOOKUP(Table26[[#This Row],[Date]],'DB Money Supply'!$A:$E,5)</f>
        <v>815.3</v>
      </c>
      <c r="C176" s="31">
        <f>(Table26[[#This Row],[M2 Money Stock, Billions of Dollars, Monthly, Seasonally Adjusted]]-B175)/B175</f>
        <v>1.4740203906153198E-3</v>
      </c>
      <c r="D176" s="32">
        <f>((1+Table26[[#This Row],[Monthly change]])^12)-1</f>
        <v>1.7832352197694412E-2</v>
      </c>
    </row>
    <row r="177" spans="1:4" x14ac:dyDescent="0.2">
      <c r="A177" s="57">
        <v>26755</v>
      </c>
      <c r="B177" s="59">
        <f>VLOOKUP(Table26[[#This Row],[Date]],'DB Money Supply'!$A:$E,5)</f>
        <v>819.7</v>
      </c>
      <c r="C177" s="31">
        <f>(Table26[[#This Row],[M2 Money Stock, Billions of Dollars, Monthly, Seasonally Adjusted]]-B176)/B176</f>
        <v>5.3967864589722697E-3</v>
      </c>
      <c r="D177" s="32">
        <f>((1+Table26[[#This Row],[Monthly change]])^12)-1</f>
        <v>6.6718711396434482E-2</v>
      </c>
    </row>
    <row r="178" spans="1:4" x14ac:dyDescent="0.2">
      <c r="A178" s="34">
        <v>26785</v>
      </c>
      <c r="B178" s="59">
        <f>VLOOKUP(Table26[[#This Row],[Date]],'DB Money Supply'!$A:$E,5)</f>
        <v>826.8</v>
      </c>
      <c r="C178" s="31">
        <f>(Table26[[#This Row],[M2 Money Stock, Billions of Dollars, Monthly, Seasonally Adjusted]]-B177)/B177</f>
        <v>8.6617055020128206E-3</v>
      </c>
      <c r="D178" s="32">
        <f>((1+Table26[[#This Row],[Monthly change]])^12)-1</f>
        <v>0.10903791670974838</v>
      </c>
    </row>
    <row r="179" spans="1:4" x14ac:dyDescent="0.2">
      <c r="A179" s="57">
        <v>26816</v>
      </c>
      <c r="B179" s="59">
        <f>VLOOKUP(Table26[[#This Row],[Date]],'DB Money Supply'!$A:$E,5)</f>
        <v>833.3</v>
      </c>
      <c r="C179" s="31">
        <f>(Table26[[#This Row],[M2 Money Stock, Billions of Dollars, Monthly, Seasonally Adjusted]]-B178)/B178</f>
        <v>7.8616352201257862E-3</v>
      </c>
      <c r="D179" s="32">
        <f>((1+Table26[[#This Row],[Monthly change]])^12)-1</f>
        <v>9.8527583817579867E-2</v>
      </c>
    </row>
    <row r="180" spans="1:4" x14ac:dyDescent="0.2">
      <c r="A180" s="34">
        <v>26846</v>
      </c>
      <c r="B180" s="59">
        <f>VLOOKUP(Table26[[#This Row],[Date]],'DB Money Supply'!$A:$E,5)</f>
        <v>836.5</v>
      </c>
      <c r="C180" s="31">
        <f>(Table26[[#This Row],[M2 Money Stock, Billions of Dollars, Monthly, Seasonally Adjusted]]-B179)/B179</f>
        <v>3.8401536061443003E-3</v>
      </c>
      <c r="D180" s="32">
        <f>((1+Table26[[#This Row],[Monthly change]])^12)-1</f>
        <v>4.7067697623818017E-2</v>
      </c>
    </row>
    <row r="181" spans="1:4" x14ac:dyDescent="0.2">
      <c r="A181" s="57">
        <v>26877</v>
      </c>
      <c r="B181" s="59">
        <f>VLOOKUP(Table26[[#This Row],[Date]],'DB Money Supply'!$A:$E,5)</f>
        <v>838.8</v>
      </c>
      <c r="C181" s="31">
        <f>(Table26[[#This Row],[M2 Money Stock, Billions of Dollars, Monthly, Seasonally Adjusted]]-B180)/B180</f>
        <v>2.7495517035265446E-3</v>
      </c>
      <c r="D181" s="32">
        <f>((1+Table26[[#This Row],[Monthly change]])^12)-1</f>
        <v>3.3498184215419835E-2</v>
      </c>
    </row>
    <row r="182" spans="1:4" x14ac:dyDescent="0.2">
      <c r="A182" s="34">
        <v>26908</v>
      </c>
      <c r="B182" s="59">
        <f>VLOOKUP(Table26[[#This Row],[Date]],'DB Money Supply'!$A:$E,5)</f>
        <v>839.3</v>
      </c>
      <c r="C182" s="31">
        <f>(Table26[[#This Row],[M2 Money Stock, Billions of Dollars, Monthly, Seasonally Adjusted]]-B181)/B181</f>
        <v>5.9608965188364337E-4</v>
      </c>
      <c r="D182" s="32">
        <f>((1+Table26[[#This Row],[Monthly change]])^12)-1</f>
        <v>7.1765737917275363E-3</v>
      </c>
    </row>
    <row r="183" spans="1:4" x14ac:dyDescent="0.2">
      <c r="A183" s="57">
        <v>26938</v>
      </c>
      <c r="B183" s="59">
        <f>VLOOKUP(Table26[[#This Row],[Date]],'DB Money Supply'!$A:$E,5)</f>
        <v>842.6</v>
      </c>
      <c r="C183" s="31">
        <f>(Table26[[#This Row],[M2 Money Stock, Billions of Dollars, Monthly, Seasonally Adjusted]]-B182)/B182</f>
        <v>3.9318479685452974E-3</v>
      </c>
      <c r="D183" s="32">
        <f>((1+Table26[[#This Row],[Monthly change]])^12)-1</f>
        <v>4.8215989456661834E-2</v>
      </c>
    </row>
    <row r="184" spans="1:4" x14ac:dyDescent="0.2">
      <c r="A184" s="34">
        <v>26969</v>
      </c>
      <c r="B184" s="59">
        <f>VLOOKUP(Table26[[#This Row],[Date]],'DB Money Supply'!$A:$E,5)</f>
        <v>848.9</v>
      </c>
      <c r="C184" s="31">
        <f>(Table26[[#This Row],[M2 Money Stock, Billions of Dollars, Monthly, Seasonally Adjusted]]-B183)/B183</f>
        <v>7.4768573463089892E-3</v>
      </c>
      <c r="D184" s="32">
        <f>((1+Table26[[#This Row],[Monthly change]])^12)-1</f>
        <v>9.3505433892078882E-2</v>
      </c>
    </row>
    <row r="185" spans="1:4" x14ac:dyDescent="0.2">
      <c r="A185" s="57">
        <v>26999</v>
      </c>
      <c r="B185" s="59">
        <f>VLOOKUP(Table26[[#This Row],[Date]],'DB Money Supply'!$A:$E,5)</f>
        <v>855.5</v>
      </c>
      <c r="C185" s="31">
        <f>(Table26[[#This Row],[M2 Money Stock, Billions of Dollars, Monthly, Seasonally Adjusted]]-B184)/B184</f>
        <v>7.7747673459771741E-3</v>
      </c>
      <c r="D185" s="32">
        <f>((1+Table26[[#This Row],[Monthly change]])^12)-1</f>
        <v>9.7391933500053707E-2</v>
      </c>
    </row>
    <row r="186" spans="1:4" x14ac:dyDescent="0.2">
      <c r="A186" s="34">
        <v>27030</v>
      </c>
      <c r="B186" s="59">
        <f>VLOOKUP(Table26[[#This Row],[Date]],'DB Money Supply'!$A:$E,5)</f>
        <v>859.7</v>
      </c>
      <c r="C186" s="31">
        <f>(Table26[[#This Row],[M2 Money Stock, Billions of Dollars, Monthly, Seasonally Adjusted]]-B185)/B185</f>
        <v>4.9094097019287495E-3</v>
      </c>
      <c r="D186" s="32">
        <f>((1+Table26[[#This Row],[Monthly change]])^12)-1</f>
        <v>6.0529990468142003E-2</v>
      </c>
    </row>
    <row r="187" spans="1:4" x14ac:dyDescent="0.2">
      <c r="A187" s="57">
        <v>27061</v>
      </c>
      <c r="B187" s="59">
        <f>VLOOKUP(Table26[[#This Row],[Date]],'DB Money Supply'!$A:$E,5)</f>
        <v>864.2</v>
      </c>
      <c r="C187" s="31">
        <f>(Table26[[#This Row],[M2 Money Stock, Billions of Dollars, Monthly, Seasonally Adjusted]]-B186)/B186</f>
        <v>5.2343840874723739E-3</v>
      </c>
      <c r="D187" s="32">
        <f>((1+Table26[[#This Row],[Monthly change]])^12)-1</f>
        <v>6.46528544996956E-2</v>
      </c>
    </row>
    <row r="188" spans="1:4" x14ac:dyDescent="0.2">
      <c r="A188" s="34">
        <v>27089</v>
      </c>
      <c r="B188" s="59">
        <f>VLOOKUP(Table26[[#This Row],[Date]],'DB Money Supply'!$A:$E,5)</f>
        <v>870.1</v>
      </c>
      <c r="C188" s="31">
        <f>(Table26[[#This Row],[M2 Money Stock, Billions of Dollars, Monthly, Seasonally Adjusted]]-B187)/B187</f>
        <v>6.8271233510761135E-3</v>
      </c>
      <c r="D188" s="32">
        <f>((1+Table26[[#This Row],[Monthly change]])^12)-1</f>
        <v>8.5072808001351419E-2</v>
      </c>
    </row>
    <row r="189" spans="1:4" x14ac:dyDescent="0.2">
      <c r="A189" s="57">
        <v>27120</v>
      </c>
      <c r="B189" s="59">
        <f>VLOOKUP(Table26[[#This Row],[Date]],'DB Money Supply'!$A:$E,5)</f>
        <v>872.9</v>
      </c>
      <c r="C189" s="31">
        <f>(Table26[[#This Row],[M2 Money Stock, Billions of Dollars, Monthly, Seasonally Adjusted]]-B188)/B188</f>
        <v>3.2180209171359091E-3</v>
      </c>
      <c r="D189" s="32">
        <f>((1+Table26[[#This Row],[Monthly change]])^12)-1</f>
        <v>3.9307109272472829E-2</v>
      </c>
    </row>
    <row r="190" spans="1:4" x14ac:dyDescent="0.2">
      <c r="A190" s="34">
        <v>27150</v>
      </c>
      <c r="B190" s="59">
        <f>VLOOKUP(Table26[[#This Row],[Date]],'DB Money Supply'!$A:$E,5)</f>
        <v>874.6</v>
      </c>
      <c r="C190" s="31">
        <f>(Table26[[#This Row],[M2 Money Stock, Billions of Dollars, Monthly, Seasonally Adjusted]]-B189)/B189</f>
        <v>1.9475312177798666E-3</v>
      </c>
      <c r="D190" s="32">
        <f>((1+Table26[[#This Row],[Monthly change]])^12)-1</f>
        <v>2.3622336778910791E-2</v>
      </c>
    </row>
    <row r="191" spans="1:4" x14ac:dyDescent="0.2">
      <c r="A191" s="57">
        <v>27181</v>
      </c>
      <c r="B191" s="59">
        <f>VLOOKUP(Table26[[#This Row],[Date]],'DB Money Supply'!$A:$E,5)</f>
        <v>877.8</v>
      </c>
      <c r="C191" s="31">
        <f>(Table26[[#This Row],[M2 Money Stock, Billions of Dollars, Monthly, Seasonally Adjusted]]-B190)/B190</f>
        <v>3.6588154584952341E-3</v>
      </c>
      <c r="D191" s="32">
        <f>((1+Table26[[#This Row],[Monthly change]])^12)-1</f>
        <v>4.4800187817164216E-2</v>
      </c>
    </row>
    <row r="192" spans="1:4" x14ac:dyDescent="0.2">
      <c r="A192" s="34">
        <v>27211</v>
      </c>
      <c r="B192" s="59">
        <f>VLOOKUP(Table26[[#This Row],[Date]],'DB Money Supply'!$A:$E,5)</f>
        <v>881.4</v>
      </c>
      <c r="C192" s="31">
        <f>(Table26[[#This Row],[M2 Money Stock, Billions of Dollars, Monthly, Seasonally Adjusted]]-B191)/B191</f>
        <v>4.1011619958988641E-3</v>
      </c>
      <c r="D192" s="32">
        <f>((1+Table26[[#This Row],[Monthly change]])^12)-1</f>
        <v>5.0339349384716847E-2</v>
      </c>
    </row>
    <row r="193" spans="1:4" x14ac:dyDescent="0.2">
      <c r="A193" s="57">
        <v>27242</v>
      </c>
      <c r="B193" s="59">
        <f>VLOOKUP(Table26[[#This Row],[Date]],'DB Money Supply'!$A:$E,5)</f>
        <v>884.1</v>
      </c>
      <c r="C193" s="31">
        <f>(Table26[[#This Row],[M2 Money Stock, Billions of Dollars, Monthly, Seasonally Adjusted]]-B192)/B192</f>
        <v>3.0633083730429379E-3</v>
      </c>
      <c r="D193" s="32">
        <f>((1+Table26[[#This Row],[Monthly change]])^12)-1</f>
        <v>3.7385402962762049E-2</v>
      </c>
    </row>
    <row r="194" spans="1:4" x14ac:dyDescent="0.2">
      <c r="A194" s="34">
        <v>27273</v>
      </c>
      <c r="B194" s="59">
        <f>VLOOKUP(Table26[[#This Row],[Date]],'DB Money Supply'!$A:$E,5)</f>
        <v>887.9</v>
      </c>
      <c r="C194" s="31">
        <f>(Table26[[#This Row],[M2 Money Stock, Billions of Dollars, Monthly, Seasonally Adjusted]]-B193)/B193</f>
        <v>4.2981563171586405E-3</v>
      </c>
      <c r="D194" s="32">
        <f>((1+Table26[[#This Row],[Monthly change]])^12)-1</f>
        <v>5.281480871457167E-2</v>
      </c>
    </row>
    <row r="195" spans="1:4" x14ac:dyDescent="0.2">
      <c r="A195" s="57">
        <v>27303</v>
      </c>
      <c r="B195" s="59">
        <f>VLOOKUP(Table26[[#This Row],[Date]],'DB Money Supply'!$A:$E,5)</f>
        <v>893.3</v>
      </c>
      <c r="C195" s="31">
        <f>(Table26[[#This Row],[M2 Money Stock, Billions of Dollars, Monthly, Seasonally Adjusted]]-B194)/B194</f>
        <v>6.0817659646356321E-3</v>
      </c>
      <c r="D195" s="32">
        <f>((1+Table26[[#This Row],[Monthly change]])^12)-1</f>
        <v>7.5472564676727139E-2</v>
      </c>
    </row>
    <row r="196" spans="1:4" x14ac:dyDescent="0.2">
      <c r="A196" s="57">
        <v>27334</v>
      </c>
      <c r="B196" s="59">
        <f>VLOOKUP(Table26[[#This Row],[Date]],'DB Money Supply'!$A:$E,5)</f>
        <v>898.6</v>
      </c>
      <c r="C196" s="31">
        <f>(Table26[[#This Row],[M2 Money Stock, Billions of Dollars, Monthly, Seasonally Adjusted]]-B195)/B195</f>
        <v>5.9330572036270773E-3</v>
      </c>
      <c r="D196" s="32">
        <f>((1+Table26[[#This Row],[Monthly change]])^12)-1</f>
        <v>7.3566529864980801E-2</v>
      </c>
    </row>
    <row r="197" spans="1:4" x14ac:dyDescent="0.2">
      <c r="A197" s="34">
        <v>27364</v>
      </c>
      <c r="B197" s="59">
        <f>VLOOKUP(Table26[[#This Row],[Date]],'DB Money Supply'!$A:$E,5)</f>
        <v>902.1</v>
      </c>
      <c r="C197" s="31">
        <f>(Table26[[#This Row],[M2 Money Stock, Billions of Dollars, Monthly, Seasonally Adjusted]]-B196)/B196</f>
        <v>3.894947696416648E-3</v>
      </c>
      <c r="D197" s="32">
        <f>((1+Table26[[#This Row],[Monthly change]])^12)-1</f>
        <v>4.7753747279713377E-2</v>
      </c>
    </row>
    <row r="198" spans="1:4" x14ac:dyDescent="0.2">
      <c r="A198" s="57">
        <v>27395</v>
      </c>
      <c r="B198" s="59">
        <f>VLOOKUP(Table26[[#This Row],[Date]],'DB Money Supply'!$A:$E,5)</f>
        <v>906.3</v>
      </c>
      <c r="C198" s="31">
        <f>(Table26[[#This Row],[M2 Money Stock, Billions of Dollars, Monthly, Seasonally Adjusted]]-B197)/B197</f>
        <v>4.6558031260391661E-3</v>
      </c>
      <c r="D198" s="32">
        <f>((1+Table26[[#This Row],[Monthly change]])^12)-1</f>
        <v>5.7322723758383098E-2</v>
      </c>
    </row>
    <row r="199" spans="1:4" x14ac:dyDescent="0.2">
      <c r="A199" s="34">
        <v>27426</v>
      </c>
      <c r="B199" s="59">
        <f>VLOOKUP(Table26[[#This Row],[Date]],'DB Money Supply'!$A:$E,5)</f>
        <v>914.1</v>
      </c>
      <c r="C199" s="31">
        <f>(Table26[[#This Row],[M2 Money Stock, Billions of Dollars, Monthly, Seasonally Adjusted]]-B198)/B198</f>
        <v>8.6064217146640948E-3</v>
      </c>
      <c r="D199" s="32">
        <f>((1+Table26[[#This Row],[Monthly change]])^12)-1</f>
        <v>0.10830871281164955</v>
      </c>
    </row>
    <row r="200" spans="1:4" x14ac:dyDescent="0.2">
      <c r="A200" s="57">
        <v>27454</v>
      </c>
      <c r="B200" s="59">
        <f>VLOOKUP(Table26[[#This Row],[Date]],'DB Money Supply'!$A:$E,5)</f>
        <v>925</v>
      </c>
      <c r="C200" s="31">
        <f>(Table26[[#This Row],[M2 Money Stock, Billions of Dollars, Monthly, Seasonally Adjusted]]-B199)/B199</f>
        <v>1.1924297122853054E-2</v>
      </c>
      <c r="D200" s="32">
        <f>((1+Table26[[#This Row],[Monthly change]])^12)-1</f>
        <v>0.15285924221799907</v>
      </c>
    </row>
    <row r="201" spans="1:4" x14ac:dyDescent="0.2">
      <c r="A201" s="34">
        <v>27485</v>
      </c>
      <c r="B201" s="59">
        <f>VLOOKUP(Table26[[#This Row],[Date]],'DB Money Supply'!$A:$E,5)</f>
        <v>935.1</v>
      </c>
      <c r="C201" s="31">
        <f>(Table26[[#This Row],[M2 Money Stock, Billions of Dollars, Monthly, Seasonally Adjusted]]-B200)/B200</f>
        <v>1.0918918918918944E-2</v>
      </c>
      <c r="D201" s="32">
        <f>((1+Table26[[#This Row],[Monthly change]])^12)-1</f>
        <v>0.13918928413385778</v>
      </c>
    </row>
    <row r="202" spans="1:4" x14ac:dyDescent="0.2">
      <c r="A202" s="57">
        <v>27515</v>
      </c>
      <c r="B202" s="59">
        <f>VLOOKUP(Table26[[#This Row],[Date]],'DB Money Supply'!$A:$E,5)</f>
        <v>947.9</v>
      </c>
      <c r="C202" s="31">
        <f>(Table26[[#This Row],[M2 Money Stock, Billions of Dollars, Monthly, Seasonally Adjusted]]-B201)/B201</f>
        <v>1.3688375574804785E-2</v>
      </c>
      <c r="D202" s="32">
        <f>((1+Table26[[#This Row],[Monthly change]])^12)-1</f>
        <v>0.17720905839338408</v>
      </c>
    </row>
    <row r="203" spans="1:4" x14ac:dyDescent="0.2">
      <c r="A203" s="34">
        <v>27546</v>
      </c>
      <c r="B203" s="59">
        <f>VLOOKUP(Table26[[#This Row],[Date]],'DB Money Supply'!$A:$E,5)</f>
        <v>963</v>
      </c>
      <c r="C203" s="31">
        <f>(Table26[[#This Row],[M2 Money Stock, Billions of Dollars, Monthly, Seasonally Adjusted]]-B202)/B202</f>
        <v>1.5929950416710647E-2</v>
      </c>
      <c r="D203" s="32">
        <f>((1+Table26[[#This Row],[Monthly change]])^12)-1</f>
        <v>0.20882982399412509</v>
      </c>
    </row>
    <row r="204" spans="1:4" x14ac:dyDescent="0.2">
      <c r="A204" s="57">
        <v>27576</v>
      </c>
      <c r="B204" s="59">
        <f>VLOOKUP(Table26[[#This Row],[Date]],'DB Money Supply'!$A:$E,5)</f>
        <v>975.1</v>
      </c>
      <c r="C204" s="31">
        <f>(Table26[[#This Row],[M2 Money Stock, Billions of Dollars, Monthly, Seasonally Adjusted]]-B203)/B203</f>
        <v>1.2564901349948103E-2</v>
      </c>
      <c r="D204" s="32">
        <f>((1+Table26[[#This Row],[Monthly change]])^12)-1</f>
        <v>0.16164768631636606</v>
      </c>
    </row>
    <row r="205" spans="1:4" x14ac:dyDescent="0.2">
      <c r="A205" s="34">
        <v>27607</v>
      </c>
      <c r="B205" s="59">
        <f>VLOOKUP(Table26[[#This Row],[Date]],'DB Money Supply'!$A:$E,5)</f>
        <v>983.1</v>
      </c>
      <c r="C205" s="31">
        <f>(Table26[[#This Row],[M2 Money Stock, Billions of Dollars, Monthly, Seasonally Adjusted]]-B204)/B204</f>
        <v>8.2042867398215563E-3</v>
      </c>
      <c r="D205" s="32">
        <f>((1+Table26[[#This Row],[Monthly change]])^12)-1</f>
        <v>0.10301768576544612</v>
      </c>
    </row>
    <row r="206" spans="1:4" x14ac:dyDescent="0.2">
      <c r="A206" s="57">
        <v>27638</v>
      </c>
      <c r="B206" s="59">
        <f>VLOOKUP(Table26[[#This Row],[Date]],'DB Money Supply'!$A:$E,5)</f>
        <v>991.5</v>
      </c>
      <c r="C206" s="31">
        <f>(Table26[[#This Row],[M2 Money Stock, Billions of Dollars, Monthly, Seasonally Adjusted]]-B205)/B205</f>
        <v>8.5444003661885645E-3</v>
      </c>
      <c r="D206" s="32">
        <f>((1+Table26[[#This Row],[Monthly change]])^12)-1</f>
        <v>0.10749116230322264</v>
      </c>
    </row>
    <row r="207" spans="1:4" x14ac:dyDescent="0.2">
      <c r="A207" s="34">
        <v>27668</v>
      </c>
      <c r="B207" s="59">
        <f>VLOOKUP(Table26[[#This Row],[Date]],'DB Money Supply'!$A:$E,5)</f>
        <v>997.8</v>
      </c>
      <c r="C207" s="31">
        <f>(Table26[[#This Row],[M2 Money Stock, Billions of Dollars, Monthly, Seasonally Adjusted]]-B206)/B206</f>
        <v>6.354009077155779E-3</v>
      </c>
      <c r="D207" s="32">
        <f>((1+Table26[[#This Row],[Monthly change]])^12)-1</f>
        <v>7.8970007808876419E-2</v>
      </c>
    </row>
    <row r="208" spans="1:4" x14ac:dyDescent="0.2">
      <c r="A208" s="57">
        <v>27699</v>
      </c>
      <c r="B208" s="59">
        <f>VLOOKUP(Table26[[#This Row],[Date]],'DB Money Supply'!$A:$E,5)</f>
        <v>1006.9</v>
      </c>
      <c r="C208" s="31">
        <f>(Table26[[#This Row],[M2 Money Stock, Billions of Dollars, Monthly, Seasonally Adjusted]]-B207)/B207</f>
        <v>9.120064141110466E-3</v>
      </c>
      <c r="D208" s="32">
        <f>((1+Table26[[#This Row],[Monthly change]])^12)-1</f>
        <v>0.11510071694976931</v>
      </c>
    </row>
    <row r="209" spans="1:4" x14ac:dyDescent="0.2">
      <c r="A209" s="34">
        <v>27729</v>
      </c>
      <c r="B209" s="59">
        <f>VLOOKUP(Table26[[#This Row],[Date]],'DB Money Supply'!$A:$E,5)</f>
        <v>1016.2</v>
      </c>
      <c r="C209" s="31">
        <f>(Table26[[#This Row],[M2 Money Stock, Billions of Dollars, Monthly, Seasonally Adjusted]]-B208)/B208</f>
        <v>9.2362697388023319E-3</v>
      </c>
      <c r="D209" s="32">
        <f>((1+Table26[[#This Row],[Monthly change]])^12)-1</f>
        <v>0.11664261134390808</v>
      </c>
    </row>
    <row r="210" spans="1:4" x14ac:dyDescent="0.2">
      <c r="A210" s="57">
        <v>27760</v>
      </c>
      <c r="B210" s="59">
        <f>VLOOKUP(Table26[[#This Row],[Date]],'DB Money Supply'!$A:$E,5)</f>
        <v>1026.5999999999999</v>
      </c>
      <c r="C210" s="31">
        <f>(Table26[[#This Row],[M2 Money Stock, Billions of Dollars, Monthly, Seasonally Adjusted]]-B209)/B209</f>
        <v>1.0234205864987073E-2</v>
      </c>
      <c r="D210" s="32">
        <f>((1+Table26[[#This Row],[Monthly change]])^12)-1</f>
        <v>0.12996458508327802</v>
      </c>
    </row>
    <row r="211" spans="1:4" x14ac:dyDescent="0.2">
      <c r="A211" s="34">
        <v>27791</v>
      </c>
      <c r="B211" s="59">
        <f>VLOOKUP(Table26[[#This Row],[Date]],'DB Money Supply'!$A:$E,5)</f>
        <v>1040.3</v>
      </c>
      <c r="C211" s="31">
        <f>(Table26[[#This Row],[M2 Money Stock, Billions of Dollars, Monthly, Seasonally Adjusted]]-B210)/B210</f>
        <v>1.3345022404052257E-2</v>
      </c>
      <c r="D211" s="32">
        <f>((1+Table26[[#This Row],[Monthly change]])^12)-1</f>
        <v>0.17243307803634922</v>
      </c>
    </row>
    <row r="212" spans="1:4" x14ac:dyDescent="0.2">
      <c r="A212" s="57">
        <v>27820</v>
      </c>
      <c r="B212" s="59">
        <f>VLOOKUP(Table26[[#This Row],[Date]],'DB Money Supply'!$A:$E,5)</f>
        <v>1050</v>
      </c>
      <c r="C212" s="31">
        <f>(Table26[[#This Row],[M2 Money Stock, Billions of Dollars, Monthly, Seasonally Adjusted]]-B211)/B211</f>
        <v>9.3242333942132518E-3</v>
      </c>
      <c r="D212" s="32">
        <f>((1+Table26[[#This Row],[Monthly change]])^12)-1</f>
        <v>0.11781107191209217</v>
      </c>
    </row>
    <row r="213" spans="1:4" x14ac:dyDescent="0.2">
      <c r="A213" s="34">
        <v>27851</v>
      </c>
      <c r="B213" s="59">
        <f>VLOOKUP(Table26[[#This Row],[Date]],'DB Money Supply'!$A:$E,5)</f>
        <v>1060.8</v>
      </c>
      <c r="C213" s="31">
        <f>(Table26[[#This Row],[M2 Money Stock, Billions of Dollars, Monthly, Seasonally Adjusted]]-B212)/B212</f>
        <v>1.0285714285714242E-2</v>
      </c>
      <c r="D213" s="32">
        <f>((1+Table26[[#This Row],[Monthly change]])^12)-1</f>
        <v>0.13065613579808488</v>
      </c>
    </row>
    <row r="214" spans="1:4" x14ac:dyDescent="0.2">
      <c r="A214" s="57">
        <v>27881</v>
      </c>
      <c r="B214" s="59">
        <f>VLOOKUP(Table26[[#This Row],[Date]],'DB Money Supply'!$A:$E,5)</f>
        <v>1072.0999999999999</v>
      </c>
      <c r="C214" s="31">
        <f>(Table26[[#This Row],[M2 Money Stock, Billions of Dollars, Monthly, Seasonally Adjusted]]-B213)/B213</f>
        <v>1.0652337858220168E-2</v>
      </c>
      <c r="D214" s="32">
        <f>((1+Table26[[#This Row],[Monthly change]])^12)-1</f>
        <v>0.13558963378003042</v>
      </c>
    </row>
    <row r="215" spans="1:4" x14ac:dyDescent="0.2">
      <c r="A215" s="57">
        <v>27912</v>
      </c>
      <c r="B215" s="59">
        <f>VLOOKUP(Table26[[#This Row],[Date]],'DB Money Supply'!$A:$E,5)</f>
        <v>1077.5999999999999</v>
      </c>
      <c r="C215" s="31">
        <f>(Table26[[#This Row],[M2 Money Stock, Billions of Dollars, Monthly, Seasonally Adjusted]]-B214)/B214</f>
        <v>5.1301184590989649E-3</v>
      </c>
      <c r="D215" s="32">
        <f>((1+Table26[[#This Row],[Monthly change]])^12)-1</f>
        <v>6.3328466126347571E-2</v>
      </c>
    </row>
    <row r="216" spans="1:4" x14ac:dyDescent="0.2">
      <c r="A216" s="34">
        <v>27942</v>
      </c>
      <c r="B216" s="59">
        <f>VLOOKUP(Table26[[#This Row],[Date]],'DB Money Supply'!$A:$E,5)</f>
        <v>1086.3</v>
      </c>
      <c r="C216" s="31">
        <f>(Table26[[#This Row],[M2 Money Stock, Billions of Dollars, Monthly, Seasonally Adjusted]]-B215)/B215</f>
        <v>8.0734966592428039E-3</v>
      </c>
      <c r="D216" s="32">
        <f>((1+Table26[[#This Row],[Monthly change]])^12)-1</f>
        <v>0.10130183249187463</v>
      </c>
    </row>
    <row r="217" spans="1:4" x14ac:dyDescent="0.2">
      <c r="A217" s="57">
        <v>27973</v>
      </c>
      <c r="B217" s="59">
        <f>VLOOKUP(Table26[[#This Row],[Date]],'DB Money Supply'!$A:$E,5)</f>
        <v>1098.7</v>
      </c>
      <c r="C217" s="31">
        <f>(Table26[[#This Row],[M2 Money Stock, Billions of Dollars, Monthly, Seasonally Adjusted]]-B216)/B216</f>
        <v>1.1414894596336272E-2</v>
      </c>
      <c r="D217" s="32">
        <f>((1+Table26[[#This Row],[Monthly change]])^12)-1</f>
        <v>0.14591430178674392</v>
      </c>
    </row>
    <row r="218" spans="1:4" x14ac:dyDescent="0.2">
      <c r="A218" s="34">
        <v>28004</v>
      </c>
      <c r="B218" s="59">
        <f>VLOOKUP(Table26[[#This Row],[Date]],'DB Money Supply'!$A:$E,5)</f>
        <v>1110.8</v>
      </c>
      <c r="C218" s="31">
        <f>(Table26[[#This Row],[M2 Money Stock, Billions of Dollars, Monthly, Seasonally Adjusted]]-B217)/B217</f>
        <v>1.1013015381814789E-2</v>
      </c>
      <c r="D218" s="32">
        <f>((1+Table26[[#This Row],[Monthly change]])^12)-1</f>
        <v>0.14046236636474707</v>
      </c>
    </row>
    <row r="219" spans="1:4" x14ac:dyDescent="0.2">
      <c r="A219" s="57">
        <v>28034</v>
      </c>
      <c r="B219" s="59">
        <f>VLOOKUP(Table26[[#This Row],[Date]],'DB Money Supply'!$A:$E,5)</f>
        <v>1125</v>
      </c>
      <c r="C219" s="31">
        <f>(Table26[[#This Row],[M2 Money Stock, Billions of Dollars, Monthly, Seasonally Adjusted]]-B218)/B218</f>
        <v>1.2783579402232667E-2</v>
      </c>
      <c r="D219" s="32">
        <f>((1+Table26[[#This Row],[Monthly change]])^12)-1</f>
        <v>0.164661760433364</v>
      </c>
    </row>
    <row r="220" spans="1:4" x14ac:dyDescent="0.2">
      <c r="A220" s="34">
        <v>28065</v>
      </c>
      <c r="B220" s="59">
        <f>VLOOKUP(Table26[[#This Row],[Date]],'DB Money Supply'!$A:$E,5)</f>
        <v>1138.2</v>
      </c>
      <c r="C220" s="31">
        <f>(Table26[[#This Row],[M2 Money Stock, Billions of Dollars, Monthly, Seasonally Adjusted]]-B219)/B219</f>
        <v>1.1733333333333373E-2</v>
      </c>
      <c r="D220" s="32">
        <f>((1+Table26[[#This Row],[Monthly change]])^12)-1</f>
        <v>0.15025122882721975</v>
      </c>
    </row>
    <row r="221" spans="1:4" x14ac:dyDescent="0.2">
      <c r="A221" s="57">
        <v>28095</v>
      </c>
      <c r="B221" s="59">
        <f>VLOOKUP(Table26[[#This Row],[Date]],'DB Money Supply'!$A:$E,5)</f>
        <v>1152</v>
      </c>
      <c r="C221" s="31">
        <f>(Table26[[#This Row],[M2 Money Stock, Billions of Dollars, Monthly, Seasonally Adjusted]]-B220)/B220</f>
        <v>1.2124406958355257E-2</v>
      </c>
      <c r="D221" s="32">
        <f>((1+Table26[[#This Row],[Monthly change]])^12)-1</f>
        <v>0.15559797935636954</v>
      </c>
    </row>
    <row r="222" spans="1:4" x14ac:dyDescent="0.2">
      <c r="A222" s="34">
        <v>28126</v>
      </c>
      <c r="B222" s="59">
        <f>VLOOKUP(Table26[[#This Row],[Date]],'DB Money Supply'!$A:$E,5)</f>
        <v>1165.2</v>
      </c>
      <c r="C222" s="31">
        <f>(Table26[[#This Row],[M2 Money Stock, Billions of Dollars, Monthly, Seasonally Adjusted]]-B221)/B221</f>
        <v>1.1458333333333372E-2</v>
      </c>
      <c r="D222" s="32">
        <f>((1+Table26[[#This Row],[Monthly change]])^12)-1</f>
        <v>0.1465050247048969</v>
      </c>
    </row>
    <row r="223" spans="1:4" x14ac:dyDescent="0.2">
      <c r="A223" s="57">
        <v>28157</v>
      </c>
      <c r="B223" s="59">
        <f>VLOOKUP(Table26[[#This Row],[Date]],'DB Money Supply'!$A:$E,5)</f>
        <v>1177.5999999999999</v>
      </c>
      <c r="C223" s="31">
        <f>(Table26[[#This Row],[M2 Money Stock, Billions of Dollars, Monthly, Seasonally Adjusted]]-B222)/B222</f>
        <v>1.0641949879848836E-2</v>
      </c>
      <c r="D223" s="32">
        <f>((1+Table26[[#This Row],[Monthly change]])^12)-1</f>
        <v>0.13544957595883478</v>
      </c>
    </row>
    <row r="224" spans="1:4" x14ac:dyDescent="0.2">
      <c r="A224" s="34">
        <v>28185</v>
      </c>
      <c r="B224" s="59">
        <f>VLOOKUP(Table26[[#This Row],[Date]],'DB Money Supply'!$A:$E,5)</f>
        <v>1188.5</v>
      </c>
      <c r="C224" s="31">
        <f>(Table26[[#This Row],[M2 Money Stock, Billions of Dollars, Monthly, Seasonally Adjusted]]-B223)/B223</f>
        <v>9.2561141304348601E-3</v>
      </c>
      <c r="D224" s="32">
        <f>((1+Table26[[#This Row],[Monthly change]])^12)-1</f>
        <v>0.11690611542733742</v>
      </c>
    </row>
    <row r="225" spans="1:4" x14ac:dyDescent="0.2">
      <c r="A225" s="57">
        <v>28216</v>
      </c>
      <c r="B225" s="59">
        <f>VLOOKUP(Table26[[#This Row],[Date]],'DB Money Supply'!$A:$E,5)</f>
        <v>1199.5999999999999</v>
      </c>
      <c r="C225" s="31">
        <f>(Table26[[#This Row],[M2 Money Stock, Billions of Dollars, Monthly, Seasonally Adjusted]]-B224)/B224</f>
        <v>9.3395035759359767E-3</v>
      </c>
      <c r="D225" s="32">
        <f>((1+Table26[[#This Row],[Monthly change]])^12)-1</f>
        <v>0.11801402669750516</v>
      </c>
    </row>
    <row r="226" spans="1:4" x14ac:dyDescent="0.2">
      <c r="A226" s="34">
        <v>28246</v>
      </c>
      <c r="B226" s="59">
        <f>VLOOKUP(Table26[[#This Row],[Date]],'DB Money Supply'!$A:$E,5)</f>
        <v>1209</v>
      </c>
      <c r="C226" s="31">
        <f>(Table26[[#This Row],[M2 Money Stock, Billions of Dollars, Monthly, Seasonally Adjusted]]-B225)/B225</f>
        <v>7.8359453151051108E-3</v>
      </c>
      <c r="D226" s="32">
        <f>((1+Table26[[#This Row],[Monthly change]])^12)-1</f>
        <v>9.8191619686037512E-2</v>
      </c>
    </row>
    <row r="227" spans="1:4" x14ac:dyDescent="0.2">
      <c r="A227" s="57">
        <v>28277</v>
      </c>
      <c r="B227" s="59">
        <f>VLOOKUP(Table26[[#This Row],[Date]],'DB Money Supply'!$A:$E,5)</f>
        <v>1217.8</v>
      </c>
      <c r="C227" s="31">
        <f>(Table26[[#This Row],[M2 Money Stock, Billions of Dollars, Monthly, Seasonally Adjusted]]-B226)/B226</f>
        <v>7.2787427626136931E-3</v>
      </c>
      <c r="D227" s="32">
        <f>((1+Table26[[#This Row],[Monthly change]])^12)-1</f>
        <v>9.0927843499222893E-2</v>
      </c>
    </row>
    <row r="228" spans="1:4" x14ac:dyDescent="0.2">
      <c r="A228" s="34">
        <v>28307</v>
      </c>
      <c r="B228" s="59">
        <f>VLOOKUP(Table26[[#This Row],[Date]],'DB Money Supply'!$A:$E,5)</f>
        <v>1226.7</v>
      </c>
      <c r="C228" s="31">
        <f>(Table26[[#This Row],[M2 Money Stock, Billions of Dollars, Monthly, Seasonally Adjusted]]-B227)/B227</f>
        <v>7.3082607981606925E-3</v>
      </c>
      <c r="D228" s="32">
        <f>((1+Table26[[#This Row],[Monthly change]])^12)-1</f>
        <v>9.1311537539828347E-2</v>
      </c>
    </row>
    <row r="229" spans="1:4" x14ac:dyDescent="0.2">
      <c r="A229" s="57">
        <v>28338</v>
      </c>
      <c r="B229" s="59">
        <f>VLOOKUP(Table26[[#This Row],[Date]],'DB Money Supply'!$A:$E,5)</f>
        <v>1237</v>
      </c>
      <c r="C229" s="31">
        <f>(Table26[[#This Row],[M2 Money Stock, Billions of Dollars, Monthly, Seasonally Adjusted]]-B228)/B228</f>
        <v>8.3965109643759309E-3</v>
      </c>
      <c r="D229" s="32">
        <f>((1+Table26[[#This Row],[Monthly change]])^12)-1</f>
        <v>0.10554394994873961</v>
      </c>
    </row>
    <row r="230" spans="1:4" x14ac:dyDescent="0.2">
      <c r="A230" s="34">
        <v>28369</v>
      </c>
      <c r="B230" s="59">
        <f>VLOOKUP(Table26[[#This Row],[Date]],'DB Money Supply'!$A:$E,5)</f>
        <v>1246.2</v>
      </c>
      <c r="C230" s="31">
        <f>(Table26[[#This Row],[M2 Money Stock, Billions of Dollars, Monthly, Seasonally Adjusted]]-B229)/B229</f>
        <v>7.4373484236055342E-3</v>
      </c>
      <c r="D230" s="32">
        <f>((1+Table26[[#This Row],[Monthly change]])^12)-1</f>
        <v>9.2990953732438264E-2</v>
      </c>
    </row>
    <row r="231" spans="1:4" x14ac:dyDescent="0.2">
      <c r="A231" s="57">
        <v>28399</v>
      </c>
      <c r="B231" s="59">
        <f>VLOOKUP(Table26[[#This Row],[Date]],'DB Money Supply'!$A:$E,5)</f>
        <v>1254</v>
      </c>
      <c r="C231" s="31">
        <f>(Table26[[#This Row],[M2 Money Stock, Billions of Dollars, Monthly, Seasonally Adjusted]]-B230)/B230</f>
        <v>6.2590274434279848E-3</v>
      </c>
      <c r="D231" s="32">
        <f>((1+Table26[[#This Row],[Monthly change]])^12)-1</f>
        <v>7.7748618700254735E-2</v>
      </c>
    </row>
    <row r="232" spans="1:4" x14ac:dyDescent="0.2">
      <c r="A232" s="34">
        <v>28430</v>
      </c>
      <c r="B232" s="59">
        <f>VLOOKUP(Table26[[#This Row],[Date]],'DB Money Supply'!$A:$E,5)</f>
        <v>1262.4000000000001</v>
      </c>
      <c r="C232" s="31">
        <f>(Table26[[#This Row],[M2 Money Stock, Billions of Dollars, Monthly, Seasonally Adjusted]]-B231)/B231</f>
        <v>6.6985645933015084E-3</v>
      </c>
      <c r="D232" s="32">
        <f>((1+Table26[[#This Row],[Monthly change]])^12)-1</f>
        <v>8.3411378515124701E-2</v>
      </c>
    </row>
    <row r="233" spans="1:4" x14ac:dyDescent="0.2">
      <c r="A233" s="57">
        <v>28460</v>
      </c>
      <c r="B233" s="59">
        <f>VLOOKUP(Table26[[#This Row],[Date]],'DB Money Supply'!$A:$E,5)</f>
        <v>1270.3</v>
      </c>
      <c r="C233" s="31">
        <f>(Table26[[#This Row],[M2 Money Stock, Billions of Dollars, Monthly, Seasonally Adjusted]]-B232)/B232</f>
        <v>6.2579214195182696E-3</v>
      </c>
      <c r="D233" s="32">
        <f>((1+Table26[[#This Row],[Monthly change]])^12)-1</f>
        <v>7.7734403570720145E-2</v>
      </c>
    </row>
    <row r="234" spans="1:4" x14ac:dyDescent="0.2">
      <c r="A234" s="57">
        <v>28491</v>
      </c>
      <c r="B234" s="59">
        <f>VLOOKUP(Table26[[#This Row],[Date]],'DB Money Supply'!$A:$E,5)</f>
        <v>1279.7</v>
      </c>
      <c r="C234" s="31">
        <f>(Table26[[#This Row],[M2 Money Stock, Billions of Dollars, Monthly, Seasonally Adjusted]]-B233)/B233</f>
        <v>7.3998268125640334E-3</v>
      </c>
      <c r="D234" s="32">
        <f>((1+Table26[[#This Row],[Monthly change]])^12)-1</f>
        <v>9.2502557525846463E-2</v>
      </c>
    </row>
    <row r="235" spans="1:4" x14ac:dyDescent="0.2">
      <c r="A235" s="34">
        <v>28522</v>
      </c>
      <c r="B235" s="59">
        <f>VLOOKUP(Table26[[#This Row],[Date]],'DB Money Supply'!$A:$E,5)</f>
        <v>1285.5</v>
      </c>
      <c r="C235" s="31">
        <f>(Table26[[#This Row],[M2 Money Stock, Billions of Dollars, Monthly, Seasonally Adjusted]]-B234)/B234</f>
        <v>4.5323122606860623E-3</v>
      </c>
      <c r="D235" s="32">
        <f>((1+Table26[[#This Row],[Monthly change]])^12)-1</f>
        <v>5.5764202378998595E-2</v>
      </c>
    </row>
    <row r="236" spans="1:4" x14ac:dyDescent="0.2">
      <c r="A236" s="57">
        <v>28550</v>
      </c>
      <c r="B236" s="59">
        <f>VLOOKUP(Table26[[#This Row],[Date]],'DB Money Supply'!$A:$E,5)</f>
        <v>1292.2</v>
      </c>
      <c r="C236" s="31">
        <f>(Table26[[#This Row],[M2 Money Stock, Billions of Dollars, Monthly, Seasonally Adjusted]]-B235)/B235</f>
        <v>5.2119797744068809E-3</v>
      </c>
      <c r="D236" s="32">
        <f>((1+Table26[[#This Row],[Monthly change]])^12)-1</f>
        <v>6.4368146067209642E-2</v>
      </c>
    </row>
    <row r="237" spans="1:4" x14ac:dyDescent="0.2">
      <c r="A237" s="34">
        <v>28581</v>
      </c>
      <c r="B237" s="59">
        <f>VLOOKUP(Table26[[#This Row],[Date]],'DB Money Supply'!$A:$E,5)</f>
        <v>1300.4000000000001</v>
      </c>
      <c r="C237" s="31">
        <f>(Table26[[#This Row],[M2 Money Stock, Billions of Dollars, Monthly, Seasonally Adjusted]]-B236)/B236</f>
        <v>6.3457669091472255E-3</v>
      </c>
      <c r="D237" s="32">
        <f>((1+Table26[[#This Row],[Monthly change]])^12)-1</f>
        <v>7.886396975764165E-2</v>
      </c>
    </row>
    <row r="238" spans="1:4" x14ac:dyDescent="0.2">
      <c r="A238" s="57">
        <v>28611</v>
      </c>
      <c r="B238" s="59">
        <f>VLOOKUP(Table26[[#This Row],[Date]],'DB Money Supply'!$A:$E,5)</f>
        <v>1310.5</v>
      </c>
      <c r="C238" s="31">
        <f>(Table26[[#This Row],[M2 Money Stock, Billions of Dollars, Monthly, Seasonally Adjusted]]-B237)/B237</f>
        <v>7.7668409720085419E-3</v>
      </c>
      <c r="D238" s="32">
        <f>((1+Table26[[#This Row],[Monthly change]])^12)-1</f>
        <v>9.7288363184135696E-2</v>
      </c>
    </row>
    <row r="239" spans="1:4" x14ac:dyDescent="0.2">
      <c r="A239" s="34">
        <v>28642</v>
      </c>
      <c r="B239" s="59">
        <f>VLOOKUP(Table26[[#This Row],[Date]],'DB Money Supply'!$A:$E,5)</f>
        <v>1318.5</v>
      </c>
      <c r="C239" s="31">
        <f>(Table26[[#This Row],[M2 Money Stock, Billions of Dollars, Monthly, Seasonally Adjusted]]-B238)/B238</f>
        <v>6.1045402518122857E-3</v>
      </c>
      <c r="D239" s="32">
        <f>((1+Table26[[#This Row],[Monthly change]])^12)-1</f>
        <v>7.5764741772365918E-2</v>
      </c>
    </row>
    <row r="240" spans="1:4" x14ac:dyDescent="0.2">
      <c r="A240" s="57">
        <v>28672</v>
      </c>
      <c r="B240" s="59">
        <f>VLOOKUP(Table26[[#This Row],[Date]],'DB Money Supply'!$A:$E,5)</f>
        <v>1324.1</v>
      </c>
      <c r="C240" s="31">
        <f>(Table26[[#This Row],[M2 Money Stock, Billions of Dollars, Monthly, Seasonally Adjusted]]-B239)/B239</f>
        <v>4.2472506636328476E-3</v>
      </c>
      <c r="D240" s="32">
        <f>((1+Table26[[#This Row],[Monthly change]])^12)-1</f>
        <v>5.2174608946215173E-2</v>
      </c>
    </row>
    <row r="241" spans="1:4" x14ac:dyDescent="0.2">
      <c r="A241" s="34">
        <v>28703</v>
      </c>
      <c r="B241" s="59">
        <f>VLOOKUP(Table26[[#This Row],[Date]],'DB Money Supply'!$A:$E,5)</f>
        <v>1333.5</v>
      </c>
      <c r="C241" s="31">
        <f>(Table26[[#This Row],[M2 Money Stock, Billions of Dollars, Monthly, Seasonally Adjusted]]-B240)/B240</f>
        <v>7.0991616947361164E-3</v>
      </c>
      <c r="D241" s="32">
        <f>((1+Table26[[#This Row],[Monthly change]])^12)-1</f>
        <v>8.8596198940199544E-2</v>
      </c>
    </row>
    <row r="242" spans="1:4" x14ac:dyDescent="0.2">
      <c r="A242" s="57">
        <v>28734</v>
      </c>
      <c r="B242" s="59">
        <f>VLOOKUP(Table26[[#This Row],[Date]],'DB Money Supply'!$A:$E,5)</f>
        <v>1345</v>
      </c>
      <c r="C242" s="31">
        <f>(Table26[[#This Row],[M2 Money Stock, Billions of Dollars, Monthly, Seasonally Adjusted]]-B241)/B241</f>
        <v>8.6239220097487808E-3</v>
      </c>
      <c r="D242" s="32">
        <f>((1+Table26[[#This Row],[Monthly change]])^12)-1</f>
        <v>0.10853949754768544</v>
      </c>
    </row>
    <row r="243" spans="1:4" x14ac:dyDescent="0.2">
      <c r="A243" s="34">
        <v>28764</v>
      </c>
      <c r="B243" s="59">
        <f>VLOOKUP(Table26[[#This Row],[Date]],'DB Money Supply'!$A:$E,5)</f>
        <v>1352.3</v>
      </c>
      <c r="C243" s="31">
        <f>(Table26[[#This Row],[M2 Money Stock, Billions of Dollars, Monthly, Seasonally Adjusted]]-B242)/B242</f>
        <v>5.4275092936802638E-3</v>
      </c>
      <c r="D243" s="32">
        <f>((1+Table26[[#This Row],[Monthly change]])^12)-1</f>
        <v>6.7109937607220171E-2</v>
      </c>
    </row>
    <row r="244" spans="1:4" x14ac:dyDescent="0.2">
      <c r="A244" s="57">
        <v>28795</v>
      </c>
      <c r="B244" s="59">
        <f>VLOOKUP(Table26[[#This Row],[Date]],'DB Money Supply'!$A:$E,5)</f>
        <v>1359.1</v>
      </c>
      <c r="C244" s="31">
        <f>(Table26[[#This Row],[M2 Money Stock, Billions of Dollars, Monthly, Seasonally Adjusted]]-B243)/B243</f>
        <v>5.0284700140501033E-3</v>
      </c>
      <c r="D244" s="32">
        <f>((1+Table26[[#This Row],[Monthly change]])^12)-1</f>
        <v>6.203877535173552E-2</v>
      </c>
    </row>
    <row r="245" spans="1:4" x14ac:dyDescent="0.2">
      <c r="A245" s="34">
        <v>28825</v>
      </c>
      <c r="B245" s="59">
        <f>VLOOKUP(Table26[[#This Row],[Date]],'DB Money Supply'!$A:$E,5)</f>
        <v>1366</v>
      </c>
      <c r="C245" s="31">
        <f>(Table26[[#This Row],[M2 Money Stock, Billions of Dollars, Monthly, Seasonally Adjusted]]-B244)/B244</f>
        <v>5.0768891177986105E-3</v>
      </c>
      <c r="D245" s="32">
        <f>((1+Table26[[#This Row],[Monthly change]])^12)-1</f>
        <v>6.265292623464358E-2</v>
      </c>
    </row>
    <row r="246" spans="1:4" x14ac:dyDescent="0.2">
      <c r="A246" s="57">
        <v>28856</v>
      </c>
      <c r="B246" s="59">
        <f>VLOOKUP(Table26[[#This Row],[Date]],'DB Money Supply'!$A:$E,5)</f>
        <v>1371.6</v>
      </c>
      <c r="C246" s="31">
        <f>(Table26[[#This Row],[M2 Money Stock, Billions of Dollars, Monthly, Seasonally Adjusted]]-B245)/B245</f>
        <v>4.099560761346932E-3</v>
      </c>
      <c r="D246" s="32">
        <f>((1+Table26[[#This Row],[Monthly change]])^12)-1</f>
        <v>5.0319249917013975E-2</v>
      </c>
    </row>
    <row r="247" spans="1:4" x14ac:dyDescent="0.2">
      <c r="A247" s="34">
        <v>28887</v>
      </c>
      <c r="B247" s="59">
        <f>VLOOKUP(Table26[[#This Row],[Date]],'DB Money Supply'!$A:$E,5)</f>
        <v>1377.8</v>
      </c>
      <c r="C247" s="31">
        <f>(Table26[[#This Row],[M2 Money Stock, Billions of Dollars, Monthly, Seasonally Adjusted]]-B246)/B246</f>
        <v>4.5202682997958921E-3</v>
      </c>
      <c r="D247" s="32">
        <f>((1+Table26[[#This Row],[Monthly change]])^12)-1</f>
        <v>5.5612313853701023E-2</v>
      </c>
    </row>
    <row r="248" spans="1:4" x14ac:dyDescent="0.2">
      <c r="A248" s="57">
        <v>28915</v>
      </c>
      <c r="B248" s="59">
        <f>VLOOKUP(Table26[[#This Row],[Date]],'DB Money Supply'!$A:$E,5)</f>
        <v>1387.8</v>
      </c>
      <c r="C248" s="31">
        <f>(Table26[[#This Row],[M2 Money Stock, Billions of Dollars, Monthly, Seasonally Adjusted]]-B247)/B247</f>
        <v>7.2579474524604448E-3</v>
      </c>
      <c r="D248" s="32">
        <f>((1+Table26[[#This Row],[Monthly change]])^12)-1</f>
        <v>9.0657607194887468E-2</v>
      </c>
    </row>
    <row r="249" spans="1:4" x14ac:dyDescent="0.2">
      <c r="A249" s="34">
        <v>28946</v>
      </c>
      <c r="B249" s="59">
        <f>VLOOKUP(Table26[[#This Row],[Date]],'DB Money Supply'!$A:$E,5)</f>
        <v>1402.1</v>
      </c>
      <c r="C249" s="31">
        <f>(Table26[[#This Row],[M2 Money Stock, Billions of Dollars, Monthly, Seasonally Adjusted]]-B248)/B248</f>
        <v>1.0304078397463579E-2</v>
      </c>
      <c r="D249" s="32">
        <f>((1+Table26[[#This Row],[Monthly change]])^12)-1</f>
        <v>0.13090278568663916</v>
      </c>
    </row>
    <row r="250" spans="1:4" x14ac:dyDescent="0.2">
      <c r="A250" s="57">
        <v>28976</v>
      </c>
      <c r="B250" s="59">
        <f>VLOOKUP(Table26[[#This Row],[Date]],'DB Money Supply'!$A:$E,5)</f>
        <v>1410.2</v>
      </c>
      <c r="C250" s="31">
        <f>(Table26[[#This Row],[M2 Money Stock, Billions of Dollars, Monthly, Seasonally Adjusted]]-B249)/B249</f>
        <v>5.7770487126454157E-3</v>
      </c>
      <c r="D250" s="32">
        <f>((1+Table26[[#This Row],[Monthly change]])^12)-1</f>
        <v>7.1570261375817124E-2</v>
      </c>
    </row>
    <row r="251" spans="1:4" x14ac:dyDescent="0.2">
      <c r="A251" s="34">
        <v>29007</v>
      </c>
      <c r="B251" s="59">
        <f>VLOOKUP(Table26[[#This Row],[Date]],'DB Money Supply'!$A:$E,5)</f>
        <v>1423</v>
      </c>
      <c r="C251" s="31">
        <f>(Table26[[#This Row],[M2 Money Stock, Billions of Dollars, Monthly, Seasonally Adjusted]]-B250)/B250</f>
        <v>9.0767267054318208E-3</v>
      </c>
      <c r="D251" s="32">
        <f>((1+Table26[[#This Row],[Monthly change]])^12)-1</f>
        <v>0.11452618639363066</v>
      </c>
    </row>
    <row r="252" spans="1:4" x14ac:dyDescent="0.2">
      <c r="A252" s="57">
        <v>29037</v>
      </c>
      <c r="B252" s="59">
        <f>VLOOKUP(Table26[[#This Row],[Date]],'DB Money Supply'!$A:$E,5)</f>
        <v>1434.8</v>
      </c>
      <c r="C252" s="31">
        <f>(Table26[[#This Row],[M2 Money Stock, Billions of Dollars, Monthly, Seasonally Adjusted]]-B251)/B251</f>
        <v>8.292340126493292E-3</v>
      </c>
      <c r="D252" s="32">
        <f>((1+Table26[[#This Row],[Monthly change]])^12)-1</f>
        <v>0.10417425030268479</v>
      </c>
    </row>
    <row r="253" spans="1:4" x14ac:dyDescent="0.2">
      <c r="A253" s="57">
        <v>29068</v>
      </c>
      <c r="B253" s="59">
        <f>VLOOKUP(Table26[[#This Row],[Date]],'DB Money Supply'!$A:$E,5)</f>
        <v>1446.6</v>
      </c>
      <c r="C253" s="31">
        <f>(Table26[[#This Row],[M2 Money Stock, Billions of Dollars, Monthly, Seasonally Adjusted]]-B252)/B252</f>
        <v>8.224142737663755E-3</v>
      </c>
      <c r="D253" s="32">
        <f>((1+Table26[[#This Row],[Monthly change]])^12)-1</f>
        <v>0.10327839351592094</v>
      </c>
    </row>
    <row r="254" spans="1:4" x14ac:dyDescent="0.2">
      <c r="A254" s="34">
        <v>29099</v>
      </c>
      <c r="B254" s="59">
        <f>VLOOKUP(Table26[[#This Row],[Date]],'DB Money Supply'!$A:$E,5)</f>
        <v>1454.1</v>
      </c>
      <c r="C254" s="31">
        <f>(Table26[[#This Row],[M2 Money Stock, Billions of Dollars, Monthly, Seasonally Adjusted]]-B253)/B253</f>
        <v>5.1845707175445874E-3</v>
      </c>
      <c r="D254" s="32">
        <f>((1+Table26[[#This Row],[Monthly change]])^12)-1</f>
        <v>6.4019933515609972E-2</v>
      </c>
    </row>
    <row r="255" spans="1:4" x14ac:dyDescent="0.2">
      <c r="A255" s="57">
        <v>29129</v>
      </c>
      <c r="B255" s="59">
        <f>VLOOKUP(Table26[[#This Row],[Date]],'DB Money Supply'!$A:$E,5)</f>
        <v>1460.4</v>
      </c>
      <c r="C255" s="31">
        <f>(Table26[[#This Row],[M2 Money Stock, Billions of Dollars, Monthly, Seasonally Adjusted]]-B254)/B254</f>
        <v>4.3325768516609461E-3</v>
      </c>
      <c r="D255" s="32">
        <f>((1+Table26[[#This Row],[Monthly change]])^12)-1</f>
        <v>5.3247890624120719E-2</v>
      </c>
    </row>
    <row r="256" spans="1:4" x14ac:dyDescent="0.2">
      <c r="A256" s="34">
        <v>29160</v>
      </c>
      <c r="B256" s="59">
        <f>VLOOKUP(Table26[[#This Row],[Date]],'DB Money Supply'!$A:$E,5)</f>
        <v>1465.9</v>
      </c>
      <c r="C256" s="31">
        <f>(Table26[[#This Row],[M2 Money Stock, Billions of Dollars, Monthly, Seasonally Adjusted]]-B255)/B255</f>
        <v>3.7660914817858118E-3</v>
      </c>
      <c r="D256" s="32">
        <f>((1+Table26[[#This Row],[Monthly change]])^12)-1</f>
        <v>4.6141056889913878E-2</v>
      </c>
    </row>
    <row r="257" spans="1:4" x14ac:dyDescent="0.2">
      <c r="A257" s="57">
        <v>29190</v>
      </c>
      <c r="B257" s="59">
        <f>VLOOKUP(Table26[[#This Row],[Date]],'DB Money Supply'!$A:$E,5)</f>
        <v>1473.7</v>
      </c>
      <c r="C257" s="31">
        <f>(Table26[[#This Row],[M2 Money Stock, Billions of Dollars, Monthly, Seasonally Adjusted]]-B256)/B256</f>
        <v>5.3209632307796946E-3</v>
      </c>
      <c r="D257" s="32">
        <f>((1+Table26[[#This Row],[Monthly change]])^12)-1</f>
        <v>6.5753736968978016E-2</v>
      </c>
    </row>
    <row r="258" spans="1:4" x14ac:dyDescent="0.2">
      <c r="A258" s="34">
        <v>29221</v>
      </c>
      <c r="B258" s="59">
        <f>VLOOKUP(Table26[[#This Row],[Date]],'DB Money Supply'!$A:$E,5)</f>
        <v>1482.7</v>
      </c>
      <c r="C258" s="31">
        <f>(Table26[[#This Row],[M2 Money Stock, Billions of Dollars, Monthly, Seasonally Adjusted]]-B257)/B257</f>
        <v>6.1070774241704555E-3</v>
      </c>
      <c r="D258" s="32">
        <f>((1+Table26[[#This Row],[Monthly change]])^12)-1</f>
        <v>7.5797296303002692E-2</v>
      </c>
    </row>
    <row r="259" spans="1:4" x14ac:dyDescent="0.2">
      <c r="A259" s="57">
        <v>29252</v>
      </c>
      <c r="B259" s="59">
        <f>VLOOKUP(Table26[[#This Row],[Date]],'DB Money Supply'!$A:$E,5)</f>
        <v>1494.6</v>
      </c>
      <c r="C259" s="31">
        <f>(Table26[[#This Row],[M2 Money Stock, Billions of Dollars, Monthly, Seasonally Adjusted]]-B258)/B258</f>
        <v>8.0258986983205386E-3</v>
      </c>
      <c r="D259" s="32">
        <f>((1+Table26[[#This Row],[Monthly change]])^12)-1</f>
        <v>0.10067799570721503</v>
      </c>
    </row>
    <row r="260" spans="1:4" x14ac:dyDescent="0.2">
      <c r="A260" s="34">
        <v>29281</v>
      </c>
      <c r="B260" s="59">
        <f>VLOOKUP(Table26[[#This Row],[Date]],'DB Money Supply'!$A:$E,5)</f>
        <v>1499.8</v>
      </c>
      <c r="C260" s="31">
        <f>(Table26[[#This Row],[M2 Money Stock, Billions of Dollars, Monthly, Seasonally Adjusted]]-B259)/B259</f>
        <v>3.479191756991868E-3</v>
      </c>
      <c r="D260" s="32">
        <f>((1+Table26[[#This Row],[Monthly change]])^12)-1</f>
        <v>4.2558554451635366E-2</v>
      </c>
    </row>
    <row r="261" spans="1:4" x14ac:dyDescent="0.2">
      <c r="A261" s="57">
        <v>29312</v>
      </c>
      <c r="B261" s="59">
        <f>VLOOKUP(Table26[[#This Row],[Date]],'DB Money Supply'!$A:$E,5)</f>
        <v>1502.2</v>
      </c>
      <c r="C261" s="31">
        <f>(Table26[[#This Row],[M2 Money Stock, Billions of Dollars, Monthly, Seasonally Adjusted]]-B260)/B260</f>
        <v>1.6002133617816316E-3</v>
      </c>
      <c r="D261" s="32">
        <f>((1+Table26[[#This Row],[Monthly change]])^12)-1</f>
        <v>1.9372470141024278E-2</v>
      </c>
    </row>
    <row r="262" spans="1:4" x14ac:dyDescent="0.2">
      <c r="A262" s="34">
        <v>29342</v>
      </c>
      <c r="B262" s="59">
        <f>VLOOKUP(Table26[[#This Row],[Date]],'DB Money Supply'!$A:$E,5)</f>
        <v>1512.3</v>
      </c>
      <c r="C262" s="31">
        <f>(Table26[[#This Row],[M2 Money Stock, Billions of Dollars, Monthly, Seasonally Adjusted]]-B261)/B261</f>
        <v>6.7234722407135596E-3</v>
      </c>
      <c r="D262" s="32">
        <f>((1+Table26[[#This Row],[Monthly change]])^12)-1</f>
        <v>8.3733090320832204E-2</v>
      </c>
    </row>
    <row r="263" spans="1:4" x14ac:dyDescent="0.2">
      <c r="A263" s="57">
        <v>29373</v>
      </c>
      <c r="B263" s="59">
        <f>VLOOKUP(Table26[[#This Row],[Date]],'DB Money Supply'!$A:$E,5)</f>
        <v>1529.2</v>
      </c>
      <c r="C263" s="31">
        <f>(Table26[[#This Row],[M2 Money Stock, Billions of Dollars, Monthly, Seasonally Adjusted]]-B262)/B262</f>
        <v>1.1175031409112008E-2</v>
      </c>
      <c r="D263" s="32">
        <f>((1+Table26[[#This Row],[Monthly change]])^12)-1</f>
        <v>0.14265742563798955</v>
      </c>
    </row>
    <row r="264" spans="1:4" x14ac:dyDescent="0.2">
      <c r="A264" s="34">
        <v>29403</v>
      </c>
      <c r="B264" s="59">
        <f>VLOOKUP(Table26[[#This Row],[Date]],'DB Money Supply'!$A:$E,5)</f>
        <v>1545.5</v>
      </c>
      <c r="C264" s="31">
        <f>(Table26[[#This Row],[M2 Money Stock, Billions of Dollars, Monthly, Seasonally Adjusted]]-B263)/B263</f>
        <v>1.0659168192518935E-2</v>
      </c>
      <c r="D264" s="32">
        <f>((1+Table26[[#This Row],[Monthly change]])^12)-1</f>
        <v>0.13568173364292369</v>
      </c>
    </row>
    <row r="265" spans="1:4" x14ac:dyDescent="0.2">
      <c r="A265" s="57">
        <v>29434</v>
      </c>
      <c r="B265" s="59">
        <f>VLOOKUP(Table26[[#This Row],[Date]],'DB Money Supply'!$A:$E,5)</f>
        <v>1561.5</v>
      </c>
      <c r="C265" s="31">
        <f>(Table26[[#This Row],[M2 Money Stock, Billions of Dollars, Monthly, Seasonally Adjusted]]-B264)/B264</f>
        <v>1.0352636687156261E-2</v>
      </c>
      <c r="D265" s="32">
        <f>((1+Table26[[#This Row],[Monthly change]])^12)-1</f>
        <v>0.1315552137043694</v>
      </c>
    </row>
    <row r="266" spans="1:4" x14ac:dyDescent="0.2">
      <c r="A266" s="34">
        <v>29465</v>
      </c>
      <c r="B266" s="59">
        <f>VLOOKUP(Table26[[#This Row],[Date]],'DB Money Supply'!$A:$E,5)</f>
        <v>1574</v>
      </c>
      <c r="C266" s="31">
        <f>(Table26[[#This Row],[M2 Money Stock, Billions of Dollars, Monthly, Seasonally Adjusted]]-B265)/B265</f>
        <v>8.0051232788984957E-3</v>
      </c>
      <c r="D266" s="32">
        <f>((1+Table26[[#This Row],[Monthly change]])^12)-1</f>
        <v>0.10040580680664468</v>
      </c>
    </row>
    <row r="267" spans="1:4" x14ac:dyDescent="0.2">
      <c r="A267" s="57">
        <v>29495</v>
      </c>
      <c r="B267" s="59">
        <f>VLOOKUP(Table26[[#This Row],[Date]],'DB Money Supply'!$A:$E,5)</f>
        <v>1584.8</v>
      </c>
      <c r="C267" s="31">
        <f>(Table26[[#This Row],[M2 Money Stock, Billions of Dollars, Monthly, Seasonally Adjusted]]-B266)/B266</f>
        <v>6.8614993646759562E-3</v>
      </c>
      <c r="D267" s="32">
        <f>((1+Table26[[#This Row],[Monthly change]])^12)-1</f>
        <v>8.5517462087983942E-2</v>
      </c>
    </row>
    <row r="268" spans="1:4" x14ac:dyDescent="0.2">
      <c r="A268" s="34">
        <v>29526</v>
      </c>
      <c r="B268" s="59">
        <f>VLOOKUP(Table26[[#This Row],[Date]],'DB Money Supply'!$A:$E,5)</f>
        <v>1595.8</v>
      </c>
      <c r="C268" s="31">
        <f>(Table26[[#This Row],[M2 Money Stock, Billions of Dollars, Monthly, Seasonally Adjusted]]-B267)/B267</f>
        <v>6.9409389197375064E-3</v>
      </c>
      <c r="D268" s="32">
        <f>((1+Table26[[#This Row],[Monthly change]])^12)-1</f>
        <v>8.6545652607476597E-2</v>
      </c>
    </row>
    <row r="269" spans="1:4" x14ac:dyDescent="0.2">
      <c r="A269" s="57">
        <v>29556</v>
      </c>
      <c r="B269" s="59">
        <f>VLOOKUP(Table26[[#This Row],[Date]],'DB Money Supply'!$A:$E,5)</f>
        <v>1599.8</v>
      </c>
      <c r="C269" s="31">
        <f>(Table26[[#This Row],[M2 Money Stock, Billions of Dollars, Monthly, Seasonally Adjusted]]-B268)/B268</f>
        <v>2.5065797719012409E-3</v>
      </c>
      <c r="D269" s="32">
        <f>((1+Table26[[#This Row],[Monthly change]])^12)-1</f>
        <v>3.0497115776864092E-2</v>
      </c>
    </row>
    <row r="270" spans="1:4" x14ac:dyDescent="0.2">
      <c r="A270" s="34">
        <v>29587</v>
      </c>
      <c r="B270" s="59">
        <f>VLOOKUP(Table26[[#This Row],[Date]],'DB Money Supply'!$A:$E,5)</f>
        <v>1606.9</v>
      </c>
      <c r="C270" s="31">
        <f>(Table26[[#This Row],[M2 Money Stock, Billions of Dollars, Monthly, Seasonally Adjusted]]-B269)/B269</f>
        <v>4.4380547568446914E-3</v>
      </c>
      <c r="D270" s="32">
        <f>((1+Table26[[#This Row],[Monthly change]])^12)-1</f>
        <v>5.4576039213498628E-2</v>
      </c>
    </row>
    <row r="271" spans="1:4" x14ac:dyDescent="0.2">
      <c r="A271" s="57">
        <v>29618</v>
      </c>
      <c r="B271" s="59">
        <f>VLOOKUP(Table26[[#This Row],[Date]],'DB Money Supply'!$A:$E,5)</f>
        <v>1618.7</v>
      </c>
      <c r="C271" s="31">
        <f>(Table26[[#This Row],[M2 Money Stock, Billions of Dollars, Monthly, Seasonally Adjusted]]-B270)/B270</f>
        <v>7.3433318812620284E-3</v>
      </c>
      <c r="D271" s="32">
        <f>((1+Table26[[#This Row],[Monthly change]])^12)-1</f>
        <v>9.1767574393786466E-2</v>
      </c>
    </row>
    <row r="272" spans="1:4" x14ac:dyDescent="0.2">
      <c r="A272" s="57">
        <v>29646</v>
      </c>
      <c r="B272" s="59">
        <f>VLOOKUP(Table26[[#This Row],[Date]],'DB Money Supply'!$A:$E,5)</f>
        <v>1636.6</v>
      </c>
      <c r="C272" s="31">
        <f>(Table26[[#This Row],[M2 Money Stock, Billions of Dollars, Monthly, Seasonally Adjusted]]-B271)/B271</f>
        <v>1.1058256625687195E-2</v>
      </c>
      <c r="D272" s="32">
        <f>((1+Table26[[#This Row],[Monthly change]])^12)-1</f>
        <v>0.14107492389771958</v>
      </c>
    </row>
    <row r="273" spans="1:4" x14ac:dyDescent="0.2">
      <c r="A273" s="34">
        <v>29677</v>
      </c>
      <c r="B273" s="59">
        <f>VLOOKUP(Table26[[#This Row],[Date]],'DB Money Supply'!$A:$E,5)</f>
        <v>1659.2</v>
      </c>
      <c r="C273" s="31">
        <f>(Table26[[#This Row],[M2 Money Stock, Billions of Dollars, Monthly, Seasonally Adjusted]]-B272)/B272</f>
        <v>1.3809116460955725E-2</v>
      </c>
      <c r="D273" s="32">
        <f>((1+Table26[[#This Row],[Monthly change]])^12)-1</f>
        <v>0.17889277603868292</v>
      </c>
    </row>
    <row r="274" spans="1:4" x14ac:dyDescent="0.2">
      <c r="A274" s="57">
        <v>29707</v>
      </c>
      <c r="B274" s="59">
        <f>VLOOKUP(Table26[[#This Row],[Date]],'DB Money Supply'!$A:$E,5)</f>
        <v>1664.2</v>
      </c>
      <c r="C274" s="31">
        <f>(Table26[[#This Row],[M2 Money Stock, Billions of Dollars, Monthly, Seasonally Adjusted]]-B273)/B273</f>
        <v>3.0135004821600772E-3</v>
      </c>
      <c r="D274" s="32">
        <f>((1+Table26[[#This Row],[Monthly change]])^12)-1</f>
        <v>3.6767425579644408E-2</v>
      </c>
    </row>
    <row r="275" spans="1:4" x14ac:dyDescent="0.2">
      <c r="A275" s="34">
        <v>29738</v>
      </c>
      <c r="B275" s="59">
        <f>VLOOKUP(Table26[[#This Row],[Date]],'DB Money Supply'!$A:$E,5)</f>
        <v>1670.3</v>
      </c>
      <c r="C275" s="31">
        <f>(Table26[[#This Row],[M2 Money Stock, Billions of Dollars, Monthly, Seasonally Adjusted]]-B274)/B274</f>
        <v>3.6654248287464903E-3</v>
      </c>
      <c r="D275" s="32">
        <f>((1+Table26[[#This Row],[Monthly change]])^12)-1</f>
        <v>4.4882754378089196E-2</v>
      </c>
    </row>
    <row r="276" spans="1:4" x14ac:dyDescent="0.2">
      <c r="A276" s="57">
        <v>29768</v>
      </c>
      <c r="B276" s="59">
        <f>VLOOKUP(Table26[[#This Row],[Date]],'DB Money Supply'!$A:$E,5)</f>
        <v>1681.9</v>
      </c>
      <c r="C276" s="31">
        <f>(Table26[[#This Row],[M2 Money Stock, Billions of Dollars, Monthly, Seasonally Adjusted]]-B275)/B275</f>
        <v>6.9448602047537189E-3</v>
      </c>
      <c r="D276" s="32">
        <f>((1+Table26[[#This Row],[Monthly change]])^12)-1</f>
        <v>8.6596429128084074E-2</v>
      </c>
    </row>
    <row r="277" spans="1:4" x14ac:dyDescent="0.2">
      <c r="A277" s="34">
        <v>29799</v>
      </c>
      <c r="B277" s="59">
        <f>VLOOKUP(Table26[[#This Row],[Date]],'DB Money Supply'!$A:$E,5)</f>
        <v>1694.3</v>
      </c>
      <c r="C277" s="31">
        <f>(Table26[[#This Row],[M2 Money Stock, Billions of Dollars, Monthly, Seasonally Adjusted]]-B276)/B276</f>
        <v>7.3726143052499334E-3</v>
      </c>
      <c r="D277" s="32">
        <f>((1+Table26[[#This Row],[Monthly change]])^12)-1</f>
        <v>9.2148473875858228E-2</v>
      </c>
    </row>
    <row r="278" spans="1:4" x14ac:dyDescent="0.2">
      <c r="A278" s="57">
        <v>29830</v>
      </c>
      <c r="B278" s="59">
        <f>VLOOKUP(Table26[[#This Row],[Date]],'DB Money Supply'!$A:$E,5)</f>
        <v>1706</v>
      </c>
      <c r="C278" s="31">
        <f>(Table26[[#This Row],[M2 Money Stock, Billions of Dollars, Monthly, Seasonally Adjusted]]-B277)/B277</f>
        <v>6.9055066989317394E-3</v>
      </c>
      <c r="D278" s="32">
        <f>((1+Table26[[#This Row],[Monthly change]])^12)-1</f>
        <v>8.608694118888871E-2</v>
      </c>
    </row>
    <row r="279" spans="1:4" x14ac:dyDescent="0.2">
      <c r="A279" s="34">
        <v>29860</v>
      </c>
      <c r="B279" s="59">
        <f>VLOOKUP(Table26[[#This Row],[Date]],'DB Money Supply'!$A:$E,5)</f>
        <v>1721.8</v>
      </c>
      <c r="C279" s="31">
        <f>(Table26[[#This Row],[M2 Money Stock, Billions of Dollars, Monthly, Seasonally Adjusted]]-B278)/B278</f>
        <v>9.2614302461898907E-3</v>
      </c>
      <c r="D279" s="32">
        <f>((1+Table26[[#This Row],[Monthly change]])^12)-1</f>
        <v>0.11697671523801678</v>
      </c>
    </row>
    <row r="280" spans="1:4" x14ac:dyDescent="0.2">
      <c r="A280" s="57">
        <v>29891</v>
      </c>
      <c r="B280" s="59">
        <f>VLOOKUP(Table26[[#This Row],[Date]],'DB Money Supply'!$A:$E,5)</f>
        <v>1736.1</v>
      </c>
      <c r="C280" s="31">
        <f>(Table26[[#This Row],[M2 Money Stock, Billions of Dollars, Monthly, Seasonally Adjusted]]-B279)/B279</f>
        <v>8.3052619351840842E-3</v>
      </c>
      <c r="D280" s="32">
        <f>((1+Table26[[#This Row],[Monthly change]])^12)-1</f>
        <v>0.10434406931544604</v>
      </c>
    </row>
    <row r="281" spans="1:4" x14ac:dyDescent="0.2">
      <c r="A281" s="34">
        <v>29921</v>
      </c>
      <c r="B281" s="59">
        <f>VLOOKUP(Table26[[#This Row],[Date]],'DB Money Supply'!$A:$E,5)</f>
        <v>1755.5</v>
      </c>
      <c r="C281" s="31">
        <f>(Table26[[#This Row],[M2 Money Stock, Billions of Dollars, Monthly, Seasonally Adjusted]]-B280)/B280</f>
        <v>1.1174471516617759E-2</v>
      </c>
      <c r="D281" s="32">
        <f>((1+Table26[[#This Row],[Monthly change]])^12)-1</f>
        <v>0.14264983332194703</v>
      </c>
    </row>
    <row r="282" spans="1:4" x14ac:dyDescent="0.2">
      <c r="A282" s="57">
        <v>29952</v>
      </c>
      <c r="B282" s="59">
        <f>VLOOKUP(Table26[[#This Row],[Date]],'DB Money Supply'!$A:$E,5)</f>
        <v>1770.4</v>
      </c>
      <c r="C282" s="31">
        <f>(Table26[[#This Row],[M2 Money Stock, Billions of Dollars, Monthly, Seasonally Adjusted]]-B281)/B281</f>
        <v>8.4876103674167425E-3</v>
      </c>
      <c r="D282" s="32">
        <f>((1+Table26[[#This Row],[Monthly change]])^12)-1</f>
        <v>0.1067430550660684</v>
      </c>
    </row>
    <row r="283" spans="1:4" x14ac:dyDescent="0.2">
      <c r="A283" s="34">
        <v>29983</v>
      </c>
      <c r="B283" s="59">
        <f>VLOOKUP(Table26[[#This Row],[Date]],'DB Money Supply'!$A:$E,5)</f>
        <v>1774.5</v>
      </c>
      <c r="C283" s="31">
        <f>(Table26[[#This Row],[M2 Money Stock, Billions of Dollars, Monthly, Seasonally Adjusted]]-B282)/B282</f>
        <v>2.3158608224129627E-3</v>
      </c>
      <c r="D283" s="32">
        <f>((1+Table26[[#This Row],[Monthly change]])^12)-1</f>
        <v>2.8147048608303971E-2</v>
      </c>
    </row>
    <row r="284" spans="1:4" x14ac:dyDescent="0.2">
      <c r="A284" s="57">
        <v>30011</v>
      </c>
      <c r="B284" s="59">
        <f>VLOOKUP(Table26[[#This Row],[Date]],'DB Money Supply'!$A:$E,5)</f>
        <v>1786.5</v>
      </c>
      <c r="C284" s="31">
        <f>(Table26[[#This Row],[M2 Money Stock, Billions of Dollars, Monthly, Seasonally Adjusted]]-B283)/B283</f>
        <v>6.762468300929839E-3</v>
      </c>
      <c r="D284" s="32">
        <f>((1+Table26[[#This Row],[Monthly change]])^12)-1</f>
        <v>8.4236946564721693E-2</v>
      </c>
    </row>
    <row r="285" spans="1:4" x14ac:dyDescent="0.2">
      <c r="A285" s="34">
        <v>30042</v>
      </c>
      <c r="B285" s="59">
        <f>VLOOKUP(Table26[[#This Row],[Date]],'DB Money Supply'!$A:$E,5)</f>
        <v>1803.9</v>
      </c>
      <c r="C285" s="31">
        <f>(Table26[[#This Row],[M2 Money Stock, Billions of Dollars, Monthly, Seasonally Adjusted]]-B284)/B284</f>
        <v>9.7397145256087822E-3</v>
      </c>
      <c r="D285" s="32">
        <f>((1+Table26[[#This Row],[Monthly change]])^12)-1</f>
        <v>0.12334525792354056</v>
      </c>
    </row>
    <row r="286" spans="1:4" x14ac:dyDescent="0.2">
      <c r="A286" s="57">
        <v>30072</v>
      </c>
      <c r="B286" s="59">
        <f>VLOOKUP(Table26[[#This Row],[Date]],'DB Money Supply'!$A:$E,5)</f>
        <v>1815.4</v>
      </c>
      <c r="C286" s="31">
        <f>(Table26[[#This Row],[M2 Money Stock, Billions of Dollars, Monthly, Seasonally Adjusted]]-B285)/B285</f>
        <v>6.3750762237374577E-3</v>
      </c>
      <c r="D286" s="32">
        <f>((1+Table26[[#This Row],[Monthly change]])^12)-1</f>
        <v>7.9241086611732348E-2</v>
      </c>
    </row>
    <row r="287" spans="1:4" x14ac:dyDescent="0.2">
      <c r="A287" s="34">
        <v>30103</v>
      </c>
      <c r="B287" s="59">
        <f>VLOOKUP(Table26[[#This Row],[Date]],'DB Money Supply'!$A:$E,5)</f>
        <v>1826</v>
      </c>
      <c r="C287" s="31">
        <f>(Table26[[#This Row],[M2 Money Stock, Billions of Dollars, Monthly, Seasonally Adjusted]]-B286)/B286</f>
        <v>5.8389335683595401E-3</v>
      </c>
      <c r="D287" s="32">
        <f>((1+Table26[[#This Row],[Monthly change]])^12)-1</f>
        <v>7.236172605030311E-2</v>
      </c>
    </row>
    <row r="288" spans="1:4" x14ac:dyDescent="0.2">
      <c r="A288" s="57">
        <v>30133</v>
      </c>
      <c r="B288" s="59">
        <f>VLOOKUP(Table26[[#This Row],[Date]],'DB Money Supply'!$A:$E,5)</f>
        <v>1831.5</v>
      </c>
      <c r="C288" s="31">
        <f>(Table26[[#This Row],[M2 Money Stock, Billions of Dollars, Monthly, Seasonally Adjusted]]-B287)/B287</f>
        <v>3.0120481927710845E-3</v>
      </c>
      <c r="D288" s="32">
        <f>((1+Table26[[#This Row],[Monthly change]])^12)-1</f>
        <v>3.6749411772176277E-2</v>
      </c>
    </row>
    <row r="289" spans="1:4" x14ac:dyDescent="0.2">
      <c r="A289" s="34">
        <v>30164</v>
      </c>
      <c r="B289" s="59">
        <f>VLOOKUP(Table26[[#This Row],[Date]],'DB Money Supply'!$A:$E,5)</f>
        <v>1845.2</v>
      </c>
      <c r="C289" s="31">
        <f>(Table26[[#This Row],[M2 Money Stock, Billions of Dollars, Monthly, Seasonally Adjusted]]-B288)/B288</f>
        <v>7.4802074802075048E-3</v>
      </c>
      <c r="D289" s="32">
        <f>((1+Table26[[#This Row],[Monthly change]])^12)-1</f>
        <v>9.3549069117199624E-2</v>
      </c>
    </row>
    <row r="290" spans="1:4" x14ac:dyDescent="0.2">
      <c r="A290" s="57">
        <v>30195</v>
      </c>
      <c r="B290" s="59">
        <f>VLOOKUP(Table26[[#This Row],[Date]],'DB Money Supply'!$A:$E,5)</f>
        <v>1858.4</v>
      </c>
      <c r="C290" s="31">
        <f>(Table26[[#This Row],[M2 Money Stock, Billions of Dollars, Monthly, Seasonally Adjusted]]-B289)/B289</f>
        <v>7.1536960763061161E-3</v>
      </c>
      <c r="D290" s="32">
        <f>((1+Table26[[#This Row],[Monthly change]])^12)-1</f>
        <v>8.9303778967057212E-2</v>
      </c>
    </row>
    <row r="291" spans="1:4" x14ac:dyDescent="0.2">
      <c r="A291" s="57">
        <v>30225</v>
      </c>
      <c r="B291" s="59">
        <f>VLOOKUP(Table26[[#This Row],[Date]],'DB Money Supply'!$A:$E,5)</f>
        <v>1869.7</v>
      </c>
      <c r="C291" s="31">
        <f>(Table26[[#This Row],[M2 Money Stock, Billions of Dollars, Monthly, Seasonally Adjusted]]-B290)/B290</f>
        <v>6.08049935428323E-3</v>
      </c>
      <c r="D291" s="32">
        <f>((1+Table26[[#This Row],[Monthly change]])^12)-1</f>
        <v>7.5456317147372109E-2</v>
      </c>
    </row>
    <row r="292" spans="1:4" x14ac:dyDescent="0.2">
      <c r="A292" s="34">
        <v>30256</v>
      </c>
      <c r="B292" s="59">
        <f>VLOOKUP(Table26[[#This Row],[Date]],'DB Money Supply'!$A:$E,5)</f>
        <v>1883.7</v>
      </c>
      <c r="C292" s="31">
        <f>(Table26[[#This Row],[M2 Money Stock, Billions of Dollars, Monthly, Seasonally Adjusted]]-B291)/B291</f>
        <v>7.4878322725570948E-3</v>
      </c>
      <c r="D292" s="32">
        <f>((1+Table26[[#This Row],[Monthly change]])^12)-1</f>
        <v>9.3648387375907083E-2</v>
      </c>
    </row>
    <row r="293" spans="1:4" x14ac:dyDescent="0.2">
      <c r="A293" s="57">
        <v>30286</v>
      </c>
      <c r="B293" s="59">
        <f>VLOOKUP(Table26[[#This Row],[Date]],'DB Money Supply'!$A:$E,5)</f>
        <v>1905.9</v>
      </c>
      <c r="C293" s="31">
        <f>(Table26[[#This Row],[M2 Money Stock, Billions of Dollars, Monthly, Seasonally Adjusted]]-B292)/B292</f>
        <v>1.1785316133142244E-2</v>
      </c>
      <c r="D293" s="32">
        <f>((1+Table26[[#This Row],[Monthly change]])^12)-1</f>
        <v>0.15096062736826243</v>
      </c>
    </row>
    <row r="294" spans="1:4" x14ac:dyDescent="0.2">
      <c r="A294" s="34">
        <v>30317</v>
      </c>
      <c r="B294" s="59">
        <f>VLOOKUP(Table26[[#This Row],[Date]],'DB Money Supply'!$A:$E,5)</f>
        <v>1959.4</v>
      </c>
      <c r="C294" s="31">
        <f>(Table26[[#This Row],[M2 Money Stock, Billions of Dollars, Monthly, Seasonally Adjusted]]-B293)/B293</f>
        <v>2.8070727740175244E-2</v>
      </c>
      <c r="D294" s="32">
        <f>((1+Table26[[#This Row],[Monthly change]])^12)-1</f>
        <v>0.39404220998464101</v>
      </c>
    </row>
    <row r="295" spans="1:4" x14ac:dyDescent="0.2">
      <c r="A295" s="57">
        <v>30348</v>
      </c>
      <c r="B295" s="59">
        <f>VLOOKUP(Table26[[#This Row],[Date]],'DB Money Supply'!$A:$E,5)</f>
        <v>1996.8</v>
      </c>
      <c r="C295" s="31">
        <f>(Table26[[#This Row],[M2 Money Stock, Billions of Dollars, Monthly, Seasonally Adjusted]]-B294)/B294</f>
        <v>1.9087475757884997E-2</v>
      </c>
      <c r="D295" s="32">
        <f>((1+Table26[[#This Row],[Monthly change]])^12)-1</f>
        <v>0.25469327857916291</v>
      </c>
    </row>
    <row r="296" spans="1:4" x14ac:dyDescent="0.2">
      <c r="A296" s="34">
        <v>30376</v>
      </c>
      <c r="B296" s="59">
        <f>VLOOKUP(Table26[[#This Row],[Date]],'DB Money Supply'!$A:$E,5)</f>
        <v>2015.2</v>
      </c>
      <c r="C296" s="31">
        <f>(Table26[[#This Row],[M2 Money Stock, Billions of Dollars, Monthly, Seasonally Adjusted]]-B295)/B295</f>
        <v>9.2147435897436351E-3</v>
      </c>
      <c r="D296" s="32">
        <f>((1+Table26[[#This Row],[Monthly change]])^12)-1</f>
        <v>0.11635684045245065</v>
      </c>
    </row>
    <row r="297" spans="1:4" x14ac:dyDescent="0.2">
      <c r="A297" s="57">
        <v>30407</v>
      </c>
      <c r="B297" s="59">
        <f>VLOOKUP(Table26[[#This Row],[Date]],'DB Money Supply'!$A:$E,5)</f>
        <v>2028.6</v>
      </c>
      <c r="C297" s="31">
        <f>(Table26[[#This Row],[M2 Money Stock, Billions of Dollars, Monthly, Seasonally Adjusted]]-B296)/B296</f>
        <v>6.6494640730447915E-3</v>
      </c>
      <c r="D297" s="32">
        <f>((1+Table26[[#This Row],[Monthly change]])^12)-1</f>
        <v>8.2777443436226505E-2</v>
      </c>
    </row>
    <row r="298" spans="1:4" x14ac:dyDescent="0.2">
      <c r="A298" s="34">
        <v>30437</v>
      </c>
      <c r="B298" s="59">
        <f>VLOOKUP(Table26[[#This Row],[Date]],'DB Money Supply'!$A:$E,5)</f>
        <v>2043.1</v>
      </c>
      <c r="C298" s="31">
        <f>(Table26[[#This Row],[M2 Money Stock, Billions of Dollars, Monthly, Seasonally Adjusted]]-B297)/B297</f>
        <v>7.1477866508922409E-3</v>
      </c>
      <c r="D298" s="32">
        <f>((1+Table26[[#This Row],[Monthly change]])^12)-1</f>
        <v>8.9227084197661899E-2</v>
      </c>
    </row>
    <row r="299" spans="1:4" x14ac:dyDescent="0.2">
      <c r="A299" s="57">
        <v>30468</v>
      </c>
      <c r="B299" s="59">
        <f>VLOOKUP(Table26[[#This Row],[Date]],'DB Money Supply'!$A:$E,5)</f>
        <v>2053.5</v>
      </c>
      <c r="C299" s="31">
        <f>(Table26[[#This Row],[M2 Money Stock, Billions of Dollars, Monthly, Seasonally Adjusted]]-B298)/B298</f>
        <v>5.0903039498801286E-3</v>
      </c>
      <c r="D299" s="32">
        <f>((1+Table26[[#This Row],[Monthly change]])^12)-1</f>
        <v>6.2823138371452591E-2</v>
      </c>
    </row>
    <row r="300" spans="1:4" x14ac:dyDescent="0.2">
      <c r="A300" s="34">
        <v>30498</v>
      </c>
      <c r="B300" s="59">
        <f>VLOOKUP(Table26[[#This Row],[Date]],'DB Money Supply'!$A:$E,5)</f>
        <v>2064.8000000000002</v>
      </c>
      <c r="C300" s="31">
        <f>(Table26[[#This Row],[M2 Money Stock, Billions of Dollars, Monthly, Seasonally Adjusted]]-B299)/B299</f>
        <v>5.5028000973947801E-3</v>
      </c>
      <c r="D300" s="32">
        <f>((1+Table26[[#This Row],[Monthly change]])^12)-1</f>
        <v>6.8069250890334221E-2</v>
      </c>
    </row>
    <row r="301" spans="1:4" x14ac:dyDescent="0.2">
      <c r="A301" s="57">
        <v>30529</v>
      </c>
      <c r="B301" s="59">
        <f>VLOOKUP(Table26[[#This Row],[Date]],'DB Money Supply'!$A:$E,5)</f>
        <v>2074</v>
      </c>
      <c r="C301" s="31">
        <f>(Table26[[#This Row],[M2 Money Stock, Billions of Dollars, Monthly, Seasonally Adjusted]]-B300)/B300</f>
        <v>4.4556373498643052E-3</v>
      </c>
      <c r="D301" s="32">
        <f>((1+Table26[[#This Row],[Monthly change]])^12)-1</f>
        <v>5.4797583586579934E-2</v>
      </c>
    </row>
    <row r="302" spans="1:4" x14ac:dyDescent="0.2">
      <c r="A302" s="34">
        <v>30560</v>
      </c>
      <c r="B302" s="59">
        <f>VLOOKUP(Table26[[#This Row],[Date]],'DB Money Supply'!$A:$E,5)</f>
        <v>2083.1999999999998</v>
      </c>
      <c r="C302" s="31">
        <f>(Table26[[#This Row],[M2 Money Stock, Billions of Dollars, Monthly, Seasonally Adjusted]]-B301)/B301</f>
        <v>4.4358727097395462E-3</v>
      </c>
      <c r="D302" s="32">
        <f>((1+Table26[[#This Row],[Monthly change]])^12)-1</f>
        <v>5.4548547936101421E-2</v>
      </c>
    </row>
    <row r="303" spans="1:4" x14ac:dyDescent="0.2">
      <c r="A303" s="57">
        <v>30590</v>
      </c>
      <c r="B303" s="59">
        <f>VLOOKUP(Table26[[#This Row],[Date]],'DB Money Supply'!$A:$E,5)</f>
        <v>2099.1999999999998</v>
      </c>
      <c r="C303" s="31">
        <f>(Table26[[#This Row],[M2 Money Stock, Billions of Dollars, Monthly, Seasonally Adjusted]]-B302)/B302</f>
        <v>7.6804915514592943E-3</v>
      </c>
      <c r="D303" s="32">
        <f>((1+Table26[[#This Row],[Monthly change]])^12)-1</f>
        <v>9.6160655014751795E-2</v>
      </c>
    </row>
    <row r="304" spans="1:4" x14ac:dyDescent="0.2">
      <c r="A304" s="34">
        <v>30621</v>
      </c>
      <c r="B304" s="59">
        <f>VLOOKUP(Table26[[#This Row],[Date]],'DB Money Supply'!$A:$E,5)</f>
        <v>2112.3000000000002</v>
      </c>
      <c r="C304" s="31">
        <f>(Table26[[#This Row],[M2 Money Stock, Billions of Dollars, Monthly, Seasonally Adjusted]]-B303)/B303</f>
        <v>6.2404725609757836E-3</v>
      </c>
      <c r="D304" s="32">
        <f>((1+Table26[[#This Row],[Monthly change]])^12)-1</f>
        <v>7.7510165533531517E-2</v>
      </c>
    </row>
    <row r="305" spans="1:4" x14ac:dyDescent="0.2">
      <c r="A305" s="57">
        <v>30651</v>
      </c>
      <c r="B305" s="59">
        <f>VLOOKUP(Table26[[#This Row],[Date]],'DB Money Supply'!$A:$E,5)</f>
        <v>2123.5</v>
      </c>
      <c r="C305" s="31">
        <f>(Table26[[#This Row],[M2 Money Stock, Billions of Dollars, Monthly, Seasonally Adjusted]]-B304)/B304</f>
        <v>5.3022771386639286E-3</v>
      </c>
      <c r="D305" s="32">
        <f>((1+Table26[[#This Row],[Monthly change]])^12)-1</f>
        <v>6.5516048857681808E-2</v>
      </c>
    </row>
    <row r="306" spans="1:4" x14ac:dyDescent="0.2">
      <c r="A306" s="34">
        <v>30682</v>
      </c>
      <c r="B306" s="59">
        <f>VLOOKUP(Table26[[#This Row],[Date]],'DB Money Supply'!$A:$E,5)</f>
        <v>2138.1999999999998</v>
      </c>
      <c r="C306" s="31">
        <f>(Table26[[#This Row],[M2 Money Stock, Billions of Dollars, Monthly, Seasonally Adjusted]]-B305)/B305</f>
        <v>6.9225335530962179E-3</v>
      </c>
      <c r="D306" s="32">
        <f>((1+Table26[[#This Row],[Monthly change]])^12)-1</f>
        <v>8.630735151158464E-2</v>
      </c>
    </row>
    <row r="307" spans="1:4" x14ac:dyDescent="0.2">
      <c r="A307" s="57">
        <v>30713</v>
      </c>
      <c r="B307" s="59">
        <f>VLOOKUP(Table26[[#This Row],[Date]],'DB Money Supply'!$A:$E,5)</f>
        <v>2158.1999999999998</v>
      </c>
      <c r="C307" s="31">
        <f>(Table26[[#This Row],[M2 Money Stock, Billions of Dollars, Monthly, Seasonally Adjusted]]-B306)/B306</f>
        <v>9.3536619586568146E-3</v>
      </c>
      <c r="D307" s="32">
        <f>((1+Table26[[#This Row],[Monthly change]])^12)-1</f>
        <v>0.11820223482825032</v>
      </c>
    </row>
    <row r="308" spans="1:4" x14ac:dyDescent="0.2">
      <c r="A308" s="34">
        <v>30742</v>
      </c>
      <c r="B308" s="59">
        <f>VLOOKUP(Table26[[#This Row],[Date]],'DB Money Supply'!$A:$E,5)</f>
        <v>2175.1999999999998</v>
      </c>
      <c r="C308" s="31">
        <f>(Table26[[#This Row],[M2 Money Stock, Billions of Dollars, Monthly, Seasonally Adjusted]]-B307)/B307</f>
        <v>7.87693448243907E-3</v>
      </c>
      <c r="D308" s="32">
        <f>((1+Table26[[#This Row],[Monthly change]])^12)-1</f>
        <v>9.8727707298754463E-2</v>
      </c>
    </row>
    <row r="309" spans="1:4" x14ac:dyDescent="0.2">
      <c r="A309" s="57">
        <v>30773</v>
      </c>
      <c r="B309" s="59">
        <f>VLOOKUP(Table26[[#This Row],[Date]],'DB Money Supply'!$A:$E,5)</f>
        <v>2191.6999999999998</v>
      </c>
      <c r="C309" s="31">
        <f>(Table26[[#This Row],[M2 Money Stock, Billions of Dollars, Monthly, Seasonally Adjusted]]-B308)/B308</f>
        <v>7.5855093784479594E-3</v>
      </c>
      <c r="D309" s="32">
        <f>((1+Table26[[#This Row],[Monthly change]])^12)-1</f>
        <v>9.4921431711955995E-2</v>
      </c>
    </row>
    <row r="310" spans="1:4" x14ac:dyDescent="0.2">
      <c r="A310" s="57">
        <v>30803</v>
      </c>
      <c r="B310" s="59">
        <f>VLOOKUP(Table26[[#This Row],[Date]],'DB Money Supply'!$A:$E,5)</f>
        <v>2204.1</v>
      </c>
      <c r="C310" s="31">
        <f>(Table26[[#This Row],[M2 Money Stock, Billions of Dollars, Monthly, Seasonally Adjusted]]-B309)/B309</f>
        <v>5.6577086280056995E-3</v>
      </c>
      <c r="D310" s="32">
        <f>((1+Table26[[#This Row],[Monthly change]])^12)-1</f>
        <v>7.0045495661831714E-2</v>
      </c>
    </row>
    <row r="311" spans="1:4" x14ac:dyDescent="0.2">
      <c r="A311" s="34">
        <v>30834</v>
      </c>
      <c r="B311" s="59">
        <f>VLOOKUP(Table26[[#This Row],[Date]],'DB Money Supply'!$A:$E,5)</f>
        <v>2215.1</v>
      </c>
      <c r="C311" s="31">
        <f>(Table26[[#This Row],[M2 Money Stock, Billions of Dollars, Monthly, Seasonally Adjusted]]-B310)/B310</f>
        <v>4.9906991515811447E-3</v>
      </c>
      <c r="D311" s="32">
        <f>((1+Table26[[#This Row],[Monthly change]])^12)-1</f>
        <v>6.1559913335550887E-2</v>
      </c>
    </row>
    <row r="312" spans="1:4" x14ac:dyDescent="0.2">
      <c r="A312" s="57">
        <v>30864</v>
      </c>
      <c r="B312" s="59">
        <f>VLOOKUP(Table26[[#This Row],[Date]],'DB Money Supply'!$A:$E,5)</f>
        <v>2223.5</v>
      </c>
      <c r="C312" s="31">
        <f>(Table26[[#This Row],[M2 Money Stock, Billions of Dollars, Monthly, Seasonally Adjusted]]-B311)/B311</f>
        <v>3.792153853099224E-3</v>
      </c>
      <c r="D312" s="32">
        <f>((1+Table26[[#This Row],[Monthly change]])^12)-1</f>
        <v>4.6467054878630565E-2</v>
      </c>
    </row>
    <row r="313" spans="1:4" x14ac:dyDescent="0.2">
      <c r="A313" s="34">
        <v>30895</v>
      </c>
      <c r="B313" s="59">
        <f>VLOOKUP(Table26[[#This Row],[Date]],'DB Money Supply'!$A:$E,5)</f>
        <v>2230.4</v>
      </c>
      <c r="C313" s="31">
        <f>(Table26[[#This Row],[M2 Money Stock, Billions of Dollars, Monthly, Seasonally Adjusted]]-B312)/B312</f>
        <v>3.1032156510007155E-3</v>
      </c>
      <c r="D313" s="32">
        <f>((1+Table26[[#This Row],[Monthly change]])^12)-1</f>
        <v>3.7880784908629339E-2</v>
      </c>
    </row>
    <row r="314" spans="1:4" x14ac:dyDescent="0.2">
      <c r="A314" s="57">
        <v>30926</v>
      </c>
      <c r="B314" s="59">
        <f>VLOOKUP(Table26[[#This Row],[Date]],'DB Money Supply'!$A:$E,5)</f>
        <v>2244.4</v>
      </c>
      <c r="C314" s="31">
        <f>(Table26[[#This Row],[M2 Money Stock, Billions of Dollars, Monthly, Seasonally Adjusted]]-B313)/B313</f>
        <v>6.2769010043041609E-3</v>
      </c>
      <c r="D314" s="32">
        <f>((1+Table26[[#This Row],[Monthly change]])^12)-1</f>
        <v>7.7978361782473415E-2</v>
      </c>
    </row>
    <row r="315" spans="1:4" x14ac:dyDescent="0.2">
      <c r="A315" s="34">
        <v>30956</v>
      </c>
      <c r="B315" s="59">
        <f>VLOOKUP(Table26[[#This Row],[Date]],'DB Money Supply'!$A:$E,5)</f>
        <v>2258.9</v>
      </c>
      <c r="C315" s="31">
        <f>(Table26[[#This Row],[M2 Money Stock, Billions of Dollars, Monthly, Seasonally Adjusted]]-B314)/B314</f>
        <v>6.4605239707716984E-3</v>
      </c>
      <c r="D315" s="32">
        <f>((1+Table26[[#This Row],[Monthly change]])^12)-1</f>
        <v>8.0341214767166935E-2</v>
      </c>
    </row>
    <row r="316" spans="1:4" x14ac:dyDescent="0.2">
      <c r="A316" s="57">
        <v>30987</v>
      </c>
      <c r="B316" s="59">
        <f>VLOOKUP(Table26[[#This Row],[Date]],'DB Money Supply'!$A:$E,5)</f>
        <v>2281.4</v>
      </c>
      <c r="C316" s="31">
        <f>(Table26[[#This Row],[M2 Money Stock, Billions of Dollars, Monthly, Seasonally Adjusted]]-B315)/B315</f>
        <v>9.9606002921776085E-3</v>
      </c>
      <c r="D316" s="32">
        <f>((1+Table26[[#This Row],[Monthly change]])^12)-1</f>
        <v>0.1262976592078533</v>
      </c>
    </row>
    <row r="317" spans="1:4" x14ac:dyDescent="0.2">
      <c r="A317" s="34">
        <v>31017</v>
      </c>
      <c r="B317" s="59">
        <f>VLOOKUP(Table26[[#This Row],[Date]],'DB Money Supply'!$A:$E,5)</f>
        <v>2306.4</v>
      </c>
      <c r="C317" s="31">
        <f>(Table26[[#This Row],[M2 Money Stock, Billions of Dollars, Monthly, Seasonally Adjusted]]-B316)/B316</f>
        <v>1.0958183571491189E-2</v>
      </c>
      <c r="D317" s="32">
        <f>((1+Table26[[#This Row],[Monthly change]])^12)-1</f>
        <v>0.13972035851207654</v>
      </c>
    </row>
    <row r="318" spans="1:4" x14ac:dyDescent="0.2">
      <c r="A318" s="57">
        <v>31048</v>
      </c>
      <c r="B318" s="59">
        <f>VLOOKUP(Table26[[#This Row],[Date]],'DB Money Supply'!$A:$E,5)</f>
        <v>2332.4</v>
      </c>
      <c r="C318" s="31">
        <f>(Table26[[#This Row],[M2 Money Stock, Billions of Dollars, Monthly, Seasonally Adjusted]]-B317)/B317</f>
        <v>1.1272979535206382E-2</v>
      </c>
      <c r="D318" s="32">
        <f>((1+Table26[[#This Row],[Monthly change]])^12)-1</f>
        <v>0.1439863445288434</v>
      </c>
    </row>
    <row r="319" spans="1:4" x14ac:dyDescent="0.2">
      <c r="A319" s="34">
        <v>31079</v>
      </c>
      <c r="B319" s="59">
        <f>VLOOKUP(Table26[[#This Row],[Date]],'DB Money Supply'!$A:$E,5)</f>
        <v>2354.1</v>
      </c>
      <c r="C319" s="31">
        <f>(Table26[[#This Row],[M2 Money Stock, Billions of Dollars, Monthly, Seasonally Adjusted]]-B318)/B318</f>
        <v>9.3037214885953595E-3</v>
      </c>
      <c r="D319" s="32">
        <f>((1+Table26[[#This Row],[Monthly change]])^12)-1</f>
        <v>0.11753850293771206</v>
      </c>
    </row>
    <row r="320" spans="1:4" x14ac:dyDescent="0.2">
      <c r="A320" s="57">
        <v>31107</v>
      </c>
      <c r="B320" s="59">
        <f>VLOOKUP(Table26[[#This Row],[Date]],'DB Money Supply'!$A:$E,5)</f>
        <v>2366.1999999999998</v>
      </c>
      <c r="C320" s="31">
        <f>(Table26[[#This Row],[M2 Money Stock, Billions of Dollars, Monthly, Seasonally Adjusted]]-B319)/B319</f>
        <v>5.139968565481462E-3</v>
      </c>
      <c r="D320" s="32">
        <f>((1+Table26[[#This Row],[Monthly change]])^12)-1</f>
        <v>6.3453518151397548E-2</v>
      </c>
    </row>
    <row r="321" spans="1:4" x14ac:dyDescent="0.2">
      <c r="A321" s="34">
        <v>31138</v>
      </c>
      <c r="B321" s="59">
        <f>VLOOKUP(Table26[[#This Row],[Date]],'DB Money Supply'!$A:$E,5)</f>
        <v>2375.4</v>
      </c>
      <c r="C321" s="31">
        <f>(Table26[[#This Row],[M2 Money Stock, Billions of Dollars, Monthly, Seasonally Adjusted]]-B320)/B320</f>
        <v>3.888090609416057E-3</v>
      </c>
      <c r="D321" s="32">
        <f>((1+Table26[[#This Row],[Monthly change]])^12)-1</f>
        <v>4.7667870540716972E-2</v>
      </c>
    </row>
    <row r="322" spans="1:4" x14ac:dyDescent="0.2">
      <c r="A322" s="57">
        <v>31168</v>
      </c>
      <c r="B322" s="59">
        <f>VLOOKUP(Table26[[#This Row],[Date]],'DB Money Supply'!$A:$E,5)</f>
        <v>2389.5</v>
      </c>
      <c r="C322" s="31">
        <f>(Table26[[#This Row],[M2 Money Stock, Billions of Dollars, Monthly, Seasonally Adjusted]]-B321)/B321</f>
        <v>5.9358423844404771E-3</v>
      </c>
      <c r="D322" s="32">
        <f>((1+Table26[[#This Row],[Monthly change]])^12)-1</f>
        <v>7.3602199703005189E-2</v>
      </c>
    </row>
    <row r="323" spans="1:4" x14ac:dyDescent="0.2">
      <c r="A323" s="34">
        <v>31199</v>
      </c>
      <c r="B323" s="59">
        <f>VLOOKUP(Table26[[#This Row],[Date]],'DB Money Supply'!$A:$E,5)</f>
        <v>2412.6</v>
      </c>
      <c r="C323" s="31">
        <f>(Table26[[#This Row],[M2 Money Stock, Billions of Dollars, Monthly, Seasonally Adjusted]]-B322)/B322</f>
        <v>9.6672944130570867E-3</v>
      </c>
      <c r="D323" s="32">
        <f>((1+Table26[[#This Row],[Monthly change]])^12)-1</f>
        <v>0.12237882225233632</v>
      </c>
    </row>
    <row r="324" spans="1:4" x14ac:dyDescent="0.2">
      <c r="A324" s="57">
        <v>31229</v>
      </c>
      <c r="B324" s="59">
        <f>VLOOKUP(Table26[[#This Row],[Date]],'DB Money Supply'!$A:$E,5)</f>
        <v>2429.5</v>
      </c>
      <c r="C324" s="31">
        <f>(Table26[[#This Row],[M2 Money Stock, Billions of Dollars, Monthly, Seasonally Adjusted]]-B323)/B323</f>
        <v>7.0048909889745886E-3</v>
      </c>
      <c r="D324" s="32">
        <f>((1+Table26[[#This Row],[Monthly change]])^12)-1</f>
        <v>8.7374036293156987E-2</v>
      </c>
    </row>
    <row r="325" spans="1:4" x14ac:dyDescent="0.2">
      <c r="A325" s="34">
        <v>31260</v>
      </c>
      <c r="B325" s="59">
        <f>VLOOKUP(Table26[[#This Row],[Date]],'DB Money Supply'!$A:$E,5)</f>
        <v>2444</v>
      </c>
      <c r="C325" s="31">
        <f>(Table26[[#This Row],[M2 Money Stock, Billions of Dollars, Monthly, Seasonally Adjusted]]-B324)/B324</f>
        <v>5.9683062358509981E-3</v>
      </c>
      <c r="D325" s="32">
        <f>((1+Table26[[#This Row],[Monthly change]])^12)-1</f>
        <v>7.4018044704468933E-2</v>
      </c>
    </row>
    <row r="326" spans="1:4" x14ac:dyDescent="0.2">
      <c r="A326" s="57">
        <v>31291</v>
      </c>
      <c r="B326" s="59">
        <f>VLOOKUP(Table26[[#This Row],[Date]],'DB Money Supply'!$A:$E,5)</f>
        <v>2456.4</v>
      </c>
      <c r="C326" s="31">
        <f>(Table26[[#This Row],[M2 Money Stock, Billions of Dollars, Monthly, Seasonally Adjusted]]-B325)/B325</f>
        <v>5.0736497545008554E-3</v>
      </c>
      <c r="D326" s="32">
        <f>((1+Table26[[#This Row],[Monthly change]])^12)-1</f>
        <v>6.2611827792460995E-2</v>
      </c>
    </row>
    <row r="327" spans="1:4" x14ac:dyDescent="0.2">
      <c r="A327" s="34">
        <v>31321</v>
      </c>
      <c r="B327" s="59">
        <f>VLOOKUP(Table26[[#This Row],[Date]],'DB Money Supply'!$A:$E,5)</f>
        <v>2468</v>
      </c>
      <c r="C327" s="31">
        <f>(Table26[[#This Row],[M2 Money Stock, Billions of Dollars, Monthly, Seasonally Adjusted]]-B326)/B326</f>
        <v>4.7223579221624774E-3</v>
      </c>
      <c r="D327" s="32">
        <f>((1+Table26[[#This Row],[Monthly change]])^12)-1</f>
        <v>5.8163555534421318E-2</v>
      </c>
    </row>
    <row r="328" spans="1:4" x14ac:dyDescent="0.2">
      <c r="A328" s="57">
        <v>31352</v>
      </c>
      <c r="B328" s="59">
        <f>VLOOKUP(Table26[[#This Row],[Date]],'DB Money Supply'!$A:$E,5)</f>
        <v>2477.8000000000002</v>
      </c>
      <c r="C328" s="31">
        <f>(Table26[[#This Row],[M2 Money Stock, Billions of Dollars, Monthly, Seasonally Adjusted]]-B327)/B327</f>
        <v>3.9708265802269778E-3</v>
      </c>
      <c r="D328" s="32">
        <f>((1+Table26[[#This Row],[Monthly change]])^12)-1</f>
        <v>4.8704469587905086E-2</v>
      </c>
    </row>
    <row r="329" spans="1:4" x14ac:dyDescent="0.2">
      <c r="A329" s="57">
        <v>31382</v>
      </c>
      <c r="B329" s="59">
        <f>VLOOKUP(Table26[[#This Row],[Date]],'DB Money Supply'!$A:$E,5)</f>
        <v>2492.1</v>
      </c>
      <c r="C329" s="31">
        <f>(Table26[[#This Row],[M2 Money Stock, Billions of Dollars, Monthly, Seasonally Adjusted]]-B328)/B328</f>
        <v>5.7712486883524606E-3</v>
      </c>
      <c r="D329" s="32">
        <f>((1+Table26[[#This Row],[Monthly change]])^12)-1</f>
        <v>7.1496110511851452E-2</v>
      </c>
    </row>
    <row r="330" spans="1:4" x14ac:dyDescent="0.2">
      <c r="A330" s="34">
        <v>31413</v>
      </c>
      <c r="B330" s="59">
        <f>VLOOKUP(Table26[[#This Row],[Date]],'DB Money Supply'!$A:$E,5)</f>
        <v>2502.1</v>
      </c>
      <c r="C330" s="31">
        <f>(Table26[[#This Row],[M2 Money Stock, Billions of Dollars, Monthly, Seasonally Adjusted]]-B329)/B329</f>
        <v>4.012680069018097E-3</v>
      </c>
      <c r="D330" s="32">
        <f>((1+Table26[[#This Row],[Monthly change]])^12)-1</f>
        <v>4.9229210005150126E-2</v>
      </c>
    </row>
    <row r="331" spans="1:4" x14ac:dyDescent="0.2">
      <c r="A331" s="57">
        <v>31444</v>
      </c>
      <c r="B331" s="59">
        <f>VLOOKUP(Table26[[#This Row],[Date]],'DB Money Supply'!$A:$E,5)</f>
        <v>2512.9</v>
      </c>
      <c r="C331" s="31">
        <f>(Table26[[#This Row],[M2 Money Stock, Billions of Dollars, Monthly, Seasonally Adjusted]]-B330)/B330</f>
        <v>4.3163742456337403E-3</v>
      </c>
      <c r="D331" s="32">
        <f>((1+Table26[[#This Row],[Monthly change]])^12)-1</f>
        <v>5.3044007804176063E-2</v>
      </c>
    </row>
    <row r="332" spans="1:4" x14ac:dyDescent="0.2">
      <c r="A332" s="34">
        <v>31472</v>
      </c>
      <c r="B332" s="59">
        <f>VLOOKUP(Table26[[#This Row],[Date]],'DB Money Supply'!$A:$E,5)</f>
        <v>2533.1</v>
      </c>
      <c r="C332" s="31">
        <f>(Table26[[#This Row],[M2 Money Stock, Billions of Dollars, Monthly, Seasonally Adjusted]]-B331)/B331</f>
        <v>8.0385212304508007E-3</v>
      </c>
      <c r="D332" s="32">
        <f>((1+Table26[[#This Row],[Monthly change]])^12)-1</f>
        <v>0.10084339979385093</v>
      </c>
    </row>
    <row r="333" spans="1:4" x14ac:dyDescent="0.2">
      <c r="A333" s="57">
        <v>31503</v>
      </c>
      <c r="B333" s="59">
        <f>VLOOKUP(Table26[[#This Row],[Date]],'DB Money Supply'!$A:$E,5)</f>
        <v>2557.8000000000002</v>
      </c>
      <c r="C333" s="31">
        <f>(Table26[[#This Row],[M2 Money Stock, Billions of Dollars, Monthly, Seasonally Adjusted]]-B332)/B332</f>
        <v>9.7508981090364665E-3</v>
      </c>
      <c r="D333" s="32">
        <f>((1+Table26[[#This Row],[Monthly change]])^12)-1</f>
        <v>0.12349456916347701</v>
      </c>
    </row>
    <row r="334" spans="1:4" x14ac:dyDescent="0.2">
      <c r="A334" s="34">
        <v>31533</v>
      </c>
      <c r="B334" s="59">
        <f>VLOOKUP(Table26[[#This Row],[Date]],'DB Money Supply'!$A:$E,5)</f>
        <v>2584.8000000000002</v>
      </c>
      <c r="C334" s="31">
        <f>(Table26[[#This Row],[M2 Money Stock, Billions of Dollars, Monthly, Seasonally Adjusted]]-B333)/B333</f>
        <v>1.055594651653765E-2</v>
      </c>
      <c r="D334" s="32">
        <f>((1+Table26[[#This Row],[Monthly change]])^12)-1</f>
        <v>0.13429062794164515</v>
      </c>
    </row>
    <row r="335" spans="1:4" x14ac:dyDescent="0.2">
      <c r="A335" s="57">
        <v>31564</v>
      </c>
      <c r="B335" s="59">
        <f>VLOOKUP(Table26[[#This Row],[Date]],'DB Money Supply'!$A:$E,5)</f>
        <v>2605</v>
      </c>
      <c r="C335" s="31">
        <f>(Table26[[#This Row],[M2 Money Stock, Billions of Dollars, Monthly, Seasonally Adjusted]]-B334)/B334</f>
        <v>7.8149179820488305E-3</v>
      </c>
      <c r="D335" s="32">
        <f>((1+Table26[[#This Row],[Monthly change]])^12)-1</f>
        <v>9.7916701236459902E-2</v>
      </c>
    </row>
    <row r="336" spans="1:4" x14ac:dyDescent="0.2">
      <c r="A336" s="34">
        <v>31594</v>
      </c>
      <c r="B336" s="59">
        <f>VLOOKUP(Table26[[#This Row],[Date]],'DB Money Supply'!$A:$E,5)</f>
        <v>2626.6</v>
      </c>
      <c r="C336" s="31">
        <f>(Table26[[#This Row],[M2 Money Stock, Billions of Dollars, Monthly, Seasonally Adjusted]]-B335)/B335</f>
        <v>8.2917466410748208E-3</v>
      </c>
      <c r="D336" s="32">
        <f>((1+Table26[[#This Row],[Monthly change]])^12)-1</f>
        <v>0.10416645126461255</v>
      </c>
    </row>
    <row r="337" spans="1:4" x14ac:dyDescent="0.2">
      <c r="A337" s="57">
        <v>31625</v>
      </c>
      <c r="B337" s="59">
        <f>VLOOKUP(Table26[[#This Row],[Date]],'DB Money Supply'!$A:$E,5)</f>
        <v>2646.5</v>
      </c>
      <c r="C337" s="31">
        <f>(Table26[[#This Row],[M2 Money Stock, Billions of Dollars, Monthly, Seasonally Adjusted]]-B336)/B336</f>
        <v>7.5763344247316271E-3</v>
      </c>
      <c r="D337" s="32">
        <f>((1+Table26[[#This Row],[Monthly change]])^12)-1</f>
        <v>9.4801795013006451E-2</v>
      </c>
    </row>
    <row r="338" spans="1:4" x14ac:dyDescent="0.2">
      <c r="A338" s="34">
        <v>31656</v>
      </c>
      <c r="B338" s="59">
        <f>VLOOKUP(Table26[[#This Row],[Date]],'DB Money Supply'!$A:$E,5)</f>
        <v>2667.8</v>
      </c>
      <c r="C338" s="31">
        <f>(Table26[[#This Row],[M2 Money Stock, Billions of Dollars, Monthly, Seasonally Adjusted]]-B337)/B337</f>
        <v>8.0483657661062462E-3</v>
      </c>
      <c r="D338" s="32">
        <f>((1+Table26[[#This Row],[Monthly change]])^12)-1</f>
        <v>0.10097241717558614</v>
      </c>
    </row>
    <row r="339" spans="1:4" x14ac:dyDescent="0.2">
      <c r="A339" s="57">
        <v>31686</v>
      </c>
      <c r="B339" s="59">
        <f>VLOOKUP(Table26[[#This Row],[Date]],'DB Money Supply'!$A:$E,5)</f>
        <v>2687.4</v>
      </c>
      <c r="C339" s="31">
        <f>(Table26[[#This Row],[M2 Money Stock, Billions of Dollars, Monthly, Seasonally Adjusted]]-B338)/B338</f>
        <v>7.3468775770297277E-3</v>
      </c>
      <c r="D339" s="32">
        <f>((1+Table26[[#This Row],[Monthly change]])^12)-1</f>
        <v>9.1813689562114664E-2</v>
      </c>
    </row>
    <row r="340" spans="1:4" x14ac:dyDescent="0.2">
      <c r="A340" s="34">
        <v>31717</v>
      </c>
      <c r="B340" s="59">
        <f>VLOOKUP(Table26[[#This Row],[Date]],'DB Money Supply'!$A:$E,5)</f>
        <v>2701.3</v>
      </c>
      <c r="C340" s="31">
        <f>(Table26[[#This Row],[M2 Money Stock, Billions of Dollars, Monthly, Seasonally Adjusted]]-B339)/B339</f>
        <v>5.1722854803900016E-3</v>
      </c>
      <c r="D340" s="32">
        <f>((1+Table26[[#This Row],[Monthly change]])^12)-1</f>
        <v>6.3863892219899077E-2</v>
      </c>
    </row>
    <row r="341" spans="1:4" x14ac:dyDescent="0.2">
      <c r="A341" s="57">
        <v>31747</v>
      </c>
      <c r="B341" s="59">
        <f>VLOOKUP(Table26[[#This Row],[Date]],'DB Money Supply'!$A:$E,5)</f>
        <v>2728</v>
      </c>
      <c r="C341" s="31">
        <f>(Table26[[#This Row],[M2 Money Stock, Billions of Dollars, Monthly, Seasonally Adjusted]]-B340)/B340</f>
        <v>9.8841298633990365E-3</v>
      </c>
      <c r="D341" s="32">
        <f>((1+Table26[[#This Row],[Monthly change]])^12)-1</f>
        <v>0.12527473684821655</v>
      </c>
    </row>
    <row r="342" spans="1:4" x14ac:dyDescent="0.2">
      <c r="A342" s="34">
        <v>31778</v>
      </c>
      <c r="B342" s="59">
        <f>VLOOKUP(Table26[[#This Row],[Date]],'DB Money Supply'!$A:$E,5)</f>
        <v>2743.9</v>
      </c>
      <c r="C342" s="31">
        <f>(Table26[[#This Row],[M2 Money Stock, Billions of Dollars, Monthly, Seasonally Adjusted]]-B341)/B341</f>
        <v>5.8284457478006198E-3</v>
      </c>
      <c r="D342" s="32">
        <f>((1+Table26[[#This Row],[Monthly change]])^12)-1</f>
        <v>7.2227556349476973E-2</v>
      </c>
    </row>
    <row r="343" spans="1:4" x14ac:dyDescent="0.2">
      <c r="A343" s="57">
        <v>31809</v>
      </c>
      <c r="B343" s="59">
        <f>VLOOKUP(Table26[[#This Row],[Date]],'DB Money Supply'!$A:$E,5)</f>
        <v>2747.5</v>
      </c>
      <c r="C343" s="31">
        <f>(Table26[[#This Row],[M2 Money Stock, Billions of Dollars, Monthly, Seasonally Adjusted]]-B342)/B342</f>
        <v>1.3120011662232256E-3</v>
      </c>
      <c r="D343" s="32">
        <f>((1+Table26[[#This Row],[Monthly change]])^12)-1</f>
        <v>1.5858121220494681E-2</v>
      </c>
    </row>
    <row r="344" spans="1:4" x14ac:dyDescent="0.2">
      <c r="A344" s="34">
        <v>31837</v>
      </c>
      <c r="B344" s="59">
        <f>VLOOKUP(Table26[[#This Row],[Date]],'DB Money Supply'!$A:$E,5)</f>
        <v>2753.7</v>
      </c>
      <c r="C344" s="31">
        <f>(Table26[[#This Row],[M2 Money Stock, Billions of Dollars, Monthly, Seasonally Adjusted]]-B343)/B343</f>
        <v>2.2565969062783688E-3</v>
      </c>
      <c r="D344" s="32">
        <f>((1+Table26[[#This Row],[Monthly change]])^12)-1</f>
        <v>2.7417790955086785E-2</v>
      </c>
    </row>
    <row r="345" spans="1:4" x14ac:dyDescent="0.2">
      <c r="A345" s="57">
        <v>31868</v>
      </c>
      <c r="B345" s="59">
        <f>VLOOKUP(Table26[[#This Row],[Date]],'DB Money Supply'!$A:$E,5)</f>
        <v>2767.7</v>
      </c>
      <c r="C345" s="31">
        <f>(Table26[[#This Row],[M2 Money Stock, Billions of Dollars, Monthly, Seasonally Adjusted]]-B344)/B344</f>
        <v>5.0840687075571055E-3</v>
      </c>
      <c r="D345" s="32">
        <f>((1+Table26[[#This Row],[Monthly change]])^12)-1</f>
        <v>6.2744020301999104E-2</v>
      </c>
    </row>
    <row r="346" spans="1:4" x14ac:dyDescent="0.2">
      <c r="A346" s="34">
        <v>31898</v>
      </c>
      <c r="B346" s="59">
        <f>VLOOKUP(Table26[[#This Row],[Date]],'DB Money Supply'!$A:$E,5)</f>
        <v>2772.9</v>
      </c>
      <c r="C346" s="31">
        <f>(Table26[[#This Row],[M2 Money Stock, Billions of Dollars, Monthly, Seasonally Adjusted]]-B345)/B345</f>
        <v>1.8788163457023064E-3</v>
      </c>
      <c r="D346" s="32">
        <f>((1+Table26[[#This Row],[Monthly change]])^12)-1</f>
        <v>2.2780238160266642E-2</v>
      </c>
    </row>
    <row r="347" spans="1:4" x14ac:dyDescent="0.2">
      <c r="A347" s="57">
        <v>31929</v>
      </c>
      <c r="B347" s="59">
        <f>VLOOKUP(Table26[[#This Row],[Date]],'DB Money Supply'!$A:$E,5)</f>
        <v>2774.6</v>
      </c>
      <c r="C347" s="31">
        <f>(Table26[[#This Row],[M2 Money Stock, Billions of Dollars, Monthly, Seasonally Adjusted]]-B346)/B346</f>
        <v>6.1307656244358546E-4</v>
      </c>
      <c r="D347" s="32">
        <f>((1+Table26[[#This Row],[Monthly change]])^12)-1</f>
        <v>7.3817764640351502E-3</v>
      </c>
    </row>
    <row r="348" spans="1:4" x14ac:dyDescent="0.2">
      <c r="A348" s="57">
        <v>31959</v>
      </c>
      <c r="B348" s="59">
        <f>VLOOKUP(Table26[[#This Row],[Date]],'DB Money Supply'!$A:$E,5)</f>
        <v>2779</v>
      </c>
      <c r="C348" s="31">
        <f>(Table26[[#This Row],[M2 Money Stock, Billions of Dollars, Monthly, Seasonally Adjusted]]-B347)/B347</f>
        <v>1.5858141714121283E-3</v>
      </c>
      <c r="D348" s="32">
        <f>((1+Table26[[#This Row],[Monthly change]])^12)-1</f>
        <v>1.9196627793605536E-2</v>
      </c>
    </row>
    <row r="349" spans="1:4" x14ac:dyDescent="0.2">
      <c r="A349" s="34">
        <v>31990</v>
      </c>
      <c r="B349" s="59">
        <f>VLOOKUP(Table26[[#This Row],[Date]],'DB Money Supply'!$A:$E,5)</f>
        <v>2788.2</v>
      </c>
      <c r="C349" s="31">
        <f>(Table26[[#This Row],[M2 Money Stock, Billions of Dollars, Monthly, Seasonally Adjusted]]-B348)/B348</f>
        <v>3.3105433609211293E-3</v>
      </c>
      <c r="D349" s="32">
        <f>((1+Table26[[#This Row],[Monthly change]])^12)-1</f>
        <v>4.0457902290577552E-2</v>
      </c>
    </row>
    <row r="350" spans="1:4" x14ac:dyDescent="0.2">
      <c r="A350" s="57">
        <v>32021</v>
      </c>
      <c r="B350" s="59">
        <f>VLOOKUP(Table26[[#This Row],[Date]],'DB Money Supply'!$A:$E,5)</f>
        <v>2799.5</v>
      </c>
      <c r="C350" s="31">
        <f>(Table26[[#This Row],[M2 Money Stock, Billions of Dollars, Monthly, Seasonally Adjusted]]-B349)/B349</f>
        <v>4.0527939172226466E-3</v>
      </c>
      <c r="D350" s="32">
        <f>((1+Table26[[#This Row],[Monthly change]])^12)-1</f>
        <v>4.9732365458083017E-2</v>
      </c>
    </row>
    <row r="351" spans="1:4" x14ac:dyDescent="0.2">
      <c r="A351" s="34">
        <v>32051</v>
      </c>
      <c r="B351" s="59">
        <f>VLOOKUP(Table26[[#This Row],[Date]],'DB Money Supply'!$A:$E,5)</f>
        <v>2814.8</v>
      </c>
      <c r="C351" s="31">
        <f>(Table26[[#This Row],[M2 Money Stock, Billions of Dollars, Monthly, Seasonally Adjusted]]-B350)/B350</f>
        <v>5.4652616538668269E-3</v>
      </c>
      <c r="D351" s="32">
        <f>((1+Table26[[#This Row],[Monthly change]])^12)-1</f>
        <v>6.7590858279754196E-2</v>
      </c>
    </row>
    <row r="352" spans="1:4" x14ac:dyDescent="0.2">
      <c r="A352" s="57">
        <v>32082</v>
      </c>
      <c r="B352" s="59">
        <f>VLOOKUP(Table26[[#This Row],[Date]],'DB Money Supply'!$A:$E,5)</f>
        <v>2818.9</v>
      </c>
      <c r="C352" s="31">
        <f>(Table26[[#This Row],[M2 Money Stock, Billions of Dollars, Monthly, Seasonally Adjusted]]-B351)/B351</f>
        <v>1.4565866136137234E-3</v>
      </c>
      <c r="D352" s="32">
        <f>((1+Table26[[#This Row],[Monthly change]])^12)-1</f>
        <v>1.7619750016898861E-2</v>
      </c>
    </row>
    <row r="353" spans="1:4" x14ac:dyDescent="0.2">
      <c r="A353" s="34">
        <v>32112</v>
      </c>
      <c r="B353" s="59">
        <f>VLOOKUP(Table26[[#This Row],[Date]],'DB Money Supply'!$A:$E,5)</f>
        <v>2826.4</v>
      </c>
      <c r="C353" s="31">
        <f>(Table26[[#This Row],[M2 Money Stock, Billions of Dollars, Monthly, Seasonally Adjusted]]-B352)/B352</f>
        <v>2.6606122955762884E-3</v>
      </c>
      <c r="D353" s="32">
        <f>((1+Table26[[#This Row],[Monthly change]])^12)-1</f>
        <v>3.2398720572500705E-2</v>
      </c>
    </row>
    <row r="354" spans="1:4" x14ac:dyDescent="0.2">
      <c r="A354" s="57">
        <v>32143</v>
      </c>
      <c r="B354" s="59">
        <f>VLOOKUP(Table26[[#This Row],[Date]],'DB Money Supply'!$A:$E,5)</f>
        <v>2847.4</v>
      </c>
      <c r="C354" s="31">
        <f>(Table26[[#This Row],[M2 Money Stock, Billions of Dollars, Monthly, Seasonally Adjusted]]-B353)/B353</f>
        <v>7.4299462213416358E-3</v>
      </c>
      <c r="D354" s="32">
        <f>((1+Table26[[#This Row],[Monthly change]])^12)-1</f>
        <v>9.289458788082916E-2</v>
      </c>
    </row>
    <row r="355" spans="1:4" x14ac:dyDescent="0.2">
      <c r="A355" s="34">
        <v>32174</v>
      </c>
      <c r="B355" s="59">
        <f>VLOOKUP(Table26[[#This Row],[Date]],'DB Money Supply'!$A:$E,5)</f>
        <v>2870.4</v>
      </c>
      <c r="C355" s="31">
        <f>(Table26[[#This Row],[M2 Money Stock, Billions of Dollars, Monthly, Seasonally Adjusted]]-B354)/B354</f>
        <v>8.0775444264943458E-3</v>
      </c>
      <c r="D355" s="32">
        <f>((1+Table26[[#This Row],[Monthly change]])^12)-1</f>
        <v>0.10135489900287031</v>
      </c>
    </row>
    <row r="356" spans="1:4" x14ac:dyDescent="0.2">
      <c r="A356" s="57">
        <v>32203</v>
      </c>
      <c r="B356" s="59">
        <f>VLOOKUP(Table26[[#This Row],[Date]],'DB Money Supply'!$A:$E,5)</f>
        <v>2890.7</v>
      </c>
      <c r="C356" s="31">
        <f>(Table26[[#This Row],[M2 Money Stock, Billions of Dollars, Monthly, Seasonally Adjusted]]-B355)/B355</f>
        <v>7.0721850613154006E-3</v>
      </c>
      <c r="D356" s="32">
        <f>((1+Table26[[#This Row],[Monthly change]])^12)-1</f>
        <v>8.8246334668902637E-2</v>
      </c>
    </row>
    <row r="357" spans="1:4" x14ac:dyDescent="0.2">
      <c r="A357" s="34">
        <v>32234</v>
      </c>
      <c r="B357" s="59">
        <f>VLOOKUP(Table26[[#This Row],[Date]],'DB Money Supply'!$A:$E,5)</f>
        <v>2910.7</v>
      </c>
      <c r="C357" s="31">
        <f>(Table26[[#This Row],[M2 Money Stock, Billions of Dollars, Monthly, Seasonally Adjusted]]-B356)/B356</f>
        <v>6.9187394056802855E-3</v>
      </c>
      <c r="D357" s="32">
        <f>((1+Table26[[#This Row],[Monthly change]])^12)-1</f>
        <v>8.6258233236719883E-2</v>
      </c>
    </row>
    <row r="358" spans="1:4" x14ac:dyDescent="0.2">
      <c r="A358" s="57">
        <v>32264</v>
      </c>
      <c r="B358" s="59">
        <f>VLOOKUP(Table26[[#This Row],[Date]],'DB Money Supply'!$A:$E,5)</f>
        <v>2926</v>
      </c>
      <c r="C358" s="31">
        <f>(Table26[[#This Row],[M2 Money Stock, Billions of Dollars, Monthly, Seasonally Adjusted]]-B357)/B357</f>
        <v>5.2564675164050514E-3</v>
      </c>
      <c r="D358" s="32">
        <f>((1+Table26[[#This Row],[Monthly change]])^12)-1</f>
        <v>6.4933553532708244E-2</v>
      </c>
    </row>
    <row r="359" spans="1:4" x14ac:dyDescent="0.2">
      <c r="A359" s="34">
        <v>32295</v>
      </c>
      <c r="B359" s="59">
        <f>VLOOKUP(Table26[[#This Row],[Date]],'DB Money Supply'!$A:$E,5)</f>
        <v>2938.4</v>
      </c>
      <c r="C359" s="31">
        <f>(Table26[[#This Row],[M2 Money Stock, Billions of Dollars, Monthly, Seasonally Adjusted]]-B358)/B358</f>
        <v>4.2378673957621637E-3</v>
      </c>
      <c r="D359" s="32">
        <f>((1+Table26[[#This Row],[Monthly change]])^12)-1</f>
        <v>5.2056642034984613E-2</v>
      </c>
    </row>
    <row r="360" spans="1:4" x14ac:dyDescent="0.2">
      <c r="A360" s="57">
        <v>32325</v>
      </c>
      <c r="B360" s="59">
        <f>VLOOKUP(Table26[[#This Row],[Date]],'DB Money Supply'!$A:$E,5)</f>
        <v>2947.2</v>
      </c>
      <c r="C360" s="31">
        <f>(Table26[[#This Row],[M2 Money Stock, Billions of Dollars, Monthly, Seasonally Adjusted]]-B359)/B359</f>
        <v>2.9948271167981647E-3</v>
      </c>
      <c r="D360" s="32">
        <f>((1+Table26[[#This Row],[Monthly change]])^12)-1</f>
        <v>3.6535828042573604E-2</v>
      </c>
    </row>
    <row r="361" spans="1:4" x14ac:dyDescent="0.2">
      <c r="A361" s="34">
        <v>32356</v>
      </c>
      <c r="B361" s="59">
        <f>VLOOKUP(Table26[[#This Row],[Date]],'DB Money Supply'!$A:$E,5)</f>
        <v>2952</v>
      </c>
      <c r="C361" s="31">
        <f>(Table26[[#This Row],[M2 Money Stock, Billions of Dollars, Monthly, Seasonally Adjusted]]-B360)/B360</f>
        <v>1.6286644951140684E-3</v>
      </c>
      <c r="D361" s="32">
        <f>((1+Table26[[#This Row],[Monthly change]])^12)-1</f>
        <v>1.9719996028149778E-2</v>
      </c>
    </row>
    <row r="362" spans="1:4" x14ac:dyDescent="0.2">
      <c r="A362" s="57">
        <v>32387</v>
      </c>
      <c r="B362" s="59">
        <f>VLOOKUP(Table26[[#This Row],[Date]],'DB Money Supply'!$A:$E,5)</f>
        <v>2956.9</v>
      </c>
      <c r="C362" s="31">
        <f>(Table26[[#This Row],[M2 Money Stock, Billions of Dollars, Monthly, Seasonally Adjusted]]-B361)/B361</f>
        <v>1.65989159891602E-3</v>
      </c>
      <c r="D362" s="32">
        <f>((1+Table26[[#This Row],[Monthly change]])^12)-1</f>
        <v>2.0101554950623379E-2</v>
      </c>
    </row>
    <row r="363" spans="1:4" x14ac:dyDescent="0.2">
      <c r="A363" s="34">
        <v>32417</v>
      </c>
      <c r="B363" s="59">
        <f>VLOOKUP(Table26[[#This Row],[Date]],'DB Money Supply'!$A:$E,5)</f>
        <v>2965.3</v>
      </c>
      <c r="C363" s="31">
        <f>(Table26[[#This Row],[M2 Money Stock, Billions of Dollars, Monthly, Seasonally Adjusted]]-B362)/B362</f>
        <v>2.8408130136291692E-3</v>
      </c>
      <c r="D363" s="32">
        <f>((1+Table26[[#This Row],[Monthly change]])^12)-1</f>
        <v>3.4627466691350861E-2</v>
      </c>
    </row>
    <row r="364" spans="1:4" x14ac:dyDescent="0.2">
      <c r="A364" s="57">
        <v>32448</v>
      </c>
      <c r="B364" s="59">
        <f>VLOOKUP(Table26[[#This Row],[Date]],'DB Money Supply'!$A:$E,5)</f>
        <v>2980.2</v>
      </c>
      <c r="C364" s="31">
        <f>(Table26[[#This Row],[M2 Money Stock, Billions of Dollars, Monthly, Seasonally Adjusted]]-B363)/B363</f>
        <v>5.0247866994906536E-3</v>
      </c>
      <c r="D364" s="32">
        <f>((1+Table26[[#This Row],[Monthly change]])^12)-1</f>
        <v>6.1992069283381523E-2</v>
      </c>
    </row>
    <row r="365" spans="1:4" x14ac:dyDescent="0.2">
      <c r="A365" s="34">
        <v>32478</v>
      </c>
      <c r="B365" s="59">
        <f>VLOOKUP(Table26[[#This Row],[Date]],'DB Money Supply'!$A:$E,5)</f>
        <v>2988.2</v>
      </c>
      <c r="C365" s="31">
        <f>(Table26[[#This Row],[M2 Money Stock, Billions of Dollars, Monthly, Seasonally Adjusted]]-B364)/B364</f>
        <v>2.684383598416214E-3</v>
      </c>
      <c r="D365" s="32">
        <f>((1+Table26[[#This Row],[Monthly change]])^12)-1</f>
        <v>3.269247496173211E-2</v>
      </c>
    </row>
    <row r="366" spans="1:4" x14ac:dyDescent="0.2">
      <c r="A366" s="57">
        <v>32509</v>
      </c>
      <c r="B366" s="59">
        <f>VLOOKUP(Table26[[#This Row],[Date]],'DB Money Supply'!$A:$E,5)</f>
        <v>2991.7</v>
      </c>
      <c r="C366" s="31">
        <f>(Table26[[#This Row],[M2 Money Stock, Billions of Dollars, Monthly, Seasonally Adjusted]]-B365)/B365</f>
        <v>1.1712736764607457E-3</v>
      </c>
      <c r="D366" s="32">
        <f>((1+Table26[[#This Row],[Monthly change]])^12)-1</f>
        <v>1.4146182771403115E-2</v>
      </c>
    </row>
    <row r="367" spans="1:4" x14ac:dyDescent="0.2">
      <c r="A367" s="57">
        <v>32540</v>
      </c>
      <c r="B367" s="59">
        <f>VLOOKUP(Table26[[#This Row],[Date]],'DB Money Supply'!$A:$E,5)</f>
        <v>2992.2</v>
      </c>
      <c r="C367" s="31">
        <f>(Table26[[#This Row],[M2 Money Stock, Billions of Dollars, Monthly, Seasonally Adjusted]]-B366)/B366</f>
        <v>1.6712905705786008E-4</v>
      </c>
      <c r="D367" s="32">
        <f>((1+Table26[[#This Row],[Monthly change]])^12)-1</f>
        <v>2.0073932321340582E-3</v>
      </c>
    </row>
    <row r="368" spans="1:4" x14ac:dyDescent="0.2">
      <c r="A368" s="34">
        <v>32568</v>
      </c>
      <c r="B368" s="59">
        <f>VLOOKUP(Table26[[#This Row],[Date]],'DB Money Supply'!$A:$E,5)</f>
        <v>2999.7</v>
      </c>
      <c r="C368" s="31">
        <f>(Table26[[#This Row],[M2 Money Stock, Billions of Dollars, Monthly, Seasonally Adjusted]]-B367)/B367</f>
        <v>2.5065169440545419E-3</v>
      </c>
      <c r="D368" s="32">
        <f>((1+Table26[[#This Row],[Monthly change]])^12)-1</f>
        <v>3.0496340792713683E-2</v>
      </c>
    </row>
    <row r="369" spans="1:4" x14ac:dyDescent="0.2">
      <c r="A369" s="57">
        <v>32599</v>
      </c>
      <c r="B369" s="59">
        <f>VLOOKUP(Table26[[#This Row],[Date]],'DB Money Supply'!$A:$E,5)</f>
        <v>3006</v>
      </c>
      <c r="C369" s="31">
        <f>(Table26[[#This Row],[M2 Money Stock, Billions of Dollars, Monthly, Seasonally Adjusted]]-B368)/B368</f>
        <v>2.1002100210021609E-3</v>
      </c>
      <c r="D369" s="32">
        <f>((1+Table26[[#This Row],[Monthly change]])^12)-1</f>
        <v>2.5495686167208875E-2</v>
      </c>
    </row>
    <row r="370" spans="1:4" x14ac:dyDescent="0.2">
      <c r="A370" s="34">
        <v>32629</v>
      </c>
      <c r="B370" s="59">
        <f>VLOOKUP(Table26[[#This Row],[Date]],'DB Money Supply'!$A:$E,5)</f>
        <v>3011.6</v>
      </c>
      <c r="C370" s="31">
        <f>(Table26[[#This Row],[M2 Money Stock, Billions of Dollars, Monthly, Seasonally Adjusted]]-B369)/B369</f>
        <v>1.8629407850964434E-3</v>
      </c>
      <c r="D370" s="32">
        <f>((1+Table26[[#This Row],[Monthly change]])^12)-1</f>
        <v>2.258577398717887E-2</v>
      </c>
    </row>
    <row r="371" spans="1:4" x14ac:dyDescent="0.2">
      <c r="A371" s="57">
        <v>32660</v>
      </c>
      <c r="B371" s="59">
        <f>VLOOKUP(Table26[[#This Row],[Date]],'DB Money Supply'!$A:$E,5)</f>
        <v>3027.9</v>
      </c>
      <c r="C371" s="31">
        <f>(Table26[[#This Row],[M2 Money Stock, Billions of Dollars, Monthly, Seasonally Adjusted]]-B370)/B370</f>
        <v>5.4124053659185094E-3</v>
      </c>
      <c r="D371" s="32">
        <f>((1+Table26[[#This Row],[Monthly change]])^12)-1</f>
        <v>6.6917586954636121E-2</v>
      </c>
    </row>
    <row r="372" spans="1:4" x14ac:dyDescent="0.2">
      <c r="A372" s="34">
        <v>32690</v>
      </c>
      <c r="B372" s="59">
        <f>VLOOKUP(Table26[[#This Row],[Date]],'DB Money Supply'!$A:$E,5)</f>
        <v>3052.4</v>
      </c>
      <c r="C372" s="31">
        <f>(Table26[[#This Row],[M2 Money Stock, Billions of Dollars, Monthly, Seasonally Adjusted]]-B371)/B371</f>
        <v>8.0914164932791698E-3</v>
      </c>
      <c r="D372" s="32">
        <f>((1+Table26[[#This Row],[Monthly change]])^12)-1</f>
        <v>0.10153678054765236</v>
      </c>
    </row>
    <row r="373" spans="1:4" x14ac:dyDescent="0.2">
      <c r="A373" s="57">
        <v>32721</v>
      </c>
      <c r="B373" s="59">
        <f>VLOOKUP(Table26[[#This Row],[Date]],'DB Money Supply'!$A:$E,5)</f>
        <v>3074.4</v>
      </c>
      <c r="C373" s="31">
        <f>(Table26[[#This Row],[M2 Money Stock, Billions of Dollars, Monthly, Seasonally Adjusted]]-B372)/B372</f>
        <v>7.2074433232865937E-3</v>
      </c>
      <c r="D373" s="32">
        <f>((1+Table26[[#This Row],[Monthly change]])^12)-1</f>
        <v>9.0001558462206699E-2</v>
      </c>
    </row>
    <row r="374" spans="1:4" x14ac:dyDescent="0.2">
      <c r="A374" s="34">
        <v>32752</v>
      </c>
      <c r="B374" s="59">
        <f>VLOOKUP(Table26[[#This Row],[Date]],'DB Money Supply'!$A:$E,5)</f>
        <v>3092.5</v>
      </c>
      <c r="C374" s="31">
        <f>(Table26[[#This Row],[M2 Money Stock, Billions of Dollars, Monthly, Seasonally Adjusted]]-B373)/B373</f>
        <v>5.8873276086390544E-3</v>
      </c>
      <c r="D374" s="32">
        <f>((1+Table26[[#This Row],[Monthly change]])^12)-1</f>
        <v>7.2981025818987577E-2</v>
      </c>
    </row>
    <row r="375" spans="1:4" x14ac:dyDescent="0.2">
      <c r="A375" s="57">
        <v>32782</v>
      </c>
      <c r="B375" s="59">
        <f>VLOOKUP(Table26[[#This Row],[Date]],'DB Money Supply'!$A:$E,5)</f>
        <v>3114.1</v>
      </c>
      <c r="C375" s="31">
        <f>(Table26[[#This Row],[M2 Money Stock, Billions of Dollars, Monthly, Seasonally Adjusted]]-B374)/B374</f>
        <v>6.9846402586903507E-3</v>
      </c>
      <c r="D375" s="32">
        <f>((1+Table26[[#This Row],[Monthly change]])^12)-1</f>
        <v>8.7111662000811441E-2</v>
      </c>
    </row>
    <row r="376" spans="1:4" x14ac:dyDescent="0.2">
      <c r="A376" s="34">
        <v>32813</v>
      </c>
      <c r="B376" s="59">
        <f>VLOOKUP(Table26[[#This Row],[Date]],'DB Money Supply'!$A:$E,5)</f>
        <v>3133.3</v>
      </c>
      <c r="C376" s="31">
        <f>(Table26[[#This Row],[M2 Money Stock, Billions of Dollars, Monthly, Seasonally Adjusted]]-B375)/B375</f>
        <v>6.1655052824251865E-3</v>
      </c>
      <c r="D376" s="32">
        <f>((1+Table26[[#This Row],[Monthly change]])^12)-1</f>
        <v>7.6547235713352979E-2</v>
      </c>
    </row>
    <row r="377" spans="1:4" x14ac:dyDescent="0.2">
      <c r="A377" s="57">
        <v>32843</v>
      </c>
      <c r="B377" s="59">
        <f>VLOOKUP(Table26[[#This Row],[Date]],'DB Money Supply'!$A:$E,5)</f>
        <v>3152.5</v>
      </c>
      <c r="C377" s="31">
        <f>(Table26[[#This Row],[M2 Money Stock, Billions of Dollars, Monthly, Seasonally Adjusted]]-B376)/B376</f>
        <v>6.1277247630293352E-3</v>
      </c>
      <c r="D377" s="32">
        <f>((1+Table26[[#This Row],[Monthly change]])^12)-1</f>
        <v>7.606225647419973E-2</v>
      </c>
    </row>
    <row r="378" spans="1:4" x14ac:dyDescent="0.2">
      <c r="A378" s="34">
        <v>32874</v>
      </c>
      <c r="B378" s="59">
        <f>VLOOKUP(Table26[[#This Row],[Date]],'DB Money Supply'!$A:$E,5)</f>
        <v>3166.8</v>
      </c>
      <c r="C378" s="31">
        <f>(Table26[[#This Row],[M2 Money Stock, Billions of Dollars, Monthly, Seasonally Adjusted]]-B377)/B377</f>
        <v>4.5360824742268621E-3</v>
      </c>
      <c r="D378" s="32">
        <f>((1+Table26[[#This Row],[Monthly change]])^12)-1</f>
        <v>5.5811753327171587E-2</v>
      </c>
    </row>
    <row r="379" spans="1:4" x14ac:dyDescent="0.2">
      <c r="A379" s="57">
        <v>32905</v>
      </c>
      <c r="B379" s="59">
        <f>VLOOKUP(Table26[[#This Row],[Date]],'DB Money Supply'!$A:$E,5)</f>
        <v>3179.2</v>
      </c>
      <c r="C379" s="31">
        <f>(Table26[[#This Row],[M2 Money Stock, Billions of Dollars, Monthly, Seasonally Adjusted]]-B378)/B378</f>
        <v>3.9156246052796627E-3</v>
      </c>
      <c r="D379" s="32">
        <f>((1+Table26[[#This Row],[Monthly change]])^12)-1</f>
        <v>4.8012739674876626E-2</v>
      </c>
    </row>
    <row r="380" spans="1:4" x14ac:dyDescent="0.2">
      <c r="A380" s="34">
        <v>32933</v>
      </c>
      <c r="B380" s="59">
        <f>VLOOKUP(Table26[[#This Row],[Date]],'DB Money Supply'!$A:$E,5)</f>
        <v>3190.1</v>
      </c>
      <c r="C380" s="31">
        <f>(Table26[[#This Row],[M2 Money Stock, Billions of Dollars, Monthly, Seasonally Adjusted]]-B379)/B379</f>
        <v>3.4285354806240852E-3</v>
      </c>
      <c r="D380" s="32">
        <f>((1+Table26[[#This Row],[Monthly change]])^12)-1</f>
        <v>4.1927181434040062E-2</v>
      </c>
    </row>
    <row r="381" spans="1:4" x14ac:dyDescent="0.2">
      <c r="A381" s="57">
        <v>32964</v>
      </c>
      <c r="B381" s="59">
        <f>VLOOKUP(Table26[[#This Row],[Date]],'DB Money Supply'!$A:$E,5)</f>
        <v>3201.6</v>
      </c>
      <c r="C381" s="31">
        <f>(Table26[[#This Row],[M2 Money Stock, Billions of Dollars, Monthly, Seasonally Adjusted]]-B380)/B380</f>
        <v>3.6049026676279743E-3</v>
      </c>
      <c r="D381" s="32">
        <f>((1+Table26[[#This Row],[Monthly change]])^12)-1</f>
        <v>4.4126913737188245E-2</v>
      </c>
    </row>
    <row r="382" spans="1:4" x14ac:dyDescent="0.2">
      <c r="A382" s="34">
        <v>32994</v>
      </c>
      <c r="B382" s="59">
        <f>VLOOKUP(Table26[[#This Row],[Date]],'DB Money Supply'!$A:$E,5)</f>
        <v>3200.6</v>
      </c>
      <c r="C382" s="31">
        <f>(Table26[[#This Row],[M2 Money Stock, Billions of Dollars, Monthly, Seasonally Adjusted]]-B381)/B381</f>
        <v>-3.1234382808595704E-4</v>
      </c>
      <c r="D382" s="32">
        <f>((1+Table26[[#This Row],[Monthly change]])^12)-1</f>
        <v>-3.7416937641112646E-3</v>
      </c>
    </row>
    <row r="383" spans="1:4" x14ac:dyDescent="0.2">
      <c r="A383" s="57">
        <v>33025</v>
      </c>
      <c r="B383" s="59">
        <f>VLOOKUP(Table26[[#This Row],[Date]],'DB Money Supply'!$A:$E,5)</f>
        <v>3213.7</v>
      </c>
      <c r="C383" s="31">
        <f>(Table26[[#This Row],[M2 Money Stock, Billions of Dollars, Monthly, Seasonally Adjusted]]-B382)/B382</f>
        <v>4.0929825657688903E-3</v>
      </c>
      <c r="D383" s="32">
        <f>((1+Table26[[#This Row],[Monthly change]])^12)-1</f>
        <v>5.0236680935620726E-2</v>
      </c>
    </row>
    <row r="384" spans="1:4" x14ac:dyDescent="0.2">
      <c r="A384" s="34">
        <v>33055</v>
      </c>
      <c r="B384" s="59">
        <f>VLOOKUP(Table26[[#This Row],[Date]],'DB Money Supply'!$A:$E,5)</f>
        <v>3224.5</v>
      </c>
      <c r="C384" s="31">
        <f>(Table26[[#This Row],[M2 Money Stock, Billions of Dollars, Monthly, Seasonally Adjusted]]-B383)/B383</f>
        <v>3.3606123782556501E-3</v>
      </c>
      <c r="D384" s="32">
        <f>((1+Table26[[#This Row],[Monthly change]])^12)-1</f>
        <v>4.1081147078971147E-2</v>
      </c>
    </row>
    <row r="385" spans="1:4" x14ac:dyDescent="0.2">
      <c r="A385" s="57">
        <v>33086</v>
      </c>
      <c r="B385" s="59">
        <f>VLOOKUP(Table26[[#This Row],[Date]],'DB Money Supply'!$A:$E,5)</f>
        <v>3242</v>
      </c>
      <c r="C385" s="31">
        <f>(Table26[[#This Row],[M2 Money Stock, Billions of Dollars, Monthly, Seasonally Adjusted]]-B384)/B384</f>
        <v>5.4271980151961545E-3</v>
      </c>
      <c r="D385" s="32">
        <f>((1+Table26[[#This Row],[Monthly change]])^12)-1</f>
        <v>6.7105973110982875E-2</v>
      </c>
    </row>
    <row r="386" spans="1:4" x14ac:dyDescent="0.2">
      <c r="A386" s="57">
        <v>33117</v>
      </c>
      <c r="B386" s="59">
        <f>VLOOKUP(Table26[[#This Row],[Date]],'DB Money Supply'!$A:$E,5)</f>
        <v>3254.6</v>
      </c>
      <c r="C386" s="31">
        <f>(Table26[[#This Row],[M2 Money Stock, Billions of Dollars, Monthly, Seasonally Adjusted]]-B385)/B385</f>
        <v>3.8864898210980597E-3</v>
      </c>
      <c r="D386" s="32">
        <f>((1+Table26[[#This Row],[Monthly change]])^12)-1</f>
        <v>4.7647823527960487E-2</v>
      </c>
    </row>
    <row r="387" spans="1:4" x14ac:dyDescent="0.2">
      <c r="A387" s="34">
        <v>33147</v>
      </c>
      <c r="B387" s="59">
        <f>VLOOKUP(Table26[[#This Row],[Date]],'DB Money Supply'!$A:$E,5)</f>
        <v>3259.3</v>
      </c>
      <c r="C387" s="31">
        <f>(Table26[[#This Row],[M2 Money Stock, Billions of Dollars, Monthly, Seasonally Adjusted]]-B386)/B386</f>
        <v>1.4441098752535713E-3</v>
      </c>
      <c r="D387" s="32">
        <f>((1+Table26[[#This Row],[Monthly change]])^12)-1</f>
        <v>1.7467623137961796E-2</v>
      </c>
    </row>
    <row r="388" spans="1:4" x14ac:dyDescent="0.2">
      <c r="A388" s="57">
        <v>33178</v>
      </c>
      <c r="B388" s="59">
        <f>VLOOKUP(Table26[[#This Row],[Date]],'DB Money Supply'!$A:$E,5)</f>
        <v>3262.6</v>
      </c>
      <c r="C388" s="31">
        <f>(Table26[[#This Row],[M2 Money Stock, Billions of Dollars, Monthly, Seasonally Adjusted]]-B387)/B387</f>
        <v>1.0124873439081173E-3</v>
      </c>
      <c r="D388" s="32">
        <f>((1+Table26[[#This Row],[Monthly change]])^12)-1</f>
        <v>1.2217735613948566E-2</v>
      </c>
    </row>
    <row r="389" spans="1:4" x14ac:dyDescent="0.2">
      <c r="A389" s="34">
        <v>33208</v>
      </c>
      <c r="B389" s="59">
        <f>VLOOKUP(Table26[[#This Row],[Date]],'DB Money Supply'!$A:$E,5)</f>
        <v>3271.8</v>
      </c>
      <c r="C389" s="31">
        <f>(Table26[[#This Row],[M2 Money Stock, Billions of Dollars, Monthly, Seasonally Adjusted]]-B388)/B388</f>
        <v>2.8198369398639961E-3</v>
      </c>
      <c r="D389" s="32">
        <f>((1+Table26[[#This Row],[Monthly change]])^12)-1</f>
        <v>3.4367805234351678E-2</v>
      </c>
    </row>
    <row r="390" spans="1:4" x14ac:dyDescent="0.2">
      <c r="A390" s="57">
        <v>33239</v>
      </c>
      <c r="B390" s="59">
        <f>VLOOKUP(Table26[[#This Row],[Date]],'DB Money Supply'!$A:$E,5)</f>
        <v>3287.7</v>
      </c>
      <c r="C390" s="31">
        <f>(Table26[[#This Row],[M2 Money Stock, Billions of Dollars, Monthly, Seasonally Adjusted]]-B389)/B389</f>
        <v>4.8597102512377395E-3</v>
      </c>
      <c r="D390" s="32">
        <f>((1+Table26[[#This Row],[Monthly change]])^12)-1</f>
        <v>5.9900758546907351E-2</v>
      </c>
    </row>
    <row r="391" spans="1:4" x14ac:dyDescent="0.2">
      <c r="A391" s="34">
        <v>33270</v>
      </c>
      <c r="B391" s="59">
        <f>VLOOKUP(Table26[[#This Row],[Date]],'DB Money Supply'!$A:$E,5)</f>
        <v>3304.5</v>
      </c>
      <c r="C391" s="31">
        <f>(Table26[[#This Row],[M2 Money Stock, Billions of Dollars, Monthly, Seasonally Adjusted]]-B390)/B390</f>
        <v>5.1099552878912866E-3</v>
      </c>
      <c r="D391" s="32">
        <f>((1+Table26[[#This Row],[Monthly change]])^12)-1</f>
        <v>6.3072526623633607E-2</v>
      </c>
    </row>
    <row r="392" spans="1:4" x14ac:dyDescent="0.2">
      <c r="A392" s="57">
        <v>33298</v>
      </c>
      <c r="B392" s="59">
        <f>VLOOKUP(Table26[[#This Row],[Date]],'DB Money Supply'!$A:$E,5)</f>
        <v>3321.9</v>
      </c>
      <c r="C392" s="31">
        <f>(Table26[[#This Row],[M2 Money Stock, Billions of Dollars, Monthly, Seasonally Adjusted]]-B391)/B391</f>
        <v>5.2655469813890424E-3</v>
      </c>
      <c r="D392" s="32">
        <f>((1+Table26[[#This Row],[Monthly change]])^12)-1</f>
        <v>6.5048980879514939E-2</v>
      </c>
    </row>
    <row r="393" spans="1:4" x14ac:dyDescent="0.2">
      <c r="A393" s="34">
        <v>33329</v>
      </c>
      <c r="B393" s="59">
        <f>VLOOKUP(Table26[[#This Row],[Date]],'DB Money Supply'!$A:$E,5)</f>
        <v>3332.4</v>
      </c>
      <c r="C393" s="31">
        <f>(Table26[[#This Row],[M2 Money Stock, Billions of Dollars, Monthly, Seasonally Adjusted]]-B392)/B392</f>
        <v>3.1608416869863629E-3</v>
      </c>
      <c r="D393" s="32">
        <f>((1+Table26[[#This Row],[Monthly change]])^12)-1</f>
        <v>3.8596498173760985E-2</v>
      </c>
    </row>
    <row r="394" spans="1:4" x14ac:dyDescent="0.2">
      <c r="A394" s="57">
        <v>33359</v>
      </c>
      <c r="B394" s="59">
        <f>VLOOKUP(Table26[[#This Row],[Date]],'DB Money Supply'!$A:$E,5)</f>
        <v>3343</v>
      </c>
      <c r="C394" s="31">
        <f>(Table26[[#This Row],[M2 Money Stock, Billions of Dollars, Monthly, Seasonally Adjusted]]-B393)/B393</f>
        <v>3.1808906493817997E-3</v>
      </c>
      <c r="D394" s="32">
        <f>((1+Table26[[#This Row],[Monthly change]])^12)-1</f>
        <v>3.8845611619600318E-2</v>
      </c>
    </row>
    <row r="395" spans="1:4" x14ac:dyDescent="0.2">
      <c r="A395" s="34">
        <v>33390</v>
      </c>
      <c r="B395" s="59">
        <f>VLOOKUP(Table26[[#This Row],[Date]],'DB Money Supply'!$A:$E,5)</f>
        <v>3351.9</v>
      </c>
      <c r="C395" s="31">
        <f>(Table26[[#This Row],[M2 Money Stock, Billions of Dollars, Monthly, Seasonally Adjusted]]-B394)/B394</f>
        <v>2.6622793897696953E-3</v>
      </c>
      <c r="D395" s="32">
        <f>((1+Table26[[#This Row],[Monthly change]])^12)-1</f>
        <v>3.2419319227283694E-2</v>
      </c>
    </row>
    <row r="396" spans="1:4" x14ac:dyDescent="0.2">
      <c r="A396" s="57">
        <v>33420</v>
      </c>
      <c r="B396" s="59">
        <f>VLOOKUP(Table26[[#This Row],[Date]],'DB Money Supply'!$A:$E,5)</f>
        <v>3356.1</v>
      </c>
      <c r="C396" s="31">
        <f>(Table26[[#This Row],[M2 Money Stock, Billions of Dollars, Monthly, Seasonally Adjusted]]-B395)/B395</f>
        <v>1.2530206748410807E-3</v>
      </c>
      <c r="D396" s="32">
        <f>((1+Table26[[#This Row],[Monthly change]])^12)-1</f>
        <v>1.5140306144432403E-2</v>
      </c>
    </row>
    <row r="397" spans="1:4" x14ac:dyDescent="0.2">
      <c r="A397" s="34">
        <v>33451</v>
      </c>
      <c r="B397" s="59">
        <f>VLOOKUP(Table26[[#This Row],[Date]],'DB Money Supply'!$A:$E,5)</f>
        <v>3355</v>
      </c>
      <c r="C397" s="31">
        <f>(Table26[[#This Row],[M2 Money Stock, Billions of Dollars, Monthly, Seasonally Adjusted]]-B396)/B396</f>
        <v>-3.2776138970826526E-4</v>
      </c>
      <c r="D397" s="32">
        <f>((1+Table26[[#This Row],[Monthly change]])^12)-1</f>
        <v>-3.9260542002342858E-3</v>
      </c>
    </row>
    <row r="398" spans="1:4" x14ac:dyDescent="0.2">
      <c r="A398" s="57">
        <v>33482</v>
      </c>
      <c r="B398" s="59">
        <f>VLOOKUP(Table26[[#This Row],[Date]],'DB Money Supply'!$A:$E,5)</f>
        <v>3354.9</v>
      </c>
      <c r="C398" s="31">
        <f>(Table26[[#This Row],[M2 Money Stock, Billions of Dollars, Monthly, Seasonally Adjusted]]-B397)/B397</f>
        <v>-2.9806259314428927E-5</v>
      </c>
      <c r="D398" s="32">
        <f>((1+Table26[[#This Row],[Monthly change]])^12)-1</f>
        <v>-3.5761648233467724E-4</v>
      </c>
    </row>
    <row r="399" spans="1:4" x14ac:dyDescent="0.2">
      <c r="A399" s="34">
        <v>33512</v>
      </c>
      <c r="B399" s="59">
        <f>VLOOKUP(Table26[[#This Row],[Date]],'DB Money Supply'!$A:$E,5)</f>
        <v>3360.1</v>
      </c>
      <c r="C399" s="31">
        <f>(Table26[[#This Row],[M2 Money Stock, Billions of Dollars, Monthly, Seasonally Adjusted]]-B398)/B398</f>
        <v>1.5499716832095794E-3</v>
      </c>
      <c r="D399" s="32">
        <f>((1+Table26[[#This Row],[Monthly change]])^12)-1</f>
        <v>1.8759041476583249E-2</v>
      </c>
    </row>
    <row r="400" spans="1:4" x14ac:dyDescent="0.2">
      <c r="A400" s="57">
        <v>33543</v>
      </c>
      <c r="B400" s="59">
        <f>VLOOKUP(Table26[[#This Row],[Date]],'DB Money Supply'!$A:$E,5)</f>
        <v>3365.5</v>
      </c>
      <c r="C400" s="31">
        <f>(Table26[[#This Row],[M2 Money Stock, Billions of Dollars, Monthly, Seasonally Adjusted]]-B399)/B399</f>
        <v>1.6070950269337493E-3</v>
      </c>
      <c r="D400" s="32">
        <f>((1+Table26[[#This Row],[Monthly change]])^12)-1</f>
        <v>1.9456518586753013E-2</v>
      </c>
    </row>
    <row r="401" spans="1:4" x14ac:dyDescent="0.2">
      <c r="A401" s="34">
        <v>33573</v>
      </c>
      <c r="B401" s="59">
        <f>VLOOKUP(Table26[[#This Row],[Date]],'DB Money Supply'!$A:$E,5)</f>
        <v>3372.2</v>
      </c>
      <c r="C401" s="31">
        <f>(Table26[[#This Row],[M2 Money Stock, Billions of Dollars, Monthly, Seasonally Adjusted]]-B400)/B400</f>
        <v>1.9907888872380979E-3</v>
      </c>
      <c r="D401" s="32">
        <f>((1+Table26[[#This Row],[Monthly change]])^12)-1</f>
        <v>2.4152784107241754E-2</v>
      </c>
    </row>
    <row r="402" spans="1:4" x14ac:dyDescent="0.2">
      <c r="A402" s="57">
        <v>33604</v>
      </c>
      <c r="B402" s="59">
        <f>VLOOKUP(Table26[[#This Row],[Date]],'DB Money Supply'!$A:$E,5)</f>
        <v>3381.2</v>
      </c>
      <c r="C402" s="31">
        <f>(Table26[[#This Row],[M2 Money Stock, Billions of Dollars, Monthly, Seasonally Adjusted]]-B401)/B401</f>
        <v>2.6688808492971948E-3</v>
      </c>
      <c r="D402" s="32">
        <f>((1+Table26[[#This Row],[Monthly change]])^12)-1</f>
        <v>3.25008907150659E-2</v>
      </c>
    </row>
    <row r="403" spans="1:4" x14ac:dyDescent="0.2">
      <c r="A403" s="34">
        <v>33635</v>
      </c>
      <c r="B403" s="59">
        <f>VLOOKUP(Table26[[#This Row],[Date]],'DB Money Supply'!$A:$E,5)</f>
        <v>3400</v>
      </c>
      <c r="C403" s="31">
        <f>(Table26[[#This Row],[M2 Money Stock, Billions of Dollars, Monthly, Seasonally Adjusted]]-B402)/B402</f>
        <v>5.5601561575772456E-3</v>
      </c>
      <c r="D403" s="32">
        <f>((1+Table26[[#This Row],[Monthly change]])^12)-1</f>
        <v>6.880058013787016E-2</v>
      </c>
    </row>
    <row r="404" spans="1:4" x14ac:dyDescent="0.2">
      <c r="A404" s="57">
        <v>33664</v>
      </c>
      <c r="B404" s="59">
        <f>VLOOKUP(Table26[[#This Row],[Date]],'DB Money Supply'!$A:$E,5)</f>
        <v>3403.9</v>
      </c>
      <c r="C404" s="31">
        <f>(Table26[[#This Row],[M2 Money Stock, Billions of Dollars, Monthly, Seasonally Adjusted]]-B403)/B403</f>
        <v>1.1470588235294385E-3</v>
      </c>
      <c r="D404" s="32">
        <f>((1+Table26[[#This Row],[Monthly change]])^12)-1</f>
        <v>1.385187787306319E-2</v>
      </c>
    </row>
    <row r="405" spans="1:4" x14ac:dyDescent="0.2">
      <c r="A405" s="57">
        <v>33695</v>
      </c>
      <c r="B405" s="59">
        <f>VLOOKUP(Table26[[#This Row],[Date]],'DB Money Supply'!$A:$E,5)</f>
        <v>3399.7</v>
      </c>
      <c r="C405" s="31">
        <f>(Table26[[#This Row],[M2 Money Stock, Billions of Dollars, Monthly, Seasonally Adjusted]]-B404)/B404</f>
        <v>-1.2338787860983792E-3</v>
      </c>
      <c r="D405" s="32">
        <f>((1+Table26[[#This Row],[Monthly change]])^12)-1</f>
        <v>-1.4706475411403019E-2</v>
      </c>
    </row>
    <row r="406" spans="1:4" x14ac:dyDescent="0.2">
      <c r="A406" s="34">
        <v>33725</v>
      </c>
      <c r="B406" s="59">
        <f>VLOOKUP(Table26[[#This Row],[Date]],'DB Money Supply'!$A:$E,5)</f>
        <v>3398.6</v>
      </c>
      <c r="C406" s="31">
        <f>(Table26[[#This Row],[M2 Money Stock, Billions of Dollars, Monthly, Seasonally Adjusted]]-B405)/B405</f>
        <v>-3.2355796099653179E-4</v>
      </c>
      <c r="D406" s="32">
        <f>((1+Table26[[#This Row],[Monthly change]])^12)-1</f>
        <v>-3.8757934548682149E-3</v>
      </c>
    </row>
    <row r="407" spans="1:4" x14ac:dyDescent="0.2">
      <c r="A407" s="57">
        <v>33756</v>
      </c>
      <c r="B407" s="59">
        <f>VLOOKUP(Table26[[#This Row],[Date]],'DB Money Supply'!$A:$E,5)</f>
        <v>3393.4</v>
      </c>
      <c r="C407" s="31">
        <f>(Table26[[#This Row],[M2 Money Stock, Billions of Dollars, Monthly, Seasonally Adjusted]]-B406)/B406</f>
        <v>-1.5300417819101449E-3</v>
      </c>
      <c r="D407" s="32">
        <f>((1+Table26[[#This Row],[Monthly change]])^12)-1</f>
        <v>-1.8206778849852889E-2</v>
      </c>
    </row>
    <row r="408" spans="1:4" x14ac:dyDescent="0.2">
      <c r="A408" s="34">
        <v>33786</v>
      </c>
      <c r="B408" s="59">
        <f>VLOOKUP(Table26[[#This Row],[Date]],'DB Money Supply'!$A:$E,5)</f>
        <v>3393.9</v>
      </c>
      <c r="C408" s="31">
        <f>(Table26[[#This Row],[M2 Money Stock, Billions of Dollars, Monthly, Seasonally Adjusted]]-B407)/B407</f>
        <v>1.4734484587729122E-4</v>
      </c>
      <c r="D408" s="32">
        <f>((1+Table26[[#This Row],[Monthly change]])^12)-1</f>
        <v>1.7695717477639317E-3</v>
      </c>
    </row>
    <row r="409" spans="1:4" x14ac:dyDescent="0.2">
      <c r="A409" s="57">
        <v>33817</v>
      </c>
      <c r="B409" s="59">
        <f>VLOOKUP(Table26[[#This Row],[Date]],'DB Money Supply'!$A:$E,5)</f>
        <v>3398.8</v>
      </c>
      <c r="C409" s="31">
        <f>(Table26[[#This Row],[M2 Money Stock, Billions of Dollars, Monthly, Seasonally Adjusted]]-B408)/B408</f>
        <v>1.4437667580070393E-3</v>
      </c>
      <c r="D409" s="32">
        <f>((1+Table26[[#This Row],[Monthly change]])^12)-1</f>
        <v>1.7463439858699248E-2</v>
      </c>
    </row>
    <row r="410" spans="1:4" x14ac:dyDescent="0.2">
      <c r="A410" s="34">
        <v>33848</v>
      </c>
      <c r="B410" s="59">
        <f>VLOOKUP(Table26[[#This Row],[Date]],'DB Money Supply'!$A:$E,5)</f>
        <v>3410.3</v>
      </c>
      <c r="C410" s="31">
        <f>(Table26[[#This Row],[M2 Money Stock, Billions of Dollars, Monthly, Seasonally Adjusted]]-B409)/B409</f>
        <v>3.383547134282688E-3</v>
      </c>
      <c r="D410" s="32">
        <f>((1+Table26[[#This Row],[Monthly change]])^12)-1</f>
        <v>4.1366746619044603E-2</v>
      </c>
    </row>
    <row r="411" spans="1:4" x14ac:dyDescent="0.2">
      <c r="A411" s="57">
        <v>33878</v>
      </c>
      <c r="B411" s="59">
        <f>VLOOKUP(Table26[[#This Row],[Date]],'DB Money Supply'!$A:$E,5)</f>
        <v>3423.8</v>
      </c>
      <c r="C411" s="31">
        <f>(Table26[[#This Row],[M2 Money Stock, Billions of Dollars, Monthly, Seasonally Adjusted]]-B410)/B410</f>
        <v>3.9585960179456354E-3</v>
      </c>
      <c r="D411" s="32">
        <f>((1+Table26[[#This Row],[Monthly change]])^12)-1</f>
        <v>4.8551173667654712E-2</v>
      </c>
    </row>
    <row r="412" spans="1:4" x14ac:dyDescent="0.2">
      <c r="A412" s="34">
        <v>33909</v>
      </c>
      <c r="B412" s="59">
        <f>VLOOKUP(Table26[[#This Row],[Date]],'DB Money Supply'!$A:$E,5)</f>
        <v>3426.5</v>
      </c>
      <c r="C412" s="31">
        <f>(Table26[[#This Row],[M2 Money Stock, Billions of Dollars, Monthly, Seasonally Adjusted]]-B411)/B411</f>
        <v>7.8859746480513409E-4</v>
      </c>
      <c r="D412" s="32">
        <f>((1+Table26[[#This Row],[Monthly change]])^12)-1</f>
        <v>9.5043221346917672E-3</v>
      </c>
    </row>
    <row r="413" spans="1:4" x14ac:dyDescent="0.2">
      <c r="A413" s="57">
        <v>33939</v>
      </c>
      <c r="B413" s="59">
        <f>VLOOKUP(Table26[[#This Row],[Date]],'DB Money Supply'!$A:$E,5)</f>
        <v>3424.7</v>
      </c>
      <c r="C413" s="31">
        <f>(Table26[[#This Row],[M2 Money Stock, Billions of Dollars, Monthly, Seasonally Adjusted]]-B412)/B412</f>
        <v>-5.2531737925001656E-4</v>
      </c>
      <c r="D413" s="32">
        <f>((1+Table26[[#This Row],[Monthly change]])^12)-1</f>
        <v>-6.2856271547633291E-3</v>
      </c>
    </row>
    <row r="414" spans="1:4" x14ac:dyDescent="0.2">
      <c r="A414" s="34">
        <v>33970</v>
      </c>
      <c r="B414" s="59">
        <f>VLOOKUP(Table26[[#This Row],[Date]],'DB Money Supply'!$A:$E,5)</f>
        <v>3419.1</v>
      </c>
      <c r="C414" s="31">
        <f>(Table26[[#This Row],[M2 Money Stock, Billions of Dollars, Monthly, Seasonally Adjusted]]-B413)/B413</f>
        <v>-1.6351797237713988E-3</v>
      </c>
      <c r="D414" s="32">
        <f>((1+Table26[[#This Row],[Monthly change]])^12)-1</f>
        <v>-1.9446643391649698E-2</v>
      </c>
    </row>
    <row r="415" spans="1:4" x14ac:dyDescent="0.2">
      <c r="A415" s="57">
        <v>34001</v>
      </c>
      <c r="B415" s="59">
        <f>VLOOKUP(Table26[[#This Row],[Date]],'DB Money Supply'!$A:$E,5)</f>
        <v>3414.5</v>
      </c>
      <c r="C415" s="31">
        <f>(Table26[[#This Row],[M2 Money Stock, Billions of Dollars, Monthly, Seasonally Adjusted]]-B414)/B414</f>
        <v>-1.3453832879997394E-3</v>
      </c>
      <c r="D415" s="32">
        <f>((1+Table26[[#This Row],[Monthly change]])^12)-1</f>
        <v>-1.602566987732168E-2</v>
      </c>
    </row>
    <row r="416" spans="1:4" x14ac:dyDescent="0.2">
      <c r="A416" s="34">
        <v>34029</v>
      </c>
      <c r="B416" s="59">
        <f>VLOOKUP(Table26[[#This Row],[Date]],'DB Money Supply'!$A:$E,5)</f>
        <v>3411.7</v>
      </c>
      <c r="C416" s="31">
        <f>(Table26[[#This Row],[M2 Money Stock, Billions of Dollars, Monthly, Seasonally Adjusted]]-B415)/B415</f>
        <v>-8.2003221555137856E-4</v>
      </c>
      <c r="D416" s="32">
        <f>((1+Table26[[#This Row],[Monthly change]])^12)-1</f>
        <v>-9.7961257912523303E-3</v>
      </c>
    </row>
    <row r="417" spans="1:4" x14ac:dyDescent="0.2">
      <c r="A417" s="57">
        <v>34060</v>
      </c>
      <c r="B417" s="59">
        <f>VLOOKUP(Table26[[#This Row],[Date]],'DB Money Supply'!$A:$E,5)</f>
        <v>3411.3</v>
      </c>
      <c r="C417" s="31">
        <f>(Table26[[#This Row],[M2 Money Stock, Billions of Dollars, Monthly, Seasonally Adjusted]]-B416)/B416</f>
        <v>-1.1724360289581037E-4</v>
      </c>
      <c r="D417" s="32">
        <f>((1+Table26[[#This Row],[Monthly change]])^12)-1</f>
        <v>-1.4060163490966504E-3</v>
      </c>
    </row>
    <row r="418" spans="1:4" x14ac:dyDescent="0.2">
      <c r="A418" s="34">
        <v>34090</v>
      </c>
      <c r="B418" s="59">
        <f>VLOOKUP(Table26[[#This Row],[Date]],'DB Money Supply'!$A:$E,5)</f>
        <v>3436.9</v>
      </c>
      <c r="C418" s="31">
        <f>(Table26[[#This Row],[M2 Money Stock, Billions of Dollars, Monthly, Seasonally Adjusted]]-B417)/B417</f>
        <v>7.5044704364904602E-3</v>
      </c>
      <c r="D418" s="32">
        <f>((1+Table26[[#This Row],[Monthly change]])^12)-1</f>
        <v>9.3865139818114729E-2</v>
      </c>
    </row>
    <row r="419" spans="1:4" x14ac:dyDescent="0.2">
      <c r="A419" s="57">
        <v>34121</v>
      </c>
      <c r="B419" s="59">
        <f>VLOOKUP(Table26[[#This Row],[Date]],'DB Money Supply'!$A:$E,5)</f>
        <v>3442.4</v>
      </c>
      <c r="C419" s="31">
        <f>(Table26[[#This Row],[M2 Money Stock, Billions of Dollars, Monthly, Seasonally Adjusted]]-B418)/B418</f>
        <v>1.6002793214815677E-3</v>
      </c>
      <c r="D419" s="32">
        <f>((1+Table26[[#This Row],[Monthly change]])^12)-1</f>
        <v>1.9373275702274206E-2</v>
      </c>
    </row>
    <row r="420" spans="1:4" x14ac:dyDescent="0.2">
      <c r="A420" s="34">
        <v>34151</v>
      </c>
      <c r="B420" s="59">
        <f>VLOOKUP(Table26[[#This Row],[Date]],'DB Money Supply'!$A:$E,5)</f>
        <v>3442</v>
      </c>
      <c r="C420" s="31">
        <f>(Table26[[#This Row],[M2 Money Stock, Billions of Dollars, Monthly, Seasonally Adjusted]]-B419)/B419</f>
        <v>-1.1619800139440243E-4</v>
      </c>
      <c r="D420" s="32">
        <f>((1+Table26[[#This Row],[Monthly change]])^12)-1</f>
        <v>-1.3934852314161361E-3</v>
      </c>
    </row>
    <row r="421" spans="1:4" x14ac:dyDescent="0.2">
      <c r="A421" s="57">
        <v>34182</v>
      </c>
      <c r="B421" s="59">
        <f>VLOOKUP(Table26[[#This Row],[Date]],'DB Money Supply'!$A:$E,5)</f>
        <v>3445.7</v>
      </c>
      <c r="C421" s="31">
        <f>(Table26[[#This Row],[M2 Money Stock, Billions of Dollars, Monthly, Seasonally Adjusted]]-B420)/B420</f>
        <v>1.074956420685595E-3</v>
      </c>
      <c r="D421" s="32">
        <f>((1+Table26[[#This Row],[Monthly change]])^12)-1</f>
        <v>1.2976016048611205E-2</v>
      </c>
    </row>
    <row r="422" spans="1:4" x14ac:dyDescent="0.2">
      <c r="A422" s="34">
        <v>34213</v>
      </c>
      <c r="B422" s="59">
        <f>VLOOKUP(Table26[[#This Row],[Date]],'DB Money Supply'!$A:$E,5)</f>
        <v>3452.2</v>
      </c>
      <c r="C422" s="31">
        <f>(Table26[[#This Row],[M2 Money Stock, Billions of Dollars, Monthly, Seasonally Adjusted]]-B421)/B421</f>
        <v>1.8864091476332823E-3</v>
      </c>
      <c r="D422" s="32">
        <f>((1+Table26[[#This Row],[Monthly change]])^12)-1</f>
        <v>2.2873256493527894E-2</v>
      </c>
    </row>
    <row r="423" spans="1:4" x14ac:dyDescent="0.2">
      <c r="A423" s="57">
        <v>34243</v>
      </c>
      <c r="B423" s="59">
        <f>VLOOKUP(Table26[[#This Row],[Date]],'DB Money Supply'!$A:$E,5)</f>
        <v>3456.7</v>
      </c>
      <c r="C423" s="31">
        <f>(Table26[[#This Row],[M2 Money Stock, Billions of Dollars, Monthly, Seasonally Adjusted]]-B422)/B422</f>
        <v>1.3035165981113493E-3</v>
      </c>
      <c r="D423" s="32">
        <f>((1+Table26[[#This Row],[Monthly change]])^12)-1</f>
        <v>1.5754832146908093E-2</v>
      </c>
    </row>
    <row r="424" spans="1:4" x14ac:dyDescent="0.2">
      <c r="A424" s="57">
        <v>34274</v>
      </c>
      <c r="B424" s="59">
        <f>VLOOKUP(Table26[[#This Row],[Date]],'DB Money Supply'!$A:$E,5)</f>
        <v>3470.1</v>
      </c>
      <c r="C424" s="31">
        <f>(Table26[[#This Row],[M2 Money Stock, Billions of Dollars, Monthly, Seasonally Adjusted]]-B423)/B423</f>
        <v>3.8765296380941627E-3</v>
      </c>
      <c r="D424" s="32">
        <f>((1+Table26[[#This Row],[Monthly change]])^12)-1</f>
        <v>4.7523097936890579E-2</v>
      </c>
    </row>
    <row r="425" spans="1:4" x14ac:dyDescent="0.2">
      <c r="A425" s="34">
        <v>34304</v>
      </c>
      <c r="B425" s="59">
        <f>VLOOKUP(Table26[[#This Row],[Date]],'DB Money Supply'!$A:$E,5)</f>
        <v>3474.5</v>
      </c>
      <c r="C425" s="31">
        <f>(Table26[[#This Row],[M2 Money Stock, Billions of Dollars, Monthly, Seasonally Adjusted]]-B424)/B424</f>
        <v>1.26797498631166E-3</v>
      </c>
      <c r="D425" s="32">
        <f>((1+Table26[[#This Row],[Monthly change]])^12)-1</f>
        <v>1.532226180725238E-2</v>
      </c>
    </row>
    <row r="426" spans="1:4" x14ac:dyDescent="0.2">
      <c r="A426" s="57">
        <v>34335</v>
      </c>
      <c r="B426" s="59">
        <f>VLOOKUP(Table26[[#This Row],[Date]],'DB Money Supply'!$A:$E,5)</f>
        <v>3474.9</v>
      </c>
      <c r="C426" s="31">
        <f>(Table26[[#This Row],[M2 Money Stock, Billions of Dollars, Monthly, Seasonally Adjusted]]-B425)/B425</f>
        <v>1.1512447834223369E-4</v>
      </c>
      <c r="D426" s="32">
        <f>((1+Table26[[#This Row],[Monthly change]])^12)-1</f>
        <v>1.3823688164766867E-3</v>
      </c>
    </row>
    <row r="427" spans="1:4" x14ac:dyDescent="0.2">
      <c r="A427" s="34">
        <v>34366</v>
      </c>
      <c r="B427" s="59">
        <f>VLOOKUP(Table26[[#This Row],[Date]],'DB Money Supply'!$A:$E,5)</f>
        <v>3475.7</v>
      </c>
      <c r="C427" s="31">
        <f>(Table26[[#This Row],[M2 Money Stock, Billions of Dollars, Monthly, Seasonally Adjusted]]-B426)/B426</f>
        <v>2.3022245244459614E-4</v>
      </c>
      <c r="D427" s="32">
        <f>((1+Table26[[#This Row],[Monthly change]])^12)-1</f>
        <v>2.7661702721635262E-3</v>
      </c>
    </row>
    <row r="428" spans="1:4" x14ac:dyDescent="0.2">
      <c r="A428" s="57">
        <v>34394</v>
      </c>
      <c r="B428" s="59">
        <f>VLOOKUP(Table26[[#This Row],[Date]],'DB Money Supply'!$A:$E,5)</f>
        <v>3480.1</v>
      </c>
      <c r="C428" s="31">
        <f>(Table26[[#This Row],[M2 Money Stock, Billions of Dollars, Monthly, Seasonally Adjusted]]-B427)/B427</f>
        <v>1.265932042466292E-3</v>
      </c>
      <c r="D428" s="32">
        <f>((1+Table26[[#This Row],[Monthly change]])^12)-1</f>
        <v>1.5297402650976011E-2</v>
      </c>
    </row>
    <row r="429" spans="1:4" x14ac:dyDescent="0.2">
      <c r="A429" s="34">
        <v>34425</v>
      </c>
      <c r="B429" s="59">
        <f>VLOOKUP(Table26[[#This Row],[Date]],'DB Money Supply'!$A:$E,5)</f>
        <v>3481.3</v>
      </c>
      <c r="C429" s="31">
        <f>(Table26[[#This Row],[M2 Money Stock, Billions of Dollars, Monthly, Seasonally Adjusted]]-B428)/B428</f>
        <v>3.4481767765301939E-4</v>
      </c>
      <c r="D429" s="32">
        <f>((1+Table26[[#This Row],[Monthly change]])^12)-1</f>
        <v>4.1456685077558841E-3</v>
      </c>
    </row>
    <row r="430" spans="1:4" x14ac:dyDescent="0.2">
      <c r="A430" s="57">
        <v>34455</v>
      </c>
      <c r="B430" s="59">
        <f>VLOOKUP(Table26[[#This Row],[Date]],'DB Money Supply'!$A:$E,5)</f>
        <v>3490.8</v>
      </c>
      <c r="C430" s="31">
        <f>(Table26[[#This Row],[M2 Money Stock, Billions of Dollars, Monthly, Seasonally Adjusted]]-B429)/B429</f>
        <v>2.7288656536351361E-3</v>
      </c>
      <c r="D430" s="32">
        <f>((1+Table26[[#This Row],[Monthly change]])^12)-1</f>
        <v>3.3242368759488272E-2</v>
      </c>
    </row>
    <row r="431" spans="1:4" x14ac:dyDescent="0.2">
      <c r="A431" s="34">
        <v>34486</v>
      </c>
      <c r="B431" s="59">
        <f>VLOOKUP(Table26[[#This Row],[Date]],'DB Money Supply'!$A:$E,5)</f>
        <v>3479.5</v>
      </c>
      <c r="C431" s="31">
        <f>(Table26[[#This Row],[M2 Money Stock, Billions of Dollars, Monthly, Seasonally Adjusted]]-B430)/B430</f>
        <v>-3.2370803254268884E-3</v>
      </c>
      <c r="D431" s="32">
        <f>((1+Table26[[#This Row],[Monthly change]])^12)-1</f>
        <v>-3.816077883571245E-2</v>
      </c>
    </row>
    <row r="432" spans="1:4" x14ac:dyDescent="0.2">
      <c r="A432" s="57">
        <v>34516</v>
      </c>
      <c r="B432" s="59">
        <f>VLOOKUP(Table26[[#This Row],[Date]],'DB Money Supply'!$A:$E,5)</f>
        <v>3488.2</v>
      </c>
      <c r="C432" s="31">
        <f>(Table26[[#This Row],[M2 Money Stock, Billions of Dollars, Monthly, Seasonally Adjusted]]-B431)/B431</f>
        <v>2.5003592470181973E-3</v>
      </c>
      <c r="D432" s="32">
        <f>((1+Table26[[#This Row],[Monthly change]])^12)-1</f>
        <v>3.0420387931040072E-2</v>
      </c>
    </row>
    <row r="433" spans="1:4" x14ac:dyDescent="0.2">
      <c r="A433" s="34">
        <v>34547</v>
      </c>
      <c r="B433" s="59">
        <f>VLOOKUP(Table26[[#This Row],[Date]],'DB Money Supply'!$A:$E,5)</f>
        <v>3485.7</v>
      </c>
      <c r="C433" s="31">
        <f>(Table26[[#This Row],[M2 Money Stock, Billions of Dollars, Monthly, Seasonally Adjusted]]-B432)/B432</f>
        <v>-7.1670202396651567E-4</v>
      </c>
      <c r="D433" s="32">
        <f>((1+Table26[[#This Row],[Monthly change]])^12)-1</f>
        <v>-8.566603470264722E-3</v>
      </c>
    </row>
    <row r="434" spans="1:4" x14ac:dyDescent="0.2">
      <c r="A434" s="57">
        <v>34578</v>
      </c>
      <c r="B434" s="59">
        <f>VLOOKUP(Table26[[#This Row],[Date]],'DB Money Supply'!$A:$E,5)</f>
        <v>3486.1</v>
      </c>
      <c r="C434" s="31">
        <f>(Table26[[#This Row],[M2 Money Stock, Billions of Dollars, Monthly, Seasonally Adjusted]]-B433)/B433</f>
        <v>1.1475456866629112E-4</v>
      </c>
      <c r="D434" s="32">
        <f>((1+Table26[[#This Row],[Monthly change]])^12)-1</f>
        <v>1.3779242848654949E-3</v>
      </c>
    </row>
    <row r="435" spans="1:4" x14ac:dyDescent="0.2">
      <c r="A435" s="34">
        <v>34608</v>
      </c>
      <c r="B435" s="59">
        <f>VLOOKUP(Table26[[#This Row],[Date]],'DB Money Supply'!$A:$E,5)</f>
        <v>3484.3</v>
      </c>
      <c r="C435" s="31">
        <f>(Table26[[#This Row],[M2 Money Stock, Billions of Dollars, Monthly, Seasonally Adjusted]]-B434)/B434</f>
        <v>-5.1633630704791232E-4</v>
      </c>
      <c r="D435" s="32">
        <f>((1+Table26[[#This Row],[Monthly change]])^12)-1</f>
        <v>-6.1784701239292472E-3</v>
      </c>
    </row>
    <row r="436" spans="1:4" x14ac:dyDescent="0.2">
      <c r="A436" s="57">
        <v>34639</v>
      </c>
      <c r="B436" s="59">
        <f>VLOOKUP(Table26[[#This Row],[Date]],'DB Money Supply'!$A:$E,5)</f>
        <v>3487.2</v>
      </c>
      <c r="C436" s="31">
        <f>(Table26[[#This Row],[M2 Money Stock, Billions of Dollars, Monthly, Seasonally Adjusted]]-B435)/B435</f>
        <v>8.3230491059886808E-4</v>
      </c>
      <c r="D436" s="32">
        <f>((1+Table26[[#This Row],[Monthly change]])^12)-1</f>
        <v>1.0033506285716642E-2</v>
      </c>
    </row>
    <row r="437" spans="1:4" x14ac:dyDescent="0.2">
      <c r="A437" s="34">
        <v>34669</v>
      </c>
      <c r="B437" s="59">
        <f>VLOOKUP(Table26[[#This Row],[Date]],'DB Money Supply'!$A:$E,5)</f>
        <v>3486.4</v>
      </c>
      <c r="C437" s="31">
        <f>(Table26[[#This Row],[M2 Money Stock, Billions of Dollars, Monthly, Seasonally Adjusted]]-B436)/B436</f>
        <v>-2.2941041523277334E-4</v>
      </c>
      <c r="D437" s="32">
        <f>((1+Table26[[#This Row],[Monthly change]])^12)-1</f>
        <v>-2.7494541144813534E-3</v>
      </c>
    </row>
    <row r="438" spans="1:4" x14ac:dyDescent="0.2">
      <c r="A438" s="57">
        <v>34700</v>
      </c>
      <c r="B438" s="59">
        <f>VLOOKUP(Table26[[#This Row],[Date]],'DB Money Supply'!$A:$E,5)</f>
        <v>3492.4</v>
      </c>
      <c r="C438" s="31">
        <f>(Table26[[#This Row],[M2 Money Stock, Billions of Dollars, Monthly, Seasonally Adjusted]]-B437)/B437</f>
        <v>1.7209729233593392E-3</v>
      </c>
      <c r="D438" s="32">
        <f>((1+Table26[[#This Row],[Monthly change]])^12)-1</f>
        <v>2.0848276148712541E-2</v>
      </c>
    </row>
    <row r="439" spans="1:4" x14ac:dyDescent="0.2">
      <c r="A439" s="34">
        <v>34731</v>
      </c>
      <c r="B439" s="59">
        <f>VLOOKUP(Table26[[#This Row],[Date]],'DB Money Supply'!$A:$E,5)</f>
        <v>3489.9</v>
      </c>
      <c r="C439" s="31">
        <f>(Table26[[#This Row],[M2 Money Stock, Billions of Dollars, Monthly, Seasonally Adjusted]]-B438)/B438</f>
        <v>-7.1584010995304084E-4</v>
      </c>
      <c r="D439" s="32">
        <f>((1+Table26[[#This Row],[Monthly change]])^12)-1</f>
        <v>-8.5563417029346223E-3</v>
      </c>
    </row>
    <row r="440" spans="1:4" x14ac:dyDescent="0.2">
      <c r="A440" s="57">
        <v>34759</v>
      </c>
      <c r="B440" s="59">
        <f>VLOOKUP(Table26[[#This Row],[Date]],'DB Money Supply'!$A:$E,5)</f>
        <v>3491.1</v>
      </c>
      <c r="C440" s="31">
        <f>(Table26[[#This Row],[M2 Money Stock, Billions of Dollars, Monthly, Seasonally Adjusted]]-B439)/B439</f>
        <v>3.4384939396539098E-4</v>
      </c>
      <c r="D440" s="32">
        <f>((1+Table26[[#This Row],[Monthly change]])^12)-1</f>
        <v>4.134005017196074E-3</v>
      </c>
    </row>
    <row r="441" spans="1:4" x14ac:dyDescent="0.2">
      <c r="A441" s="34">
        <v>34790</v>
      </c>
      <c r="B441" s="59">
        <f>VLOOKUP(Table26[[#This Row],[Date]],'DB Money Supply'!$A:$E,5)</f>
        <v>3499.2</v>
      </c>
      <c r="C441" s="31">
        <f>(Table26[[#This Row],[M2 Money Stock, Billions of Dollars, Monthly, Seasonally Adjusted]]-B440)/B440</f>
        <v>2.3201856148491618E-3</v>
      </c>
      <c r="D441" s="32">
        <f>((1+Table26[[#This Row],[Monthly change]])^12)-1</f>
        <v>2.8200284857793578E-2</v>
      </c>
    </row>
    <row r="442" spans="1:4" x14ac:dyDescent="0.2">
      <c r="A442" s="57">
        <v>34820</v>
      </c>
      <c r="B442" s="59">
        <f>VLOOKUP(Table26[[#This Row],[Date]],'DB Money Supply'!$A:$E,5)</f>
        <v>3524.2</v>
      </c>
      <c r="C442" s="31">
        <f>(Table26[[#This Row],[M2 Money Stock, Billions of Dollars, Monthly, Seasonally Adjusted]]-B441)/B441</f>
        <v>7.1444901691815272E-3</v>
      </c>
      <c r="D442" s="32">
        <f>((1+Table26[[#This Row],[Monthly change]])^12)-1</f>
        <v>8.91843033557016E-2</v>
      </c>
    </row>
    <row r="443" spans="1:4" x14ac:dyDescent="0.2">
      <c r="A443" s="57">
        <v>34851</v>
      </c>
      <c r="B443" s="59">
        <f>VLOOKUP(Table26[[#This Row],[Date]],'DB Money Supply'!$A:$E,5)</f>
        <v>3548.9</v>
      </c>
      <c r="C443" s="31">
        <f>(Table26[[#This Row],[M2 Money Stock, Billions of Dollars, Monthly, Seasonally Adjusted]]-B442)/B442</f>
        <v>7.0086828216333564E-3</v>
      </c>
      <c r="D443" s="32">
        <f>((1+Table26[[#This Row],[Monthly change]])^12)-1</f>
        <v>8.7423170820443152E-2</v>
      </c>
    </row>
    <row r="444" spans="1:4" x14ac:dyDescent="0.2">
      <c r="A444" s="34">
        <v>34881</v>
      </c>
      <c r="B444" s="59">
        <f>VLOOKUP(Table26[[#This Row],[Date]],'DB Money Supply'!$A:$E,5)</f>
        <v>3567.4</v>
      </c>
      <c r="C444" s="31">
        <f>(Table26[[#This Row],[M2 Money Stock, Billions of Dollars, Monthly, Seasonally Adjusted]]-B443)/B443</f>
        <v>5.2128828651131333E-3</v>
      </c>
      <c r="D444" s="32">
        <f>((1+Table26[[#This Row],[Monthly change]])^12)-1</f>
        <v>6.4379620969020168E-2</v>
      </c>
    </row>
    <row r="445" spans="1:4" x14ac:dyDescent="0.2">
      <c r="A445" s="57">
        <v>34912</v>
      </c>
      <c r="B445" s="59">
        <f>VLOOKUP(Table26[[#This Row],[Date]],'DB Money Supply'!$A:$E,5)</f>
        <v>3589</v>
      </c>
      <c r="C445" s="31">
        <f>(Table26[[#This Row],[M2 Money Stock, Billions of Dollars, Monthly, Seasonally Adjusted]]-B444)/B444</f>
        <v>6.0548298480685957E-3</v>
      </c>
      <c r="D445" s="32">
        <f>((1+Table26[[#This Row],[Monthly change]])^12)-1</f>
        <v>7.5127088315520618E-2</v>
      </c>
    </row>
    <row r="446" spans="1:4" x14ac:dyDescent="0.2">
      <c r="A446" s="34">
        <v>34943</v>
      </c>
      <c r="B446" s="59">
        <f>VLOOKUP(Table26[[#This Row],[Date]],'DB Money Supply'!$A:$E,5)</f>
        <v>3602.1</v>
      </c>
      <c r="C446" s="31">
        <f>(Table26[[#This Row],[M2 Money Stock, Billions of Dollars, Monthly, Seasonally Adjusted]]-B445)/B445</f>
        <v>3.6500417943716658E-3</v>
      </c>
      <c r="D446" s="32">
        <f>((1+Table26[[#This Row],[Monthly change]])^12)-1</f>
        <v>4.4690593380487975E-2</v>
      </c>
    </row>
    <row r="447" spans="1:4" x14ac:dyDescent="0.2">
      <c r="A447" s="57">
        <v>34973</v>
      </c>
      <c r="B447" s="59">
        <f>VLOOKUP(Table26[[#This Row],[Date]],'DB Money Supply'!$A:$E,5)</f>
        <v>3613.4</v>
      </c>
      <c r="C447" s="31">
        <f>(Table26[[#This Row],[M2 Money Stock, Billions of Dollars, Monthly, Seasonally Adjusted]]-B446)/B446</f>
        <v>3.1370589378418652E-3</v>
      </c>
      <c r="D447" s="32">
        <f>((1+Table26[[#This Row],[Monthly change]])^12)-1</f>
        <v>3.8301062485942339E-2</v>
      </c>
    </row>
    <row r="448" spans="1:4" x14ac:dyDescent="0.2">
      <c r="A448" s="34">
        <v>35004</v>
      </c>
      <c r="B448" s="59">
        <f>VLOOKUP(Table26[[#This Row],[Date]],'DB Money Supply'!$A:$E,5)</f>
        <v>3619.9</v>
      </c>
      <c r="C448" s="31">
        <f>(Table26[[#This Row],[M2 Money Stock, Billions of Dollars, Monthly, Seasonally Adjusted]]-B447)/B447</f>
        <v>1.798859799634693E-3</v>
      </c>
      <c r="D448" s="32">
        <f>((1+Table26[[#This Row],[Monthly change]])^12)-1</f>
        <v>2.1801172571261684E-2</v>
      </c>
    </row>
    <row r="449" spans="1:4" x14ac:dyDescent="0.2">
      <c r="A449" s="57">
        <v>35034</v>
      </c>
      <c r="B449" s="59">
        <f>VLOOKUP(Table26[[#This Row],[Date]],'DB Money Supply'!$A:$E,5)</f>
        <v>3629.5</v>
      </c>
      <c r="C449" s="31">
        <f>(Table26[[#This Row],[M2 Money Stock, Billions of Dollars, Monthly, Seasonally Adjusted]]-B448)/B448</f>
        <v>2.6520069615182489E-3</v>
      </c>
      <c r="D449" s="32">
        <f>((1+Table26[[#This Row],[Monthly change]])^12)-1</f>
        <v>3.229239885514068E-2</v>
      </c>
    </row>
    <row r="450" spans="1:4" x14ac:dyDescent="0.2">
      <c r="A450" s="34">
        <v>35065</v>
      </c>
      <c r="B450" s="59">
        <f>VLOOKUP(Table26[[#This Row],[Date]],'DB Money Supply'!$A:$E,5)</f>
        <v>3647.9</v>
      </c>
      <c r="C450" s="31">
        <f>(Table26[[#This Row],[M2 Money Stock, Billions of Dollars, Monthly, Seasonally Adjusted]]-B449)/B449</f>
        <v>5.0695688111310347E-3</v>
      </c>
      <c r="D450" s="32">
        <f>((1+Table26[[#This Row],[Monthly change]])^12)-1</f>
        <v>6.2560054131644005E-2</v>
      </c>
    </row>
    <row r="451" spans="1:4" x14ac:dyDescent="0.2">
      <c r="A451" s="57">
        <v>35096</v>
      </c>
      <c r="B451" s="59">
        <f>VLOOKUP(Table26[[#This Row],[Date]],'DB Money Supply'!$A:$E,5)</f>
        <v>3661.8</v>
      </c>
      <c r="C451" s="31">
        <f>(Table26[[#This Row],[M2 Money Stock, Billions of Dollars, Monthly, Seasonally Adjusted]]-B450)/B450</f>
        <v>3.8104114696126787E-3</v>
      </c>
      <c r="D451" s="32">
        <f>((1+Table26[[#This Row],[Monthly change]])^12)-1</f>
        <v>4.6695483509491043E-2</v>
      </c>
    </row>
    <row r="452" spans="1:4" x14ac:dyDescent="0.2">
      <c r="A452" s="34">
        <v>35125</v>
      </c>
      <c r="B452" s="59">
        <f>VLOOKUP(Table26[[#This Row],[Date]],'DB Money Supply'!$A:$E,5)</f>
        <v>3686.9</v>
      </c>
      <c r="C452" s="31">
        <f>(Table26[[#This Row],[M2 Money Stock, Billions of Dollars, Monthly, Seasonally Adjusted]]-B451)/B451</f>
        <v>6.8545524059205601E-3</v>
      </c>
      <c r="D452" s="32">
        <f>((1+Table26[[#This Row],[Monthly change]])^12)-1</f>
        <v>8.5427589641191126E-2</v>
      </c>
    </row>
    <row r="453" spans="1:4" x14ac:dyDescent="0.2">
      <c r="A453" s="57">
        <v>35156</v>
      </c>
      <c r="B453" s="59">
        <f>VLOOKUP(Table26[[#This Row],[Date]],'DB Money Supply'!$A:$E,5)</f>
        <v>3697.7</v>
      </c>
      <c r="C453" s="31">
        <f>(Table26[[#This Row],[M2 Money Stock, Billions of Dollars, Monthly, Seasonally Adjusted]]-B452)/B452</f>
        <v>2.9292901895900964E-3</v>
      </c>
      <c r="D453" s="32">
        <f>((1+Table26[[#This Row],[Monthly change]])^12)-1</f>
        <v>3.5723377605581641E-2</v>
      </c>
    </row>
    <row r="454" spans="1:4" x14ac:dyDescent="0.2">
      <c r="A454" s="34">
        <v>35186</v>
      </c>
      <c r="B454" s="59">
        <f>VLOOKUP(Table26[[#This Row],[Date]],'DB Money Supply'!$A:$E,5)</f>
        <v>3709.6</v>
      </c>
      <c r="C454" s="31">
        <f>(Table26[[#This Row],[M2 Money Stock, Billions of Dollars, Monthly, Seasonally Adjusted]]-B453)/B453</f>
        <v>3.2182167293182498E-3</v>
      </c>
      <c r="D454" s="32">
        <f>((1+Table26[[#This Row],[Monthly change]])^12)-1</f>
        <v>3.930954354945837E-2</v>
      </c>
    </row>
    <row r="455" spans="1:4" x14ac:dyDescent="0.2">
      <c r="A455" s="57">
        <v>35217</v>
      </c>
      <c r="B455" s="59">
        <f>VLOOKUP(Table26[[#This Row],[Date]],'DB Money Supply'!$A:$E,5)</f>
        <v>3722.5</v>
      </c>
      <c r="C455" s="31">
        <f>(Table26[[#This Row],[M2 Money Stock, Billions of Dollars, Monthly, Seasonally Adjusted]]-B454)/B454</f>
        <v>3.4774638775070333E-3</v>
      </c>
      <c r="D455" s="32">
        <f>((1+Table26[[#This Row],[Monthly change]])^12)-1</f>
        <v>4.2537012618069525E-2</v>
      </c>
    </row>
    <row r="456" spans="1:4" x14ac:dyDescent="0.2">
      <c r="A456" s="34">
        <v>35247</v>
      </c>
      <c r="B456" s="59">
        <f>VLOOKUP(Table26[[#This Row],[Date]],'DB Money Supply'!$A:$E,5)</f>
        <v>3737.1</v>
      </c>
      <c r="C456" s="31">
        <f>(Table26[[#This Row],[M2 Money Stock, Billions of Dollars, Monthly, Seasonally Adjusted]]-B455)/B455</f>
        <v>3.9220953660174373E-3</v>
      </c>
      <c r="D456" s="32">
        <f>((1+Table26[[#This Row],[Monthly change]])^12)-1</f>
        <v>4.8093802424760579E-2</v>
      </c>
    </row>
    <row r="457" spans="1:4" x14ac:dyDescent="0.2">
      <c r="A457" s="57">
        <v>35278</v>
      </c>
      <c r="B457" s="59">
        <f>VLOOKUP(Table26[[#This Row],[Date]],'DB Money Supply'!$A:$E,5)</f>
        <v>3744</v>
      </c>
      <c r="C457" s="31">
        <f>(Table26[[#This Row],[M2 Money Stock, Billions of Dollars, Monthly, Seasonally Adjusted]]-B456)/B456</f>
        <v>1.8463514489845312E-3</v>
      </c>
      <c r="D457" s="32">
        <f>((1+Table26[[#This Row],[Monthly change]])^12)-1</f>
        <v>2.2382602792068163E-2</v>
      </c>
    </row>
    <row r="458" spans="1:4" x14ac:dyDescent="0.2">
      <c r="A458" s="34">
        <v>35309</v>
      </c>
      <c r="B458" s="59">
        <f>VLOOKUP(Table26[[#This Row],[Date]],'DB Money Supply'!$A:$E,5)</f>
        <v>3753.4</v>
      </c>
      <c r="C458" s="31">
        <f>(Table26[[#This Row],[M2 Money Stock, Billions of Dollars, Monthly, Seasonally Adjusted]]-B457)/B457</f>
        <v>2.5106837606837852E-3</v>
      </c>
      <c r="D458" s="32">
        <f>((1+Table26[[#This Row],[Monthly change]])^12)-1</f>
        <v>3.0547739809602792E-2</v>
      </c>
    </row>
    <row r="459" spans="1:4" x14ac:dyDescent="0.2">
      <c r="A459" s="57">
        <v>35339</v>
      </c>
      <c r="B459" s="59">
        <f>VLOOKUP(Table26[[#This Row],[Date]],'DB Money Supply'!$A:$E,5)</f>
        <v>3772.8</v>
      </c>
      <c r="C459" s="31">
        <f>(Table26[[#This Row],[M2 Money Stock, Billions of Dollars, Monthly, Seasonally Adjusted]]-B458)/B458</f>
        <v>5.1686470933020971E-3</v>
      </c>
      <c r="D459" s="32">
        <f>((1+Table26[[#This Row],[Monthly change]])^12)-1</f>
        <v>6.3817683167229466E-2</v>
      </c>
    </row>
    <row r="460" spans="1:4" x14ac:dyDescent="0.2">
      <c r="A460" s="34">
        <v>35370</v>
      </c>
      <c r="B460" s="59">
        <f>VLOOKUP(Table26[[#This Row],[Date]],'DB Money Supply'!$A:$E,5)</f>
        <v>3795.1</v>
      </c>
      <c r="C460" s="31">
        <f>(Table26[[#This Row],[M2 Money Stock, Billions of Dollars, Monthly, Seasonally Adjusted]]-B459)/B459</f>
        <v>5.9107294317217252E-3</v>
      </c>
      <c r="D460" s="32">
        <f>((1+Table26[[#This Row],[Monthly change]])^12)-1</f>
        <v>7.3280617130895731E-2</v>
      </c>
    </row>
    <row r="461" spans="1:4" x14ac:dyDescent="0.2">
      <c r="A461" s="57">
        <v>35400</v>
      </c>
      <c r="B461" s="59">
        <f>VLOOKUP(Table26[[#This Row],[Date]],'DB Money Supply'!$A:$E,5)</f>
        <v>3818.6</v>
      </c>
      <c r="C461" s="31">
        <f>(Table26[[#This Row],[M2 Money Stock, Billions of Dollars, Monthly, Seasonally Adjusted]]-B460)/B460</f>
        <v>6.1921951990724887E-3</v>
      </c>
      <c r="D461" s="32">
        <f>((1+Table26[[#This Row],[Monthly change]])^12)-1</f>
        <v>7.6889968373574202E-2</v>
      </c>
    </row>
    <row r="462" spans="1:4" x14ac:dyDescent="0.2">
      <c r="A462" s="57">
        <v>35431</v>
      </c>
      <c r="B462" s="59">
        <f>VLOOKUP(Table26[[#This Row],[Date]],'DB Money Supply'!$A:$E,5)</f>
        <v>3834.6</v>
      </c>
      <c r="C462" s="31">
        <f>(Table26[[#This Row],[M2 Money Stock, Billions of Dollars, Monthly, Seasonally Adjusted]]-B461)/B461</f>
        <v>4.1900172838212962E-3</v>
      </c>
      <c r="D462" s="32">
        <f>((1+Table26[[#This Row],[Monthly change]])^12)-1</f>
        <v>5.145525657606953E-2</v>
      </c>
    </row>
    <row r="463" spans="1:4" x14ac:dyDescent="0.2">
      <c r="A463" s="34">
        <v>35462</v>
      </c>
      <c r="B463" s="59">
        <f>VLOOKUP(Table26[[#This Row],[Date]],'DB Money Supply'!$A:$E,5)</f>
        <v>3846.3</v>
      </c>
      <c r="C463" s="31">
        <f>(Table26[[#This Row],[M2 Money Stock, Billions of Dollars, Monthly, Seasonally Adjusted]]-B462)/B462</f>
        <v>3.0511657017681828E-3</v>
      </c>
      <c r="D463" s="32">
        <f>((1+Table26[[#This Row],[Monthly change]])^12)-1</f>
        <v>3.723471507095133E-2</v>
      </c>
    </row>
    <row r="464" spans="1:4" x14ac:dyDescent="0.2">
      <c r="A464" s="57">
        <v>35490</v>
      </c>
      <c r="B464" s="59">
        <f>VLOOKUP(Table26[[#This Row],[Date]],'DB Money Supply'!$A:$E,5)</f>
        <v>3861.2</v>
      </c>
      <c r="C464" s="31">
        <f>(Table26[[#This Row],[M2 Money Stock, Billions of Dollars, Monthly, Seasonally Adjusted]]-B463)/B463</f>
        <v>3.8738527935937486E-3</v>
      </c>
      <c r="D464" s="32">
        <f>((1+Table26[[#This Row],[Monthly change]])^12)-1</f>
        <v>4.7489579687531869E-2</v>
      </c>
    </row>
    <row r="465" spans="1:4" x14ac:dyDescent="0.2">
      <c r="A465" s="34">
        <v>35521</v>
      </c>
      <c r="B465" s="59">
        <f>VLOOKUP(Table26[[#This Row],[Date]],'DB Money Supply'!$A:$E,5)</f>
        <v>3877</v>
      </c>
      <c r="C465" s="31">
        <f>(Table26[[#This Row],[M2 Money Stock, Billions of Dollars, Monthly, Seasonally Adjusted]]-B464)/B464</f>
        <v>4.0919921268000063E-3</v>
      </c>
      <c r="D465" s="32">
        <f>((1+Table26[[#This Row],[Monthly change]])^12)-1</f>
        <v>5.0224249540797627E-2</v>
      </c>
    </row>
    <row r="466" spans="1:4" x14ac:dyDescent="0.2">
      <c r="A466" s="57">
        <v>35551</v>
      </c>
      <c r="B466" s="59">
        <f>VLOOKUP(Table26[[#This Row],[Date]],'DB Money Supply'!$A:$E,5)</f>
        <v>3889.2</v>
      </c>
      <c r="C466" s="31">
        <f>(Table26[[#This Row],[M2 Money Stock, Billions of Dollars, Monthly, Seasonally Adjusted]]-B465)/B465</f>
        <v>3.1467629610523132E-3</v>
      </c>
      <c r="D466" s="32">
        <f>((1+Table26[[#This Row],[Monthly change]])^12)-1</f>
        <v>3.8421599159773612E-2</v>
      </c>
    </row>
    <row r="467" spans="1:4" x14ac:dyDescent="0.2">
      <c r="A467" s="34">
        <v>35582</v>
      </c>
      <c r="B467" s="59">
        <f>VLOOKUP(Table26[[#This Row],[Date]],'DB Money Supply'!$A:$E,5)</f>
        <v>3906</v>
      </c>
      <c r="C467" s="31">
        <f>(Table26[[#This Row],[M2 Money Stock, Billions of Dollars, Monthly, Seasonally Adjusted]]-B466)/B466</f>
        <v>4.3196544276458354E-3</v>
      </c>
      <c r="D467" s="32">
        <f>((1+Table26[[#This Row],[Monthly change]])^12)-1</f>
        <v>5.3085280512463529E-2</v>
      </c>
    </row>
    <row r="468" spans="1:4" x14ac:dyDescent="0.2">
      <c r="A468" s="57">
        <v>35612</v>
      </c>
      <c r="B468" s="59">
        <f>VLOOKUP(Table26[[#This Row],[Date]],'DB Money Supply'!$A:$E,5)</f>
        <v>3923.9</v>
      </c>
      <c r="C468" s="31">
        <f>(Table26[[#This Row],[M2 Money Stock, Billions of Dollars, Monthly, Seasonally Adjusted]]-B467)/B467</f>
        <v>4.5826932923707349E-3</v>
      </c>
      <c r="D468" s="32">
        <f>((1+Table26[[#This Row],[Monthly change]])^12)-1</f>
        <v>5.6399783700460171E-2</v>
      </c>
    </row>
    <row r="469" spans="1:4" x14ac:dyDescent="0.2">
      <c r="A469" s="34">
        <v>35643</v>
      </c>
      <c r="B469" s="59">
        <f>VLOOKUP(Table26[[#This Row],[Date]],'DB Money Supply'!$A:$E,5)</f>
        <v>3957.4</v>
      </c>
      <c r="C469" s="31">
        <f>(Table26[[#This Row],[M2 Money Stock, Billions of Dollars, Monthly, Seasonally Adjusted]]-B468)/B468</f>
        <v>8.5374245011340753E-3</v>
      </c>
      <c r="D469" s="32">
        <f>((1+Table26[[#This Row],[Monthly change]])^12)-1</f>
        <v>0.10739924272092294</v>
      </c>
    </row>
    <row r="470" spans="1:4" x14ac:dyDescent="0.2">
      <c r="A470" s="57">
        <v>35674</v>
      </c>
      <c r="B470" s="59">
        <f>VLOOKUP(Table26[[#This Row],[Date]],'DB Money Supply'!$A:$E,5)</f>
        <v>3973.1</v>
      </c>
      <c r="C470" s="31">
        <f>(Table26[[#This Row],[M2 Money Stock, Billions of Dollars, Monthly, Seasonally Adjusted]]-B469)/B469</f>
        <v>3.9672512255520837E-3</v>
      </c>
      <c r="D470" s="32">
        <f>((1+Table26[[#This Row],[Monthly change]])^12)-1</f>
        <v>4.8659654536837404E-2</v>
      </c>
    </row>
    <row r="471" spans="1:4" x14ac:dyDescent="0.2">
      <c r="A471" s="34">
        <v>35704</v>
      </c>
      <c r="B471" s="59">
        <f>VLOOKUP(Table26[[#This Row],[Date]],'DB Money Supply'!$A:$E,5)</f>
        <v>3992.3</v>
      </c>
      <c r="C471" s="31">
        <f>(Table26[[#This Row],[M2 Money Stock, Billions of Dollars, Monthly, Seasonally Adjusted]]-B470)/B470</f>
        <v>4.8324985527674292E-3</v>
      </c>
      <c r="D471" s="32">
        <f>((1+Table26[[#This Row],[Monthly change]])^12)-1</f>
        <v>5.955638325656043E-2</v>
      </c>
    </row>
    <row r="472" spans="1:4" x14ac:dyDescent="0.2">
      <c r="A472" s="57">
        <v>35735</v>
      </c>
      <c r="B472" s="59">
        <f>VLOOKUP(Table26[[#This Row],[Date]],'DB Money Supply'!$A:$E,5)</f>
        <v>4014.8</v>
      </c>
      <c r="C472" s="31">
        <f>(Table26[[#This Row],[M2 Money Stock, Billions of Dollars, Monthly, Seasonally Adjusted]]-B471)/B471</f>
        <v>5.6358490093429848E-3</v>
      </c>
      <c r="D472" s="32">
        <f>((1+Table26[[#This Row],[Monthly change]])^12)-1</f>
        <v>6.9766418714456657E-2</v>
      </c>
    </row>
    <row r="473" spans="1:4" x14ac:dyDescent="0.2">
      <c r="A473" s="34">
        <v>35765</v>
      </c>
      <c r="B473" s="59">
        <f>VLOOKUP(Table26[[#This Row],[Date]],'DB Money Supply'!$A:$E,5)</f>
        <v>4032.9</v>
      </c>
      <c r="C473" s="31">
        <f>(Table26[[#This Row],[M2 Money Stock, Billions of Dollars, Monthly, Seasonally Adjusted]]-B472)/B472</f>
        <v>4.5083192188900834E-3</v>
      </c>
      <c r="D473" s="32">
        <f>((1+Table26[[#This Row],[Monthly change]])^12)-1</f>
        <v>5.5461641671494366E-2</v>
      </c>
    </row>
    <row r="474" spans="1:4" x14ac:dyDescent="0.2">
      <c r="A474" s="57">
        <v>35796</v>
      </c>
      <c r="B474" s="59">
        <f>VLOOKUP(Table26[[#This Row],[Date]],'DB Money Supply'!$A:$E,5)</f>
        <v>4056.2</v>
      </c>
      <c r="C474" s="31">
        <f>(Table26[[#This Row],[M2 Money Stock, Billions of Dollars, Monthly, Seasonally Adjusted]]-B473)/B473</f>
        <v>5.7774802251480883E-3</v>
      </c>
      <c r="D474" s="32">
        <f>((1+Table26[[#This Row],[Monthly change]])^12)-1</f>
        <v>7.1575778269131085E-2</v>
      </c>
    </row>
    <row r="475" spans="1:4" x14ac:dyDescent="0.2">
      <c r="A475" s="34">
        <v>35827</v>
      </c>
      <c r="B475" s="59">
        <f>VLOOKUP(Table26[[#This Row],[Date]],'DB Money Supply'!$A:$E,5)</f>
        <v>4088.9</v>
      </c>
      <c r="C475" s="31">
        <f>(Table26[[#This Row],[M2 Money Stock, Billions of Dollars, Monthly, Seasonally Adjusted]]-B474)/B474</f>
        <v>8.0617326561807298E-3</v>
      </c>
      <c r="D475" s="32">
        <f>((1+Table26[[#This Row],[Monthly change]])^12)-1</f>
        <v>0.10114761889545565</v>
      </c>
    </row>
    <row r="476" spans="1:4" x14ac:dyDescent="0.2">
      <c r="A476" s="57">
        <v>35855</v>
      </c>
      <c r="B476" s="59">
        <f>VLOOKUP(Table26[[#This Row],[Date]],'DB Money Supply'!$A:$E,5)</f>
        <v>4114.3</v>
      </c>
      <c r="C476" s="31">
        <f>(Table26[[#This Row],[M2 Money Stock, Billions of Dollars, Monthly, Seasonally Adjusted]]-B475)/B475</f>
        <v>6.2119396414683876E-3</v>
      </c>
      <c r="D476" s="32">
        <f>((1+Table26[[#This Row],[Monthly change]])^12)-1</f>
        <v>7.714357662442084E-2</v>
      </c>
    </row>
    <row r="477" spans="1:4" x14ac:dyDescent="0.2">
      <c r="A477" s="34">
        <v>35886</v>
      </c>
      <c r="B477" s="59">
        <f>VLOOKUP(Table26[[#This Row],[Date]],'DB Money Supply'!$A:$E,5)</f>
        <v>4140.2</v>
      </c>
      <c r="C477" s="31">
        <f>(Table26[[#This Row],[M2 Money Stock, Billions of Dollars, Monthly, Seasonally Adjusted]]-B476)/B476</f>
        <v>6.2951170308435545E-3</v>
      </c>
      <c r="D477" s="32">
        <f>((1+Table26[[#This Row],[Monthly change]])^12)-1</f>
        <v>7.8212553038775168E-2</v>
      </c>
    </row>
    <row r="478" spans="1:4" x14ac:dyDescent="0.2">
      <c r="A478" s="57">
        <v>35916</v>
      </c>
      <c r="B478" s="59">
        <f>VLOOKUP(Table26[[#This Row],[Date]],'DB Money Supply'!$A:$E,5)</f>
        <v>4164.3999999999996</v>
      </c>
      <c r="C478" s="31">
        <f>(Table26[[#This Row],[M2 Money Stock, Billions of Dollars, Monthly, Seasonally Adjusted]]-B477)/B477</f>
        <v>5.8451282546736439E-3</v>
      </c>
      <c r="D478" s="32">
        <f>((1+Table26[[#This Row],[Monthly change]])^12)-1</f>
        <v>7.2440981318408593E-2</v>
      </c>
    </row>
    <row r="479" spans="1:4" x14ac:dyDescent="0.2">
      <c r="A479" s="34">
        <v>35947</v>
      </c>
      <c r="B479" s="59">
        <f>VLOOKUP(Table26[[#This Row],[Date]],'DB Money Supply'!$A:$E,5)</f>
        <v>4184.1000000000004</v>
      </c>
      <c r="C479" s="31">
        <f>(Table26[[#This Row],[M2 Money Stock, Billions of Dollars, Monthly, Seasonally Adjusted]]-B478)/B478</f>
        <v>4.7305734319471543E-3</v>
      </c>
      <c r="D479" s="32">
        <f>((1+Table26[[#This Row],[Monthly change]])^12)-1</f>
        <v>5.8267390118596829E-2</v>
      </c>
    </row>
    <row r="480" spans="1:4" x14ac:dyDescent="0.2">
      <c r="A480" s="57">
        <v>35977</v>
      </c>
      <c r="B480" s="59">
        <f>VLOOKUP(Table26[[#This Row],[Date]],'DB Money Supply'!$A:$E,5)</f>
        <v>4203.8</v>
      </c>
      <c r="C480" s="31">
        <f>(Table26[[#This Row],[M2 Money Stock, Billions of Dollars, Monthly, Seasonally Adjusted]]-B479)/B479</f>
        <v>4.7083004708300029E-3</v>
      </c>
      <c r="D480" s="32">
        <f>((1+Table26[[#This Row],[Monthly change]])^12)-1</f>
        <v>5.7985907196723474E-2</v>
      </c>
    </row>
    <row r="481" spans="1:4" x14ac:dyDescent="0.2">
      <c r="A481" s="57">
        <v>36008</v>
      </c>
      <c r="B481" s="59">
        <f>VLOOKUP(Table26[[#This Row],[Date]],'DB Money Supply'!$A:$E,5)</f>
        <v>4228.7</v>
      </c>
      <c r="C481" s="31">
        <f>(Table26[[#This Row],[M2 Money Stock, Billions of Dollars, Monthly, Seasonally Adjusted]]-B480)/B480</f>
        <v>5.9232123316998037E-3</v>
      </c>
      <c r="D481" s="32">
        <f>((1+Table26[[#This Row],[Monthly change]])^12)-1</f>
        <v>7.3440455199961008E-2</v>
      </c>
    </row>
    <row r="482" spans="1:4" x14ac:dyDescent="0.2">
      <c r="A482" s="34">
        <v>36039</v>
      </c>
      <c r="B482" s="59">
        <f>VLOOKUP(Table26[[#This Row],[Date]],'DB Money Supply'!$A:$E,5)</f>
        <v>4267.6000000000004</v>
      </c>
      <c r="C482" s="31">
        <f>(Table26[[#This Row],[M2 Money Stock, Billions of Dollars, Monthly, Seasonally Adjusted]]-B481)/B481</f>
        <v>9.1990446236433297E-3</v>
      </c>
      <c r="D482" s="32">
        <f>((1+Table26[[#This Row],[Monthly change]])^12)-1</f>
        <v>0.11614847073974222</v>
      </c>
    </row>
    <row r="483" spans="1:4" x14ac:dyDescent="0.2">
      <c r="A483" s="57">
        <v>36069</v>
      </c>
      <c r="B483" s="59">
        <f>VLOOKUP(Table26[[#This Row],[Date]],'DB Money Supply'!$A:$E,5)</f>
        <v>4307.7</v>
      </c>
      <c r="C483" s="31">
        <f>(Table26[[#This Row],[M2 Money Stock, Billions of Dollars, Monthly, Seasonally Adjusted]]-B482)/B482</f>
        <v>9.3963820414283087E-3</v>
      </c>
      <c r="D483" s="32">
        <f>((1+Table26[[#This Row],[Monthly change]])^12)-1</f>
        <v>0.11877029118399252</v>
      </c>
    </row>
    <row r="484" spans="1:4" x14ac:dyDescent="0.2">
      <c r="A484" s="34">
        <v>36100</v>
      </c>
      <c r="B484" s="59">
        <f>VLOOKUP(Table26[[#This Row],[Date]],'DB Money Supply'!$A:$E,5)</f>
        <v>4346.3999999999996</v>
      </c>
      <c r="C484" s="31">
        <f>(Table26[[#This Row],[M2 Money Stock, Billions of Dollars, Monthly, Seasonally Adjusted]]-B483)/B483</f>
        <v>8.9839125287275862E-3</v>
      </c>
      <c r="D484" s="32">
        <f>((1+Table26[[#This Row],[Monthly change]])^12)-1</f>
        <v>0.11329664838638842</v>
      </c>
    </row>
    <row r="485" spans="1:4" x14ac:dyDescent="0.2">
      <c r="A485" s="57">
        <v>36130</v>
      </c>
      <c r="B485" s="59">
        <f>VLOOKUP(Table26[[#This Row],[Date]],'DB Money Supply'!$A:$E,5)</f>
        <v>4375.2</v>
      </c>
      <c r="C485" s="31">
        <f>(Table26[[#This Row],[M2 Money Stock, Billions of Dollars, Monthly, Seasonally Adjusted]]-B484)/B484</f>
        <v>6.6261733848702797E-3</v>
      </c>
      <c r="D485" s="32">
        <f>((1+Table26[[#This Row],[Monthly change]])^12)-1</f>
        <v>8.2476857099379242E-2</v>
      </c>
    </row>
    <row r="486" spans="1:4" x14ac:dyDescent="0.2">
      <c r="A486" s="34">
        <v>36161</v>
      </c>
      <c r="B486" s="59">
        <f>VLOOKUP(Table26[[#This Row],[Date]],'DB Money Supply'!$A:$E,5)</f>
        <v>4402.6000000000004</v>
      </c>
      <c r="C486" s="31">
        <f>(Table26[[#This Row],[M2 Money Stock, Billions of Dollars, Monthly, Seasonally Adjusted]]-B485)/B485</f>
        <v>6.2625708539039461E-3</v>
      </c>
      <c r="D486" s="32">
        <f>((1+Table26[[#This Row],[Monthly change]])^12)-1</f>
        <v>7.7794161403738515E-2</v>
      </c>
    </row>
    <row r="487" spans="1:4" x14ac:dyDescent="0.2">
      <c r="A487" s="57">
        <v>36192</v>
      </c>
      <c r="B487" s="59">
        <f>VLOOKUP(Table26[[#This Row],[Date]],'DB Money Supply'!$A:$E,5)</f>
        <v>4425.3</v>
      </c>
      <c r="C487" s="31">
        <f>(Table26[[#This Row],[M2 Money Stock, Billions of Dollars, Monthly, Seasonally Adjusted]]-B486)/B486</f>
        <v>5.1560441557261198E-3</v>
      </c>
      <c r="D487" s="32">
        <f>((1+Table26[[#This Row],[Monthly change]])^12)-1</f>
        <v>6.36576347609632E-2</v>
      </c>
    </row>
    <row r="488" spans="1:4" x14ac:dyDescent="0.2">
      <c r="A488" s="34">
        <v>36220</v>
      </c>
      <c r="B488" s="59">
        <f>VLOOKUP(Table26[[#This Row],[Date]],'DB Money Supply'!$A:$E,5)</f>
        <v>4432.1000000000004</v>
      </c>
      <c r="C488" s="31">
        <f>(Table26[[#This Row],[M2 Money Stock, Billions of Dollars, Monthly, Seasonally Adjusted]]-B487)/B487</f>
        <v>1.5366189862834568E-3</v>
      </c>
      <c r="D488" s="32">
        <f>((1+Table26[[#This Row],[Monthly change]])^12)-1</f>
        <v>1.8596067881484046E-2</v>
      </c>
    </row>
    <row r="489" spans="1:4" x14ac:dyDescent="0.2">
      <c r="A489" s="57">
        <v>36251</v>
      </c>
      <c r="B489" s="59">
        <f>VLOOKUP(Table26[[#This Row],[Date]],'DB Money Supply'!$A:$E,5)</f>
        <v>4460.7</v>
      </c>
      <c r="C489" s="31">
        <f>(Table26[[#This Row],[M2 Money Stock, Billions of Dollars, Monthly, Seasonally Adjusted]]-B488)/B488</f>
        <v>6.4529229936146418E-3</v>
      </c>
      <c r="D489" s="32">
        <f>((1+Table26[[#This Row],[Monthly change]])^12)-1</f>
        <v>8.0243311579260235E-2</v>
      </c>
    </row>
    <row r="490" spans="1:4" x14ac:dyDescent="0.2">
      <c r="A490" s="34">
        <v>36281</v>
      </c>
      <c r="B490" s="59">
        <f>VLOOKUP(Table26[[#This Row],[Date]],'DB Money Supply'!$A:$E,5)</f>
        <v>4485.3</v>
      </c>
      <c r="C490" s="31">
        <f>(Table26[[#This Row],[M2 Money Stock, Billions of Dollars, Monthly, Seasonally Adjusted]]-B489)/B489</f>
        <v>5.5148295110633676E-3</v>
      </c>
      <c r="D490" s="32">
        <f>((1+Table26[[#This Row],[Monthly change]])^12)-1</f>
        <v>6.8222596169400518E-2</v>
      </c>
    </row>
    <row r="491" spans="1:4" x14ac:dyDescent="0.2">
      <c r="A491" s="57">
        <v>36312</v>
      </c>
      <c r="B491" s="59">
        <f>VLOOKUP(Table26[[#This Row],[Date]],'DB Money Supply'!$A:$E,5)</f>
        <v>4507.2</v>
      </c>
      <c r="C491" s="31">
        <f>(Table26[[#This Row],[M2 Money Stock, Billions of Dollars, Monthly, Seasonally Adjusted]]-B490)/B490</f>
        <v>4.8826165473880535E-3</v>
      </c>
      <c r="D491" s="32">
        <f>((1+Table26[[#This Row],[Monthly change]])^12)-1</f>
        <v>6.0190726723299726E-2</v>
      </c>
    </row>
    <row r="492" spans="1:4" x14ac:dyDescent="0.2">
      <c r="A492" s="34">
        <v>36342</v>
      </c>
      <c r="B492" s="59">
        <f>VLOOKUP(Table26[[#This Row],[Date]],'DB Money Supply'!$A:$E,5)</f>
        <v>4534.5</v>
      </c>
      <c r="C492" s="31">
        <f>(Table26[[#This Row],[M2 Money Stock, Billions of Dollars, Monthly, Seasonally Adjusted]]-B491)/B491</f>
        <v>6.0569755058573352E-3</v>
      </c>
      <c r="D492" s="32">
        <f>((1+Table26[[#This Row],[Monthly change]])^12)-1</f>
        <v>7.5154604293405702E-2</v>
      </c>
    </row>
    <row r="493" spans="1:4" x14ac:dyDescent="0.2">
      <c r="A493" s="57">
        <v>36373</v>
      </c>
      <c r="B493" s="59">
        <f>VLOOKUP(Table26[[#This Row],[Date]],'DB Money Supply'!$A:$E,5)</f>
        <v>4551.7</v>
      </c>
      <c r="C493" s="31">
        <f>(Table26[[#This Row],[M2 Money Stock, Billions of Dollars, Monthly, Seasonally Adjusted]]-B492)/B492</f>
        <v>3.7931414709449374E-3</v>
      </c>
      <c r="D493" s="32">
        <f>((1+Table26[[#This Row],[Monthly change]])^12)-1</f>
        <v>4.6479410206897054E-2</v>
      </c>
    </row>
    <row r="494" spans="1:4" x14ac:dyDescent="0.2">
      <c r="A494" s="34">
        <v>36404</v>
      </c>
      <c r="B494" s="59">
        <f>VLOOKUP(Table26[[#This Row],[Date]],'DB Money Supply'!$A:$E,5)</f>
        <v>4567.7</v>
      </c>
      <c r="C494" s="31">
        <f>(Table26[[#This Row],[M2 Money Stock, Billions of Dollars, Monthly, Seasonally Adjusted]]-B493)/B493</f>
        <v>3.5151701562053739E-3</v>
      </c>
      <c r="D494" s="32">
        <f>((1+Table26[[#This Row],[Monthly change]])^12)-1</f>
        <v>4.3007197362522342E-2</v>
      </c>
    </row>
    <row r="495" spans="1:4" x14ac:dyDescent="0.2">
      <c r="A495" s="57">
        <v>36434</v>
      </c>
      <c r="B495" s="59">
        <f>VLOOKUP(Table26[[#This Row],[Date]],'DB Money Supply'!$A:$E,5)</f>
        <v>4591.5</v>
      </c>
      <c r="C495" s="31">
        <f>(Table26[[#This Row],[M2 Money Stock, Billions of Dollars, Monthly, Seasonally Adjusted]]-B494)/B494</f>
        <v>5.2104998139107612E-3</v>
      </c>
      <c r="D495" s="32">
        <f>((1+Table26[[#This Row],[Monthly change]])^12)-1</f>
        <v>6.4349341555299144E-2</v>
      </c>
    </row>
    <row r="496" spans="1:4" x14ac:dyDescent="0.2">
      <c r="A496" s="34">
        <v>36465</v>
      </c>
      <c r="B496" s="59">
        <f>VLOOKUP(Table26[[#This Row],[Date]],'DB Money Supply'!$A:$E,5)</f>
        <v>4610.5</v>
      </c>
      <c r="C496" s="31">
        <f>(Table26[[#This Row],[M2 Money Stock, Billions of Dollars, Monthly, Seasonally Adjusted]]-B495)/B495</f>
        <v>4.138081237068496E-3</v>
      </c>
      <c r="D496" s="32">
        <f>((1+Table26[[#This Row],[Monthly change]])^12)-1</f>
        <v>5.0802875285047788E-2</v>
      </c>
    </row>
    <row r="497" spans="1:4" x14ac:dyDescent="0.2">
      <c r="A497" s="57">
        <v>36495</v>
      </c>
      <c r="B497" s="59">
        <f>VLOOKUP(Table26[[#This Row],[Date]],'DB Money Supply'!$A:$E,5)</f>
        <v>4638</v>
      </c>
      <c r="C497" s="31">
        <f>(Table26[[#This Row],[M2 Money Stock, Billions of Dollars, Monthly, Seasonally Adjusted]]-B496)/B496</f>
        <v>5.9646459169287493E-3</v>
      </c>
      <c r="D497" s="32">
        <f>((1+Table26[[#This Row],[Monthly change]])^12)-1</f>
        <v>7.397115054438208E-2</v>
      </c>
    </row>
    <row r="498" spans="1:4" x14ac:dyDescent="0.2">
      <c r="A498" s="34">
        <v>36526</v>
      </c>
      <c r="B498" s="59">
        <f>VLOOKUP(Table26[[#This Row],[Date]],'DB Money Supply'!$A:$E,5)</f>
        <v>4666.2</v>
      </c>
      <c r="C498" s="31">
        <f>(Table26[[#This Row],[M2 Money Stock, Billions of Dollars, Monthly, Seasonally Adjusted]]-B497)/B497</f>
        <v>6.0802069857696893E-3</v>
      </c>
      <c r="D498" s="32">
        <f>((1+Table26[[#This Row],[Monthly change]])^12)-1</f>
        <v>7.5452566802596044E-2</v>
      </c>
    </row>
    <row r="499" spans="1:4" x14ac:dyDescent="0.2">
      <c r="A499" s="57">
        <v>36557</v>
      </c>
      <c r="B499" s="59">
        <f>VLOOKUP(Table26[[#This Row],[Date]],'DB Money Supply'!$A:$E,5)</f>
        <v>4679.3999999999996</v>
      </c>
      <c r="C499" s="31">
        <f>(Table26[[#This Row],[M2 Money Stock, Billions of Dollars, Monthly, Seasonally Adjusted]]-B498)/B498</f>
        <v>2.8288543140027899E-3</v>
      </c>
      <c r="D499" s="32">
        <f>((1+Table26[[#This Row],[Monthly change]])^12)-1</f>
        <v>3.4479423402935971E-2</v>
      </c>
    </row>
    <row r="500" spans="1:4" x14ac:dyDescent="0.2">
      <c r="A500" s="57">
        <v>36586</v>
      </c>
      <c r="B500" s="59">
        <f>VLOOKUP(Table26[[#This Row],[Date]],'DB Money Supply'!$A:$E,5)</f>
        <v>4710.2</v>
      </c>
      <c r="C500" s="31">
        <f>(Table26[[#This Row],[M2 Money Stock, Billions of Dollars, Monthly, Seasonally Adjusted]]-B499)/B499</f>
        <v>6.5820404325341248E-3</v>
      </c>
      <c r="D500" s="32">
        <f>((1+Table26[[#This Row],[Monthly change]])^12)-1</f>
        <v>8.1907493224189887E-2</v>
      </c>
    </row>
    <row r="501" spans="1:4" x14ac:dyDescent="0.2">
      <c r="A501" s="34">
        <v>36617</v>
      </c>
      <c r="B501" s="59">
        <f>VLOOKUP(Table26[[#This Row],[Date]],'DB Money Supply'!$A:$E,5)</f>
        <v>4766.1000000000004</v>
      </c>
      <c r="C501" s="31">
        <f>(Table26[[#This Row],[M2 Money Stock, Billions of Dollars, Monthly, Seasonally Adjusted]]-B500)/B500</f>
        <v>1.186786123731488E-2</v>
      </c>
      <c r="D501" s="32">
        <f>((1+Table26[[#This Row],[Monthly change]])^12)-1</f>
        <v>0.1520879274605218</v>
      </c>
    </row>
    <row r="502" spans="1:4" x14ac:dyDescent="0.2">
      <c r="A502" s="57">
        <v>36647</v>
      </c>
      <c r="B502" s="59">
        <f>VLOOKUP(Table26[[#This Row],[Date]],'DB Money Supply'!$A:$E,5)</f>
        <v>4753.8999999999996</v>
      </c>
      <c r="C502" s="31">
        <f>(Table26[[#This Row],[M2 Money Stock, Billions of Dollars, Monthly, Seasonally Adjusted]]-B501)/B501</f>
        <v>-2.5597448647742865E-3</v>
      </c>
      <c r="D502" s="32">
        <f>((1+Table26[[#This Row],[Monthly change]])^12)-1</f>
        <v>-3.0288155707529185E-2</v>
      </c>
    </row>
    <row r="503" spans="1:4" x14ac:dyDescent="0.2">
      <c r="A503" s="34">
        <v>36678</v>
      </c>
      <c r="B503" s="59">
        <f>VLOOKUP(Table26[[#This Row],[Date]],'DB Money Supply'!$A:$E,5)</f>
        <v>4771.8</v>
      </c>
      <c r="C503" s="31">
        <f>(Table26[[#This Row],[M2 Money Stock, Billions of Dollars, Monthly, Seasonally Adjusted]]-B502)/B502</f>
        <v>3.7653295189214219E-3</v>
      </c>
      <c r="D503" s="32">
        <f>((1+Table26[[#This Row],[Monthly change]])^12)-1</f>
        <v>4.6131527371254588E-2</v>
      </c>
    </row>
    <row r="504" spans="1:4" x14ac:dyDescent="0.2">
      <c r="A504" s="57">
        <v>36708</v>
      </c>
      <c r="B504" s="59">
        <f>VLOOKUP(Table26[[#This Row],[Date]],'DB Money Supply'!$A:$E,5)</f>
        <v>4789.3999999999996</v>
      </c>
      <c r="C504" s="31">
        <f>(Table26[[#This Row],[M2 Money Stock, Billions of Dollars, Monthly, Seasonally Adjusted]]-B503)/B503</f>
        <v>3.6883356385429928E-3</v>
      </c>
      <c r="D504" s="32">
        <f>((1+Table26[[#This Row],[Monthly change]])^12)-1</f>
        <v>4.51690105174678E-2</v>
      </c>
    </row>
    <row r="505" spans="1:4" x14ac:dyDescent="0.2">
      <c r="A505" s="34">
        <v>36739</v>
      </c>
      <c r="B505" s="59">
        <f>VLOOKUP(Table26[[#This Row],[Date]],'DB Money Supply'!$A:$E,5)</f>
        <v>4817.5</v>
      </c>
      <c r="C505" s="31">
        <f>(Table26[[#This Row],[M2 Money Stock, Billions of Dollars, Monthly, Seasonally Adjusted]]-B504)/B504</f>
        <v>5.867123230467358E-3</v>
      </c>
      <c r="D505" s="32">
        <f>((1+Table26[[#This Row],[Monthly change]])^12)-1</f>
        <v>7.2722430021636475E-2</v>
      </c>
    </row>
    <row r="506" spans="1:4" x14ac:dyDescent="0.2">
      <c r="A506" s="57">
        <v>36770</v>
      </c>
      <c r="B506" s="59">
        <f>VLOOKUP(Table26[[#This Row],[Date]],'DB Money Supply'!$A:$E,5)</f>
        <v>4853.2</v>
      </c>
      <c r="C506" s="31">
        <f>(Table26[[#This Row],[M2 Money Stock, Billions of Dollars, Monthly, Seasonally Adjusted]]-B505)/B505</f>
        <v>7.410482615464415E-3</v>
      </c>
      <c r="D506" s="32">
        <f>((1+Table26[[#This Row],[Monthly change]])^12)-1</f>
        <v>9.2641237349631478E-2</v>
      </c>
    </row>
    <row r="507" spans="1:4" x14ac:dyDescent="0.2">
      <c r="A507" s="34">
        <v>36800</v>
      </c>
      <c r="B507" s="59">
        <f>VLOOKUP(Table26[[#This Row],[Date]],'DB Money Supply'!$A:$E,5)</f>
        <v>4869.2</v>
      </c>
      <c r="C507" s="31">
        <f>(Table26[[#This Row],[M2 Money Stock, Billions of Dollars, Monthly, Seasonally Adjusted]]-B506)/B506</f>
        <v>3.2967938679634057E-3</v>
      </c>
      <c r="D507" s="32">
        <f>((1+Table26[[#This Row],[Monthly change]])^12)-1</f>
        <v>4.0286812406433947E-2</v>
      </c>
    </row>
    <row r="508" spans="1:4" x14ac:dyDescent="0.2">
      <c r="A508" s="57">
        <v>36831</v>
      </c>
      <c r="B508" s="59">
        <f>VLOOKUP(Table26[[#This Row],[Date]],'DB Money Supply'!$A:$E,5)</f>
        <v>4880.1000000000004</v>
      </c>
      <c r="C508" s="31">
        <f>(Table26[[#This Row],[M2 Money Stock, Billions of Dollars, Monthly, Seasonally Adjusted]]-B507)/B507</f>
        <v>2.2385607491991594E-3</v>
      </c>
      <c r="D508" s="32">
        <f>((1+Table26[[#This Row],[Monthly change]])^12)-1</f>
        <v>2.7195945554437939E-2</v>
      </c>
    </row>
    <row r="509" spans="1:4" x14ac:dyDescent="0.2">
      <c r="A509" s="34">
        <v>36861</v>
      </c>
      <c r="B509" s="59">
        <f>VLOOKUP(Table26[[#This Row],[Date]],'DB Money Supply'!$A:$E,5)</f>
        <v>4924.7</v>
      </c>
      <c r="C509" s="31">
        <f>(Table26[[#This Row],[M2 Money Stock, Billions of Dollars, Monthly, Seasonally Adjusted]]-B508)/B508</f>
        <v>9.1391569844879103E-3</v>
      </c>
      <c r="D509" s="32">
        <f>((1+Table26[[#This Row],[Monthly change]])^12)-1</f>
        <v>0.11535391963300845</v>
      </c>
    </row>
    <row r="510" spans="1:4" x14ac:dyDescent="0.2">
      <c r="A510" s="57">
        <v>36892</v>
      </c>
      <c r="B510" s="59">
        <f>VLOOKUP(Table26[[#This Row],[Date]],'DB Money Supply'!$A:$E,5)</f>
        <v>4975.3</v>
      </c>
      <c r="C510" s="31">
        <f>(Table26[[#This Row],[M2 Money Stock, Billions of Dollars, Monthly, Seasonally Adjusted]]-B509)/B509</f>
        <v>1.0274737547464894E-2</v>
      </c>
      <c r="D510" s="32">
        <f>((1+Table26[[#This Row],[Monthly change]])^12)-1</f>
        <v>0.13050872987526962</v>
      </c>
    </row>
    <row r="511" spans="1:4" x14ac:dyDescent="0.2">
      <c r="A511" s="34">
        <v>36923</v>
      </c>
      <c r="B511" s="59">
        <f>VLOOKUP(Table26[[#This Row],[Date]],'DB Money Supply'!$A:$E,5)</f>
        <v>5013.5</v>
      </c>
      <c r="C511" s="31">
        <f>(Table26[[#This Row],[M2 Money Stock, Billions of Dollars, Monthly, Seasonally Adjusted]]-B510)/B510</f>
        <v>7.6779289691073539E-3</v>
      </c>
      <c r="D511" s="32">
        <f>((1+Table26[[#This Row],[Monthly change]])^12)-1</f>
        <v>9.6127204380139553E-2</v>
      </c>
    </row>
    <row r="512" spans="1:4" x14ac:dyDescent="0.2">
      <c r="A512" s="57">
        <v>36951</v>
      </c>
      <c r="B512" s="59">
        <f>VLOOKUP(Table26[[#This Row],[Date]],'DB Money Supply'!$A:$E,5)</f>
        <v>5071.2</v>
      </c>
      <c r="C512" s="31">
        <f>(Table26[[#This Row],[M2 Money Stock, Billions of Dollars, Monthly, Seasonally Adjusted]]-B511)/B511</f>
        <v>1.1508925900069775E-2</v>
      </c>
      <c r="D512" s="32">
        <f>((1+Table26[[#This Row],[Monthly change]])^12)-1</f>
        <v>0.14719338435586637</v>
      </c>
    </row>
    <row r="513" spans="1:4" x14ac:dyDescent="0.2">
      <c r="A513" s="34">
        <v>36982</v>
      </c>
      <c r="B513" s="59">
        <f>VLOOKUP(Table26[[#This Row],[Date]],'DB Money Supply'!$A:$E,5)</f>
        <v>5135.2</v>
      </c>
      <c r="C513" s="31">
        <f>(Table26[[#This Row],[M2 Money Stock, Billions of Dollars, Monthly, Seasonally Adjusted]]-B512)/B512</f>
        <v>1.2620287111531788E-2</v>
      </c>
      <c r="D513" s="32">
        <f>((1+Table26[[#This Row],[Monthly change]])^12)-1</f>
        <v>0.16241040010605268</v>
      </c>
    </row>
    <row r="514" spans="1:4" x14ac:dyDescent="0.2">
      <c r="A514" s="57">
        <v>37012</v>
      </c>
      <c r="B514" s="59">
        <f>VLOOKUP(Table26[[#This Row],[Date]],'DB Money Supply'!$A:$E,5)</f>
        <v>5132.2</v>
      </c>
      <c r="C514" s="31">
        <f>(Table26[[#This Row],[M2 Money Stock, Billions of Dollars, Monthly, Seasonally Adjusted]]-B513)/B513</f>
        <v>-5.8420314690761806E-4</v>
      </c>
      <c r="D514" s="32">
        <f>((1+Table26[[#This Row],[Monthly change]])^12)-1</f>
        <v>-6.9879562109936844E-3</v>
      </c>
    </row>
    <row r="515" spans="1:4" x14ac:dyDescent="0.2">
      <c r="A515" s="34">
        <v>37043</v>
      </c>
      <c r="B515" s="59">
        <f>VLOOKUP(Table26[[#This Row],[Date]],'DB Money Supply'!$A:$E,5)</f>
        <v>5172.5</v>
      </c>
      <c r="C515" s="31">
        <f>(Table26[[#This Row],[M2 Money Stock, Billions of Dollars, Monthly, Seasonally Adjusted]]-B514)/B514</f>
        <v>7.8523829936479831E-3</v>
      </c>
      <c r="D515" s="32">
        <f>((1+Table26[[#This Row],[Monthly change]])^12)-1</f>
        <v>9.8406575387650408E-2</v>
      </c>
    </row>
    <row r="516" spans="1:4" x14ac:dyDescent="0.2">
      <c r="A516" s="57">
        <v>37073</v>
      </c>
      <c r="B516" s="59">
        <f>VLOOKUP(Table26[[#This Row],[Date]],'DB Money Supply'!$A:$E,5)</f>
        <v>5202.3999999999996</v>
      </c>
      <c r="C516" s="31">
        <f>(Table26[[#This Row],[M2 Money Stock, Billions of Dollars, Monthly, Seasonally Adjusted]]-B515)/B515</f>
        <v>5.7805703238278661E-3</v>
      </c>
      <c r="D516" s="32">
        <f>((1+Table26[[#This Row],[Monthly change]])^12)-1</f>
        <v>7.1615285984311772E-2</v>
      </c>
    </row>
    <row r="517" spans="1:4" x14ac:dyDescent="0.2">
      <c r="A517" s="34">
        <v>37104</v>
      </c>
      <c r="B517" s="59">
        <f>VLOOKUP(Table26[[#This Row],[Date]],'DB Money Supply'!$A:$E,5)</f>
        <v>5236.3</v>
      </c>
      <c r="C517" s="31">
        <f>(Table26[[#This Row],[M2 Money Stock, Billions of Dollars, Monthly, Seasonally Adjusted]]-B516)/B516</f>
        <v>6.5162232815624615E-3</v>
      </c>
      <c r="D517" s="32">
        <f>((1+Table26[[#This Row],[Monthly change]])^12)-1</f>
        <v>8.1058889177882731E-2</v>
      </c>
    </row>
    <row r="518" spans="1:4" x14ac:dyDescent="0.2">
      <c r="A518" s="57">
        <v>37135</v>
      </c>
      <c r="B518" s="59">
        <f>VLOOKUP(Table26[[#This Row],[Date]],'DB Money Supply'!$A:$E,5)</f>
        <v>5347.4</v>
      </c>
      <c r="C518" s="31">
        <f>(Table26[[#This Row],[M2 Money Stock, Billions of Dollars, Monthly, Seasonally Adjusted]]-B517)/B517</f>
        <v>2.1217271737677262E-2</v>
      </c>
      <c r="D518" s="32">
        <f>((1+Table26[[#This Row],[Monthly change]])^12)-1</f>
        <v>0.28652377513321658</v>
      </c>
    </row>
    <row r="519" spans="1:4" x14ac:dyDescent="0.2">
      <c r="A519" s="57">
        <v>37165</v>
      </c>
      <c r="B519" s="59">
        <f>VLOOKUP(Table26[[#This Row],[Date]],'DB Money Supply'!$A:$E,5)</f>
        <v>5336</v>
      </c>
      <c r="C519" s="31">
        <f>(Table26[[#This Row],[M2 Money Stock, Billions of Dollars, Monthly, Seasonally Adjusted]]-B518)/B518</f>
        <v>-2.1318771739536292E-3</v>
      </c>
      <c r="D519" s="32">
        <f>((1+Table26[[#This Row],[Monthly change]])^12)-1</f>
        <v>-2.5284684095874588E-2</v>
      </c>
    </row>
    <row r="520" spans="1:4" x14ac:dyDescent="0.2">
      <c r="A520" s="34">
        <v>37196</v>
      </c>
      <c r="B520" s="59">
        <f>VLOOKUP(Table26[[#This Row],[Date]],'DB Money Supply'!$A:$E,5)</f>
        <v>5379.6</v>
      </c>
      <c r="C520" s="31">
        <f>(Table26[[#This Row],[M2 Money Stock, Billions of Dollars, Monthly, Seasonally Adjusted]]-B519)/B519</f>
        <v>8.1709145427287036E-3</v>
      </c>
      <c r="D520" s="32">
        <f>((1+Table26[[#This Row],[Monthly change]])^12)-1</f>
        <v>0.10257963855514318</v>
      </c>
    </row>
    <row r="521" spans="1:4" x14ac:dyDescent="0.2">
      <c r="A521" s="57">
        <v>37226</v>
      </c>
      <c r="B521" s="59">
        <f>VLOOKUP(Table26[[#This Row],[Date]],'DB Money Supply'!$A:$E,5)</f>
        <v>5432.7</v>
      </c>
      <c r="C521" s="31">
        <f>(Table26[[#This Row],[M2 Money Stock, Billions of Dollars, Monthly, Seasonally Adjusted]]-B520)/B520</f>
        <v>9.8706223511040685E-3</v>
      </c>
      <c r="D521" s="32">
        <f>((1+Table26[[#This Row],[Monthly change]])^12)-1</f>
        <v>0.12509413936627811</v>
      </c>
    </row>
    <row r="522" spans="1:4" x14ac:dyDescent="0.2">
      <c r="A522" s="34">
        <v>37257</v>
      </c>
      <c r="B522" s="59">
        <f>VLOOKUP(Table26[[#This Row],[Date]],'DB Money Supply'!$A:$E,5)</f>
        <v>5453</v>
      </c>
      <c r="C522" s="31">
        <f>(Table26[[#This Row],[M2 Money Stock, Billions of Dollars, Monthly, Seasonally Adjusted]]-B521)/B521</f>
        <v>3.7366318773354285E-3</v>
      </c>
      <c r="D522" s="32">
        <f>((1+Table26[[#This Row],[Monthly change]])^12)-1</f>
        <v>4.5772677112602134E-2</v>
      </c>
    </row>
    <row r="523" spans="1:4" x14ac:dyDescent="0.2">
      <c r="A523" s="57">
        <v>37288</v>
      </c>
      <c r="B523" s="59">
        <f>VLOOKUP(Table26[[#This Row],[Date]],'DB Money Supply'!$A:$E,5)</f>
        <v>5482.4</v>
      </c>
      <c r="C523" s="31">
        <f>(Table26[[#This Row],[M2 Money Stock, Billions of Dollars, Monthly, Seasonally Adjusted]]-B522)/B522</f>
        <v>5.3915275994864545E-3</v>
      </c>
      <c r="D523" s="32">
        <f>((1+Table26[[#This Row],[Monthly change]])^12)-1</f>
        <v>6.6651757980516591E-2</v>
      </c>
    </row>
    <row r="524" spans="1:4" x14ac:dyDescent="0.2">
      <c r="A524" s="34">
        <v>37316</v>
      </c>
      <c r="B524" s="59">
        <f>VLOOKUP(Table26[[#This Row],[Date]],'DB Money Supply'!$A:$E,5)</f>
        <v>5494.2</v>
      </c>
      <c r="C524" s="31">
        <f>(Table26[[#This Row],[M2 Money Stock, Billions of Dollars, Monthly, Seasonally Adjusted]]-B523)/B523</f>
        <v>2.1523420399825227E-3</v>
      </c>
      <c r="D524" s="32">
        <f>((1+Table26[[#This Row],[Monthly change]])^12)-1</f>
        <v>2.6136058768008841E-2</v>
      </c>
    </row>
    <row r="525" spans="1:4" x14ac:dyDescent="0.2">
      <c r="A525" s="57">
        <v>37347</v>
      </c>
      <c r="B525" s="59">
        <f>VLOOKUP(Table26[[#This Row],[Date]],'DB Money Supply'!$A:$E,5)</f>
        <v>5494.4</v>
      </c>
      <c r="C525" s="31">
        <f>(Table26[[#This Row],[M2 Money Stock, Billions of Dollars, Monthly, Seasonally Adjusted]]-B524)/B524</f>
        <v>3.6402023952498657E-5</v>
      </c>
      <c r="D525" s="32">
        <f>((1+Table26[[#This Row],[Monthly change]])^12)-1</f>
        <v>4.3691175512794445E-4</v>
      </c>
    </row>
    <row r="526" spans="1:4" x14ac:dyDescent="0.2">
      <c r="A526" s="34">
        <v>37377</v>
      </c>
      <c r="B526" s="59">
        <f>VLOOKUP(Table26[[#This Row],[Date]],'DB Money Supply'!$A:$E,5)</f>
        <v>5520.6</v>
      </c>
      <c r="C526" s="31">
        <f>(Table26[[#This Row],[M2 Money Stock, Billions of Dollars, Monthly, Seasonally Adjusted]]-B525)/B525</f>
        <v>4.7684915550379892E-3</v>
      </c>
      <c r="D526" s="32">
        <f>((1+Table26[[#This Row],[Monthly change]])^12)-1</f>
        <v>5.8746752579921457E-2</v>
      </c>
    </row>
    <row r="527" spans="1:4" x14ac:dyDescent="0.2">
      <c r="A527" s="57">
        <v>37408</v>
      </c>
      <c r="B527" s="59">
        <f>VLOOKUP(Table26[[#This Row],[Date]],'DB Money Supply'!$A:$E,5)</f>
        <v>5545.6</v>
      </c>
      <c r="C527" s="31">
        <f>(Table26[[#This Row],[M2 Money Stock, Billions of Dollars, Monthly, Seasonally Adjusted]]-B526)/B526</f>
        <v>4.5284932797159724E-3</v>
      </c>
      <c r="D527" s="32">
        <f>((1+Table26[[#This Row],[Monthly change]])^12)-1</f>
        <v>5.5716038364245879E-2</v>
      </c>
    </row>
    <row r="528" spans="1:4" x14ac:dyDescent="0.2">
      <c r="A528" s="34">
        <v>37438</v>
      </c>
      <c r="B528" s="59">
        <f>VLOOKUP(Table26[[#This Row],[Date]],'DB Money Supply'!$A:$E,5)</f>
        <v>5588.2</v>
      </c>
      <c r="C528" s="31">
        <f>(Table26[[#This Row],[M2 Money Stock, Billions of Dollars, Monthly, Seasonally Adjusted]]-B527)/B527</f>
        <v>7.6817657241776277E-3</v>
      </c>
      <c r="D528" s="32">
        <f>((1+Table26[[#This Row],[Monthly change]])^12)-1</f>
        <v>9.6177287759676044E-2</v>
      </c>
    </row>
    <row r="529" spans="1:4" x14ac:dyDescent="0.2">
      <c r="A529" s="57">
        <v>37469</v>
      </c>
      <c r="B529" s="59">
        <f>VLOOKUP(Table26[[#This Row],[Date]],'DB Money Supply'!$A:$E,5)</f>
        <v>5630.6</v>
      </c>
      <c r="C529" s="31">
        <f>(Table26[[#This Row],[M2 Money Stock, Billions of Dollars, Monthly, Seasonally Adjusted]]-B528)/B528</f>
        <v>7.587416341576992E-3</v>
      </c>
      <c r="D529" s="32">
        <f>((1+Table26[[#This Row],[Monthly change]])^12)-1</f>
        <v>9.4946299039021076E-2</v>
      </c>
    </row>
    <row r="530" spans="1:4" x14ac:dyDescent="0.2">
      <c r="A530" s="34">
        <v>37500</v>
      </c>
      <c r="B530" s="59">
        <f>VLOOKUP(Table26[[#This Row],[Date]],'DB Money Supply'!$A:$E,5)</f>
        <v>5655</v>
      </c>
      <c r="C530" s="31">
        <f>(Table26[[#This Row],[M2 Money Stock, Billions of Dollars, Monthly, Seasonally Adjusted]]-B529)/B529</f>
        <v>4.3334635740417777E-3</v>
      </c>
      <c r="D530" s="32">
        <f>((1+Table26[[#This Row],[Monthly change]])^12)-1</f>
        <v>5.3259049593178398E-2</v>
      </c>
    </row>
    <row r="531" spans="1:4" x14ac:dyDescent="0.2">
      <c r="A531" s="57">
        <v>37530</v>
      </c>
      <c r="B531" s="59">
        <f>VLOOKUP(Table26[[#This Row],[Date]],'DB Money Supply'!$A:$E,5)</f>
        <v>5699.6</v>
      </c>
      <c r="C531" s="31">
        <f>(Table26[[#This Row],[M2 Money Stock, Billions of Dollars, Monthly, Seasonally Adjusted]]-B530)/B530</f>
        <v>7.8868258178603646E-3</v>
      </c>
      <c r="D531" s="32">
        <f>((1+Table26[[#This Row],[Monthly change]])^12)-1</f>
        <v>9.8857109655983599E-2</v>
      </c>
    </row>
    <row r="532" spans="1:4" x14ac:dyDescent="0.2">
      <c r="A532" s="34">
        <v>37561</v>
      </c>
      <c r="B532" s="59">
        <f>VLOOKUP(Table26[[#This Row],[Date]],'DB Money Supply'!$A:$E,5)</f>
        <v>5749.7</v>
      </c>
      <c r="C532" s="31">
        <f>(Table26[[#This Row],[M2 Money Stock, Billions of Dollars, Monthly, Seasonally Adjusted]]-B531)/B531</f>
        <v>8.7900905326688625E-3</v>
      </c>
      <c r="D532" s="32">
        <f>((1+Table26[[#This Row],[Monthly change]])^12)-1</f>
        <v>0.11073303710371518</v>
      </c>
    </row>
    <row r="533" spans="1:4" x14ac:dyDescent="0.2">
      <c r="A533" s="57">
        <v>37591</v>
      </c>
      <c r="B533" s="59">
        <f>VLOOKUP(Table26[[#This Row],[Date]],'DB Money Supply'!$A:$E,5)</f>
        <v>5770.9</v>
      </c>
      <c r="C533" s="31">
        <f>(Table26[[#This Row],[M2 Money Stock, Billions of Dollars, Monthly, Seasonally Adjusted]]-B532)/B532</f>
        <v>3.6871488947249108E-3</v>
      </c>
      <c r="D533" s="32">
        <f>((1+Table26[[#This Row],[Monthly change]])^12)-1</f>
        <v>4.5154181135653948E-2</v>
      </c>
    </row>
    <row r="534" spans="1:4" x14ac:dyDescent="0.2">
      <c r="A534" s="34">
        <v>37622</v>
      </c>
      <c r="B534" s="59">
        <f>VLOOKUP(Table26[[#This Row],[Date]],'DB Money Supply'!$A:$E,5)</f>
        <v>5803.5</v>
      </c>
      <c r="C534" s="31">
        <f>(Table26[[#This Row],[M2 Money Stock, Billions of Dollars, Monthly, Seasonally Adjusted]]-B533)/B533</f>
        <v>5.6490322133463354E-3</v>
      </c>
      <c r="D534" s="32">
        <f>((1+Table26[[#This Row],[Monthly change]])^12)-1</f>
        <v>6.99347177960703E-2</v>
      </c>
    </row>
    <row r="535" spans="1:4" x14ac:dyDescent="0.2">
      <c r="A535" s="57">
        <v>37653</v>
      </c>
      <c r="B535" s="59">
        <f>VLOOKUP(Table26[[#This Row],[Date]],'DB Money Supply'!$A:$E,5)</f>
        <v>5839.5</v>
      </c>
      <c r="C535" s="31">
        <f>(Table26[[#This Row],[M2 Money Stock, Billions of Dollars, Monthly, Seasonally Adjusted]]-B534)/B534</f>
        <v>6.2031532695787026E-3</v>
      </c>
      <c r="D535" s="32">
        <f>((1+Table26[[#This Row],[Monthly change]])^12)-1</f>
        <v>7.7030712972347093E-2</v>
      </c>
    </row>
    <row r="536" spans="1:4" x14ac:dyDescent="0.2">
      <c r="A536" s="34">
        <v>37681</v>
      </c>
      <c r="B536" s="59">
        <f>VLOOKUP(Table26[[#This Row],[Date]],'DB Money Supply'!$A:$E,5)</f>
        <v>5860.3</v>
      </c>
      <c r="C536" s="31">
        <f>(Table26[[#This Row],[M2 Money Stock, Billions of Dollars, Monthly, Seasonally Adjusted]]-B535)/B535</f>
        <v>3.5619487969860745E-3</v>
      </c>
      <c r="D536" s="32">
        <f>((1+Table26[[#This Row],[Monthly change]])^12)-1</f>
        <v>4.3590781603682238E-2</v>
      </c>
    </row>
    <row r="537" spans="1:4" x14ac:dyDescent="0.2">
      <c r="A537" s="57">
        <v>37712</v>
      </c>
      <c r="B537" s="59">
        <f>VLOOKUP(Table26[[#This Row],[Date]],'DB Money Supply'!$A:$E,5)</f>
        <v>5897.7</v>
      </c>
      <c r="C537" s="31">
        <f>(Table26[[#This Row],[M2 Money Stock, Billions of Dollars, Monthly, Seasonally Adjusted]]-B536)/B536</f>
        <v>6.3819258399740002E-3</v>
      </c>
      <c r="D537" s="32">
        <f>((1+Table26[[#This Row],[Monthly change]])^12)-1</f>
        <v>7.9329236616785037E-2</v>
      </c>
    </row>
    <row r="538" spans="1:4" x14ac:dyDescent="0.2">
      <c r="A538" s="57">
        <v>37742</v>
      </c>
      <c r="B538" s="59">
        <f>VLOOKUP(Table26[[#This Row],[Date]],'DB Money Supply'!$A:$E,5)</f>
        <v>5958</v>
      </c>
      <c r="C538" s="31">
        <f>(Table26[[#This Row],[M2 Money Stock, Billions of Dollars, Monthly, Seasonally Adjusted]]-B537)/B537</f>
        <v>1.022432473676182E-2</v>
      </c>
      <c r="D538" s="32">
        <f>((1+Table26[[#This Row],[Monthly change]])^12)-1</f>
        <v>0.12983196564595345</v>
      </c>
    </row>
    <row r="539" spans="1:4" x14ac:dyDescent="0.2">
      <c r="A539" s="34">
        <v>37773</v>
      </c>
      <c r="B539" s="59">
        <f>VLOOKUP(Table26[[#This Row],[Date]],'DB Money Supply'!$A:$E,5)</f>
        <v>5994.7</v>
      </c>
      <c r="C539" s="31">
        <f>(Table26[[#This Row],[M2 Money Stock, Billions of Dollars, Monthly, Seasonally Adjusted]]-B538)/B538</f>
        <v>6.1597851628062807E-3</v>
      </c>
      <c r="D539" s="32">
        <f>((1+Table26[[#This Row],[Monthly change]])^12)-1</f>
        <v>7.6473795074952333E-2</v>
      </c>
    </row>
    <row r="540" spans="1:4" x14ac:dyDescent="0.2">
      <c r="A540" s="57">
        <v>37803</v>
      </c>
      <c r="B540" s="59">
        <f>VLOOKUP(Table26[[#This Row],[Date]],'DB Money Supply'!$A:$E,5)</f>
        <v>6041.4</v>
      </c>
      <c r="C540" s="31">
        <f>(Table26[[#This Row],[M2 Money Stock, Billions of Dollars, Monthly, Seasonally Adjusted]]-B539)/B539</f>
        <v>7.7902146896424874E-3</v>
      </c>
      <c r="D540" s="32">
        <f>((1+Table26[[#This Row],[Monthly change]])^12)-1</f>
        <v>9.7593802648689554E-2</v>
      </c>
    </row>
    <row r="541" spans="1:4" x14ac:dyDescent="0.2">
      <c r="A541" s="34">
        <v>37834</v>
      </c>
      <c r="B541" s="59">
        <f>VLOOKUP(Table26[[#This Row],[Date]],'DB Money Supply'!$A:$E,5)</f>
        <v>6099.5</v>
      </c>
      <c r="C541" s="31">
        <f>(Table26[[#This Row],[M2 Money Stock, Billions of Dollars, Monthly, Seasonally Adjusted]]-B540)/B540</f>
        <v>9.6169761975701609E-3</v>
      </c>
      <c r="D541" s="32">
        <f>((1+Table26[[#This Row],[Monthly change]])^12)-1</f>
        <v>0.12170778193401</v>
      </c>
    </row>
    <row r="542" spans="1:4" x14ac:dyDescent="0.2">
      <c r="A542" s="57">
        <v>37865</v>
      </c>
      <c r="B542" s="59">
        <f>VLOOKUP(Table26[[#This Row],[Date]],'DB Money Supply'!$A:$E,5)</f>
        <v>6071.6</v>
      </c>
      <c r="C542" s="31">
        <f>(Table26[[#This Row],[M2 Money Stock, Billions of Dollars, Monthly, Seasonally Adjusted]]-B541)/B541</f>
        <v>-4.5741454217558221E-3</v>
      </c>
      <c r="D542" s="32">
        <f>((1+Table26[[#This Row],[Monthly change]])^12)-1</f>
        <v>-5.3529679597987156E-2</v>
      </c>
    </row>
    <row r="543" spans="1:4" x14ac:dyDescent="0.2">
      <c r="A543" s="34">
        <v>37895</v>
      </c>
      <c r="B543" s="59">
        <f>VLOOKUP(Table26[[#This Row],[Date]],'DB Money Supply'!$A:$E,5)</f>
        <v>6062.5</v>
      </c>
      <c r="C543" s="31">
        <f>(Table26[[#This Row],[M2 Money Stock, Billions of Dollars, Monthly, Seasonally Adjusted]]-B542)/B542</f>
        <v>-1.4987812108835173E-3</v>
      </c>
      <c r="D543" s="32">
        <f>((1+Table26[[#This Row],[Monthly change]])^12)-1</f>
        <v>-1.7837853952552774E-2</v>
      </c>
    </row>
    <row r="544" spans="1:4" x14ac:dyDescent="0.2">
      <c r="A544" s="57">
        <v>37926</v>
      </c>
      <c r="B544" s="59">
        <f>VLOOKUP(Table26[[#This Row],[Date]],'DB Money Supply'!$A:$E,5)</f>
        <v>6067.7</v>
      </c>
      <c r="C544" s="31">
        <f>(Table26[[#This Row],[M2 Money Stock, Billions of Dollars, Monthly, Seasonally Adjusted]]-B543)/B543</f>
        <v>8.5773195876285657E-4</v>
      </c>
      <c r="D544" s="32">
        <f>((1+Table26[[#This Row],[Monthly change]])^12)-1</f>
        <v>1.0341479073034288E-2</v>
      </c>
    </row>
    <row r="545" spans="1:4" x14ac:dyDescent="0.2">
      <c r="A545" s="34">
        <v>37956</v>
      </c>
      <c r="B545" s="59">
        <f>VLOOKUP(Table26[[#This Row],[Date]],'DB Money Supply'!$A:$E,5)</f>
        <v>6065.9</v>
      </c>
      <c r="C545" s="31">
        <f>(Table26[[#This Row],[M2 Money Stock, Billions of Dollars, Monthly, Seasonally Adjusted]]-B544)/B544</f>
        <v>-2.9665276793516192E-4</v>
      </c>
      <c r="D545" s="32">
        <f>((1+Table26[[#This Row],[Monthly change]])^12)-1</f>
        <v>-3.5540307657020431E-3</v>
      </c>
    </row>
    <row r="546" spans="1:4" x14ac:dyDescent="0.2">
      <c r="A546" s="57">
        <v>37987</v>
      </c>
      <c r="B546" s="59">
        <f>VLOOKUP(Table26[[#This Row],[Date]],'DB Money Supply'!$A:$E,5)</f>
        <v>6074.4</v>
      </c>
      <c r="C546" s="31">
        <f>(Table26[[#This Row],[M2 Money Stock, Billions of Dollars, Monthly, Seasonally Adjusted]]-B545)/B545</f>
        <v>1.4012759854267298E-3</v>
      </c>
      <c r="D546" s="32">
        <f>((1+Table26[[#This Row],[Monthly change]])^12)-1</f>
        <v>1.6945514979624487E-2</v>
      </c>
    </row>
    <row r="547" spans="1:4" x14ac:dyDescent="0.2">
      <c r="A547" s="34">
        <v>38018</v>
      </c>
      <c r="B547" s="59">
        <f>VLOOKUP(Table26[[#This Row],[Date]],'DB Money Supply'!$A:$E,5)</f>
        <v>6113.2</v>
      </c>
      <c r="C547" s="31">
        <f>(Table26[[#This Row],[M2 Money Stock, Billions of Dollars, Monthly, Seasonally Adjusted]]-B546)/B546</f>
        <v>6.3874621361780888E-3</v>
      </c>
      <c r="D547" s="32">
        <f>((1+Table26[[#This Row],[Monthly change]])^12)-1</f>
        <v>7.940048988956061E-2</v>
      </c>
    </row>
    <row r="548" spans="1:4" x14ac:dyDescent="0.2">
      <c r="A548" s="57">
        <v>38047</v>
      </c>
      <c r="B548" s="59">
        <f>VLOOKUP(Table26[[#This Row],[Date]],'DB Money Supply'!$A:$E,5)</f>
        <v>6149</v>
      </c>
      <c r="C548" s="31">
        <f>(Table26[[#This Row],[M2 Money Stock, Billions of Dollars, Monthly, Seasonally Adjusted]]-B547)/B547</f>
        <v>5.8561800693581407E-3</v>
      </c>
      <c r="D548" s="32">
        <f>((1+Table26[[#This Row],[Monthly change]])^12)-1</f>
        <v>7.258239237593167E-2</v>
      </c>
    </row>
    <row r="549" spans="1:4" x14ac:dyDescent="0.2">
      <c r="A549" s="34">
        <v>38078</v>
      </c>
      <c r="B549" s="59">
        <f>VLOOKUP(Table26[[#This Row],[Date]],'DB Money Supply'!$A:$E,5)</f>
        <v>6190.2</v>
      </c>
      <c r="C549" s="31">
        <f>(Table26[[#This Row],[M2 Money Stock, Billions of Dollars, Monthly, Seasonally Adjusted]]-B548)/B548</f>
        <v>6.7002764677182988E-3</v>
      </c>
      <c r="D549" s="32">
        <f>((1+Table26[[#This Row],[Monthly change]])^12)-1</f>
        <v>8.3433486601493856E-2</v>
      </c>
    </row>
    <row r="550" spans="1:4" x14ac:dyDescent="0.2">
      <c r="A550" s="57">
        <v>38108</v>
      </c>
      <c r="B550" s="59">
        <f>VLOOKUP(Table26[[#This Row],[Date]],'DB Money Supply'!$A:$E,5)</f>
        <v>6267</v>
      </c>
      <c r="C550" s="31">
        <f>(Table26[[#This Row],[M2 Money Stock, Billions of Dollars, Monthly, Seasonally Adjusted]]-B549)/B549</f>
        <v>1.2406707376175274E-2</v>
      </c>
      <c r="D550" s="32">
        <f>((1+Table26[[#This Row],[Monthly change]])^12)-1</f>
        <v>0.15947173285931915</v>
      </c>
    </row>
    <row r="551" spans="1:4" x14ac:dyDescent="0.2">
      <c r="A551" s="34">
        <v>38139</v>
      </c>
      <c r="B551" s="59">
        <f>VLOOKUP(Table26[[#This Row],[Date]],'DB Money Supply'!$A:$E,5)</f>
        <v>6269.4</v>
      </c>
      <c r="C551" s="31">
        <f>(Table26[[#This Row],[M2 Money Stock, Billions of Dollars, Monthly, Seasonally Adjusted]]-B550)/B550</f>
        <v>3.8295835327902287E-4</v>
      </c>
      <c r="D551" s="32">
        <f>((1+Table26[[#This Row],[Monthly change]])^12)-1</f>
        <v>4.6051919746079584E-3</v>
      </c>
    </row>
    <row r="552" spans="1:4" x14ac:dyDescent="0.2">
      <c r="A552" s="57">
        <v>38169</v>
      </c>
      <c r="B552" s="59">
        <f>VLOOKUP(Table26[[#This Row],[Date]],'DB Money Supply'!$A:$E,5)</f>
        <v>6283.1</v>
      </c>
      <c r="C552" s="31">
        <f>(Table26[[#This Row],[M2 Money Stock, Billions of Dollars, Monthly, Seasonally Adjusted]]-B551)/B551</f>
        <v>2.1852170861646615E-3</v>
      </c>
      <c r="D552" s="32">
        <f>((1+Table26[[#This Row],[Monthly change]])^12)-1</f>
        <v>2.6540073479834225E-2</v>
      </c>
    </row>
    <row r="553" spans="1:4" x14ac:dyDescent="0.2">
      <c r="A553" s="34">
        <v>38200</v>
      </c>
      <c r="B553" s="59">
        <f>VLOOKUP(Table26[[#This Row],[Date]],'DB Money Supply'!$A:$E,5)</f>
        <v>6309.2</v>
      </c>
      <c r="C553" s="31">
        <f>(Table26[[#This Row],[M2 Money Stock, Billions of Dollars, Monthly, Seasonally Adjusted]]-B552)/B552</f>
        <v>4.1540004138083831E-3</v>
      </c>
      <c r="D553" s="32">
        <f>((1+Table26[[#This Row],[Monthly change]])^12)-1</f>
        <v>5.1002800482566224E-2</v>
      </c>
    </row>
    <row r="554" spans="1:4" x14ac:dyDescent="0.2">
      <c r="A554" s="57">
        <v>38231</v>
      </c>
      <c r="B554" s="59">
        <f>VLOOKUP(Table26[[#This Row],[Date]],'DB Money Supply'!$A:$E,5)</f>
        <v>6343.9</v>
      </c>
      <c r="C554" s="31">
        <f>(Table26[[#This Row],[M2 Money Stock, Billions of Dollars, Monthly, Seasonally Adjusted]]-B553)/B553</f>
        <v>5.4999049007797849E-3</v>
      </c>
      <c r="D554" s="32">
        <f>((1+Table26[[#This Row],[Monthly change]])^12)-1</f>
        <v>6.8032347305271079E-2</v>
      </c>
    </row>
    <row r="555" spans="1:4" x14ac:dyDescent="0.2">
      <c r="A555" s="34">
        <v>38261</v>
      </c>
      <c r="B555" s="59">
        <f>VLOOKUP(Table26[[#This Row],[Date]],'DB Money Supply'!$A:$E,5)</f>
        <v>6372.1</v>
      </c>
      <c r="C555" s="31">
        <f>(Table26[[#This Row],[M2 Money Stock, Billions of Dollars, Monthly, Seasonally Adjusted]]-B554)/B554</f>
        <v>4.4452150885103377E-3</v>
      </c>
      <c r="D555" s="32">
        <f>((1+Table26[[#This Row],[Monthly change]])^12)-1</f>
        <v>5.4666255750891235E-2</v>
      </c>
    </row>
    <row r="556" spans="1:4" x14ac:dyDescent="0.2">
      <c r="A556" s="57">
        <v>38292</v>
      </c>
      <c r="B556" s="59">
        <f>VLOOKUP(Table26[[#This Row],[Date]],'DB Money Supply'!$A:$E,5)</f>
        <v>6398.7</v>
      </c>
      <c r="C556" s="31">
        <f>(Table26[[#This Row],[M2 Money Stock, Billions of Dollars, Monthly, Seasonally Adjusted]]-B555)/B555</f>
        <v>4.1744479841809533E-3</v>
      </c>
      <c r="D556" s="32">
        <f>((1+Table26[[#This Row],[Monthly change]])^12)-1</f>
        <v>5.1259647867322844E-2</v>
      </c>
    </row>
    <row r="557" spans="1:4" x14ac:dyDescent="0.2">
      <c r="A557" s="57">
        <v>38322</v>
      </c>
      <c r="B557" s="59">
        <f>VLOOKUP(Table26[[#This Row],[Date]],'DB Money Supply'!$A:$E,5)</f>
        <v>6417.2</v>
      </c>
      <c r="C557" s="31">
        <f>(Table26[[#This Row],[M2 Money Stock, Billions of Dollars, Monthly, Seasonally Adjusted]]-B556)/B556</f>
        <v>2.8912122774938662E-3</v>
      </c>
      <c r="D557" s="32">
        <f>((1+Table26[[#This Row],[Monthly change]])^12)-1</f>
        <v>3.5251600185579379E-2</v>
      </c>
    </row>
    <row r="558" spans="1:4" x14ac:dyDescent="0.2">
      <c r="A558" s="34">
        <v>38353</v>
      </c>
      <c r="B558" s="59">
        <f>VLOOKUP(Table26[[#This Row],[Date]],'DB Money Supply'!$A:$E,5)</f>
        <v>6423.4</v>
      </c>
      <c r="C558" s="31">
        <f>(Table26[[#This Row],[M2 Money Stock, Billions of Dollars, Monthly, Seasonally Adjusted]]-B557)/B557</f>
        <v>9.6615346256931659E-4</v>
      </c>
      <c r="D558" s="32">
        <f>((1+Table26[[#This Row],[Monthly change]])^12)-1</f>
        <v>1.1655648257526297E-2</v>
      </c>
    </row>
    <row r="559" spans="1:4" x14ac:dyDescent="0.2">
      <c r="A559" s="57">
        <v>38384</v>
      </c>
      <c r="B559" s="59">
        <f>VLOOKUP(Table26[[#This Row],[Date]],'DB Money Supply'!$A:$E,5)</f>
        <v>6431.8</v>
      </c>
      <c r="C559" s="31">
        <f>(Table26[[#This Row],[M2 Money Stock, Billions of Dollars, Monthly, Seasonally Adjusted]]-B558)/B558</f>
        <v>1.3077186536725948E-3</v>
      </c>
      <c r="D559" s="32">
        <f>((1+Table26[[#This Row],[Monthly change]])^12)-1</f>
        <v>1.5805985748448048E-2</v>
      </c>
    </row>
    <row r="560" spans="1:4" x14ac:dyDescent="0.2">
      <c r="A560" s="34">
        <v>38412</v>
      </c>
      <c r="B560" s="59">
        <f>VLOOKUP(Table26[[#This Row],[Date]],'DB Money Supply'!$A:$E,5)</f>
        <v>6440.8</v>
      </c>
      <c r="C560" s="31">
        <f>(Table26[[#This Row],[M2 Money Stock, Billions of Dollars, Monthly, Seasonally Adjusted]]-B559)/B559</f>
        <v>1.3992972418296588E-3</v>
      </c>
      <c r="D560" s="32">
        <f>((1+Table26[[#This Row],[Monthly change]])^12)-1</f>
        <v>1.6921401738243524E-2</v>
      </c>
    </row>
    <row r="561" spans="1:4" x14ac:dyDescent="0.2">
      <c r="A561" s="57">
        <v>38443</v>
      </c>
      <c r="B561" s="59">
        <f>VLOOKUP(Table26[[#This Row],[Date]],'DB Money Supply'!$A:$E,5)</f>
        <v>6454.7</v>
      </c>
      <c r="C561" s="31">
        <f>(Table26[[#This Row],[M2 Money Stock, Billions of Dollars, Monthly, Seasonally Adjusted]]-B560)/B560</f>
        <v>2.1581170040988131E-3</v>
      </c>
      <c r="D561" s="32">
        <f>((1+Table26[[#This Row],[Monthly change]])^12)-1</f>
        <v>2.620701907799794E-2</v>
      </c>
    </row>
    <row r="562" spans="1:4" x14ac:dyDescent="0.2">
      <c r="A562" s="34">
        <v>38473</v>
      </c>
      <c r="B562" s="59">
        <f>VLOOKUP(Table26[[#This Row],[Date]],'DB Money Supply'!$A:$E,5)</f>
        <v>6472</v>
      </c>
      <c r="C562" s="31">
        <f>(Table26[[#This Row],[M2 Money Stock, Billions of Dollars, Monthly, Seasonally Adjusted]]-B561)/B561</f>
        <v>2.680217515918661E-3</v>
      </c>
      <c r="D562" s="32">
        <f>((1+Table26[[#This Row],[Monthly change]])^12)-1</f>
        <v>3.264098697048512E-2</v>
      </c>
    </row>
    <row r="563" spans="1:4" x14ac:dyDescent="0.2">
      <c r="A563" s="57">
        <v>38504</v>
      </c>
      <c r="B563" s="59">
        <f>VLOOKUP(Table26[[#This Row],[Date]],'DB Money Supply'!$A:$E,5)</f>
        <v>6504.4</v>
      </c>
      <c r="C563" s="31">
        <f>(Table26[[#This Row],[M2 Money Stock, Billions of Dollars, Monthly, Seasonally Adjusted]]-B562)/B562</f>
        <v>5.0061804697156421E-3</v>
      </c>
      <c r="D563" s="32">
        <f>((1+Table26[[#This Row],[Monthly change]])^12)-1</f>
        <v>6.1756162783985546E-2</v>
      </c>
    </row>
    <row r="564" spans="1:4" x14ac:dyDescent="0.2">
      <c r="A564" s="34">
        <v>38534</v>
      </c>
      <c r="B564" s="59">
        <f>VLOOKUP(Table26[[#This Row],[Date]],'DB Money Supply'!$A:$E,5)</f>
        <v>6536</v>
      </c>
      <c r="C564" s="31">
        <f>(Table26[[#This Row],[M2 Money Stock, Billions of Dollars, Monthly, Seasonally Adjusted]]-B563)/B563</f>
        <v>4.8582498001353489E-3</v>
      </c>
      <c r="D564" s="32">
        <f>((1+Table26[[#This Row],[Monthly change]])^12)-1</f>
        <v>5.9882273329414426E-2</v>
      </c>
    </row>
    <row r="565" spans="1:4" x14ac:dyDescent="0.2">
      <c r="A565" s="57">
        <v>38565</v>
      </c>
      <c r="B565" s="59">
        <f>VLOOKUP(Table26[[#This Row],[Date]],'DB Money Supply'!$A:$E,5)</f>
        <v>6568.7</v>
      </c>
      <c r="C565" s="31">
        <f>(Table26[[#This Row],[M2 Money Stock, Billions of Dollars, Monthly, Seasonally Adjusted]]-B564)/B564</f>
        <v>5.0030599755201679E-3</v>
      </c>
      <c r="D565" s="32">
        <f>((1+Table26[[#This Row],[Monthly change]])^12)-1</f>
        <v>6.1716603058751041E-2</v>
      </c>
    </row>
    <row r="566" spans="1:4" x14ac:dyDescent="0.2">
      <c r="A566" s="34">
        <v>38596</v>
      </c>
      <c r="B566" s="59">
        <f>VLOOKUP(Table26[[#This Row],[Date]],'DB Money Supply'!$A:$E,5)</f>
        <v>6602.9</v>
      </c>
      <c r="C566" s="31">
        <f>(Table26[[#This Row],[M2 Money Stock, Billions of Dollars, Monthly, Seasonally Adjusted]]-B565)/B565</f>
        <v>5.2065096594455249E-3</v>
      </c>
      <c r="D566" s="32">
        <f>((1+Table26[[#This Row],[Monthly change]])^12)-1</f>
        <v>6.4298643809176603E-2</v>
      </c>
    </row>
    <row r="567" spans="1:4" x14ac:dyDescent="0.2">
      <c r="A567" s="57">
        <v>38626</v>
      </c>
      <c r="B567" s="59">
        <f>VLOOKUP(Table26[[#This Row],[Date]],'DB Money Supply'!$A:$E,5)</f>
        <v>6637</v>
      </c>
      <c r="C567" s="31">
        <f>(Table26[[#This Row],[M2 Money Stock, Billions of Dollars, Monthly, Seasonally Adjusted]]-B566)/B566</f>
        <v>5.16439746172142E-3</v>
      </c>
      <c r="D567" s="32">
        <f>((1+Table26[[#This Row],[Monthly change]])^12)-1</f>
        <v>6.3763713380787124E-2</v>
      </c>
    </row>
    <row r="568" spans="1:4" x14ac:dyDescent="0.2">
      <c r="A568" s="34">
        <v>38657</v>
      </c>
      <c r="B568" s="59">
        <f>VLOOKUP(Table26[[#This Row],[Date]],'DB Money Supply'!$A:$E,5)</f>
        <v>6653.4</v>
      </c>
      <c r="C568" s="31">
        <f>(Table26[[#This Row],[M2 Money Stock, Billions of Dollars, Monthly, Seasonally Adjusted]]-B567)/B567</f>
        <v>2.4709959318968866E-3</v>
      </c>
      <c r="D568" s="32">
        <f>((1+Table26[[#This Row],[Monthly change]])^12)-1</f>
        <v>3.0058273130044277E-2</v>
      </c>
    </row>
    <row r="569" spans="1:4" x14ac:dyDescent="0.2">
      <c r="A569" s="57">
        <v>38687</v>
      </c>
      <c r="B569" s="59">
        <f>VLOOKUP(Table26[[#This Row],[Date]],'DB Money Supply'!$A:$E,5)</f>
        <v>6680.1</v>
      </c>
      <c r="C569" s="31">
        <f>(Table26[[#This Row],[M2 Money Stock, Billions of Dollars, Monthly, Seasonally Adjusted]]-B568)/B568</f>
        <v>4.0129858418253414E-3</v>
      </c>
      <c r="D569" s="32">
        <f>((1+Table26[[#This Row],[Monthly change]])^12)-1</f>
        <v>4.9233044533994796E-2</v>
      </c>
    </row>
    <row r="570" spans="1:4" x14ac:dyDescent="0.2">
      <c r="A570" s="34">
        <v>38718</v>
      </c>
      <c r="B570" s="59">
        <f>VLOOKUP(Table26[[#This Row],[Date]],'DB Money Supply'!$A:$E,5)</f>
        <v>6722.5</v>
      </c>
      <c r="C570" s="31">
        <f>(Table26[[#This Row],[M2 Money Stock, Billions of Dollars, Monthly, Seasonally Adjusted]]-B569)/B569</f>
        <v>6.347210371102174E-3</v>
      </c>
      <c r="D570" s="32">
        <f>((1+Table26[[#This Row],[Monthly change]])^12)-1</f>
        <v>7.8882539653975625E-2</v>
      </c>
    </row>
    <row r="571" spans="1:4" x14ac:dyDescent="0.2">
      <c r="A571" s="57">
        <v>38749</v>
      </c>
      <c r="B571" s="59">
        <f>VLOOKUP(Table26[[#This Row],[Date]],'DB Money Supply'!$A:$E,5)</f>
        <v>6746.8</v>
      </c>
      <c r="C571" s="31">
        <f>(Table26[[#This Row],[M2 Money Stock, Billions of Dollars, Monthly, Seasonally Adjusted]]-B570)/B570</f>
        <v>3.6147266641874572E-3</v>
      </c>
      <c r="D571" s="32">
        <f>((1+Table26[[#This Row],[Monthly change]])^12)-1</f>
        <v>4.4249568197420652E-2</v>
      </c>
    </row>
    <row r="572" spans="1:4" x14ac:dyDescent="0.2">
      <c r="A572" s="34">
        <v>38777</v>
      </c>
      <c r="B572" s="59">
        <f>VLOOKUP(Table26[[#This Row],[Date]],'DB Money Supply'!$A:$E,5)</f>
        <v>6761.1</v>
      </c>
      <c r="C572" s="31">
        <f>(Table26[[#This Row],[M2 Money Stock, Billions of Dollars, Monthly, Seasonally Adjusted]]-B571)/B571</f>
        <v>2.1195233295784937E-3</v>
      </c>
      <c r="D572" s="32">
        <f>((1+Table26[[#This Row],[Monthly change]])^12)-1</f>
        <v>2.5732881776806549E-2</v>
      </c>
    </row>
    <row r="573" spans="1:4" x14ac:dyDescent="0.2">
      <c r="A573" s="57">
        <v>38808</v>
      </c>
      <c r="B573" s="59">
        <f>VLOOKUP(Table26[[#This Row],[Date]],'DB Money Supply'!$A:$E,5)</f>
        <v>6798.5</v>
      </c>
      <c r="C573" s="31">
        <f>(Table26[[#This Row],[M2 Money Stock, Billions of Dollars, Monthly, Seasonally Adjusted]]-B572)/B572</f>
        <v>5.5316442590702154E-3</v>
      </c>
      <c r="D573" s="32">
        <f>((1+Table26[[#This Row],[Monthly change]])^12)-1</f>
        <v>6.8436976449352871E-2</v>
      </c>
    </row>
    <row r="574" spans="1:4" x14ac:dyDescent="0.2">
      <c r="A574" s="34">
        <v>38838</v>
      </c>
      <c r="B574" s="59">
        <f>VLOOKUP(Table26[[#This Row],[Date]],'DB Money Supply'!$A:$E,5)</f>
        <v>6805.2</v>
      </c>
      <c r="C574" s="31">
        <f>(Table26[[#This Row],[M2 Money Stock, Billions of Dollars, Monthly, Seasonally Adjusted]]-B573)/B573</f>
        <v>9.8551150989186127E-4</v>
      </c>
      <c r="D574" s="32">
        <f>((1+Table26[[#This Row],[Monthly change]])^12)-1</f>
        <v>1.1890450535625208E-2</v>
      </c>
    </row>
    <row r="575" spans="1:4" x14ac:dyDescent="0.2">
      <c r="A575" s="57">
        <v>38869</v>
      </c>
      <c r="B575" s="59">
        <f>VLOOKUP(Table26[[#This Row],[Date]],'DB Money Supply'!$A:$E,5)</f>
        <v>6843.2</v>
      </c>
      <c r="C575" s="31">
        <f>(Table26[[#This Row],[M2 Money Stock, Billions of Dollars, Monthly, Seasonally Adjusted]]-B574)/B574</f>
        <v>5.5839652030799979E-3</v>
      </c>
      <c r="D575" s="32">
        <f>((1+Table26[[#This Row],[Monthly change]])^12)-1</f>
        <v>6.910429665591411E-2</v>
      </c>
    </row>
    <row r="576" spans="1:4" x14ac:dyDescent="0.2">
      <c r="A576" s="57">
        <v>38899</v>
      </c>
      <c r="B576" s="59">
        <f>VLOOKUP(Table26[[#This Row],[Date]],'DB Money Supply'!$A:$E,5)</f>
        <v>6884.6</v>
      </c>
      <c r="C576" s="31">
        <f>(Table26[[#This Row],[M2 Money Stock, Billions of Dollars, Monthly, Seasonally Adjusted]]-B575)/B575</f>
        <v>6.0498012625673E-3</v>
      </c>
      <c r="D576" s="32">
        <f>((1+Table26[[#This Row],[Monthly change]])^12)-1</f>
        <v>7.5062604117979381E-2</v>
      </c>
    </row>
    <row r="577" spans="1:4" x14ac:dyDescent="0.2">
      <c r="A577" s="34">
        <v>38930</v>
      </c>
      <c r="B577" s="59">
        <f>VLOOKUP(Table26[[#This Row],[Date]],'DB Money Supply'!$A:$E,5)</f>
        <v>6915.4</v>
      </c>
      <c r="C577" s="31">
        <f>(Table26[[#This Row],[M2 Money Stock, Billions of Dollars, Monthly, Seasonally Adjusted]]-B576)/B576</f>
        <v>4.4737530139731096E-3</v>
      </c>
      <c r="D577" s="32">
        <f>((1+Table26[[#This Row],[Monthly change]])^12)-1</f>
        <v>5.5025889390063032E-2</v>
      </c>
    </row>
    <row r="578" spans="1:4" x14ac:dyDescent="0.2">
      <c r="A578" s="57">
        <v>38961</v>
      </c>
      <c r="B578" s="59">
        <f>VLOOKUP(Table26[[#This Row],[Date]],'DB Money Supply'!$A:$E,5)</f>
        <v>6942.6</v>
      </c>
      <c r="C578" s="31">
        <f>(Table26[[#This Row],[M2 Money Stock, Billions of Dollars, Monthly, Seasonally Adjusted]]-B577)/B577</f>
        <v>3.9332504265842507E-3</v>
      </c>
      <c r="D578" s="32">
        <f>((1+Table26[[#This Row],[Monthly change]])^12)-1</f>
        <v>4.8233561449092743E-2</v>
      </c>
    </row>
    <row r="579" spans="1:4" x14ac:dyDescent="0.2">
      <c r="A579" s="34">
        <v>38991</v>
      </c>
      <c r="B579" s="59">
        <f>VLOOKUP(Table26[[#This Row],[Date]],'DB Money Supply'!$A:$E,5)</f>
        <v>6991.6</v>
      </c>
      <c r="C579" s="31">
        <f>(Table26[[#This Row],[M2 Money Stock, Billions of Dollars, Monthly, Seasonally Adjusted]]-B578)/B578</f>
        <v>7.0578745714861861E-3</v>
      </c>
      <c r="D579" s="32">
        <f>((1+Table26[[#This Row],[Monthly change]])^12)-1</f>
        <v>8.8060781483037642E-2</v>
      </c>
    </row>
    <row r="580" spans="1:4" x14ac:dyDescent="0.2">
      <c r="A580" s="57">
        <v>39022</v>
      </c>
      <c r="B580" s="59">
        <f>VLOOKUP(Table26[[#This Row],[Date]],'DB Money Supply'!$A:$E,5)</f>
        <v>7026.5</v>
      </c>
      <c r="C580" s="31">
        <f>(Table26[[#This Row],[M2 Money Stock, Billions of Dollars, Monthly, Seasonally Adjusted]]-B579)/B579</f>
        <v>4.9917043309113274E-3</v>
      </c>
      <c r="D580" s="32">
        <f>((1+Table26[[#This Row],[Monthly change]])^12)-1</f>
        <v>6.1572654515585468E-2</v>
      </c>
    </row>
    <row r="581" spans="1:4" x14ac:dyDescent="0.2">
      <c r="A581" s="34">
        <v>39052</v>
      </c>
      <c r="B581" s="59">
        <f>VLOOKUP(Table26[[#This Row],[Date]],'DB Money Supply'!$A:$E,5)</f>
        <v>7069.5</v>
      </c>
      <c r="C581" s="31">
        <f>(Table26[[#This Row],[M2 Money Stock, Billions of Dollars, Monthly, Seasonally Adjusted]]-B580)/B580</f>
        <v>6.1196897459617162E-3</v>
      </c>
      <c r="D581" s="32">
        <f>((1+Table26[[#This Row],[Monthly change]])^12)-1</f>
        <v>7.5959138765098411E-2</v>
      </c>
    </row>
    <row r="582" spans="1:4" x14ac:dyDescent="0.2">
      <c r="A582" s="57">
        <v>39083</v>
      </c>
      <c r="B582" s="59">
        <f>VLOOKUP(Table26[[#This Row],[Date]],'DB Money Supply'!$A:$E,5)</f>
        <v>7107.4</v>
      </c>
      <c r="C582" s="31">
        <f>(Table26[[#This Row],[M2 Money Stock, Billions of Dollars, Monthly, Seasonally Adjusted]]-B581)/B581</f>
        <v>5.3610580663412738E-3</v>
      </c>
      <c r="D582" s="32">
        <f>((1+Table26[[#This Row],[Monthly change]])^12)-1</f>
        <v>6.626390950401051E-2</v>
      </c>
    </row>
    <row r="583" spans="1:4" x14ac:dyDescent="0.2">
      <c r="A583" s="34">
        <v>39114</v>
      </c>
      <c r="B583" s="59">
        <f>VLOOKUP(Table26[[#This Row],[Date]],'DB Money Supply'!$A:$E,5)</f>
        <v>7123.2</v>
      </c>
      <c r="C583" s="31">
        <f>(Table26[[#This Row],[M2 Money Stock, Billions of Dollars, Monthly, Seasonally Adjusted]]-B582)/B582</f>
        <v>2.2230351464670884E-3</v>
      </c>
      <c r="D583" s="32">
        <f>((1+Table26[[#This Row],[Monthly change]])^12)-1</f>
        <v>2.7005015233658503E-2</v>
      </c>
    </row>
    <row r="584" spans="1:4" x14ac:dyDescent="0.2">
      <c r="A584" s="57">
        <v>39142</v>
      </c>
      <c r="B584" s="59">
        <f>VLOOKUP(Table26[[#This Row],[Date]],'DB Money Supply'!$A:$E,5)</f>
        <v>7156.9</v>
      </c>
      <c r="C584" s="31">
        <f>(Table26[[#This Row],[M2 Money Stock, Billions of Dollars, Monthly, Seasonally Adjusted]]-B583)/B583</f>
        <v>4.7310197663970998E-3</v>
      </c>
      <c r="D584" s="32">
        <f>((1+Table26[[#This Row],[Monthly change]])^12)-1</f>
        <v>5.8273031539609832E-2</v>
      </c>
    </row>
    <row r="585" spans="1:4" x14ac:dyDescent="0.2">
      <c r="A585" s="34">
        <v>39173</v>
      </c>
      <c r="B585" s="59">
        <f>VLOOKUP(Table26[[#This Row],[Date]],'DB Money Supply'!$A:$E,5)</f>
        <v>7229.3</v>
      </c>
      <c r="C585" s="31">
        <f>(Table26[[#This Row],[M2 Money Stock, Billions of Dollars, Monthly, Seasonally Adjusted]]-B584)/B584</f>
        <v>1.0116111724350004E-2</v>
      </c>
      <c r="D585" s="32">
        <f>((1+Table26[[#This Row],[Monthly change]])^12)-1</f>
        <v>0.12838051951623464</v>
      </c>
    </row>
    <row r="586" spans="1:4" x14ac:dyDescent="0.2">
      <c r="A586" s="57">
        <v>39203</v>
      </c>
      <c r="B586" s="59">
        <f>VLOOKUP(Table26[[#This Row],[Date]],'DB Money Supply'!$A:$E,5)</f>
        <v>7243.2</v>
      </c>
      <c r="C586" s="31">
        <f>(Table26[[#This Row],[M2 Money Stock, Billions of Dollars, Monthly, Seasonally Adjusted]]-B585)/B585</f>
        <v>1.9227311081293674E-3</v>
      </c>
      <c r="D586" s="32">
        <f>((1+Table26[[#This Row],[Monthly change]])^12)-1</f>
        <v>2.3318338937595051E-2</v>
      </c>
    </row>
    <row r="587" spans="1:4" x14ac:dyDescent="0.2">
      <c r="A587" s="34">
        <v>39234</v>
      </c>
      <c r="B587" s="59">
        <f>VLOOKUP(Table26[[#This Row],[Date]],'DB Money Supply'!$A:$E,5)</f>
        <v>7276.3</v>
      </c>
      <c r="C587" s="31">
        <f>(Table26[[#This Row],[M2 Money Stock, Billions of Dollars, Monthly, Seasonally Adjusted]]-B586)/B586</f>
        <v>4.5698034018114043E-3</v>
      </c>
      <c r="D587" s="32">
        <f>((1+Table26[[#This Row],[Monthly change]])^12)-1</f>
        <v>5.6237138055367009E-2</v>
      </c>
    </row>
    <row r="588" spans="1:4" x14ac:dyDescent="0.2">
      <c r="A588" s="57">
        <v>39264</v>
      </c>
      <c r="B588" s="59">
        <f>VLOOKUP(Table26[[#This Row],[Date]],'DB Money Supply'!$A:$E,5)</f>
        <v>7306.6</v>
      </c>
      <c r="C588" s="31">
        <f>(Table26[[#This Row],[M2 Money Stock, Billions of Dollars, Monthly, Seasonally Adjusted]]-B587)/B587</f>
        <v>4.1642043346206423E-3</v>
      </c>
      <c r="D588" s="32">
        <f>((1+Table26[[#This Row],[Monthly change]])^12)-1</f>
        <v>5.1130967461848975E-2</v>
      </c>
    </row>
    <row r="589" spans="1:4" x14ac:dyDescent="0.2">
      <c r="A589" s="34">
        <v>39295</v>
      </c>
      <c r="B589" s="59">
        <f>VLOOKUP(Table26[[#This Row],[Date]],'DB Money Supply'!$A:$E,5)</f>
        <v>7382.8</v>
      </c>
      <c r="C589" s="31">
        <f>(Table26[[#This Row],[M2 Money Stock, Billions of Dollars, Monthly, Seasonally Adjusted]]-B588)/B588</f>
        <v>1.0428927271234201E-2</v>
      </c>
      <c r="D589" s="32">
        <f>((1+Table26[[#This Row],[Monthly change]])^12)-1</f>
        <v>0.13258094906321172</v>
      </c>
    </row>
    <row r="590" spans="1:4" x14ac:dyDescent="0.2">
      <c r="A590" s="57">
        <v>39326</v>
      </c>
      <c r="B590" s="59">
        <f>VLOOKUP(Table26[[#This Row],[Date]],'DB Money Supply'!$A:$E,5)</f>
        <v>7401.1</v>
      </c>
      <c r="C590" s="31">
        <f>(Table26[[#This Row],[M2 Money Stock, Billions of Dollars, Monthly, Seasonally Adjusted]]-B589)/B589</f>
        <v>2.4787343555290921E-3</v>
      </c>
      <c r="D590" s="32">
        <f>((1+Table26[[#This Row],[Monthly change]])^12)-1</f>
        <v>3.0153693734676912E-2</v>
      </c>
    </row>
    <row r="591" spans="1:4" x14ac:dyDescent="0.2">
      <c r="A591" s="34">
        <v>39356</v>
      </c>
      <c r="B591" s="59">
        <f>VLOOKUP(Table26[[#This Row],[Date]],'DB Money Supply'!$A:$E,5)</f>
        <v>7414.8</v>
      </c>
      <c r="C591" s="31">
        <f>(Table26[[#This Row],[M2 Money Stock, Billions of Dollars, Monthly, Seasonally Adjusted]]-B590)/B590</f>
        <v>1.8510761913769329E-3</v>
      </c>
      <c r="D591" s="32">
        <f>((1+Table26[[#This Row],[Monthly change]])^12)-1</f>
        <v>2.2440463397707999E-2</v>
      </c>
    </row>
    <row r="592" spans="1:4" x14ac:dyDescent="0.2">
      <c r="A592" s="57">
        <v>39387</v>
      </c>
      <c r="B592" s="59">
        <f>VLOOKUP(Table26[[#This Row],[Date]],'DB Money Supply'!$A:$E,5)</f>
        <v>7439.6</v>
      </c>
      <c r="C592" s="31">
        <f>(Table26[[#This Row],[M2 Money Stock, Billions of Dollars, Monthly, Seasonally Adjusted]]-B591)/B591</f>
        <v>3.3446620272967824E-3</v>
      </c>
      <c r="D592" s="32">
        <f>((1+Table26[[#This Row],[Monthly change]])^12)-1</f>
        <v>4.0882564543462729E-2</v>
      </c>
    </row>
    <row r="593" spans="1:4" x14ac:dyDescent="0.2">
      <c r="A593" s="34">
        <v>39417</v>
      </c>
      <c r="B593" s="59">
        <f>VLOOKUP(Table26[[#This Row],[Date]],'DB Money Supply'!$A:$E,5)</f>
        <v>7469.4</v>
      </c>
      <c r="C593" s="31">
        <f>(Table26[[#This Row],[M2 Money Stock, Billions of Dollars, Monthly, Seasonally Adjusted]]-B592)/B592</f>
        <v>4.0055916984783144E-3</v>
      </c>
      <c r="D593" s="32">
        <f>((1+Table26[[#This Row],[Monthly change]])^12)-1</f>
        <v>4.9140322243672596E-2</v>
      </c>
    </row>
    <row r="594" spans="1:4" x14ac:dyDescent="0.2">
      <c r="A594" s="57">
        <v>39448</v>
      </c>
      <c r="B594" s="59">
        <f>VLOOKUP(Table26[[#This Row],[Date]],'DB Money Supply'!$A:$E,5)</f>
        <v>7503.1</v>
      </c>
      <c r="C594" s="31">
        <f>(Table26[[#This Row],[M2 Money Stock, Billions of Dollars, Monthly, Seasonally Adjusted]]-B593)/B593</f>
        <v>4.5117412375827682E-3</v>
      </c>
      <c r="D594" s="32">
        <f>((1+Table26[[#This Row],[Monthly change]])^12)-1</f>
        <v>5.5504789672225163E-2</v>
      </c>
    </row>
    <row r="595" spans="1:4" x14ac:dyDescent="0.2">
      <c r="A595" s="57">
        <v>39479</v>
      </c>
      <c r="B595" s="59">
        <f>VLOOKUP(Table26[[#This Row],[Date]],'DB Money Supply'!$A:$E,5)</f>
        <v>7587.6</v>
      </c>
      <c r="C595" s="31">
        <f>(Table26[[#This Row],[M2 Money Stock, Billions of Dollars, Monthly, Seasonally Adjusted]]-B594)/B594</f>
        <v>1.1262011701829909E-2</v>
      </c>
      <c r="D595" s="32">
        <f>((1+Table26[[#This Row],[Monthly change]])^12)-1</f>
        <v>0.14383746718173818</v>
      </c>
    </row>
    <row r="596" spans="1:4" x14ac:dyDescent="0.2">
      <c r="A596" s="34">
        <v>39508</v>
      </c>
      <c r="B596" s="59">
        <f>VLOOKUP(Table26[[#This Row],[Date]],'DB Money Supply'!$A:$E,5)</f>
        <v>7653.3</v>
      </c>
      <c r="C596" s="31">
        <f>(Table26[[#This Row],[M2 Money Stock, Billions of Dollars, Monthly, Seasonally Adjusted]]-B595)/B595</f>
        <v>8.6588644630713023E-3</v>
      </c>
      <c r="D596" s="32">
        <f>((1+Table26[[#This Row],[Monthly change]])^12)-1</f>
        <v>0.10900043213689892</v>
      </c>
    </row>
    <row r="597" spans="1:4" x14ac:dyDescent="0.2">
      <c r="A597" s="57">
        <v>39539</v>
      </c>
      <c r="B597" s="59">
        <f>VLOOKUP(Table26[[#This Row],[Date]],'DB Money Supply'!$A:$E,5)</f>
        <v>7696.1</v>
      </c>
      <c r="C597" s="31">
        <f>(Table26[[#This Row],[M2 Money Stock, Billions of Dollars, Monthly, Seasonally Adjusted]]-B596)/B596</f>
        <v>5.5923588517371829E-3</v>
      </c>
      <c r="D597" s="32">
        <f>((1+Table26[[#This Row],[Monthly change]])^12)-1</f>
        <v>6.9211387836399796E-2</v>
      </c>
    </row>
    <row r="598" spans="1:4" x14ac:dyDescent="0.2">
      <c r="A598" s="34">
        <v>39569</v>
      </c>
      <c r="B598" s="59">
        <f>VLOOKUP(Table26[[#This Row],[Date]],'DB Money Supply'!$A:$E,5)</f>
        <v>7708.3</v>
      </c>
      <c r="C598" s="31">
        <f>(Table26[[#This Row],[M2 Money Stock, Billions of Dollars, Monthly, Seasonally Adjusted]]-B597)/B597</f>
        <v>1.5852184872857443E-3</v>
      </c>
      <c r="D598" s="32">
        <f>((1+Table26[[#This Row],[Monthly change]])^12)-1</f>
        <v>1.9189353921410746E-2</v>
      </c>
    </row>
    <row r="599" spans="1:4" x14ac:dyDescent="0.2">
      <c r="A599" s="57">
        <v>39600</v>
      </c>
      <c r="B599" s="59">
        <f>VLOOKUP(Table26[[#This Row],[Date]],'DB Money Supply'!$A:$E,5)</f>
        <v>7725.8</v>
      </c>
      <c r="C599" s="31">
        <f>(Table26[[#This Row],[M2 Money Stock, Billions of Dollars, Monthly, Seasonally Adjusted]]-B598)/B598</f>
        <v>2.2702800876976763E-3</v>
      </c>
      <c r="D599" s="32">
        <f>((1+Table26[[#This Row],[Monthly change]])^12)-1</f>
        <v>2.7586123891768066E-2</v>
      </c>
    </row>
    <row r="600" spans="1:4" x14ac:dyDescent="0.2">
      <c r="A600" s="34">
        <v>39630</v>
      </c>
      <c r="B600" s="59">
        <f>VLOOKUP(Table26[[#This Row],[Date]],'DB Money Supply'!$A:$E,5)</f>
        <v>7772.1</v>
      </c>
      <c r="C600" s="31">
        <f>(Table26[[#This Row],[M2 Money Stock, Billions of Dollars, Monthly, Seasonally Adjusted]]-B599)/B599</f>
        <v>5.9929068834295709E-3</v>
      </c>
      <c r="D600" s="32">
        <f>((1+Table26[[#This Row],[Monthly change]])^12)-1</f>
        <v>7.4333264497241869E-2</v>
      </c>
    </row>
    <row r="601" spans="1:4" x14ac:dyDescent="0.2">
      <c r="A601" s="57">
        <v>39661</v>
      </c>
      <c r="B601" s="59">
        <f>VLOOKUP(Table26[[#This Row],[Date]],'DB Money Supply'!$A:$E,5)</f>
        <v>7787</v>
      </c>
      <c r="C601" s="31">
        <f>(Table26[[#This Row],[M2 Money Stock, Billions of Dollars, Monthly, Seasonally Adjusted]]-B600)/B600</f>
        <v>1.9171137787727429E-3</v>
      </c>
      <c r="D601" s="32">
        <f>((1+Table26[[#This Row],[Monthly change]])^12)-1</f>
        <v>2.3249493641853247E-2</v>
      </c>
    </row>
    <row r="602" spans="1:4" x14ac:dyDescent="0.2">
      <c r="A602" s="34">
        <v>39692</v>
      </c>
      <c r="B602" s="59">
        <f>VLOOKUP(Table26[[#This Row],[Date]],'DB Money Supply'!$A:$E,5)</f>
        <v>7856.5</v>
      </c>
      <c r="C602" s="31">
        <f>(Table26[[#This Row],[M2 Money Stock, Billions of Dollars, Monthly, Seasonally Adjusted]]-B601)/B601</f>
        <v>8.9251316296391423E-3</v>
      </c>
      <c r="D602" s="32">
        <f>((1+Table26[[#This Row],[Monthly change]])^12)-1</f>
        <v>0.11251860291344551</v>
      </c>
    </row>
    <row r="603" spans="1:4" x14ac:dyDescent="0.2">
      <c r="A603" s="57">
        <v>39722</v>
      </c>
      <c r="B603" s="59">
        <f>VLOOKUP(Table26[[#This Row],[Date]],'DB Money Supply'!$A:$E,5)</f>
        <v>7963.1</v>
      </c>
      <c r="C603" s="31">
        <f>(Table26[[#This Row],[M2 Money Stock, Billions of Dollars, Monthly, Seasonally Adjusted]]-B602)/B602</f>
        <v>1.3568382867689221E-2</v>
      </c>
      <c r="D603" s="32">
        <f>((1+Table26[[#This Row],[Monthly change]])^12)-1</f>
        <v>0.17553795816187967</v>
      </c>
    </row>
    <row r="604" spans="1:4" x14ac:dyDescent="0.2">
      <c r="A604" s="34">
        <v>39753</v>
      </c>
      <c r="B604" s="59">
        <f>VLOOKUP(Table26[[#This Row],[Date]],'DB Money Supply'!$A:$E,5)</f>
        <v>8013.5</v>
      </c>
      <c r="C604" s="31">
        <f>(Table26[[#This Row],[M2 Money Stock, Billions of Dollars, Monthly, Seasonally Adjusted]]-B603)/B603</f>
        <v>6.3291934045785732E-3</v>
      </c>
      <c r="D604" s="32">
        <f>((1+Table26[[#This Row],[Monthly change]])^12)-1</f>
        <v>7.8650775390493255E-2</v>
      </c>
    </row>
    <row r="605" spans="1:4" x14ac:dyDescent="0.2">
      <c r="A605" s="57">
        <v>39783</v>
      </c>
      <c r="B605" s="59">
        <f>VLOOKUP(Table26[[#This Row],[Date]],'DB Money Supply'!$A:$E,5)</f>
        <v>8189.7</v>
      </c>
      <c r="C605" s="31">
        <f>(Table26[[#This Row],[M2 Money Stock, Billions of Dollars, Monthly, Seasonally Adjusted]]-B604)/B604</f>
        <v>2.1987895426467813E-2</v>
      </c>
      <c r="D605" s="32">
        <f>((1+Table26[[#This Row],[Monthly change]])^12)-1</f>
        <v>0.2982221771508442</v>
      </c>
    </row>
    <row r="606" spans="1:4" x14ac:dyDescent="0.2">
      <c r="A606" s="34">
        <v>39814</v>
      </c>
      <c r="B606" s="59">
        <f>VLOOKUP(Table26[[#This Row],[Date]],'DB Money Supply'!$A:$E,5)</f>
        <v>8271.2000000000007</v>
      </c>
      <c r="C606" s="31">
        <f>(Table26[[#This Row],[M2 Money Stock, Billions of Dollars, Monthly, Seasonally Adjusted]]-B605)/B605</f>
        <v>9.9515244758661379E-3</v>
      </c>
      <c r="D606" s="32">
        <f>((1+Table26[[#This Row],[Monthly change]])^12)-1</f>
        <v>0.12617621012807745</v>
      </c>
    </row>
    <row r="607" spans="1:4" x14ac:dyDescent="0.2">
      <c r="A607" s="57">
        <v>39845</v>
      </c>
      <c r="B607" s="59">
        <f>VLOOKUP(Table26[[#This Row],[Date]],'DB Money Supply'!$A:$E,5)</f>
        <v>8300.5</v>
      </c>
      <c r="C607" s="31">
        <f>(Table26[[#This Row],[M2 Money Stock, Billions of Dollars, Monthly, Seasonally Adjusted]]-B606)/B606</f>
        <v>3.5424122255536404E-3</v>
      </c>
      <c r="D607" s="32">
        <f>((1+Table26[[#This Row],[Monthly change]])^12)-1</f>
        <v>4.3347017841310453E-2</v>
      </c>
    </row>
    <row r="608" spans="1:4" x14ac:dyDescent="0.2">
      <c r="A608" s="34">
        <v>39873</v>
      </c>
      <c r="B608" s="59">
        <f>VLOOKUP(Table26[[#This Row],[Date]],'DB Money Supply'!$A:$E,5)</f>
        <v>8366.5</v>
      </c>
      <c r="C608" s="31">
        <f>(Table26[[#This Row],[M2 Money Stock, Billions of Dollars, Monthly, Seasonally Adjusted]]-B607)/B607</f>
        <v>7.9513282332389617E-3</v>
      </c>
      <c r="D608" s="32">
        <f>((1+Table26[[#This Row],[Monthly change]])^12)-1</f>
        <v>9.9701298384905268E-2</v>
      </c>
    </row>
    <row r="609" spans="1:4" x14ac:dyDescent="0.2">
      <c r="A609" s="57">
        <v>39904</v>
      </c>
      <c r="B609" s="59">
        <f>VLOOKUP(Table26[[#This Row],[Date]],'DB Money Supply'!$A:$E,5)</f>
        <v>8369.9</v>
      </c>
      <c r="C609" s="31">
        <f>(Table26[[#This Row],[M2 Money Stock, Billions of Dollars, Monthly, Seasonally Adjusted]]-B608)/B608</f>
        <v>4.0638259726285018E-4</v>
      </c>
      <c r="D609" s="32">
        <f>((1+Table26[[#This Row],[Monthly change]])^12)-1</f>
        <v>4.8875056352917223E-3</v>
      </c>
    </row>
    <row r="610" spans="1:4" x14ac:dyDescent="0.2">
      <c r="A610" s="34">
        <v>39934</v>
      </c>
      <c r="B610" s="59">
        <f>VLOOKUP(Table26[[#This Row],[Date]],'DB Money Supply'!$A:$E,5)</f>
        <v>8427.6</v>
      </c>
      <c r="C610" s="31">
        <f>(Table26[[#This Row],[M2 Money Stock, Billions of Dollars, Monthly, Seasonally Adjusted]]-B609)/B609</f>
        <v>6.8937502240171006E-3</v>
      </c>
      <c r="D610" s="32">
        <f>((1+Table26[[#This Row],[Monthly change]])^12)-1</f>
        <v>8.5934779137545547E-2</v>
      </c>
    </row>
    <row r="611" spans="1:4" x14ac:dyDescent="0.2">
      <c r="A611" s="57">
        <v>39965</v>
      </c>
      <c r="B611" s="59">
        <f>VLOOKUP(Table26[[#This Row],[Date]],'DB Money Supply'!$A:$E,5)</f>
        <v>8437.2000000000007</v>
      </c>
      <c r="C611" s="31">
        <f>(Table26[[#This Row],[M2 Money Stock, Billions of Dollars, Monthly, Seasonally Adjusted]]-B610)/B610</f>
        <v>1.1391143386017802E-3</v>
      </c>
      <c r="D611" s="32">
        <f>((1+Table26[[#This Row],[Monthly change]])^12)-1</f>
        <v>1.3755338456231669E-2</v>
      </c>
    </row>
    <row r="612" spans="1:4" x14ac:dyDescent="0.2">
      <c r="A612" s="34">
        <v>39995</v>
      </c>
      <c r="B612" s="59">
        <f>VLOOKUP(Table26[[#This Row],[Date]],'DB Money Supply'!$A:$E,5)</f>
        <v>8442</v>
      </c>
      <c r="C612" s="31">
        <f>(Table26[[#This Row],[M2 Money Stock, Billions of Dollars, Monthly, Seasonally Adjusted]]-B611)/B611</f>
        <v>5.6890911676850994E-4</v>
      </c>
      <c r="D612" s="32">
        <f>((1+Table26[[#This Row],[Monthly change]])^12)-1</f>
        <v>6.8483113625943393E-3</v>
      </c>
    </row>
    <row r="613" spans="1:4" x14ac:dyDescent="0.2">
      <c r="A613" s="57">
        <v>40026</v>
      </c>
      <c r="B613" s="59">
        <f>VLOOKUP(Table26[[#This Row],[Date]],'DB Money Supply'!$A:$E,5)</f>
        <v>8441.7999999999993</v>
      </c>
      <c r="C613" s="31">
        <f>(Table26[[#This Row],[M2 Money Stock, Billions of Dollars, Monthly, Seasonally Adjusted]]-B612)/B612</f>
        <v>-2.3691068467274057E-5</v>
      </c>
      <c r="D613" s="32">
        <f>((1+Table26[[#This Row],[Monthly change]])^12)-1</f>
        <v>-2.842557809281665E-4</v>
      </c>
    </row>
    <row r="614" spans="1:4" x14ac:dyDescent="0.2">
      <c r="A614" s="57">
        <v>40057</v>
      </c>
      <c r="B614" s="59">
        <f>VLOOKUP(Table26[[#This Row],[Date]],'DB Money Supply'!$A:$E,5)</f>
        <v>8441.1</v>
      </c>
      <c r="C614" s="31">
        <f>(Table26[[#This Row],[M2 Money Stock, Billions of Dollars, Monthly, Seasonally Adjusted]]-B613)/B613</f>
        <v>-8.2920704115106809E-5</v>
      </c>
      <c r="D614" s="32">
        <f>((1+Table26[[#This Row],[Monthly change]])^12)-1</f>
        <v>-9.9459476914143252E-4</v>
      </c>
    </row>
    <row r="615" spans="1:4" x14ac:dyDescent="0.2">
      <c r="A615" s="34">
        <v>40087</v>
      </c>
      <c r="B615" s="59">
        <f>VLOOKUP(Table26[[#This Row],[Date]],'DB Money Supply'!$A:$E,5)</f>
        <v>8468.1</v>
      </c>
      <c r="C615" s="31">
        <f>(Table26[[#This Row],[M2 Money Stock, Billions of Dollars, Monthly, Seasonally Adjusted]]-B614)/B614</f>
        <v>3.1986352489604434E-3</v>
      </c>
      <c r="D615" s="32">
        <f>((1+Table26[[#This Row],[Monthly change]])^12)-1</f>
        <v>3.9066138462212852E-2</v>
      </c>
    </row>
    <row r="616" spans="1:4" x14ac:dyDescent="0.2">
      <c r="A616" s="57">
        <v>40118</v>
      </c>
      <c r="B616" s="59">
        <f>VLOOKUP(Table26[[#This Row],[Date]],'DB Money Supply'!$A:$E,5)</f>
        <v>8498.2000000000007</v>
      </c>
      <c r="C616" s="31">
        <f>(Table26[[#This Row],[M2 Money Stock, Billions of Dollars, Monthly, Seasonally Adjusted]]-B615)/B615</f>
        <v>3.5545163614034273E-3</v>
      </c>
      <c r="D616" s="32">
        <f>((1+Table26[[#This Row],[Monthly change]])^12)-1</f>
        <v>4.3498038685344964E-2</v>
      </c>
    </row>
    <row r="617" spans="1:4" x14ac:dyDescent="0.2">
      <c r="A617" s="34">
        <v>40148</v>
      </c>
      <c r="B617" s="59">
        <f>VLOOKUP(Table26[[#This Row],[Date]],'DB Money Supply'!$A:$E,5)</f>
        <v>8493.1</v>
      </c>
      <c r="C617" s="31">
        <f>(Table26[[#This Row],[M2 Money Stock, Billions of Dollars, Monthly, Seasonally Adjusted]]-B616)/B616</f>
        <v>-6.0012708573584561E-4</v>
      </c>
      <c r="D617" s="32">
        <f>((1+Table26[[#This Row],[Monthly change]])^12)-1</f>
        <v>-7.1778024486315317E-3</v>
      </c>
    </row>
    <row r="618" spans="1:4" x14ac:dyDescent="0.2">
      <c r="A618" s="57">
        <v>40179</v>
      </c>
      <c r="B618" s="59">
        <f>VLOOKUP(Table26[[#This Row],[Date]],'DB Money Supply'!$A:$E,5)</f>
        <v>8455.4</v>
      </c>
      <c r="C618" s="31">
        <f>(Table26[[#This Row],[M2 Money Stock, Billions of Dollars, Monthly, Seasonally Adjusted]]-B617)/B617</f>
        <v>-4.4388974579365279E-3</v>
      </c>
      <c r="D618" s="32">
        <f>((1+Table26[[#This Row],[Monthly change]])^12)-1</f>
        <v>-5.1985369074737275E-2</v>
      </c>
    </row>
    <row r="619" spans="1:4" x14ac:dyDescent="0.2">
      <c r="A619" s="34">
        <v>40210</v>
      </c>
      <c r="B619" s="59">
        <f>VLOOKUP(Table26[[#This Row],[Date]],'DB Money Supply'!$A:$E,5)</f>
        <v>8505.1</v>
      </c>
      <c r="C619" s="31">
        <f>(Table26[[#This Row],[M2 Money Stock, Billions of Dollars, Monthly, Seasonally Adjusted]]-B618)/B618</f>
        <v>5.8779005132815398E-3</v>
      </c>
      <c r="D619" s="32">
        <f>((1+Table26[[#This Row],[Monthly change]])^12)-1</f>
        <v>7.2860361333442425E-2</v>
      </c>
    </row>
    <row r="620" spans="1:4" x14ac:dyDescent="0.2">
      <c r="A620" s="57">
        <v>40238</v>
      </c>
      <c r="B620" s="59">
        <f>VLOOKUP(Table26[[#This Row],[Date]],'DB Money Supply'!$A:$E,5)</f>
        <v>8502.2000000000007</v>
      </c>
      <c r="C620" s="31">
        <f>(Table26[[#This Row],[M2 Money Stock, Billions of Dollars, Monthly, Seasonally Adjusted]]-B619)/B619</f>
        <v>-3.4097188745571907E-4</v>
      </c>
      <c r="D620" s="32">
        <f>((1+Table26[[#This Row],[Monthly change]])^12)-1</f>
        <v>-4.0839980833745626E-3</v>
      </c>
    </row>
    <row r="621" spans="1:4" x14ac:dyDescent="0.2">
      <c r="A621" s="34">
        <v>40269</v>
      </c>
      <c r="B621" s="59">
        <f>VLOOKUP(Table26[[#This Row],[Date]],'DB Money Supply'!$A:$E,5)</f>
        <v>8532.7999999999993</v>
      </c>
      <c r="C621" s="31">
        <f>(Table26[[#This Row],[M2 Money Stock, Billions of Dollars, Monthly, Seasonally Adjusted]]-B620)/B620</f>
        <v>3.5990684763941736E-3</v>
      </c>
      <c r="D621" s="32">
        <f>((1+Table26[[#This Row],[Monthly change]])^12)-1</f>
        <v>4.4054079003424507E-2</v>
      </c>
    </row>
    <row r="622" spans="1:4" x14ac:dyDescent="0.2">
      <c r="A622" s="57">
        <v>40299</v>
      </c>
      <c r="B622" s="59">
        <f>VLOOKUP(Table26[[#This Row],[Date]],'DB Money Supply'!$A:$E,5)</f>
        <v>8587.7000000000007</v>
      </c>
      <c r="C622" s="31">
        <f>(Table26[[#This Row],[M2 Money Stock, Billions of Dollars, Monthly, Seasonally Adjusted]]-B621)/B621</f>
        <v>6.4339958747423424E-3</v>
      </c>
      <c r="D622" s="32">
        <f>((1+Table26[[#This Row],[Monthly change]])^12)-1</f>
        <v>7.999955914755752E-2</v>
      </c>
    </row>
    <row r="623" spans="1:4" x14ac:dyDescent="0.2">
      <c r="A623" s="34">
        <v>40330</v>
      </c>
      <c r="B623" s="59">
        <f>VLOOKUP(Table26[[#This Row],[Date]],'DB Money Supply'!$A:$E,5)</f>
        <v>8606.7000000000007</v>
      </c>
      <c r="C623" s="31">
        <f>(Table26[[#This Row],[M2 Money Stock, Billions of Dollars, Monthly, Seasonally Adjusted]]-B622)/B622</f>
        <v>2.2124666674429704E-3</v>
      </c>
      <c r="D623" s="32">
        <f>((1+Table26[[#This Row],[Monthly change]])^12)-1</f>
        <v>2.6875065099576156E-2</v>
      </c>
    </row>
    <row r="624" spans="1:4" x14ac:dyDescent="0.2">
      <c r="A624" s="57">
        <v>40360</v>
      </c>
      <c r="B624" s="59">
        <f>VLOOKUP(Table26[[#This Row],[Date]],'DB Money Supply'!$A:$E,5)</f>
        <v>8616.2999999999993</v>
      </c>
      <c r="C624" s="31">
        <f>(Table26[[#This Row],[M2 Money Stock, Billions of Dollars, Monthly, Seasonally Adjusted]]-B623)/B623</f>
        <v>1.1154100874898095E-3</v>
      </c>
      <c r="D624" s="32">
        <f>((1+Table26[[#This Row],[Monthly change]])^12)-1</f>
        <v>1.3467340334929467E-2</v>
      </c>
    </row>
    <row r="625" spans="1:4" x14ac:dyDescent="0.2">
      <c r="A625" s="34">
        <v>40391</v>
      </c>
      <c r="B625" s="59">
        <f>VLOOKUP(Table26[[#This Row],[Date]],'DB Money Supply'!$A:$E,5)</f>
        <v>8666.7000000000007</v>
      </c>
      <c r="C625" s="31">
        <f>(Table26[[#This Row],[M2 Money Stock, Billions of Dollars, Monthly, Seasonally Adjusted]]-B624)/B624</f>
        <v>5.8493785035341689E-3</v>
      </c>
      <c r="D625" s="32">
        <f>((1+Table26[[#This Row],[Monthly change]])^12)-1</f>
        <v>7.2495362417833276E-2</v>
      </c>
    </row>
    <row r="626" spans="1:4" x14ac:dyDescent="0.2">
      <c r="A626" s="57">
        <v>40422</v>
      </c>
      <c r="B626" s="59">
        <f>VLOOKUP(Table26[[#This Row],[Date]],'DB Money Supply'!$A:$E,5)</f>
        <v>8697.7999999999993</v>
      </c>
      <c r="C626" s="31">
        <f>(Table26[[#This Row],[M2 Money Stock, Billions of Dollars, Monthly, Seasonally Adjusted]]-B625)/B625</f>
        <v>3.5884477367393057E-3</v>
      </c>
      <c r="D626" s="32">
        <f>((1+Table26[[#This Row],[Monthly change]])^12)-1</f>
        <v>4.3921500388866441E-2</v>
      </c>
    </row>
    <row r="627" spans="1:4" x14ac:dyDescent="0.2">
      <c r="A627" s="34">
        <v>40452</v>
      </c>
      <c r="B627" s="59">
        <f>VLOOKUP(Table26[[#This Row],[Date]],'DB Money Supply'!$A:$E,5)</f>
        <v>8746.9</v>
      </c>
      <c r="C627" s="31">
        <f>(Table26[[#This Row],[M2 Money Stock, Billions of Dollars, Monthly, Seasonally Adjusted]]-B626)/B626</f>
        <v>5.6451056589022931E-3</v>
      </c>
      <c r="D627" s="32">
        <f>((1+Table26[[#This Row],[Monthly change]])^12)-1</f>
        <v>6.9884588179448759E-2</v>
      </c>
    </row>
    <row r="628" spans="1:4" x14ac:dyDescent="0.2">
      <c r="A628" s="57">
        <v>40483</v>
      </c>
      <c r="B628" s="59">
        <f>VLOOKUP(Table26[[#This Row],[Date]],'DB Money Supply'!$A:$E,5)</f>
        <v>8767.7000000000007</v>
      </c>
      <c r="C628" s="31">
        <f>(Table26[[#This Row],[M2 Money Stock, Billions of Dollars, Monthly, Seasonally Adjusted]]-B627)/B627</f>
        <v>2.3779853433789221E-3</v>
      </c>
      <c r="D628" s="32">
        <f>((1+Table26[[#This Row],[Monthly change]])^12)-1</f>
        <v>2.8912016107287775E-2</v>
      </c>
    </row>
    <row r="629" spans="1:4" x14ac:dyDescent="0.2">
      <c r="A629" s="34">
        <v>40513</v>
      </c>
      <c r="B629" s="59">
        <f>VLOOKUP(Table26[[#This Row],[Date]],'DB Money Supply'!$A:$E,5)</f>
        <v>8799.4</v>
      </c>
      <c r="C629" s="31">
        <f>(Table26[[#This Row],[M2 Money Stock, Billions of Dollars, Monthly, Seasonally Adjusted]]-B628)/B628</f>
        <v>3.6155434150346049E-3</v>
      </c>
      <c r="D629" s="32">
        <f>((1+Table26[[#This Row],[Monthly change]])^12)-1</f>
        <v>4.4259766081301333E-2</v>
      </c>
    </row>
    <row r="630" spans="1:4" x14ac:dyDescent="0.2">
      <c r="A630" s="57">
        <v>40544</v>
      </c>
      <c r="B630" s="59">
        <f>VLOOKUP(Table26[[#This Row],[Date]],'DB Money Supply'!$A:$E,5)</f>
        <v>8820.4</v>
      </c>
      <c r="C630" s="31">
        <f>(Table26[[#This Row],[M2 Money Stock, Billions of Dollars, Monthly, Seasonally Adjusted]]-B629)/B629</f>
        <v>2.3865263540695956E-3</v>
      </c>
      <c r="D630" s="32">
        <f>((1+Table26[[#This Row],[Monthly change]])^12)-1</f>
        <v>2.9017226243692518E-2</v>
      </c>
    </row>
    <row r="631" spans="1:4" x14ac:dyDescent="0.2">
      <c r="A631" s="34">
        <v>40575</v>
      </c>
      <c r="B631" s="59">
        <f>VLOOKUP(Table26[[#This Row],[Date]],'DB Money Supply'!$A:$E,5)</f>
        <v>8884.2000000000007</v>
      </c>
      <c r="C631" s="31">
        <f>(Table26[[#This Row],[M2 Money Stock, Billions of Dollars, Monthly, Seasonally Adjusted]]-B630)/B630</f>
        <v>7.2332320529682435E-3</v>
      </c>
      <c r="D631" s="32">
        <f>((1+Table26[[#This Row],[Monthly change]])^12)-1</f>
        <v>9.0336508898516188E-2</v>
      </c>
    </row>
    <row r="632" spans="1:4" x14ac:dyDescent="0.2">
      <c r="A632" s="57">
        <v>40603</v>
      </c>
      <c r="B632" s="59">
        <f>VLOOKUP(Table26[[#This Row],[Date]],'DB Money Supply'!$A:$E,5)</f>
        <v>8940.6</v>
      </c>
      <c r="C632" s="31">
        <f>(Table26[[#This Row],[M2 Money Stock, Billions of Dollars, Monthly, Seasonally Adjusted]]-B631)/B631</f>
        <v>6.3483487539676767E-3</v>
      </c>
      <c r="D632" s="32">
        <f>((1+Table26[[#This Row],[Monthly change]])^12)-1</f>
        <v>7.8897184965561529E-2</v>
      </c>
    </row>
    <row r="633" spans="1:4" x14ac:dyDescent="0.2">
      <c r="A633" s="57">
        <v>40634</v>
      </c>
      <c r="B633" s="59">
        <f>VLOOKUP(Table26[[#This Row],[Date]],'DB Money Supply'!$A:$E,5)</f>
        <v>9002.1</v>
      </c>
      <c r="C633" s="31">
        <f>(Table26[[#This Row],[M2 Money Stock, Billions of Dollars, Monthly, Seasonally Adjusted]]-B632)/B632</f>
        <v>6.878732970941547E-3</v>
      </c>
      <c r="D633" s="32">
        <f>((1+Table26[[#This Row],[Monthly change]])^12)-1</f>
        <v>8.5740441813480617E-2</v>
      </c>
    </row>
    <row r="634" spans="1:4" x14ac:dyDescent="0.2">
      <c r="A634" s="34">
        <v>40664</v>
      </c>
      <c r="B634" s="59">
        <f>VLOOKUP(Table26[[#This Row],[Date]],'DB Money Supply'!$A:$E,5)</f>
        <v>9072.7000000000007</v>
      </c>
      <c r="C634" s="31">
        <f>(Table26[[#This Row],[M2 Money Stock, Billions of Dollars, Monthly, Seasonally Adjusted]]-B633)/B633</f>
        <v>7.8426145010609041E-3</v>
      </c>
      <c r="D634" s="32">
        <f>((1+Table26[[#This Row],[Monthly change]])^12)-1</f>
        <v>9.8278828054355394E-2</v>
      </c>
    </row>
    <row r="635" spans="1:4" x14ac:dyDescent="0.2">
      <c r="A635" s="57">
        <v>40695</v>
      </c>
      <c r="B635" s="59">
        <f>VLOOKUP(Table26[[#This Row],[Date]],'DB Money Supply'!$A:$E,5)</f>
        <v>9148.4</v>
      </c>
      <c r="C635" s="31">
        <f>(Table26[[#This Row],[M2 Money Stock, Billions of Dollars, Monthly, Seasonally Adjusted]]-B634)/B634</f>
        <v>8.3437124560493455E-3</v>
      </c>
      <c r="D635" s="32">
        <f>((1+Table26[[#This Row],[Monthly change]])^12)-1</f>
        <v>0.10484952947736281</v>
      </c>
    </row>
    <row r="636" spans="1:4" x14ac:dyDescent="0.2">
      <c r="A636" s="34">
        <v>40725</v>
      </c>
      <c r="B636" s="59">
        <f>VLOOKUP(Table26[[#This Row],[Date]],'DB Money Supply'!$A:$E,5)</f>
        <v>9313.7999999999993</v>
      </c>
      <c r="C636" s="31">
        <f>(Table26[[#This Row],[M2 Money Stock, Billions of Dollars, Monthly, Seasonally Adjusted]]-B635)/B635</f>
        <v>1.8079664203576543E-2</v>
      </c>
      <c r="D636" s="32">
        <f>((1+Table26[[#This Row],[Monthly change]])^12)-1</f>
        <v>0.23988427423392356</v>
      </c>
    </row>
    <row r="637" spans="1:4" x14ac:dyDescent="0.2">
      <c r="A637" s="57">
        <v>40756</v>
      </c>
      <c r="B637" s="59">
        <f>VLOOKUP(Table26[[#This Row],[Date]],'DB Money Supply'!$A:$E,5)</f>
        <v>9505</v>
      </c>
      <c r="C637" s="31">
        <f>(Table26[[#This Row],[M2 Money Stock, Billions of Dollars, Monthly, Seasonally Adjusted]]-B636)/B636</f>
        <v>2.0528677875840232E-2</v>
      </c>
      <c r="D637" s="32">
        <f>((1+Table26[[#This Row],[Monthly change]])^12)-1</f>
        <v>0.2761524541312308</v>
      </c>
    </row>
    <row r="638" spans="1:4" x14ac:dyDescent="0.2">
      <c r="A638" s="34">
        <v>40787</v>
      </c>
      <c r="B638" s="59">
        <f>VLOOKUP(Table26[[#This Row],[Date]],'DB Money Supply'!$A:$E,5)</f>
        <v>9525.7999999999993</v>
      </c>
      <c r="C638" s="31">
        <f>(Table26[[#This Row],[M2 Money Stock, Billions of Dollars, Monthly, Seasonally Adjusted]]-B637)/B637</f>
        <v>2.1883219358231742E-3</v>
      </c>
      <c r="D638" s="32">
        <f>((1+Table26[[#This Row],[Monthly change]])^12)-1</f>
        <v>2.65782377654602E-2</v>
      </c>
    </row>
    <row r="639" spans="1:4" x14ac:dyDescent="0.2">
      <c r="A639" s="57">
        <v>40817</v>
      </c>
      <c r="B639" s="59">
        <f>VLOOKUP(Table26[[#This Row],[Date]],'DB Money Supply'!$A:$E,5)</f>
        <v>9559.5</v>
      </c>
      <c r="C639" s="31">
        <f>(Table26[[#This Row],[M2 Money Stock, Billions of Dollars, Monthly, Seasonally Adjusted]]-B638)/B638</f>
        <v>3.5377606080329977E-3</v>
      </c>
      <c r="D639" s="32">
        <f>((1+Table26[[#This Row],[Monthly change]])^12)-1</f>
        <v>4.3288985883904063E-2</v>
      </c>
    </row>
    <row r="640" spans="1:4" x14ac:dyDescent="0.2">
      <c r="A640" s="34">
        <v>40848</v>
      </c>
      <c r="B640" s="59">
        <f>VLOOKUP(Table26[[#This Row],[Date]],'DB Money Supply'!$A:$E,5)</f>
        <v>9610.1</v>
      </c>
      <c r="C640" s="31">
        <f>(Table26[[#This Row],[M2 Money Stock, Billions of Dollars, Monthly, Seasonally Adjusted]]-B639)/B639</f>
        <v>5.2931638684031975E-3</v>
      </c>
      <c r="D640" s="32">
        <f>((1+Table26[[#This Row],[Monthly change]])^12)-1</f>
        <v>6.5400145191946368E-2</v>
      </c>
    </row>
    <row r="641" spans="1:4" x14ac:dyDescent="0.2">
      <c r="A641" s="57">
        <v>40878</v>
      </c>
      <c r="B641" s="59">
        <f>VLOOKUP(Table26[[#This Row],[Date]],'DB Money Supply'!$A:$E,5)</f>
        <v>9657.7000000000007</v>
      </c>
      <c r="C641" s="31">
        <f>(Table26[[#This Row],[M2 Money Stock, Billions of Dollars, Monthly, Seasonally Adjusted]]-B640)/B640</f>
        <v>4.9531222359809326E-3</v>
      </c>
      <c r="D641" s="32">
        <f>((1+Table26[[#This Row],[Monthly change]])^12)-1</f>
        <v>6.1083706599951215E-2</v>
      </c>
    </row>
    <row r="642" spans="1:4" x14ac:dyDescent="0.2">
      <c r="A642" s="34">
        <v>40909</v>
      </c>
      <c r="B642" s="59">
        <f>VLOOKUP(Table26[[#This Row],[Date]],'DB Money Supply'!$A:$E,5)</f>
        <v>9731.5</v>
      </c>
      <c r="C642" s="31">
        <f>(Table26[[#This Row],[M2 Money Stock, Billions of Dollars, Monthly, Seasonally Adjusted]]-B641)/B641</f>
        <v>7.64157097445554E-3</v>
      </c>
      <c r="D642" s="32">
        <f>((1+Table26[[#This Row],[Monthly change]])^12)-1</f>
        <v>9.5652706588318148E-2</v>
      </c>
    </row>
    <row r="643" spans="1:4" x14ac:dyDescent="0.2">
      <c r="A643" s="57">
        <v>40940</v>
      </c>
      <c r="B643" s="59">
        <f>VLOOKUP(Table26[[#This Row],[Date]],'DB Money Supply'!$A:$E,5)</f>
        <v>9789.2999999999993</v>
      </c>
      <c r="C643" s="31">
        <f>(Table26[[#This Row],[M2 Money Stock, Billions of Dollars, Monthly, Seasonally Adjusted]]-B642)/B642</f>
        <v>5.9394749010943096E-3</v>
      </c>
      <c r="D643" s="32">
        <f>((1+Table26[[#This Row],[Monthly change]])^12)-1</f>
        <v>7.3648723011891848E-2</v>
      </c>
    </row>
    <row r="644" spans="1:4" x14ac:dyDescent="0.2">
      <c r="A644" s="34">
        <v>40969</v>
      </c>
      <c r="B644" s="59">
        <f>VLOOKUP(Table26[[#This Row],[Date]],'DB Money Supply'!$A:$E,5)</f>
        <v>9837.1</v>
      </c>
      <c r="C644" s="31">
        <f>(Table26[[#This Row],[M2 Money Stock, Billions of Dollars, Monthly, Seasonally Adjusted]]-B643)/B643</f>
        <v>4.88288233070813E-3</v>
      </c>
      <c r="D644" s="32">
        <f>((1+Table26[[#This Row],[Monthly change]])^12)-1</f>
        <v>6.019409167060541E-2</v>
      </c>
    </row>
    <row r="645" spans="1:4" x14ac:dyDescent="0.2">
      <c r="A645" s="57">
        <v>41000</v>
      </c>
      <c r="B645" s="59">
        <f>VLOOKUP(Table26[[#This Row],[Date]],'DB Money Supply'!$A:$E,5)</f>
        <v>9889.9</v>
      </c>
      <c r="C645" s="31">
        <f>(Table26[[#This Row],[M2 Money Stock, Billions of Dollars, Monthly, Seasonally Adjusted]]-B644)/B644</f>
        <v>5.3674355246972451E-3</v>
      </c>
      <c r="D645" s="32">
        <f>((1+Table26[[#This Row],[Monthly change]])^12)-1</f>
        <v>6.6345077846988509E-2</v>
      </c>
    </row>
    <row r="646" spans="1:4" x14ac:dyDescent="0.2">
      <c r="A646" s="34">
        <v>41030</v>
      </c>
      <c r="B646" s="59">
        <f>VLOOKUP(Table26[[#This Row],[Date]],'DB Money Supply'!$A:$E,5)</f>
        <v>9934.6</v>
      </c>
      <c r="C646" s="31">
        <f>(Table26[[#This Row],[M2 Money Stock, Billions of Dollars, Monthly, Seasonally Adjusted]]-B645)/B645</f>
        <v>4.5197625860727338E-3</v>
      </c>
      <c r="D646" s="32">
        <f>((1+Table26[[#This Row],[Monthly change]])^12)-1</f>
        <v>5.5605936646525356E-2</v>
      </c>
    </row>
    <row r="647" spans="1:4" x14ac:dyDescent="0.2">
      <c r="A647" s="57">
        <v>41061</v>
      </c>
      <c r="B647" s="59">
        <f>VLOOKUP(Table26[[#This Row],[Date]],'DB Money Supply'!$A:$E,5)</f>
        <v>9998.1</v>
      </c>
      <c r="C647" s="31">
        <f>(Table26[[#This Row],[M2 Money Stock, Billions of Dollars, Monthly, Seasonally Adjusted]]-B646)/B646</f>
        <v>6.391802387615002E-3</v>
      </c>
      <c r="D647" s="32">
        <f>((1+Table26[[#This Row],[Monthly change]])^12)-1</f>
        <v>7.9456352834953448E-2</v>
      </c>
    </row>
    <row r="648" spans="1:4" x14ac:dyDescent="0.2">
      <c r="A648" s="34">
        <v>41091</v>
      </c>
      <c r="B648" s="59">
        <f>VLOOKUP(Table26[[#This Row],[Date]],'DB Money Supply'!$A:$E,5)</f>
        <v>10055.299999999999</v>
      </c>
      <c r="C648" s="31">
        <f>(Table26[[#This Row],[M2 Money Stock, Billions of Dollars, Monthly, Seasonally Adjusted]]-B647)/B647</f>
        <v>5.7210870065311312E-3</v>
      </c>
      <c r="D648" s="32">
        <f>((1+Table26[[#This Row],[Monthly change]])^12)-1</f>
        <v>7.0855010785819905E-2</v>
      </c>
    </row>
    <row r="649" spans="1:4" x14ac:dyDescent="0.2">
      <c r="A649" s="57">
        <v>41122</v>
      </c>
      <c r="B649" s="59">
        <f>VLOOKUP(Table26[[#This Row],[Date]],'DB Money Supply'!$A:$E,5)</f>
        <v>10115.200000000001</v>
      </c>
      <c r="C649" s="31">
        <f>(Table26[[#This Row],[M2 Money Stock, Billions of Dollars, Monthly, Seasonally Adjusted]]-B648)/B648</f>
        <v>5.9570574721789964E-3</v>
      </c>
      <c r="D649" s="32">
        <f>((1+Table26[[#This Row],[Monthly change]])^12)-1</f>
        <v>7.3873937196125006E-2</v>
      </c>
    </row>
    <row r="650" spans="1:4" x14ac:dyDescent="0.2">
      <c r="A650" s="34">
        <v>41153</v>
      </c>
      <c r="B650" s="59">
        <f>VLOOKUP(Table26[[#This Row],[Date]],'DB Money Supply'!$A:$E,5)</f>
        <v>10193.1</v>
      </c>
      <c r="C650" s="31">
        <f>(Table26[[#This Row],[M2 Money Stock, Billions of Dollars, Monthly, Seasonally Adjusted]]-B649)/B649</f>
        <v>7.7012812401138515E-3</v>
      </c>
      <c r="D650" s="32">
        <f>((1+Table26[[#This Row],[Monthly change]])^12)-1</f>
        <v>9.6432067530826115E-2</v>
      </c>
    </row>
    <row r="651" spans="1:4" x14ac:dyDescent="0.2">
      <c r="A651" s="57">
        <v>41183</v>
      </c>
      <c r="B651" s="59">
        <f>VLOOKUP(Table26[[#This Row],[Date]],'DB Money Supply'!$A:$E,5)</f>
        <v>10256.5</v>
      </c>
      <c r="C651" s="31">
        <f>(Table26[[#This Row],[M2 Money Stock, Billions of Dollars, Monthly, Seasonally Adjusted]]-B650)/B650</f>
        <v>6.2198938497610773E-3</v>
      </c>
      <c r="D651" s="32">
        <f>((1+Table26[[#This Row],[Monthly change]])^12)-1</f>
        <v>7.7245760228741078E-2</v>
      </c>
    </row>
    <row r="652" spans="1:4" x14ac:dyDescent="0.2">
      <c r="A652" s="57">
        <v>41214</v>
      </c>
      <c r="B652" s="59">
        <f>VLOOKUP(Table26[[#This Row],[Date]],'DB Money Supply'!$A:$E,5)</f>
        <v>10319.799999999999</v>
      </c>
      <c r="C652" s="31">
        <f>(Table26[[#This Row],[M2 Money Stock, Billions of Dollars, Monthly, Seasonally Adjusted]]-B651)/B651</f>
        <v>6.1716959976599499E-3</v>
      </c>
      <c r="D652" s="32">
        <f>((1+Table26[[#This Row],[Monthly change]])^12)-1</f>
        <v>7.6626723505862415E-2</v>
      </c>
    </row>
    <row r="653" spans="1:4" x14ac:dyDescent="0.2">
      <c r="A653" s="34">
        <v>41244</v>
      </c>
      <c r="B653" s="59">
        <f>VLOOKUP(Table26[[#This Row],[Date]],'DB Money Supply'!$A:$E,5)</f>
        <v>10451.5</v>
      </c>
      <c r="C653" s="31">
        <f>(Table26[[#This Row],[M2 Money Stock, Billions of Dollars, Monthly, Seasonally Adjusted]]-B652)/B652</f>
        <v>1.2761875230140191E-2</v>
      </c>
      <c r="D653" s="32">
        <f>((1+Table26[[#This Row],[Monthly change]])^12)-1</f>
        <v>0.16436228827863109</v>
      </c>
    </row>
    <row r="654" spans="1:4" x14ac:dyDescent="0.2">
      <c r="A654" s="57">
        <v>41275</v>
      </c>
      <c r="B654" s="59">
        <f>VLOOKUP(Table26[[#This Row],[Date]],'DB Money Supply'!$A:$E,5)</f>
        <v>10477</v>
      </c>
      <c r="C654" s="31">
        <f>(Table26[[#This Row],[M2 Money Stock, Billions of Dollars, Monthly, Seasonally Adjusted]]-B653)/B653</f>
        <v>2.4398411711237622E-3</v>
      </c>
      <c r="D654" s="32">
        <f>((1+Table26[[#This Row],[Monthly change]])^12)-1</f>
        <v>2.9674193377519531E-2</v>
      </c>
    </row>
    <row r="655" spans="1:4" x14ac:dyDescent="0.2">
      <c r="A655" s="34">
        <v>41306</v>
      </c>
      <c r="B655" s="59">
        <f>VLOOKUP(Table26[[#This Row],[Date]],'DB Money Supply'!$A:$E,5)</f>
        <v>10489.1</v>
      </c>
      <c r="C655" s="31">
        <f>(Table26[[#This Row],[M2 Money Stock, Billions of Dollars, Monthly, Seasonally Adjusted]]-B654)/B654</f>
        <v>1.1549107568960928E-3</v>
      </c>
      <c r="D655" s="32">
        <f>((1+Table26[[#This Row],[Monthly change]])^12)-1</f>
        <v>1.3947300906728799E-2</v>
      </c>
    </row>
    <row r="656" spans="1:4" x14ac:dyDescent="0.2">
      <c r="A656" s="57">
        <v>41334</v>
      </c>
      <c r="B656" s="59">
        <f>VLOOKUP(Table26[[#This Row],[Date]],'DB Money Supply'!$A:$E,5)</f>
        <v>10555.8</v>
      </c>
      <c r="C656" s="31">
        <f>(Table26[[#This Row],[M2 Money Stock, Billions of Dollars, Monthly, Seasonally Adjusted]]-B655)/B655</f>
        <v>6.3589821815025985E-3</v>
      </c>
      <c r="D656" s="32">
        <f>((1+Table26[[#This Row],[Monthly change]])^12)-1</f>
        <v>7.9033992961971222E-2</v>
      </c>
    </row>
    <row r="657" spans="1:4" x14ac:dyDescent="0.2">
      <c r="A657" s="34">
        <v>41365</v>
      </c>
      <c r="B657" s="59">
        <f>VLOOKUP(Table26[[#This Row],[Date]],'DB Money Supply'!$A:$E,5)</f>
        <v>10590.3</v>
      </c>
      <c r="C657" s="31">
        <f>(Table26[[#This Row],[M2 Money Stock, Billions of Dollars, Monthly, Seasonally Adjusted]]-B656)/B656</f>
        <v>3.2683453646336611E-3</v>
      </c>
      <c r="D657" s="32">
        <f>((1+Table26[[#This Row],[Monthly change]])^12)-1</f>
        <v>3.9932899329771843E-2</v>
      </c>
    </row>
    <row r="658" spans="1:4" x14ac:dyDescent="0.2">
      <c r="A658" s="57">
        <v>41395</v>
      </c>
      <c r="B658" s="59">
        <f>VLOOKUP(Table26[[#This Row],[Date]],'DB Money Supply'!$A:$E,5)</f>
        <v>10630.1</v>
      </c>
      <c r="C658" s="31">
        <f>(Table26[[#This Row],[M2 Money Stock, Billions of Dollars, Monthly, Seasonally Adjusted]]-B657)/B657</f>
        <v>3.7581560484595427E-3</v>
      </c>
      <c r="D658" s="32">
        <f>((1+Table26[[#This Row],[Monthly change]])^12)-1</f>
        <v>4.6041815980409018E-2</v>
      </c>
    </row>
    <row r="659" spans="1:4" x14ac:dyDescent="0.2">
      <c r="A659" s="34">
        <v>41426</v>
      </c>
      <c r="B659" s="59">
        <f>VLOOKUP(Table26[[#This Row],[Date]],'DB Money Supply'!$A:$E,5)</f>
        <v>10682.5</v>
      </c>
      <c r="C659" s="31">
        <f>(Table26[[#This Row],[M2 Money Stock, Billions of Dollars, Monthly, Seasonally Adjusted]]-B658)/B658</f>
        <v>4.9293985945569312E-3</v>
      </c>
      <c r="D659" s="32">
        <f>((1+Table26[[#This Row],[Monthly change]])^12)-1</f>
        <v>6.0783161222602411E-2</v>
      </c>
    </row>
    <row r="660" spans="1:4" x14ac:dyDescent="0.2">
      <c r="A660" s="57">
        <v>41456</v>
      </c>
      <c r="B660" s="59">
        <f>VLOOKUP(Table26[[#This Row],[Date]],'DB Money Supply'!$A:$E,5)</f>
        <v>10728.9</v>
      </c>
      <c r="C660" s="31">
        <f>(Table26[[#This Row],[M2 Money Stock, Billions of Dollars, Monthly, Seasonally Adjusted]]-B659)/B659</f>
        <v>4.3435525391995917E-3</v>
      </c>
      <c r="D660" s="32">
        <f>((1+Table26[[#This Row],[Monthly change]])^12)-1</f>
        <v>5.3386021934856753E-2</v>
      </c>
    </row>
    <row r="661" spans="1:4" x14ac:dyDescent="0.2">
      <c r="A661" s="34">
        <v>41487</v>
      </c>
      <c r="B661" s="59">
        <f>VLOOKUP(Table26[[#This Row],[Date]],'DB Money Supply'!$A:$E,5)</f>
        <v>10783.5</v>
      </c>
      <c r="C661" s="31">
        <f>(Table26[[#This Row],[M2 Money Stock, Billions of Dollars, Monthly, Seasonally Adjusted]]-B660)/B660</f>
        <v>5.0890585241730622E-3</v>
      </c>
      <c r="D661" s="32">
        <f>((1+Table26[[#This Row],[Monthly change]])^12)-1</f>
        <v>6.2807334916984425E-2</v>
      </c>
    </row>
    <row r="662" spans="1:4" x14ac:dyDescent="0.2">
      <c r="A662" s="57">
        <v>41518</v>
      </c>
      <c r="B662" s="59">
        <f>VLOOKUP(Table26[[#This Row],[Date]],'DB Money Supply'!$A:$E,5)</f>
        <v>10835.3</v>
      </c>
      <c r="C662" s="31">
        <f>(Table26[[#This Row],[M2 Money Stock, Billions of Dollars, Monthly, Seasonally Adjusted]]-B661)/B661</f>
        <v>4.8036351833819517E-3</v>
      </c>
      <c r="D662" s="32">
        <f>((1+Table26[[#This Row],[Monthly change]])^12)-1</f>
        <v>5.9191217485463854E-2</v>
      </c>
    </row>
    <row r="663" spans="1:4" x14ac:dyDescent="0.2">
      <c r="A663" s="34">
        <v>41548</v>
      </c>
      <c r="B663" s="59">
        <f>VLOOKUP(Table26[[#This Row],[Date]],'DB Money Supply'!$A:$E,5)</f>
        <v>10948.7</v>
      </c>
      <c r="C663" s="31">
        <f>(Table26[[#This Row],[M2 Money Stock, Billions of Dollars, Monthly, Seasonally Adjusted]]-B662)/B662</f>
        <v>1.0465792363847929E-2</v>
      </c>
      <c r="D663" s="32">
        <f>((1+Table26[[#This Row],[Monthly change]])^12)-1</f>
        <v>0.13307690969683517</v>
      </c>
    </row>
    <row r="664" spans="1:4" x14ac:dyDescent="0.2">
      <c r="A664" s="57">
        <v>41579</v>
      </c>
      <c r="B664" s="59">
        <f>VLOOKUP(Table26[[#This Row],[Date]],'DB Money Supply'!$A:$E,5)</f>
        <v>10954.1</v>
      </c>
      <c r="C664" s="31">
        <f>(Table26[[#This Row],[M2 Money Stock, Billions of Dollars, Monthly, Seasonally Adjusted]]-B663)/B663</f>
        <v>4.9320923945305253E-4</v>
      </c>
      <c r="D664" s="32">
        <f>((1+Table26[[#This Row],[Monthly change]])^12)-1</f>
        <v>5.9345921507789612E-3</v>
      </c>
    </row>
    <row r="665" spans="1:4" x14ac:dyDescent="0.2">
      <c r="A665" s="34">
        <v>41609</v>
      </c>
      <c r="B665" s="59">
        <f>VLOOKUP(Table26[[#This Row],[Date]],'DB Money Supply'!$A:$E,5)</f>
        <v>11020.3</v>
      </c>
      <c r="C665" s="31">
        <f>(Table26[[#This Row],[M2 Money Stock, Billions of Dollars, Monthly, Seasonally Adjusted]]-B664)/B664</f>
        <v>6.0433992751571476E-3</v>
      </c>
      <c r="D665" s="32">
        <f>((1+Table26[[#This Row],[Monthly change]])^12)-1</f>
        <v>7.4980513195204823E-2</v>
      </c>
    </row>
    <row r="666" spans="1:4" x14ac:dyDescent="0.2">
      <c r="A666" s="57">
        <v>41640</v>
      </c>
      <c r="B666" s="59">
        <f>VLOOKUP(Table26[[#This Row],[Date]],'DB Money Supply'!$A:$E,5)</f>
        <v>11076.6</v>
      </c>
      <c r="C666" s="31">
        <f>(Table26[[#This Row],[M2 Money Stock, Billions of Dollars, Monthly, Seasonally Adjusted]]-B665)/B665</f>
        <v>5.1087538451767278E-3</v>
      </c>
      <c r="D666" s="32">
        <f>((1+Table26[[#This Row],[Monthly change]])^12)-1</f>
        <v>6.305727799529981E-2</v>
      </c>
    </row>
    <row r="667" spans="1:4" x14ac:dyDescent="0.2">
      <c r="A667" s="34">
        <v>41671</v>
      </c>
      <c r="B667" s="59">
        <f>VLOOKUP(Table26[[#This Row],[Date]],'DB Money Supply'!$A:$E,5)</f>
        <v>11169.3</v>
      </c>
      <c r="C667" s="31">
        <f>(Table26[[#This Row],[M2 Money Stock, Billions of Dollars, Monthly, Seasonally Adjusted]]-B666)/B666</f>
        <v>8.3689940956610254E-3</v>
      </c>
      <c r="D667" s="32">
        <f>((1+Table26[[#This Row],[Monthly change]])^12)-1</f>
        <v>0.10518199063450462</v>
      </c>
    </row>
    <row r="668" spans="1:4" x14ac:dyDescent="0.2">
      <c r="A668" s="57">
        <v>41699</v>
      </c>
      <c r="B668" s="59">
        <f>VLOOKUP(Table26[[#This Row],[Date]],'DB Money Supply'!$A:$E,5)</f>
        <v>11207.6</v>
      </c>
      <c r="C668" s="31">
        <f>(Table26[[#This Row],[M2 Money Stock, Billions of Dollars, Monthly, Seasonally Adjusted]]-B667)/B667</f>
        <v>3.4290421064884185E-3</v>
      </c>
      <c r="D668" s="32">
        <f>((1+Table26[[#This Row],[Monthly change]])^12)-1</f>
        <v>4.1933494215143252E-2</v>
      </c>
    </row>
    <row r="669" spans="1:4" x14ac:dyDescent="0.2">
      <c r="A669" s="34">
        <v>41730</v>
      </c>
      <c r="B669" s="59">
        <f>VLOOKUP(Table26[[#This Row],[Date]],'DB Money Supply'!$A:$E,5)</f>
        <v>11259.8</v>
      </c>
      <c r="C669" s="31">
        <f>(Table26[[#This Row],[M2 Money Stock, Billions of Dollars, Monthly, Seasonally Adjusted]]-B668)/B668</f>
        <v>4.65755380277659E-3</v>
      </c>
      <c r="D669" s="32">
        <f>((1+Table26[[#This Row],[Monthly change]])^12)-1</f>
        <v>5.7344833396705042E-2</v>
      </c>
    </row>
    <row r="670" spans="1:4" x14ac:dyDescent="0.2">
      <c r="A670" s="57">
        <v>41760</v>
      </c>
      <c r="B670" s="59">
        <f>VLOOKUP(Table26[[#This Row],[Date]],'DB Money Supply'!$A:$E,5)</f>
        <v>11326.3</v>
      </c>
      <c r="C670" s="31">
        <f>(Table26[[#This Row],[M2 Money Stock, Billions of Dollars, Monthly, Seasonally Adjusted]]-B669)/B669</f>
        <v>5.9059663581946401E-3</v>
      </c>
      <c r="D670" s="32">
        <f>((1+Table26[[#This Row],[Monthly change]])^12)-1</f>
        <v>7.3219633810457374E-2</v>
      </c>
    </row>
    <row r="671" spans="1:4" x14ac:dyDescent="0.2">
      <c r="A671" s="57">
        <v>41791</v>
      </c>
      <c r="B671" s="59">
        <f>VLOOKUP(Table26[[#This Row],[Date]],'DB Money Supply'!$A:$E,5)</f>
        <v>11377.2</v>
      </c>
      <c r="C671" s="31">
        <f>(Table26[[#This Row],[M2 Money Stock, Billions of Dollars, Monthly, Seasonally Adjusted]]-B670)/B670</f>
        <v>4.4939653726284367E-3</v>
      </c>
      <c r="D671" s="32">
        <f>((1+Table26[[#This Row],[Monthly change]])^12)-1</f>
        <v>5.528067261534253E-2</v>
      </c>
    </row>
    <row r="672" spans="1:4" x14ac:dyDescent="0.2">
      <c r="A672" s="34">
        <v>41821</v>
      </c>
      <c r="B672" s="59">
        <f>VLOOKUP(Table26[[#This Row],[Date]],'DB Money Supply'!$A:$E,5)</f>
        <v>11434</v>
      </c>
      <c r="C672" s="31">
        <f>(Table26[[#This Row],[M2 Money Stock, Billions of Dollars, Monthly, Seasonally Adjusted]]-B671)/B671</f>
        <v>4.9924410223956038E-3</v>
      </c>
      <c r="D672" s="32">
        <f>((1+Table26[[#This Row],[Monthly change]])^12)-1</f>
        <v>6.1581992559083032E-2</v>
      </c>
    </row>
    <row r="673" spans="1:4" x14ac:dyDescent="0.2">
      <c r="A673" s="57">
        <v>41852</v>
      </c>
      <c r="B673" s="59">
        <f>VLOOKUP(Table26[[#This Row],[Date]],'DB Money Supply'!$A:$E,5)</f>
        <v>11462.9</v>
      </c>
      <c r="C673" s="31">
        <f>(Table26[[#This Row],[M2 Money Stock, Billions of Dollars, Monthly, Seasonally Adjusted]]-B672)/B672</f>
        <v>2.5275494140283047E-3</v>
      </c>
      <c r="D673" s="32">
        <f>((1+Table26[[#This Row],[Monthly change]])^12)-1</f>
        <v>3.0755807049617445E-2</v>
      </c>
    </row>
    <row r="674" spans="1:4" x14ac:dyDescent="0.2">
      <c r="A674" s="34">
        <v>41883</v>
      </c>
      <c r="B674" s="59">
        <f>VLOOKUP(Table26[[#This Row],[Date]],'DB Money Supply'!$A:$E,5)</f>
        <v>11496.7</v>
      </c>
      <c r="C674" s="31">
        <f>(Table26[[#This Row],[M2 Money Stock, Billions of Dollars, Monthly, Seasonally Adjusted]]-B673)/B673</f>
        <v>2.9486430135481504E-3</v>
      </c>
      <c r="D674" s="32">
        <f>((1+Table26[[#This Row],[Monthly change]])^12)-1</f>
        <v>3.5963230601917084E-2</v>
      </c>
    </row>
    <row r="675" spans="1:4" x14ac:dyDescent="0.2">
      <c r="A675" s="57">
        <v>41913</v>
      </c>
      <c r="B675" s="59">
        <f>VLOOKUP(Table26[[#This Row],[Date]],'DB Money Supply'!$A:$E,5)</f>
        <v>11558.6</v>
      </c>
      <c r="C675" s="31">
        <f>(Table26[[#This Row],[M2 Money Stock, Billions of Dollars, Monthly, Seasonally Adjusted]]-B674)/B674</f>
        <v>5.3841537136743271E-3</v>
      </c>
      <c r="D675" s="32">
        <f>((1+Table26[[#This Row],[Monthly change]])^12)-1</f>
        <v>6.6557883495485859E-2</v>
      </c>
    </row>
    <row r="676" spans="1:4" x14ac:dyDescent="0.2">
      <c r="A676" s="34">
        <v>41944</v>
      </c>
      <c r="B676" s="59">
        <f>VLOOKUP(Table26[[#This Row],[Date]],'DB Money Supply'!$A:$E,5)</f>
        <v>11594.7</v>
      </c>
      <c r="C676" s="31">
        <f>(Table26[[#This Row],[M2 Money Stock, Billions of Dollars, Monthly, Seasonally Adjusted]]-B675)/B675</f>
        <v>3.1232156143477896E-3</v>
      </c>
      <c r="D676" s="32">
        <f>((1+Table26[[#This Row],[Monthly change]])^12)-1</f>
        <v>3.8129132481438344E-2</v>
      </c>
    </row>
    <row r="677" spans="1:4" x14ac:dyDescent="0.2">
      <c r="A677" s="57">
        <v>41974</v>
      </c>
      <c r="B677" s="59">
        <f>VLOOKUP(Table26[[#This Row],[Date]],'DB Money Supply'!$A:$E,5)</f>
        <v>11674</v>
      </c>
      <c r="C677" s="31">
        <f>(Table26[[#This Row],[M2 Money Stock, Billions of Dollars, Monthly, Seasonally Adjusted]]-B676)/B676</f>
        <v>6.8393317636505704E-3</v>
      </c>
      <c r="D677" s="32">
        <f>((1+Table26[[#This Row],[Monthly change]])^12)-1</f>
        <v>8.5230704820356218E-2</v>
      </c>
    </row>
    <row r="678" spans="1:4" x14ac:dyDescent="0.2">
      <c r="A678" s="34">
        <v>42005</v>
      </c>
      <c r="B678" s="59">
        <f>VLOOKUP(Table26[[#This Row],[Date]],'DB Money Supply'!$A:$E,5)</f>
        <v>11743.9</v>
      </c>
      <c r="C678" s="31">
        <f>(Table26[[#This Row],[M2 Money Stock, Billions of Dollars, Monthly, Seasonally Adjusted]]-B677)/B677</f>
        <v>5.987664896350834E-3</v>
      </c>
      <c r="D678" s="32">
        <f>((1+Table26[[#This Row],[Monthly change]])^12)-1</f>
        <v>7.4266089315507822E-2</v>
      </c>
    </row>
    <row r="679" spans="1:4" x14ac:dyDescent="0.2">
      <c r="A679" s="57">
        <v>42036</v>
      </c>
      <c r="B679" s="59">
        <f>VLOOKUP(Table26[[#This Row],[Date]],'DB Money Supply'!$A:$E,5)</f>
        <v>11871.7</v>
      </c>
      <c r="C679" s="31">
        <f>(Table26[[#This Row],[M2 Money Stock, Billions of Dollars, Monthly, Seasonally Adjusted]]-B678)/B678</f>
        <v>1.0882245250726001E-2</v>
      </c>
      <c r="D679" s="32">
        <f>((1+Table26[[#This Row],[Monthly change]])^12)-1</f>
        <v>0.13869345902854735</v>
      </c>
    </row>
    <row r="680" spans="1:4" x14ac:dyDescent="0.2">
      <c r="A680" s="34">
        <v>42064</v>
      </c>
      <c r="B680" s="59">
        <f>VLOOKUP(Table26[[#This Row],[Date]],'DB Money Supply'!$A:$E,5)</f>
        <v>11888.1</v>
      </c>
      <c r="C680" s="31">
        <f>(Table26[[#This Row],[M2 Money Stock, Billions of Dollars, Monthly, Seasonally Adjusted]]-B679)/B679</f>
        <v>1.3814365255186397E-3</v>
      </c>
      <c r="D680" s="32">
        <f>((1+Table26[[#This Row],[Monthly change]])^12)-1</f>
        <v>1.6703772309919707E-2</v>
      </c>
    </row>
    <row r="681" spans="1:4" x14ac:dyDescent="0.2">
      <c r="A681" s="57">
        <v>42095</v>
      </c>
      <c r="B681" s="59">
        <f>VLOOKUP(Table26[[#This Row],[Date]],'DB Money Supply'!$A:$E,5)</f>
        <v>11927.6</v>
      </c>
      <c r="C681" s="31">
        <f>(Table26[[#This Row],[M2 Money Stock, Billions of Dollars, Monthly, Seasonally Adjusted]]-B680)/B680</f>
        <v>3.322650381473911E-3</v>
      </c>
      <c r="D681" s="32">
        <f>((1+Table26[[#This Row],[Monthly change]])^12)-1</f>
        <v>4.0608575655226797E-2</v>
      </c>
    </row>
    <row r="682" spans="1:4" x14ac:dyDescent="0.2">
      <c r="A682" s="34">
        <v>42125</v>
      </c>
      <c r="B682" s="59">
        <f>VLOOKUP(Table26[[#This Row],[Date]],'DB Money Supply'!$A:$E,5)</f>
        <v>11957.9</v>
      </c>
      <c r="C682" s="31">
        <f>(Table26[[#This Row],[M2 Money Stock, Billions of Dollars, Monthly, Seasonally Adjusted]]-B681)/B681</f>
        <v>2.5403266373787915E-3</v>
      </c>
      <c r="D682" s="32">
        <f>((1+Table26[[#This Row],[Monthly change]])^12)-1</f>
        <v>3.0913462013756776E-2</v>
      </c>
    </row>
    <row r="683" spans="1:4" x14ac:dyDescent="0.2">
      <c r="A683" s="57">
        <v>42156</v>
      </c>
      <c r="B683" s="59">
        <f>VLOOKUP(Table26[[#This Row],[Date]],'DB Money Supply'!$A:$E,5)</f>
        <v>12002.9</v>
      </c>
      <c r="C683" s="31">
        <f>(Table26[[#This Row],[M2 Money Stock, Billions of Dollars, Monthly, Seasonally Adjusted]]-B682)/B682</f>
        <v>3.7632025690129537E-3</v>
      </c>
      <c r="D683" s="32">
        <f>((1+Table26[[#This Row],[Monthly change]])^12)-1</f>
        <v>4.6104927009282592E-2</v>
      </c>
    </row>
    <row r="684" spans="1:4" x14ac:dyDescent="0.2">
      <c r="A684" s="34">
        <v>42186</v>
      </c>
      <c r="B684" s="59">
        <f>VLOOKUP(Table26[[#This Row],[Date]],'DB Money Supply'!$A:$E,5)</f>
        <v>12052</v>
      </c>
      <c r="C684" s="31">
        <f>(Table26[[#This Row],[M2 Money Stock, Billions of Dollars, Monthly, Seasonally Adjusted]]-B683)/B683</f>
        <v>4.0906780861292161E-3</v>
      </c>
      <c r="D684" s="32">
        <f>((1+Table26[[#This Row],[Monthly change]])^12)-1</f>
        <v>5.0207756700040296E-2</v>
      </c>
    </row>
    <row r="685" spans="1:4" x14ac:dyDescent="0.2">
      <c r="A685" s="57">
        <v>42217</v>
      </c>
      <c r="B685" s="59">
        <f>VLOOKUP(Table26[[#This Row],[Date]],'DB Money Supply'!$A:$E,5)</f>
        <v>12100.6</v>
      </c>
      <c r="C685" s="31">
        <f>(Table26[[#This Row],[M2 Money Stock, Billions of Dollars, Monthly, Seasonally Adjusted]]-B684)/B684</f>
        <v>4.0325257218719185E-3</v>
      </c>
      <c r="D685" s="32">
        <f>((1+Table26[[#This Row],[Monthly change]])^12)-1</f>
        <v>4.9478110079323567E-2</v>
      </c>
    </row>
    <row r="686" spans="1:4" x14ac:dyDescent="0.2">
      <c r="A686" s="34">
        <v>42248</v>
      </c>
      <c r="B686" s="59">
        <f>VLOOKUP(Table26[[#This Row],[Date]],'DB Money Supply'!$A:$E,5)</f>
        <v>12154.6</v>
      </c>
      <c r="C686" s="31">
        <f>(Table26[[#This Row],[M2 Money Stock, Billions of Dollars, Monthly, Seasonally Adjusted]]-B685)/B685</f>
        <v>4.4625886319686623E-3</v>
      </c>
      <c r="D686" s="32">
        <f>((1+Table26[[#This Row],[Monthly change]])^12)-1</f>
        <v>5.4885182971341706E-2</v>
      </c>
    </row>
    <row r="687" spans="1:4" x14ac:dyDescent="0.2">
      <c r="A687" s="57">
        <v>42278</v>
      </c>
      <c r="B687" s="59">
        <f>VLOOKUP(Table26[[#This Row],[Date]],'DB Money Supply'!$A:$E,5)</f>
        <v>12192.5</v>
      </c>
      <c r="C687" s="31">
        <f>(Table26[[#This Row],[M2 Money Stock, Billions of Dollars, Monthly, Seasonally Adjusted]]-B686)/B686</f>
        <v>3.118161025455353E-3</v>
      </c>
      <c r="D687" s="32">
        <f>((1+Table26[[#This Row],[Monthly change]])^12)-1</f>
        <v>3.8066362478947458E-2</v>
      </c>
    </row>
    <row r="688" spans="1:4" x14ac:dyDescent="0.2">
      <c r="A688" s="34">
        <v>42309</v>
      </c>
      <c r="B688" s="59">
        <f>VLOOKUP(Table26[[#This Row],[Date]],'DB Money Supply'!$A:$E,5)</f>
        <v>12277</v>
      </c>
      <c r="C688" s="31">
        <f>(Table26[[#This Row],[M2 Money Stock, Billions of Dollars, Monthly, Seasonally Adjusted]]-B687)/B687</f>
        <v>6.9304900553619027E-3</v>
      </c>
      <c r="D688" s="32">
        <f>((1+Table26[[#This Row],[Monthly change]])^12)-1</f>
        <v>8.6410361412644798E-2</v>
      </c>
    </row>
    <row r="689" spans="1:4" x14ac:dyDescent="0.2">
      <c r="A689" s="57">
        <v>42339</v>
      </c>
      <c r="B689" s="59">
        <f>VLOOKUP(Table26[[#This Row],[Date]],'DB Money Supply'!$A:$E,5)</f>
        <v>12340.1</v>
      </c>
      <c r="C689" s="31">
        <f>(Table26[[#This Row],[M2 Money Stock, Billions of Dollars, Monthly, Seasonally Adjusted]]-B688)/B688</f>
        <v>5.1396921071923405E-3</v>
      </c>
      <c r="D689" s="32">
        <f>((1+Table26[[#This Row],[Monthly change]])^12)-1</f>
        <v>6.3450008191338947E-2</v>
      </c>
    </row>
    <row r="690" spans="1:4" x14ac:dyDescent="0.2">
      <c r="A690" s="57">
        <v>42370</v>
      </c>
      <c r="B690" s="59">
        <f>VLOOKUP(Table26[[#This Row],[Date]],'DB Money Supply'!$A:$E,5)</f>
        <v>12471.4</v>
      </c>
      <c r="C690" s="31">
        <f>(Table26[[#This Row],[M2 Money Stock, Billions of Dollars, Monthly, Seasonally Adjusted]]-B689)/B689</f>
        <v>1.064010826492486E-2</v>
      </c>
      <c r="D690" s="32">
        <f>((1+Table26[[#This Row],[Monthly change]])^12)-1</f>
        <v>0.13542474770078017</v>
      </c>
    </row>
    <row r="691" spans="1:4" x14ac:dyDescent="0.2">
      <c r="A691" s="34">
        <v>42401</v>
      </c>
      <c r="B691" s="59">
        <f>VLOOKUP(Table26[[#This Row],[Date]],'DB Money Supply'!$A:$E,5)</f>
        <v>12552.3</v>
      </c>
      <c r="C691" s="31">
        <f>(Table26[[#This Row],[M2 Money Stock, Billions of Dollars, Monthly, Seasonally Adjusted]]-B690)/B690</f>
        <v>6.4868418942540243E-3</v>
      </c>
      <c r="D691" s="32">
        <f>((1+Table26[[#This Row],[Monthly change]])^12)-1</f>
        <v>8.0680261470660097E-2</v>
      </c>
    </row>
    <row r="692" spans="1:4" x14ac:dyDescent="0.2">
      <c r="A692" s="57">
        <v>42430</v>
      </c>
      <c r="B692" s="59">
        <f>VLOOKUP(Table26[[#This Row],[Date]],'DB Money Supply'!$A:$E,5)</f>
        <v>12616.6</v>
      </c>
      <c r="C692" s="31">
        <f>(Table26[[#This Row],[M2 Money Stock, Billions of Dollars, Monthly, Seasonally Adjusted]]-B691)/B691</f>
        <v>5.1225671789234721E-3</v>
      </c>
      <c r="D692" s="32">
        <f>((1+Table26[[#This Row],[Monthly change]])^12)-1</f>
        <v>6.3232607977260713E-2</v>
      </c>
    </row>
    <row r="693" spans="1:4" x14ac:dyDescent="0.2">
      <c r="A693" s="34">
        <v>42461</v>
      </c>
      <c r="B693" s="59">
        <f>VLOOKUP(Table26[[#This Row],[Date]],'DB Money Supply'!$A:$E,5)</f>
        <v>12697</v>
      </c>
      <c r="C693" s="31">
        <f>(Table26[[#This Row],[M2 Money Stock, Billions of Dollars, Monthly, Seasonally Adjusted]]-B692)/B692</f>
        <v>6.3725567902604219E-3</v>
      </c>
      <c r="D693" s="32">
        <f>((1+Table26[[#This Row],[Monthly change]])^12)-1</f>
        <v>7.9208664838789966E-2</v>
      </c>
    </row>
    <row r="694" spans="1:4" x14ac:dyDescent="0.2">
      <c r="A694" s="57">
        <v>42491</v>
      </c>
      <c r="B694" s="59">
        <f>VLOOKUP(Table26[[#This Row],[Date]],'DB Money Supply'!$A:$E,5)</f>
        <v>12763.7</v>
      </c>
      <c r="C694" s="31">
        <f>(Table26[[#This Row],[M2 Money Stock, Billions of Dollars, Monthly, Seasonally Adjusted]]-B693)/B693</f>
        <v>5.2532094195479823E-3</v>
      </c>
      <c r="D694" s="32">
        <f>((1+Table26[[#This Row],[Monthly change]])^12)-1</f>
        <v>6.4892136104294451E-2</v>
      </c>
    </row>
    <row r="695" spans="1:4" x14ac:dyDescent="0.2">
      <c r="A695" s="34">
        <v>42522</v>
      </c>
      <c r="B695" s="59">
        <f>VLOOKUP(Table26[[#This Row],[Date]],'DB Money Supply'!$A:$E,5)</f>
        <v>12830.6</v>
      </c>
      <c r="C695" s="31">
        <f>(Table26[[#This Row],[M2 Money Stock, Billions of Dollars, Monthly, Seasonally Adjusted]]-B694)/B694</f>
        <v>5.2414268589828679E-3</v>
      </c>
      <c r="D695" s="32">
        <f>((1+Table26[[#This Row],[Monthly change]])^12)-1</f>
        <v>6.4742366707151611E-2</v>
      </c>
    </row>
    <row r="696" spans="1:4" x14ac:dyDescent="0.2">
      <c r="A696" s="57">
        <v>42552</v>
      </c>
      <c r="B696" s="59">
        <f>VLOOKUP(Table26[[#This Row],[Date]],'DB Money Supply'!$A:$E,5)</f>
        <v>12889.1</v>
      </c>
      <c r="C696" s="31">
        <f>(Table26[[#This Row],[M2 Money Stock, Billions of Dollars, Monthly, Seasonally Adjusted]]-B695)/B695</f>
        <v>4.5594126541237357E-3</v>
      </c>
      <c r="D696" s="32">
        <f>((1+Table26[[#This Row],[Monthly change]])^12)-1</f>
        <v>5.6106043500617098E-2</v>
      </c>
    </row>
    <row r="697" spans="1:4" x14ac:dyDescent="0.2">
      <c r="A697" s="34">
        <v>42583</v>
      </c>
      <c r="B697" s="59">
        <f>VLOOKUP(Table26[[#This Row],[Date]],'DB Money Supply'!$A:$E,5)</f>
        <v>12968.2</v>
      </c>
      <c r="C697" s="31">
        <f>(Table26[[#This Row],[M2 Money Stock, Billions of Dollars, Monthly, Seasonally Adjusted]]-B696)/B696</f>
        <v>6.1369684462065123E-3</v>
      </c>
      <c r="D697" s="32">
        <f>((1+Table26[[#This Row],[Monthly change]])^12)-1</f>
        <v>7.6180896853132563E-2</v>
      </c>
    </row>
    <row r="698" spans="1:4" x14ac:dyDescent="0.2">
      <c r="A698" s="57">
        <v>42614</v>
      </c>
      <c r="B698" s="59">
        <f>VLOOKUP(Table26[[#This Row],[Date]],'DB Money Supply'!$A:$E,5)</f>
        <v>13027.4</v>
      </c>
      <c r="C698" s="31">
        <f>(Table26[[#This Row],[M2 Money Stock, Billions of Dollars, Monthly, Seasonally Adjusted]]-B697)/B697</f>
        <v>4.5650128776544858E-3</v>
      </c>
      <c r="D698" s="32">
        <f>((1+Table26[[#This Row],[Monthly change]])^12)-1</f>
        <v>5.6176696698698514E-2</v>
      </c>
    </row>
    <row r="699" spans="1:4" x14ac:dyDescent="0.2">
      <c r="A699" s="34">
        <v>42644</v>
      </c>
      <c r="B699" s="59">
        <f>VLOOKUP(Table26[[#This Row],[Date]],'DB Money Supply'!$A:$E,5)</f>
        <v>13099.7</v>
      </c>
      <c r="C699" s="31">
        <f>(Table26[[#This Row],[M2 Money Stock, Billions of Dollars, Monthly, Seasonally Adjusted]]-B698)/B698</f>
        <v>5.5498411041344465E-3</v>
      </c>
      <c r="D699" s="32">
        <f>((1+Table26[[#This Row],[Monthly change]])^12)-1</f>
        <v>6.8669022262763502E-2</v>
      </c>
    </row>
    <row r="700" spans="1:4" x14ac:dyDescent="0.2">
      <c r="A700" s="57">
        <v>42675</v>
      </c>
      <c r="B700" s="59">
        <f>VLOOKUP(Table26[[#This Row],[Date]],'DB Money Supply'!$A:$E,5)</f>
        <v>13174.1</v>
      </c>
      <c r="C700" s="31">
        <f>(Table26[[#This Row],[M2 Money Stock, Billions of Dollars, Monthly, Seasonally Adjusted]]-B699)/B699</f>
        <v>5.6795193783063455E-3</v>
      </c>
      <c r="D700" s="32">
        <f>((1+Table26[[#This Row],[Monthly change]])^12)-1</f>
        <v>7.0324015230056824E-2</v>
      </c>
    </row>
    <row r="701" spans="1:4" x14ac:dyDescent="0.2">
      <c r="A701" s="34">
        <v>42705</v>
      </c>
      <c r="B701" s="59">
        <f>VLOOKUP(Table26[[#This Row],[Date]],'DB Money Supply'!$A:$E,5)</f>
        <v>13214.2</v>
      </c>
      <c r="C701" s="31">
        <f>(Table26[[#This Row],[M2 Money Stock, Billions of Dollars, Monthly, Seasonally Adjusted]]-B700)/B700</f>
        <v>3.0438511928708879E-3</v>
      </c>
      <c r="D701" s="32">
        <f>((1+Table26[[#This Row],[Monthly change]])^12)-1</f>
        <v>3.7143953300913468E-2</v>
      </c>
    </row>
    <row r="702" spans="1:4" x14ac:dyDescent="0.2">
      <c r="A702" s="57">
        <v>42736</v>
      </c>
      <c r="B702" s="59">
        <f>VLOOKUP(Table26[[#This Row],[Date]],'DB Money Supply'!$A:$E,5)</f>
        <v>13288.7</v>
      </c>
      <c r="C702" s="31">
        <f>(Table26[[#This Row],[M2 Money Stock, Billions of Dollars, Monthly, Seasonally Adjusted]]-B701)/B701</f>
        <v>5.6378744078339968E-3</v>
      </c>
      <c r="D702" s="32">
        <f>((1+Table26[[#This Row],[Monthly change]])^12)-1</f>
        <v>6.9792273727009357E-2</v>
      </c>
    </row>
    <row r="703" spans="1:4" x14ac:dyDescent="0.2">
      <c r="A703" s="34">
        <v>42767</v>
      </c>
      <c r="B703" s="59">
        <f>VLOOKUP(Table26[[#This Row],[Date]],'DB Money Supply'!$A:$E,5)</f>
        <v>13359.2</v>
      </c>
      <c r="C703" s="31">
        <f>(Table26[[#This Row],[M2 Money Stock, Billions of Dollars, Monthly, Seasonally Adjusted]]-B702)/B702</f>
        <v>5.3052593556931829E-3</v>
      </c>
      <c r="D703" s="32">
        <f>((1+Table26[[#This Row],[Monthly change]])^12)-1</f>
        <v>6.5553979561988829E-2</v>
      </c>
    </row>
    <row r="704" spans="1:4" x14ac:dyDescent="0.2">
      <c r="A704" s="57">
        <v>42795</v>
      </c>
      <c r="B704" s="59">
        <f>VLOOKUP(Table26[[#This Row],[Date]],'DB Money Supply'!$A:$E,5)</f>
        <v>13428.6</v>
      </c>
      <c r="C704" s="31">
        <f>(Table26[[#This Row],[M2 Money Stock, Billions of Dollars, Monthly, Seasonally Adjusted]]-B703)/B703</f>
        <v>5.1949218516078536E-3</v>
      </c>
      <c r="D704" s="32">
        <f>((1+Table26[[#This Row],[Monthly change]])^12)-1</f>
        <v>6.4151425030094522E-2</v>
      </c>
    </row>
    <row r="705" spans="1:4" x14ac:dyDescent="0.2">
      <c r="A705" s="34">
        <v>42826</v>
      </c>
      <c r="B705" s="59">
        <f>VLOOKUP(Table26[[#This Row],[Date]],'DB Money Supply'!$A:$E,5)</f>
        <v>13486.6</v>
      </c>
      <c r="C705" s="31">
        <f>(Table26[[#This Row],[M2 Money Stock, Billions of Dollars, Monthly, Seasonally Adjusted]]-B704)/B704</f>
        <v>4.3191397465111771E-3</v>
      </c>
      <c r="D705" s="32">
        <f>((1+Table26[[#This Row],[Monthly change]])^12)-1</f>
        <v>5.3078804467546981E-2</v>
      </c>
    </row>
    <row r="706" spans="1:4" x14ac:dyDescent="0.2">
      <c r="A706" s="57">
        <v>42856</v>
      </c>
      <c r="B706" s="59">
        <f>VLOOKUP(Table26[[#This Row],[Date]],'DB Money Supply'!$A:$E,5)</f>
        <v>13537.3</v>
      </c>
      <c r="C706" s="31">
        <f>(Table26[[#This Row],[M2 Money Stock, Billions of Dollars, Monthly, Seasonally Adjusted]]-B705)/B705</f>
        <v>3.759286995981115E-3</v>
      </c>
      <c r="D706" s="32">
        <f>((1+Table26[[#This Row],[Monthly change]])^12)-1</f>
        <v>4.6055959136982239E-2</v>
      </c>
    </row>
    <row r="707" spans="1:4" x14ac:dyDescent="0.2">
      <c r="A707" s="34">
        <v>42887</v>
      </c>
      <c r="B707" s="59">
        <f>VLOOKUP(Table26[[#This Row],[Date]],'DB Money Supply'!$A:$E,5)</f>
        <v>13564.7</v>
      </c>
      <c r="C707" s="31">
        <f>(Table26[[#This Row],[M2 Money Stock, Billions of Dollars, Monthly, Seasonally Adjusted]]-B706)/B706</f>
        <v>2.0240372895630188E-3</v>
      </c>
      <c r="D707" s="32">
        <f>((1+Table26[[#This Row],[Monthly change]])^12)-1</f>
        <v>2.4560664012247768E-2</v>
      </c>
    </row>
    <row r="708" spans="1:4" x14ac:dyDescent="0.2">
      <c r="A708" s="57">
        <v>42917</v>
      </c>
      <c r="B708" s="59">
        <f>VLOOKUP(Table26[[#This Row],[Date]],'DB Money Supply'!$A:$E,5)</f>
        <v>13621.8</v>
      </c>
      <c r="C708" s="31">
        <f>(Table26[[#This Row],[M2 Money Stock, Billions of Dollars, Monthly, Seasonally Adjusted]]-B707)/B707</f>
        <v>4.209455424742054E-3</v>
      </c>
      <c r="D708" s="32">
        <f>((1+Table26[[#This Row],[Monthly change]])^12)-1</f>
        <v>5.1699519249605697E-2</v>
      </c>
    </row>
    <row r="709" spans="1:4" x14ac:dyDescent="0.2">
      <c r="A709" s="57">
        <v>42948</v>
      </c>
      <c r="B709" s="59">
        <f>VLOOKUP(Table26[[#This Row],[Date]],'DB Money Supply'!$A:$E,5)</f>
        <v>13671.4</v>
      </c>
      <c r="C709" s="31">
        <f>(Table26[[#This Row],[M2 Money Stock, Billions of Dollars, Monthly, Seasonally Adjusted]]-B708)/B708</f>
        <v>3.6412221585987435E-3</v>
      </c>
      <c r="D709" s="32">
        <f>((1+Table26[[#This Row],[Monthly change]])^12)-1</f>
        <v>4.4580435319313771E-2</v>
      </c>
    </row>
    <row r="710" spans="1:4" x14ac:dyDescent="0.2">
      <c r="A710" s="34">
        <v>42979</v>
      </c>
      <c r="B710" s="59">
        <f>VLOOKUP(Table26[[#This Row],[Date]],'DB Money Supply'!$A:$E,5)</f>
        <v>13714.4</v>
      </c>
      <c r="C710" s="31">
        <f>(Table26[[#This Row],[M2 Money Stock, Billions of Dollars, Monthly, Seasonally Adjusted]]-B709)/B709</f>
        <v>3.1452521321883643E-3</v>
      </c>
      <c r="D710" s="32">
        <f>((1+Table26[[#This Row],[Monthly change]])^12)-1</f>
        <v>3.8402831844118079E-2</v>
      </c>
    </row>
    <row r="711" spans="1:4" x14ac:dyDescent="0.2">
      <c r="A711" s="57">
        <v>43009</v>
      </c>
      <c r="B711" s="59">
        <f>VLOOKUP(Table26[[#This Row],[Date]],'DB Money Supply'!$A:$E,5)</f>
        <v>13767.6</v>
      </c>
      <c r="C711" s="31">
        <f>(Table26[[#This Row],[M2 Money Stock, Billions of Dollars, Monthly, Seasonally Adjusted]]-B710)/B710</f>
        <v>3.8791343405472152E-3</v>
      </c>
      <c r="D711" s="32">
        <f>((1+Table26[[#This Row],[Monthly change]])^12)-1</f>
        <v>4.7555713799573684E-2</v>
      </c>
    </row>
    <row r="712" spans="1:4" x14ac:dyDescent="0.2">
      <c r="A712" s="34">
        <v>43040</v>
      </c>
      <c r="B712" s="59">
        <f>VLOOKUP(Table26[[#This Row],[Date]],'DB Money Supply'!$A:$E,5)</f>
        <v>13802.4</v>
      </c>
      <c r="C712" s="31">
        <f>(Table26[[#This Row],[M2 Money Stock, Billions of Dollars, Monthly, Seasonally Adjusted]]-B711)/B711</f>
        <v>2.5276736686132132E-3</v>
      </c>
      <c r="D712" s="32">
        <f>((1+Table26[[#This Row],[Monthly change]])^12)-1</f>
        <v>3.0757340089452301E-2</v>
      </c>
    </row>
    <row r="713" spans="1:4" x14ac:dyDescent="0.2">
      <c r="A713" s="57">
        <v>43070</v>
      </c>
      <c r="B713" s="59">
        <f>VLOOKUP(Table26[[#This Row],[Date]],'DB Money Supply'!$A:$E,5)</f>
        <v>13854.8</v>
      </c>
      <c r="C713" s="31">
        <f>(Table26[[#This Row],[M2 Money Stock, Billions of Dollars, Monthly, Seasonally Adjusted]]-B712)/B712</f>
        <v>3.7964411986320958E-3</v>
      </c>
      <c r="D713" s="32">
        <f>((1+Table26[[#This Row],[Monthly change]])^12)-1</f>
        <v>4.6520691535176573E-2</v>
      </c>
    </row>
    <row r="714" spans="1:4" x14ac:dyDescent="0.2">
      <c r="A714" s="34">
        <v>43101</v>
      </c>
      <c r="B714" s="59">
        <f>VLOOKUP(Table26[[#This Row],[Date]],'DB Money Supply'!$A:$E,5)</f>
        <v>13872</v>
      </c>
      <c r="C714" s="31">
        <f>(Table26[[#This Row],[M2 Money Stock, Billions of Dollars, Monthly, Seasonally Adjusted]]-B713)/B713</f>
        <v>1.2414470075353473E-3</v>
      </c>
      <c r="D714" s="32">
        <f>((1+Table26[[#This Row],[Monthly change]])^12)-1</f>
        <v>1.4999504780346395E-2</v>
      </c>
    </row>
    <row r="715" spans="1:4" x14ac:dyDescent="0.2">
      <c r="A715" s="57">
        <v>43132</v>
      </c>
      <c r="B715" s="59">
        <f>VLOOKUP(Table26[[#This Row],[Date]],'DB Money Supply'!$A:$E,5)</f>
        <v>13914.6</v>
      </c>
      <c r="C715" s="31">
        <f>(Table26[[#This Row],[M2 Money Stock, Billions of Dollars, Monthly, Seasonally Adjusted]]-B714)/B714</f>
        <v>3.0709342560553896E-3</v>
      </c>
      <c r="D715" s="32">
        <f>((1+Table26[[#This Row],[Monthly change]])^12)-1</f>
        <v>3.7480048759763074E-2</v>
      </c>
    </row>
    <row r="716" spans="1:4" x14ac:dyDescent="0.2">
      <c r="A716" s="34">
        <v>43160</v>
      </c>
      <c r="B716" s="59">
        <f>VLOOKUP(Table26[[#This Row],[Date]],'DB Money Supply'!$A:$E,5)</f>
        <v>13971.2</v>
      </c>
      <c r="C716" s="31">
        <f>(Table26[[#This Row],[M2 Money Stock, Billions of Dollars, Monthly, Seasonally Adjusted]]-B715)/B715</f>
        <v>4.0676699294266714E-3</v>
      </c>
      <c r="D716" s="32">
        <f>((1+Table26[[#This Row],[Monthly change]])^12)-1</f>
        <v>4.9919014257472583E-2</v>
      </c>
    </row>
    <row r="717" spans="1:4" x14ac:dyDescent="0.2">
      <c r="A717" s="57">
        <v>43191</v>
      </c>
      <c r="B717" s="59">
        <f>VLOOKUP(Table26[[#This Row],[Date]],'DB Money Supply'!$A:$E,5)</f>
        <v>14001.3</v>
      </c>
      <c r="C717" s="31">
        <f>(Table26[[#This Row],[M2 Money Stock, Billions of Dollars, Monthly, Seasonally Adjusted]]-B716)/B716</f>
        <v>2.1544319743471243E-3</v>
      </c>
      <c r="D717" s="32">
        <f>((1+Table26[[#This Row],[Monthly change]])^12)-1</f>
        <v>2.6161738475815266E-2</v>
      </c>
    </row>
    <row r="718" spans="1:4" x14ac:dyDescent="0.2">
      <c r="A718" s="34">
        <v>43221</v>
      </c>
      <c r="B718" s="59">
        <f>VLOOKUP(Table26[[#This Row],[Date]],'DB Money Supply'!$A:$E,5)</f>
        <v>14066</v>
      </c>
      <c r="C718" s="31">
        <f>(Table26[[#This Row],[M2 Money Stock, Billions of Dollars, Monthly, Seasonally Adjusted]]-B717)/B717</f>
        <v>4.6209994786198944E-3</v>
      </c>
      <c r="D718" s="32">
        <f>((1+Table26[[#This Row],[Monthly change]])^12)-1</f>
        <v>5.6883269649412815E-2</v>
      </c>
    </row>
    <row r="719" spans="1:4" x14ac:dyDescent="0.2">
      <c r="A719" s="57">
        <v>43252</v>
      </c>
      <c r="B719" s="59">
        <f>VLOOKUP(Table26[[#This Row],[Date]],'DB Money Supply'!$A:$E,5)</f>
        <v>14125.8</v>
      </c>
      <c r="C719" s="31">
        <f>(Table26[[#This Row],[M2 Money Stock, Billions of Dollars, Monthly, Seasonally Adjusted]]-B718)/B718</f>
        <v>4.2513863216265659E-3</v>
      </c>
      <c r="D719" s="32">
        <f>((1+Table26[[#This Row],[Monthly change]])^12)-1</f>
        <v>5.2226606494313099E-2</v>
      </c>
    </row>
    <row r="720" spans="1:4" x14ac:dyDescent="0.2">
      <c r="A720" s="34">
        <v>43282</v>
      </c>
      <c r="B720" s="59">
        <f>VLOOKUP(Table26[[#This Row],[Date]],'DB Money Supply'!$A:$E,5)</f>
        <v>14155.2</v>
      </c>
      <c r="C720" s="31">
        <f>(Table26[[#This Row],[M2 Money Stock, Billions of Dollars, Monthly, Seasonally Adjusted]]-B719)/B719</f>
        <v>2.0812980503760112E-3</v>
      </c>
      <c r="D720" s="32">
        <f>((1+Table26[[#This Row],[Monthly change]])^12)-1</f>
        <v>2.5263468297302749E-2</v>
      </c>
    </row>
    <row r="721" spans="1:4" x14ac:dyDescent="0.2">
      <c r="A721" s="57">
        <v>43313</v>
      </c>
      <c r="B721" s="59">
        <f>VLOOKUP(Table26[[#This Row],[Date]],'DB Money Supply'!$A:$E,5)</f>
        <v>14197.7</v>
      </c>
      <c r="C721" s="31">
        <f>(Table26[[#This Row],[M2 Money Stock, Billions of Dollars, Monthly, Seasonally Adjusted]]-B720)/B720</f>
        <v>3.0024302023284729E-3</v>
      </c>
      <c r="D721" s="32">
        <f>((1+Table26[[#This Row],[Monthly change]])^12)-1</f>
        <v>3.6630120043941616E-2</v>
      </c>
    </row>
    <row r="722" spans="1:4" x14ac:dyDescent="0.2">
      <c r="A722" s="34">
        <v>43344</v>
      </c>
      <c r="B722" s="59">
        <f>VLOOKUP(Table26[[#This Row],[Date]],'DB Money Supply'!$A:$E,5)</f>
        <v>14228.4</v>
      </c>
      <c r="C722" s="31">
        <f>(Table26[[#This Row],[M2 Money Stock, Billions of Dollars, Monthly, Seasonally Adjusted]]-B721)/B721</f>
        <v>2.1623220662500904E-3</v>
      </c>
      <c r="D722" s="32">
        <f>((1+Table26[[#This Row],[Monthly change]])^12)-1</f>
        <v>2.6258691928556344E-2</v>
      </c>
    </row>
    <row r="723" spans="1:4" x14ac:dyDescent="0.2">
      <c r="A723" s="57">
        <v>43374</v>
      </c>
      <c r="B723" s="59">
        <f>VLOOKUP(Table26[[#This Row],[Date]],'DB Money Supply'!$A:$E,5)</f>
        <v>14235.8</v>
      </c>
      <c r="C723" s="31">
        <f>(Table26[[#This Row],[M2 Money Stock, Billions of Dollars, Monthly, Seasonally Adjusted]]-B722)/B722</f>
        <v>5.2008658738857756E-4</v>
      </c>
      <c r="D723" s="32">
        <f>((1+Table26[[#This Row],[Monthly change]])^12)-1</f>
        <v>6.2589223779789815E-3</v>
      </c>
    </row>
    <row r="724" spans="1:4" x14ac:dyDescent="0.2">
      <c r="A724" s="34">
        <v>43405</v>
      </c>
      <c r="B724" s="59">
        <f>VLOOKUP(Table26[[#This Row],[Date]],'DB Money Supply'!$A:$E,5)</f>
        <v>14254.9</v>
      </c>
      <c r="C724" s="31">
        <f>(Table26[[#This Row],[M2 Money Stock, Billions of Dollars, Monthly, Seasonally Adjusted]]-B723)/B723</f>
        <v>1.3416878573736892E-3</v>
      </c>
      <c r="D724" s="32">
        <f>((1+Table26[[#This Row],[Monthly change]])^12)-1</f>
        <v>1.6219595577870116E-2</v>
      </c>
    </row>
    <row r="725" spans="1:4" x14ac:dyDescent="0.2">
      <c r="A725" s="57">
        <v>43435</v>
      </c>
      <c r="B725" s="59">
        <f>VLOOKUP(Table26[[#This Row],[Date]],'DB Money Supply'!$A:$E,5)</f>
        <v>14373.9</v>
      </c>
      <c r="C725" s="31">
        <f>(Table26[[#This Row],[M2 Money Stock, Billions of Dollars, Monthly, Seasonally Adjusted]]-B724)/B724</f>
        <v>8.3480066503447935E-3</v>
      </c>
      <c r="D725" s="32">
        <f>((1+Table26[[#This Row],[Monthly change]])^12)-1</f>
        <v>0.10490599295842151</v>
      </c>
    </row>
    <row r="726" spans="1:4" x14ac:dyDescent="0.2">
      <c r="A726" s="34">
        <v>43466</v>
      </c>
      <c r="B726" s="59">
        <f>VLOOKUP(Table26[[#This Row],[Date]],'DB Money Supply'!$A:$E,5)</f>
        <v>14443.3</v>
      </c>
      <c r="C726" s="31">
        <f>(Table26[[#This Row],[M2 Money Stock, Billions of Dollars, Monthly, Seasonally Adjusted]]-B725)/B725</f>
        <v>4.8281955488767587E-3</v>
      </c>
      <c r="D726" s="32">
        <f>((1+Table26[[#This Row],[Monthly change]])^12)-1</f>
        <v>5.9501936356829654E-2</v>
      </c>
    </row>
    <row r="727" spans="1:4" x14ac:dyDescent="0.2">
      <c r="A727" s="57">
        <v>43497</v>
      </c>
      <c r="B727" s="59">
        <f>VLOOKUP(Table26[[#This Row],[Date]],'DB Money Supply'!$A:$E,5)</f>
        <v>14486.2</v>
      </c>
      <c r="C727" s="31">
        <f>(Table26[[#This Row],[M2 Money Stock, Billions of Dollars, Monthly, Seasonally Adjusted]]-B726)/B726</f>
        <v>2.9702353340304126E-3</v>
      </c>
      <c r="D727" s="32">
        <f>((1+Table26[[#This Row],[Monthly change]])^12)-1</f>
        <v>3.6230899329645849E-2</v>
      </c>
    </row>
    <row r="728" spans="1:4" x14ac:dyDescent="0.2">
      <c r="A728" s="57">
        <v>43525</v>
      </c>
      <c r="B728" s="59">
        <f>VLOOKUP(Table26[[#This Row],[Date]],'DB Money Supply'!$A:$E,5)</f>
        <v>14533.5</v>
      </c>
      <c r="C728" s="31">
        <f>(Table26[[#This Row],[M2 Money Stock, Billions of Dollars, Monthly, Seasonally Adjusted]]-B727)/B727</f>
        <v>3.2651765128190466E-3</v>
      </c>
      <c r="D728" s="32">
        <f>((1+Table26[[#This Row],[Monthly change]])^12)-1</f>
        <v>3.9893484120189227E-2</v>
      </c>
    </row>
    <row r="729" spans="1:4" x14ac:dyDescent="0.2">
      <c r="A729" s="34">
        <v>43556</v>
      </c>
      <c r="B729" s="59">
        <f>VLOOKUP(Table26[[#This Row],[Date]],'DB Money Supply'!$A:$E,5)</f>
        <v>14568.9</v>
      </c>
      <c r="C729" s="31">
        <f>(Table26[[#This Row],[M2 Money Stock, Billions of Dollars, Monthly, Seasonally Adjusted]]-B728)/B728</f>
        <v>2.4357518835792917E-3</v>
      </c>
      <c r="D729" s="32">
        <f>((1+Table26[[#This Row],[Monthly change]])^12)-1</f>
        <v>2.9623789881439322E-2</v>
      </c>
    </row>
    <row r="730" spans="1:4" x14ac:dyDescent="0.2">
      <c r="A730" s="57">
        <v>43586</v>
      </c>
      <c r="B730" s="59">
        <f>VLOOKUP(Table26[[#This Row],[Date]],'DB Money Supply'!$A:$E,5)</f>
        <v>14668.4</v>
      </c>
      <c r="C730" s="31">
        <f>(Table26[[#This Row],[M2 Money Stock, Billions of Dollars, Monthly, Seasonally Adjusted]]-B729)/B729</f>
        <v>6.8296165118849053E-3</v>
      </c>
      <c r="D730" s="32">
        <f>((1+Table26[[#This Row],[Monthly change]])^12)-1</f>
        <v>8.5105051445508062E-2</v>
      </c>
    </row>
    <row r="731" spans="1:4" x14ac:dyDescent="0.2">
      <c r="A731" s="34">
        <v>43617</v>
      </c>
      <c r="B731" s="59">
        <f>VLOOKUP(Table26[[#This Row],[Date]],'DB Money Supply'!$A:$E,5)</f>
        <v>14787</v>
      </c>
      <c r="C731" s="31">
        <f>(Table26[[#This Row],[M2 Money Stock, Billions of Dollars, Monthly, Seasonally Adjusted]]-B730)/B730</f>
        <v>8.085408088135064E-3</v>
      </c>
      <c r="D731" s="32">
        <f>((1+Table26[[#This Row],[Monthly change]])^12)-1</f>
        <v>0.10145799885550155</v>
      </c>
    </row>
    <row r="732" spans="1:4" x14ac:dyDescent="0.2">
      <c r="A732" s="57">
        <v>43647</v>
      </c>
      <c r="B732" s="59">
        <f>VLOOKUP(Table26[[#This Row],[Date]],'DB Money Supply'!$A:$E,5)</f>
        <v>14857.9</v>
      </c>
      <c r="C732" s="31">
        <f>(Table26[[#This Row],[M2 Money Stock, Billions of Dollars, Monthly, Seasonally Adjusted]]-B731)/B731</f>
        <v>4.7947521471562614E-3</v>
      </c>
      <c r="D732" s="32">
        <f>((1+Table26[[#This Row],[Monthly change]])^12)-1</f>
        <v>5.9078856707871719E-2</v>
      </c>
    </row>
    <row r="733" spans="1:4" x14ac:dyDescent="0.2">
      <c r="A733" s="34">
        <v>43678</v>
      </c>
      <c r="B733" s="59">
        <f>VLOOKUP(Table26[[#This Row],[Date]],'DB Money Supply'!$A:$E,5)</f>
        <v>14935.2</v>
      </c>
      <c r="C733" s="31">
        <f>(Table26[[#This Row],[M2 Money Stock, Billions of Dollars, Monthly, Seasonally Adjusted]]-B732)/B732</f>
        <v>5.2026194818918618E-3</v>
      </c>
      <c r="D733" s="32">
        <f>((1+Table26[[#This Row],[Monthly change]])^12)-1</f>
        <v>6.4249218471849723E-2</v>
      </c>
    </row>
    <row r="734" spans="1:4" x14ac:dyDescent="0.2">
      <c r="A734" s="57">
        <v>43709</v>
      </c>
      <c r="B734" s="59">
        <f>VLOOKUP(Table26[[#This Row],[Date]],'DB Money Supply'!$A:$E,5)</f>
        <v>15026.6</v>
      </c>
      <c r="C734" s="31">
        <f>(Table26[[#This Row],[M2 Money Stock, Billions of Dollars, Monthly, Seasonally Adjusted]]-B733)/B733</f>
        <v>6.1197707429428219E-3</v>
      </c>
      <c r="D734" s="32">
        <f>((1+Table26[[#This Row],[Monthly change]])^12)-1</f>
        <v>7.5960178197858719E-2</v>
      </c>
    </row>
    <row r="735" spans="1:4" x14ac:dyDescent="0.2">
      <c r="A735" s="34">
        <v>43739</v>
      </c>
      <c r="B735" s="59">
        <f>VLOOKUP(Table26[[#This Row],[Date]],'DB Money Supply'!$A:$E,5)</f>
        <v>15153.1</v>
      </c>
      <c r="C735" s="31">
        <f>(Table26[[#This Row],[M2 Money Stock, Billions of Dollars, Monthly, Seasonally Adjusted]]-B734)/B734</f>
        <v>8.4184046956730062E-3</v>
      </c>
      <c r="D735" s="32">
        <f>((1+Table26[[#This Row],[Monthly change]])^12)-1</f>
        <v>0.10583201964096767</v>
      </c>
    </row>
    <row r="736" spans="1:4" x14ac:dyDescent="0.2">
      <c r="A736" s="57">
        <v>43770</v>
      </c>
      <c r="B736" s="59">
        <f>VLOOKUP(Table26[[#This Row],[Date]],'DB Money Supply'!$A:$E,5)</f>
        <v>15251.3</v>
      </c>
      <c r="C736" s="31">
        <f>(Table26[[#This Row],[M2 Money Stock, Billions of Dollars, Monthly, Seasonally Adjusted]]-B735)/B735</f>
        <v>6.4805221373843572E-3</v>
      </c>
      <c r="D736" s="32">
        <f>((1+Table26[[#This Row],[Monthly change]])^12)-1</f>
        <v>8.0598836851462741E-2</v>
      </c>
    </row>
    <row r="737" spans="1:4" x14ac:dyDescent="0.2">
      <c r="A737" s="34">
        <v>43800</v>
      </c>
      <c r="B737" s="59">
        <f>VLOOKUP(Table26[[#This Row],[Date]],'DB Money Supply'!$A:$E,5)</f>
        <v>15325.8</v>
      </c>
      <c r="C737" s="31">
        <f>(Table26[[#This Row],[M2 Money Stock, Billions of Dollars, Monthly, Seasonally Adjusted]]-B736)/B736</f>
        <v>4.8848294899451195E-3</v>
      </c>
      <c r="D737" s="32">
        <f>((1+Table26[[#This Row],[Monthly change]])^12)-1</f>
        <v>6.0218743961005128E-2</v>
      </c>
    </row>
    <row r="738" spans="1:4" x14ac:dyDescent="0.2">
      <c r="A738" s="57">
        <v>43831</v>
      </c>
      <c r="B738" s="59">
        <f>VLOOKUP(Table26[[#This Row],[Date]],'DB Money Supply'!$A:$E,5)</f>
        <v>15406.8</v>
      </c>
      <c r="C738" s="31">
        <f>(Table26[[#This Row],[M2 Money Stock, Billions of Dollars, Monthly, Seasonally Adjusted]]-B737)/B737</f>
        <v>5.2852053400148768E-3</v>
      </c>
      <c r="D738" s="32">
        <f>((1+Table26[[#This Row],[Monthly change]])^12)-1</f>
        <v>6.5298937125368051E-2</v>
      </c>
    </row>
    <row r="739" spans="1:4" x14ac:dyDescent="0.2">
      <c r="A739" s="34">
        <v>43862</v>
      </c>
      <c r="B739" s="59">
        <f>VLOOKUP(Table26[[#This Row],[Date]],'DB Money Supply'!$A:$E,5)</f>
        <v>15470.4</v>
      </c>
      <c r="C739" s="31">
        <f>(Table26[[#This Row],[M2 Money Stock, Billions of Dollars, Monthly, Seasonally Adjusted]]-B738)/B738</f>
        <v>4.1280473557130859E-3</v>
      </c>
      <c r="D739" s="32">
        <f>((1+Table26[[#This Row],[Monthly change]])^12)-1</f>
        <v>5.0676880040429806E-2</v>
      </c>
    </row>
    <row r="740" spans="1:4" x14ac:dyDescent="0.2">
      <c r="A740" s="57">
        <v>43891</v>
      </c>
      <c r="B740" s="59">
        <f>VLOOKUP(Table26[[#This Row],[Date]],'DB Money Supply'!$A:$E,5)</f>
        <v>16011.4</v>
      </c>
      <c r="C740" s="31">
        <f>(Table26[[#This Row],[M2 Money Stock, Billions of Dollars, Monthly, Seasonally Adjusted]]-B739)/B739</f>
        <v>3.4970007239631812E-2</v>
      </c>
      <c r="D740" s="32">
        <f>((1+Table26[[#This Row],[Monthly change]])^12)-1</f>
        <v>0.51054327882491224</v>
      </c>
    </row>
    <row r="741" spans="1:4" x14ac:dyDescent="0.2">
      <c r="A741" s="34">
        <v>43922</v>
      </c>
      <c r="B741" s="59">
        <f>VLOOKUP(Table26[[#This Row],[Date]],'DB Money Supply'!$A:$E,5)</f>
        <v>17039.099999999999</v>
      </c>
      <c r="C741" s="31">
        <f>(Table26[[#This Row],[M2 Money Stock, Billions of Dollars, Monthly, Seasonally Adjusted]]-B740)/B740</f>
        <v>6.4185517818554208E-2</v>
      </c>
      <c r="D741" s="32">
        <f>((1+Table26[[#This Row],[Monthly change]])^12)-1</f>
        <v>1.1096389410774896</v>
      </c>
    </row>
    <row r="742" spans="1:4" x14ac:dyDescent="0.2">
      <c r="A742" s="57">
        <v>43952</v>
      </c>
      <c r="B742" s="59">
        <f>VLOOKUP(Table26[[#This Row],[Date]],'DB Money Supply'!$A:$E,5)</f>
        <v>17889.2</v>
      </c>
      <c r="C742" s="31">
        <f>(Table26[[#This Row],[M2 Money Stock, Billions of Dollars, Monthly, Seasonally Adjusted]]-B741)/B741</f>
        <v>4.9891132747621782E-2</v>
      </c>
      <c r="D742" s="32">
        <f>((1+Table26[[#This Row],[Monthly change]])^12)-1</f>
        <v>0.79362320040518619</v>
      </c>
    </row>
    <row r="743" spans="1:4" x14ac:dyDescent="0.2">
      <c r="A743" s="34">
        <v>43983</v>
      </c>
      <c r="B743" s="59">
        <f>VLOOKUP(Table26[[#This Row],[Date]],'DB Money Supply'!$A:$E,5)</f>
        <v>18175.7</v>
      </c>
      <c r="C743" s="31">
        <f>(Table26[[#This Row],[M2 Money Stock, Billions of Dollars, Monthly, Seasonally Adjusted]]-B742)/B742</f>
        <v>1.6015249424233616E-2</v>
      </c>
      <c r="D743" s="32">
        <f>((1+Table26[[#This Row],[Monthly change]])^12)-1</f>
        <v>0.21004832863739797</v>
      </c>
    </row>
    <row r="744" spans="1:4" x14ac:dyDescent="0.2">
      <c r="A744" s="57">
        <v>44013</v>
      </c>
      <c r="B744" s="59">
        <f>VLOOKUP(Table26[[#This Row],[Date]],'DB Money Supply'!$A:$E,5)</f>
        <v>18316.599999999999</v>
      </c>
      <c r="C744" s="31">
        <f>(Table26[[#This Row],[M2 Money Stock, Billions of Dollars, Monthly, Seasonally Adjusted]]-B743)/B743</f>
        <v>7.752108584538577E-3</v>
      </c>
      <c r="D744" s="32">
        <f>((1+Table26[[#This Row],[Monthly change]])^12)-1</f>
        <v>9.7095885595557707E-2</v>
      </c>
    </row>
    <row r="745" spans="1:4" x14ac:dyDescent="0.2">
      <c r="A745" s="34">
        <v>44044</v>
      </c>
      <c r="B745" s="59">
        <f>VLOOKUP(Table26[[#This Row],[Date]],'DB Money Supply'!$A:$E,5)</f>
        <v>18378.5</v>
      </c>
      <c r="C745" s="31">
        <f>(Table26[[#This Row],[M2 Money Stock, Billions of Dollars, Monthly, Seasonally Adjusted]]-B744)/B744</f>
        <v>3.3794481508577718E-3</v>
      </c>
      <c r="D745" s="32">
        <f>((1+Table26[[#This Row],[Monthly change]])^12)-1</f>
        <v>4.1315697955073283E-2</v>
      </c>
    </row>
    <row r="746" spans="1:4" x14ac:dyDescent="0.2">
      <c r="A746" s="57">
        <v>44075</v>
      </c>
      <c r="B746" s="59">
        <f>VLOOKUP(Table26[[#This Row],[Date]],'DB Money Supply'!$A:$E,5)</f>
        <v>18601.599999999999</v>
      </c>
      <c r="C746" s="31">
        <f>(Table26[[#This Row],[M2 Money Stock, Billions of Dollars, Monthly, Seasonally Adjusted]]-B745)/B745</f>
        <v>1.2139184373044511E-2</v>
      </c>
      <c r="D746" s="32">
        <f>((1+Table26[[#This Row],[Monthly change]])^12)-1</f>
        <v>0.15580046183940444</v>
      </c>
    </row>
    <row r="747" spans="1:4" x14ac:dyDescent="0.2">
      <c r="A747" s="57">
        <v>44105</v>
      </c>
      <c r="B747" s="59">
        <f>VLOOKUP(Table26[[#This Row],[Date]],'DB Money Supply'!$A:$E,5)</f>
        <v>18747.900000000001</v>
      </c>
      <c r="C747" s="31">
        <f>(Table26[[#This Row],[M2 Money Stock, Billions of Dollars, Monthly, Seasonally Adjusted]]-B746)/B746</f>
        <v>7.864914846034906E-3</v>
      </c>
      <c r="D747" s="32">
        <f>((1+Table26[[#This Row],[Monthly change]])^12)-1</f>
        <v>9.8570480467833121E-2</v>
      </c>
    </row>
    <row r="748" spans="1:4" x14ac:dyDescent="0.2">
      <c r="A748" s="34">
        <v>44136</v>
      </c>
      <c r="B748" s="59">
        <f>VLOOKUP(Table26[[#This Row],[Date]],'DB Money Supply'!$A:$E,5)</f>
        <v>18958.7</v>
      </c>
      <c r="C748" s="31">
        <f>(Table26[[#This Row],[M2 Money Stock, Billions of Dollars, Monthly, Seasonally Adjusted]]-B747)/B747</f>
        <v>1.1243925986377102E-2</v>
      </c>
      <c r="D748" s="32">
        <f>((1+Table26[[#This Row],[Monthly change]])^12)-1</f>
        <v>0.14359201050708692</v>
      </c>
    </row>
    <row r="749" spans="1:4" x14ac:dyDescent="0.2">
      <c r="A749" s="57">
        <v>44166</v>
      </c>
      <c r="B749" s="59">
        <f>VLOOKUP(Table26[[#This Row],[Date]],'DB Money Supply'!$A:$E,5)</f>
        <v>19129.5</v>
      </c>
      <c r="C749" s="31">
        <f>(Table26[[#This Row],[M2 Money Stock, Billions of Dollars, Monthly, Seasonally Adjusted]]-B748)/B748</f>
        <v>9.0090565281374397E-3</v>
      </c>
      <c r="D749" s="32">
        <f>((1+Table26[[#This Row],[Monthly change]])^12)-1</f>
        <v>0.11362961584336895</v>
      </c>
    </row>
    <row r="750" spans="1:4" x14ac:dyDescent="0.2">
      <c r="A750" s="34">
        <v>44197</v>
      </c>
      <c r="B750" s="59">
        <f>VLOOKUP(Table26[[#This Row],[Date]],'DB Money Supply'!$A:$E,5)</f>
        <v>19393.2</v>
      </c>
      <c r="C750" s="31">
        <f>(Table26[[#This Row],[M2 Money Stock, Billions of Dollars, Monthly, Seasonally Adjusted]]-B749)/B749</f>
        <v>1.3784991766643181E-2</v>
      </c>
      <c r="D750" s="32">
        <f>((1+Table26[[#This Row],[Monthly change]])^12)-1</f>
        <v>0.17855618361186054</v>
      </c>
    </row>
    <row r="751" spans="1:4" x14ac:dyDescent="0.2">
      <c r="A751" s="57">
        <v>44228</v>
      </c>
      <c r="B751" s="59">
        <f>VLOOKUP(Table26[[#This Row],[Date]],'DB Money Supply'!$A:$E,5)</f>
        <v>19665.3</v>
      </c>
      <c r="C751" s="31">
        <f>(Table26[[#This Row],[M2 Money Stock, Billions of Dollars, Monthly, Seasonally Adjusted]]-B750)/B750</f>
        <v>1.4030691170100784E-2</v>
      </c>
      <c r="D751" s="32">
        <f>((1+Table26[[#This Row],[Monthly change]])^12)-1</f>
        <v>0.18198835341069985</v>
      </c>
    </row>
    <row r="752" spans="1:4" x14ac:dyDescent="0.2">
      <c r="A752" s="34">
        <v>44256</v>
      </c>
      <c r="B752" s="59">
        <f>VLOOKUP(Table26[[#This Row],[Date]],'DB Money Supply'!$A:$E,5)</f>
        <v>19913.2</v>
      </c>
      <c r="C752" s="31">
        <f>(Table26[[#This Row],[M2 Money Stock, Billions of Dollars, Monthly, Seasonally Adjusted]]-B751)/B751</f>
        <v>1.2605960753204958E-2</v>
      </c>
      <c r="D752" s="32">
        <f>((1+Table26[[#This Row],[Monthly change]])^12)-1</f>
        <v>0.16221306873878327</v>
      </c>
    </row>
    <row r="753" spans="1:4" x14ac:dyDescent="0.2">
      <c r="A753" s="57">
        <v>44287</v>
      </c>
      <c r="B753" s="59">
        <f>VLOOKUP(Table26[[#This Row],[Date]],'DB Money Supply'!$A:$E,5)</f>
        <v>20138.8</v>
      </c>
      <c r="C753" s="31">
        <f>(Table26[[#This Row],[M2 Money Stock, Billions of Dollars, Monthly, Seasonally Adjusted]]-B752)/B752</f>
        <v>1.1329168591687852E-2</v>
      </c>
      <c r="D753" s="32">
        <f>((1+Table26[[#This Row],[Monthly change]])^12)-1</f>
        <v>0.14474933329750761</v>
      </c>
    </row>
    <row r="754" spans="1:4" x14ac:dyDescent="0.2">
      <c r="A754" s="34">
        <v>44317</v>
      </c>
      <c r="B754" s="59">
        <f>VLOOKUP(Table26[[#This Row],[Date]],'DB Money Supply'!$A:$E,5)</f>
        <v>20402.8</v>
      </c>
      <c r="C754" s="31">
        <f>(Table26[[#This Row],[M2 Money Stock, Billions of Dollars, Monthly, Seasonally Adjusted]]-B753)/B753</f>
        <v>1.3109023377758357E-2</v>
      </c>
      <c r="D754" s="32">
        <f>((1+Table26[[#This Row],[Monthly change]])^12)-1</f>
        <v>0.16916068116533944</v>
      </c>
    </row>
    <row r="755" spans="1:4" x14ac:dyDescent="0.2">
      <c r="A755" s="57">
        <v>44348</v>
      </c>
      <c r="B755" s="59">
        <f>VLOOKUP(Table26[[#This Row],[Date]],'DB Money Supply'!$A:$E,5)</f>
        <v>20429.5</v>
      </c>
      <c r="C755" s="31">
        <f>(Table26[[#This Row],[M2 Money Stock, Billions of Dollars, Monthly, Seasonally Adjusted]]-B754)/B754</f>
        <v>1.3086439116200095E-3</v>
      </c>
      <c r="D755" s="32">
        <f>((1+Table26[[#This Row],[Monthly change]])^12)-1</f>
        <v>1.5817249666471245E-2</v>
      </c>
    </row>
    <row r="756" spans="1:4" x14ac:dyDescent="0.2">
      <c r="A756" s="34">
        <v>44378</v>
      </c>
      <c r="B756" s="59">
        <f>VLOOKUP(Table26[[#This Row],[Date]],'DB Money Supply'!$A:$E,5)</f>
        <v>20578.900000000001</v>
      </c>
      <c r="C756" s="31">
        <f>(Table26[[#This Row],[M2 Money Stock, Billions of Dollars, Monthly, Seasonally Adjusted]]-B755)/B755</f>
        <v>7.312954306272863E-3</v>
      </c>
      <c r="D756" s="32">
        <f>((1+Table26[[#This Row],[Monthly change]])^12)-1</f>
        <v>9.1372558115386804E-2</v>
      </c>
    </row>
    <row r="757" spans="1:4" x14ac:dyDescent="0.2">
      <c r="A757" s="57">
        <v>44409</v>
      </c>
      <c r="B757" s="59">
        <f>VLOOKUP(Table26[[#This Row],[Date]],'DB Money Supply'!$A:$E,5)</f>
        <v>20832.5</v>
      </c>
      <c r="C757" s="31">
        <f>(Table26[[#This Row],[M2 Money Stock, Billions of Dollars, Monthly, Seasonally Adjusted]]-B756)/B756</f>
        <v>1.2323302022945761E-2</v>
      </c>
      <c r="D757" s="32">
        <f>((1+Table26[[#This Row],[Monthly change]])^12)-1</f>
        <v>0.15832599951976434</v>
      </c>
    </row>
    <row r="758" spans="1:4" x14ac:dyDescent="0.2">
      <c r="A758" s="34">
        <v>44440</v>
      </c>
      <c r="B758" s="59">
        <f>VLOOKUP(Table26[[#This Row],[Date]],'DB Money Supply'!$A:$E,5)</f>
        <v>20994.799999999999</v>
      </c>
      <c r="C758" s="31">
        <f>(Table26[[#This Row],[M2 Money Stock, Billions of Dollars, Monthly, Seasonally Adjusted]]-B757)/B757</f>
        <v>7.7907116284651034E-3</v>
      </c>
      <c r="D758" s="32">
        <f>((1+Table26[[#This Row],[Monthly change]])^12)-1</f>
        <v>9.7600297315256102E-2</v>
      </c>
    </row>
    <row r="759" spans="1:4" x14ac:dyDescent="0.2">
      <c r="A759" s="57">
        <v>44470</v>
      </c>
      <c r="B759" s="59">
        <f>VLOOKUP(Table26[[#This Row],[Date]],'DB Money Supply'!$A:$E,5)</f>
        <v>21187.5</v>
      </c>
      <c r="C759" s="31">
        <f>(Table26[[#This Row],[M2 Money Stock, Billions of Dollars, Monthly, Seasonally Adjusted]]-B758)/B758</f>
        <v>9.1784632385162393E-3</v>
      </c>
      <c r="D759" s="32">
        <f>((1+Table26[[#This Row],[Monthly change]])^12)-1</f>
        <v>0.11587535151506634</v>
      </c>
    </row>
    <row r="760" spans="1:4" x14ac:dyDescent="0.2">
      <c r="A760" s="34">
        <v>44501</v>
      </c>
      <c r="B760" s="59">
        <f>VLOOKUP(Table26[[#This Row],[Date]],'DB Money Supply'!$A:$E,5)</f>
        <v>21436.7</v>
      </c>
      <c r="C760" s="31">
        <f>(Table26[[#This Row],[M2 Money Stock, Billions of Dollars, Monthly, Seasonally Adjusted]]-B759)/B759</f>
        <v>1.1761651917404164E-2</v>
      </c>
      <c r="D760" s="32">
        <f>((1+Table26[[#This Row],[Monthly change]])^12)-1</f>
        <v>0.15063763698528754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60" zoomScaleNormal="160" workbookViewId="0">
      <selection activeCell="D2" sqref="D2"/>
    </sheetView>
  </sheetViews>
  <sheetFormatPr baseColWidth="10" defaultColWidth="9.1640625" defaultRowHeight="15" x14ac:dyDescent="0.2"/>
  <cols>
    <col min="1" max="3" width="9.1640625" style="78" customWidth="1"/>
    <col min="4" max="9" width="28" style="16" customWidth="1"/>
    <col min="10" max="13" width="9.1640625" style="78" customWidth="1"/>
    <col min="14" max="16384" width="9.1640625" style="78"/>
  </cols>
  <sheetData>
    <row r="2" spans="4:9" x14ac:dyDescent="0.2">
      <c r="D2" s="1" t="s">
        <v>30</v>
      </c>
    </row>
    <row r="7" spans="4:9" x14ac:dyDescent="0.2">
      <c r="D7" s="80" t="s">
        <v>7</v>
      </c>
      <c r="E7" s="80" t="s">
        <v>8</v>
      </c>
      <c r="F7" s="80" t="s">
        <v>976</v>
      </c>
      <c r="G7" s="80" t="s">
        <v>992</v>
      </c>
      <c r="H7" s="80" t="s">
        <v>9</v>
      </c>
      <c r="I7" s="80" t="s">
        <v>993</v>
      </c>
    </row>
    <row r="8" spans="4:9" x14ac:dyDescent="0.2">
      <c r="D8" s="49" t="s">
        <v>10</v>
      </c>
      <c r="E8" s="24">
        <v>2738509</v>
      </c>
      <c r="F8" s="48">
        <v>43800</v>
      </c>
      <c r="G8" s="24">
        <v>2329022</v>
      </c>
      <c r="H8" s="65">
        <f t="shared" ref="H8:H30" si="0">(((E8-G8)/G8)+1)^12-1</f>
        <v>5.9837225890471153</v>
      </c>
      <c r="I8" s="24" t="s">
        <v>994</v>
      </c>
    </row>
    <row r="9" spans="4:9" x14ac:dyDescent="0.2">
      <c r="D9" s="49" t="s">
        <v>13</v>
      </c>
      <c r="E9" s="24">
        <v>3036685</v>
      </c>
      <c r="F9" s="48">
        <v>43862</v>
      </c>
      <c r="G9" s="24">
        <v>3023993</v>
      </c>
      <c r="H9" s="65">
        <f t="shared" si="0"/>
        <v>5.1544248816243643E-2</v>
      </c>
      <c r="I9" s="24" t="s">
        <v>995</v>
      </c>
    </row>
    <row r="10" spans="4:9" x14ac:dyDescent="0.2">
      <c r="D10" s="49" t="s">
        <v>15</v>
      </c>
      <c r="E10" s="24">
        <v>1814298</v>
      </c>
      <c r="F10" s="48">
        <v>43862</v>
      </c>
      <c r="G10" s="24">
        <v>1801010</v>
      </c>
      <c r="H10" s="65">
        <f t="shared" si="0"/>
        <v>9.2219613850429427E-2</v>
      </c>
      <c r="I10" s="24" t="s">
        <v>996</v>
      </c>
    </row>
    <row r="11" spans="4:9" x14ac:dyDescent="0.2">
      <c r="D11" s="49" t="s">
        <v>18</v>
      </c>
      <c r="E11" s="24">
        <v>208090</v>
      </c>
      <c r="F11" s="48">
        <v>43891</v>
      </c>
      <c r="G11" s="24">
        <v>203080</v>
      </c>
      <c r="H11" s="65">
        <f t="shared" si="0"/>
        <v>0.33970341871128684</v>
      </c>
      <c r="I11" s="24" t="s">
        <v>997</v>
      </c>
    </row>
    <row r="12" spans="4:9" x14ac:dyDescent="0.2">
      <c r="D12" s="49" t="s">
        <v>23</v>
      </c>
      <c r="E12" s="24">
        <v>12484479</v>
      </c>
      <c r="F12" s="48">
        <v>43862</v>
      </c>
      <c r="G12" s="24">
        <v>12399289</v>
      </c>
      <c r="H12" s="65">
        <f t="shared" si="0"/>
        <v>8.563462770952901E-2</v>
      </c>
      <c r="I12" s="24" t="s">
        <v>998</v>
      </c>
    </row>
    <row r="13" spans="4:9" x14ac:dyDescent="0.2">
      <c r="D13" s="49" t="s">
        <v>27</v>
      </c>
      <c r="E13" s="24">
        <v>2332570</v>
      </c>
      <c r="F13" s="48">
        <v>43862</v>
      </c>
      <c r="G13" s="24">
        <v>2317012</v>
      </c>
      <c r="H13" s="65">
        <f t="shared" si="0"/>
        <v>8.3619550795516639E-2</v>
      </c>
      <c r="I13" s="24" t="s">
        <v>998</v>
      </c>
    </row>
    <row r="14" spans="4:9" x14ac:dyDescent="0.2">
      <c r="D14" s="49" t="s">
        <v>32</v>
      </c>
      <c r="E14" s="24">
        <v>3174</v>
      </c>
      <c r="F14" s="48">
        <v>43862</v>
      </c>
      <c r="G14" s="24">
        <v>3159</v>
      </c>
      <c r="H14" s="65">
        <f t="shared" si="0"/>
        <v>5.8491946770463432E-2</v>
      </c>
      <c r="I14" s="24" t="s">
        <v>999</v>
      </c>
    </row>
    <row r="15" spans="4:9" x14ac:dyDescent="0.2">
      <c r="D15" s="49" t="s">
        <v>37</v>
      </c>
      <c r="E15" s="24">
        <v>40623</v>
      </c>
      <c r="F15" s="48">
        <v>43891</v>
      </c>
      <c r="G15" s="24">
        <v>39147</v>
      </c>
      <c r="H15" s="65">
        <f t="shared" si="0"/>
        <v>0.55912912199391562</v>
      </c>
      <c r="I15" s="24" t="s">
        <v>1000</v>
      </c>
    </row>
    <row r="16" spans="4:9" x14ac:dyDescent="0.2">
      <c r="D16" s="49" t="s">
        <v>41</v>
      </c>
      <c r="E16" s="24">
        <v>6116500</v>
      </c>
      <c r="F16" s="48">
        <v>43862</v>
      </c>
      <c r="G16" s="24">
        <v>6046700</v>
      </c>
      <c r="H16" s="65">
        <f t="shared" si="0"/>
        <v>0.1476638321349768</v>
      </c>
      <c r="I16" s="24" t="s">
        <v>1001</v>
      </c>
    </row>
    <row r="17" spans="4:9" x14ac:dyDescent="0.2">
      <c r="D17" s="49" t="s">
        <v>45</v>
      </c>
      <c r="E17" s="24">
        <v>1647897</v>
      </c>
      <c r="F17" s="48">
        <v>43862</v>
      </c>
      <c r="G17" s="24">
        <v>1628206</v>
      </c>
      <c r="H17" s="65">
        <f t="shared" si="0"/>
        <v>0.1551770381206552</v>
      </c>
      <c r="I17" s="24" t="s">
        <v>998</v>
      </c>
    </row>
    <row r="18" spans="4:9" x14ac:dyDescent="0.2">
      <c r="D18" s="49" t="s">
        <v>49</v>
      </c>
      <c r="E18" s="24">
        <v>1046008</v>
      </c>
      <c r="F18" s="48">
        <v>43891</v>
      </c>
      <c r="G18" s="24">
        <v>1039844</v>
      </c>
      <c r="H18" s="65">
        <f t="shared" si="0"/>
        <v>7.3499360625644217E-2</v>
      </c>
      <c r="I18" s="24" t="s">
        <v>1002</v>
      </c>
    </row>
    <row r="19" spans="4:9" x14ac:dyDescent="0.2">
      <c r="D19" s="49" t="s">
        <v>53</v>
      </c>
      <c r="E19" s="24">
        <v>9371776319</v>
      </c>
      <c r="F19" s="48">
        <v>43862</v>
      </c>
      <c r="G19" s="24">
        <v>9258541872</v>
      </c>
      <c r="H19" s="65">
        <f t="shared" si="0"/>
        <v>0.15704922028957413</v>
      </c>
      <c r="I19" s="24" t="s">
        <v>1003</v>
      </c>
    </row>
    <row r="20" spans="4:9" x14ac:dyDescent="0.2">
      <c r="D20" s="49" t="s">
        <v>56</v>
      </c>
      <c r="E20" s="24">
        <v>898932</v>
      </c>
      <c r="F20" s="48">
        <v>43862</v>
      </c>
      <c r="G20" s="24">
        <v>890434</v>
      </c>
      <c r="H20" s="65">
        <f t="shared" si="0"/>
        <v>0.12073071011921321</v>
      </c>
      <c r="I20" s="24" t="s">
        <v>998</v>
      </c>
    </row>
    <row r="21" spans="4:9" x14ac:dyDescent="0.2">
      <c r="D21" s="49" t="s">
        <v>59</v>
      </c>
      <c r="E21" s="24">
        <v>51314</v>
      </c>
      <c r="F21" s="48">
        <v>43862</v>
      </c>
      <c r="G21" s="24">
        <v>50623</v>
      </c>
      <c r="H21" s="65">
        <f t="shared" si="0"/>
        <v>0.17667329035755341</v>
      </c>
      <c r="I21" s="24" t="s">
        <v>1004</v>
      </c>
    </row>
    <row r="22" spans="4:9" x14ac:dyDescent="0.2">
      <c r="D22" s="49" t="s">
        <v>60</v>
      </c>
      <c r="E22" s="24">
        <v>1791108</v>
      </c>
      <c r="F22" s="48">
        <v>43862</v>
      </c>
      <c r="G22" s="24">
        <v>1773028</v>
      </c>
      <c r="H22" s="65">
        <f t="shared" si="0"/>
        <v>0.1294685815601222</v>
      </c>
      <c r="I22" s="24" t="s">
        <v>1005</v>
      </c>
    </row>
    <row r="23" spans="4:9" x14ac:dyDescent="0.2">
      <c r="D23" s="49" t="s">
        <v>61</v>
      </c>
      <c r="E23" s="24">
        <v>646295</v>
      </c>
      <c r="F23" s="48">
        <v>43862</v>
      </c>
      <c r="G23" s="24">
        <v>641820</v>
      </c>
      <c r="H23" s="65">
        <f t="shared" si="0"/>
        <v>8.6952581779638605E-2</v>
      </c>
      <c r="I23" s="24" t="s">
        <v>1006</v>
      </c>
    </row>
    <row r="24" spans="4:9" x14ac:dyDescent="0.2">
      <c r="D24" s="49" t="s">
        <v>62</v>
      </c>
      <c r="E24" s="24">
        <v>3039985</v>
      </c>
      <c r="F24" s="48">
        <v>43862</v>
      </c>
      <c r="G24" s="24">
        <v>3028250</v>
      </c>
      <c r="H24" s="65">
        <f t="shared" si="0"/>
        <v>4.7506141043023531E-2</v>
      </c>
      <c r="I24" s="24" t="s">
        <v>1007</v>
      </c>
    </row>
    <row r="25" spans="4:9" x14ac:dyDescent="0.2">
      <c r="D25" s="49" t="s">
        <v>63</v>
      </c>
      <c r="E25" s="24">
        <v>2958283</v>
      </c>
      <c r="F25" s="48">
        <v>43862</v>
      </c>
      <c r="G25" s="24">
        <v>2926410</v>
      </c>
      <c r="H25" s="65">
        <f t="shared" si="0"/>
        <v>0.13881858918268497</v>
      </c>
      <c r="I25" s="24" t="s">
        <v>1008</v>
      </c>
    </row>
    <row r="26" spans="4:9" x14ac:dyDescent="0.2">
      <c r="D26" s="49" t="s">
        <v>64</v>
      </c>
      <c r="E26" s="24">
        <v>1237649</v>
      </c>
      <c r="F26" s="48">
        <v>43862</v>
      </c>
      <c r="G26" s="24">
        <v>1229187</v>
      </c>
      <c r="H26" s="65">
        <f t="shared" si="0"/>
        <v>8.5811511432137833E-2</v>
      </c>
      <c r="I26" s="24" t="s">
        <v>998</v>
      </c>
    </row>
    <row r="27" spans="4:9" x14ac:dyDescent="0.2">
      <c r="D27" s="49" t="s">
        <v>65</v>
      </c>
      <c r="E27" s="24">
        <v>1025336</v>
      </c>
      <c r="F27" s="48">
        <v>43891</v>
      </c>
      <c r="G27" s="24">
        <v>1012042</v>
      </c>
      <c r="H27" s="65">
        <f t="shared" si="0"/>
        <v>0.16953180407165358</v>
      </c>
      <c r="I27" s="24" t="s">
        <v>1009</v>
      </c>
    </row>
    <row r="28" spans="4:9" x14ac:dyDescent="0.2">
      <c r="D28" s="49" t="s">
        <v>66</v>
      </c>
      <c r="E28" s="24">
        <v>2666743294</v>
      </c>
      <c r="F28" s="48">
        <v>43891</v>
      </c>
      <c r="G28" s="24">
        <v>2551412776</v>
      </c>
      <c r="H28" s="65">
        <f t="shared" si="0"/>
        <v>0.69983132832893036</v>
      </c>
      <c r="I28" s="24" t="s">
        <v>1010</v>
      </c>
    </row>
    <row r="29" spans="4:9" x14ac:dyDescent="0.2">
      <c r="D29" s="49" t="s">
        <v>67</v>
      </c>
      <c r="E29" s="24">
        <v>2472269</v>
      </c>
      <c r="F29" s="48">
        <v>43862</v>
      </c>
      <c r="G29" s="24">
        <v>2471137</v>
      </c>
      <c r="H29" s="65">
        <f t="shared" si="0"/>
        <v>5.5109356699634127E-3</v>
      </c>
      <c r="I29" s="24" t="s">
        <v>1011</v>
      </c>
    </row>
    <row r="30" spans="4:9" x14ac:dyDescent="0.2">
      <c r="D30" s="49" t="s">
        <v>68</v>
      </c>
      <c r="E30" s="24">
        <v>16104</v>
      </c>
      <c r="F30" s="48">
        <v>43891</v>
      </c>
      <c r="G30" s="24">
        <v>15535</v>
      </c>
      <c r="H30" s="65">
        <f t="shared" si="0"/>
        <v>0.53982033788653649</v>
      </c>
      <c r="I30" s="24" t="s">
        <v>1012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335"/>
  <sheetViews>
    <sheetView zoomScale="180" zoomScaleNormal="180" workbookViewId="0">
      <pane xSplit="1" ySplit="5" topLeftCell="B44" activePane="bottomRight" state="frozen"/>
      <selection pane="topRight" activeCell="B1" sqref="B1"/>
      <selection pane="bottomLeft" activeCell="A6" sqref="A6"/>
      <selection pane="bottomRight" activeCell="R51" sqref="R51"/>
    </sheetView>
  </sheetViews>
  <sheetFormatPr baseColWidth="10" defaultColWidth="8.83203125" defaultRowHeight="15" x14ac:dyDescent="0.2"/>
  <cols>
    <col min="1" max="1" width="10.6640625" style="78" bestFit="1" customWidth="1"/>
    <col min="2" max="2" width="13.6640625" style="77" customWidth="1"/>
    <col min="3" max="3" width="6.33203125" style="77" customWidth="1"/>
    <col min="4" max="4" width="6.1640625" style="77" customWidth="1"/>
    <col min="5" max="5" width="7.33203125" style="77" customWidth="1"/>
    <col min="6" max="6" width="6.6640625" style="77" customWidth="1"/>
    <col min="7" max="9" width="6.1640625" style="77" customWidth="1"/>
    <col min="10" max="10" width="5.33203125" style="77" customWidth="1"/>
    <col min="11" max="22" width="6.1640625" style="77" customWidth="1"/>
    <col min="23" max="23" width="5.6640625" style="77" customWidth="1"/>
    <col min="24" max="27" width="6.1640625" style="77" customWidth="1"/>
    <col min="28" max="28" width="9.1640625" style="78" customWidth="1"/>
    <col min="29" max="29" width="12.33203125" style="78" customWidth="1"/>
    <col min="30" max="30" width="9.1640625" style="78" customWidth="1"/>
    <col min="31" max="31" width="10.6640625" style="78" customWidth="1"/>
    <col min="32" max="32" width="10.6640625" style="78" bestFit="1" customWidth="1"/>
    <col min="33" max="73" width="9.1640625" style="78" customWidth="1"/>
  </cols>
  <sheetData>
    <row r="1" spans="2:35" s="78" customFormat="1" x14ac:dyDescent="0.2">
      <c r="C1" s="78" t="s">
        <v>121</v>
      </c>
      <c r="D1" s="78" t="s">
        <v>131</v>
      </c>
      <c r="E1" s="78" t="s">
        <v>90</v>
      </c>
      <c r="F1" s="78" t="s">
        <v>96</v>
      </c>
      <c r="G1" s="78" t="s">
        <v>113</v>
      </c>
      <c r="H1" s="78" t="s">
        <v>104</v>
      </c>
      <c r="I1" s="78" t="s">
        <v>88</v>
      </c>
      <c r="J1" s="78" t="s">
        <v>129</v>
      </c>
      <c r="K1" s="78" t="s">
        <v>120</v>
      </c>
      <c r="L1" s="78" t="s">
        <v>86</v>
      </c>
      <c r="M1" s="78" t="s">
        <v>118</v>
      </c>
      <c r="N1" s="78" t="s">
        <v>125</v>
      </c>
      <c r="O1" s="78" t="s">
        <v>108</v>
      </c>
      <c r="P1" s="78" t="s">
        <v>87</v>
      </c>
      <c r="Q1" s="78" t="s">
        <v>84</v>
      </c>
      <c r="R1" s="78" t="s">
        <v>107</v>
      </c>
      <c r="S1" s="78" t="s">
        <v>114</v>
      </c>
      <c r="T1" s="78" t="s">
        <v>89</v>
      </c>
      <c r="U1" s="78" t="s">
        <v>95</v>
      </c>
      <c r="V1" s="78" t="s">
        <v>111</v>
      </c>
      <c r="W1" s="78" t="s">
        <v>130</v>
      </c>
      <c r="X1" s="78" t="s">
        <v>132</v>
      </c>
      <c r="Y1" s="78" t="s">
        <v>133</v>
      </c>
      <c r="Z1" s="78" t="s">
        <v>93</v>
      </c>
      <c r="AA1" s="78" t="s">
        <v>123</v>
      </c>
      <c r="AI1" s="78" t="s">
        <v>1013</v>
      </c>
    </row>
    <row r="2" spans="2:35" ht="90" customHeight="1" x14ac:dyDescent="0.2">
      <c r="B2" s="2"/>
      <c r="C2" s="3" t="s">
        <v>1014</v>
      </c>
      <c r="D2" s="4" t="s">
        <v>1015</v>
      </c>
      <c r="E2" s="5" t="s">
        <v>1016</v>
      </c>
      <c r="F2" s="6" t="s">
        <v>1017</v>
      </c>
      <c r="G2" s="7" t="s">
        <v>1018</v>
      </c>
      <c r="H2" s="8" t="s">
        <v>1019</v>
      </c>
      <c r="I2" s="8" t="s">
        <v>65</v>
      </c>
      <c r="J2" s="8" t="s">
        <v>1020</v>
      </c>
      <c r="K2" s="8" t="s">
        <v>1021</v>
      </c>
      <c r="L2" s="8" t="s">
        <v>13</v>
      </c>
      <c r="M2" s="8" t="s">
        <v>53</v>
      </c>
      <c r="N2" s="8" t="s">
        <v>59</v>
      </c>
      <c r="O2" s="8" t="s">
        <v>37</v>
      </c>
      <c r="P2" s="8" t="s">
        <v>15</v>
      </c>
      <c r="Q2" s="8" t="s">
        <v>1022</v>
      </c>
      <c r="R2" s="9" t="s">
        <v>41</v>
      </c>
      <c r="S2" s="8" t="s">
        <v>1023</v>
      </c>
      <c r="T2" s="8" t="s">
        <v>1024</v>
      </c>
      <c r="U2" s="8" t="s">
        <v>1025</v>
      </c>
      <c r="V2" s="8" t="s">
        <v>1026</v>
      </c>
      <c r="W2" s="8" t="s">
        <v>66</v>
      </c>
      <c r="X2" s="8" t="s">
        <v>62</v>
      </c>
      <c r="Y2" s="8" t="s">
        <v>1027</v>
      </c>
      <c r="Z2" s="8" t="s">
        <v>1028</v>
      </c>
      <c r="AA2" s="8" t="s">
        <v>1029</v>
      </c>
    </row>
    <row r="3" spans="2:35" x14ac:dyDescent="0.2">
      <c r="B3" s="2" t="s">
        <v>1030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1031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1032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66" si="3">DATE(YEAR(B20)-1,MONTH(B20),DAY(B20))</f>
        <v>42095</v>
      </c>
      <c r="B20" s="12">
        <v>42461</v>
      </c>
      <c r="C20" s="14">
        <f>(VLOOKUP(B20,Data!$E:$BM,MATCH(yoy!$C$1,Data!$E$1:$BM$1,),)-VLOOKUP(A20,Data!$E:$BM,MATCH(yoy!$C$1,Data!$E$1:$BM$1,),))/VLOOKUP(A20,Data!$E:$BM,MATCH(yoy!$C$1,Data!$E$1:$BM$1,),)</f>
        <v>6.1087356214679665E-2</v>
      </c>
      <c r="D20" s="14">
        <f>(VLOOKUP(B20,Data!$E:$BM,MATCH(yoy!$D$1,Data!$E$1:$BM$1,),)-VLOOKUP(A20,Data!$E:$BM,MATCH(yoy!$D$1,Data!$E$1:$BM$1,),))/VLOOKUP(A20,Data!$E:$BM,MATCH(yoy!$D$1,Data!$E$1:$BM$1,),)</f>
        <v>6.4666205388392697E-2</v>
      </c>
      <c r="E20" s="14">
        <f>(VLOOKUP(B20,Data!$E:$BM,MATCH(yoy!$E$1,Data!$E$1:$BM$1,),)-VLOOKUP(A20,Data!$E:$BM,MATCH(yoy!$E$1,Data!$E$1:$BM$1,),))/VLOOKUP(A20,Data!$E:$BM,MATCH(yoy!$E$1,Data!$E$1:$BM$1,),)</f>
        <v>0.13301107765541748</v>
      </c>
      <c r="F20" s="14">
        <f>(VLOOKUP(B20,Data!$E:$BM,MATCH(yoy!$F$1,Data!$E$1:$BM$1,),)-VLOOKUP(A20,Data!$E:$BM,MATCH(yoy!$F$1,Data!$E$1:$BM$1,),))/VLOOKUP(A20,Data!$E:$BM,MATCH(yoy!$F$1,Data!$E$1:$BM$1,),)</f>
        <v>4.7990122350904586E-2</v>
      </c>
      <c r="G20" s="14">
        <f>(VLOOKUP(B20,Data!$E:$BM,MATCH(yoy!$G$1,Data!$E$1:$BM$1,),)-VLOOKUP(A20,Data!$E:$BM,MATCH(yoy!$G$1,Data!$E$1:$BM$1,),))/VLOOKUP(A20,Data!$E:$BM,MATCH(yoy!$G$1,Data!$E$1:$BM$1,),)</f>
        <v>2.7356743716603814E-2</v>
      </c>
      <c r="H20" s="14">
        <f>(VLOOKUP(B20,Data!$E:$BM,MATCH(yoy!$H$1,Data!$E$1:$BM$1,),)-VLOOKUP(A20,Data!$E:$BM,MATCH(yoy!$H$1,Data!$E$1:$BM$1,),))/VLOOKUP(A20,Data!$E:$BM,MATCH(yoy!$H$1,Data!$E$1:$BM$1,),)</f>
        <v>3.0835834426625682E-2</v>
      </c>
      <c r="I20" s="14">
        <f>(VLOOKUP(B20,Data!$E:$BM,MATCH(yoy!$I$1,Data!$E$1:$BM$1,),)-VLOOKUP(A20,Data!$E:$BM,MATCH(yoy!$I$1,Data!$E$1:$BM$1,),))/VLOOKUP(A20,Data!$E:$BM,MATCH(yoy!$I$1,Data!$E$1:$BM$1,),)</f>
        <v>2.0488089585510103E-2</v>
      </c>
      <c r="J20" s="14">
        <f>(VLOOKUP(B20,Data!$E:$BM,MATCH(yoy!$J$1,Data!$E$1:$BM$1,),)-VLOOKUP(A20,Data!$E:$BM,MATCH(yoy!$J$1,Data!$E$1:$BM$1,),))/VLOOKUP(A20,Data!$E:$BM,MATCH(yoy!$J$1,Data!$E$1:$BM$1,),)</f>
        <v>8.578159095316655E-2</v>
      </c>
      <c r="K20" s="14">
        <f>(VLOOKUP(B20,Data!$E:$BM,MATCH(yoy!$K$1,Data!$E$1:$BM$1,),)-VLOOKUP(A20,Data!$E:$BM,MATCH(yoy!$K$1,Data!$E$1:$BM$1,),))/VLOOKUP(A20,Data!$E:$BM,MATCH(yoy!$K$1,Data!$E$1:$BM$1,),)</f>
        <v>2.6275075348025565E-2</v>
      </c>
      <c r="L20" s="14">
        <f>(VLOOKUP(B20,Data!$E:$BM,MATCH(yoy!$L$1,Data!$E$1:$BM$1,),)-VLOOKUP(A20,Data!$E:$BM,MATCH(yoy!$L$1,Data!$E$1:$BM$1,),))/VLOOKUP(A20,Data!$E:$BM,MATCH(yoy!$L$1,Data!$E$1:$BM$1,),)</f>
        <v>0.10679350730657046</v>
      </c>
      <c r="M20" s="14">
        <f>(VLOOKUP(B20,Data!$E:$BM,MATCH(yoy!$M$1,Data!$E$1:$BM$1,),)-VLOOKUP(A20,Data!$E:$BM,MATCH(yoy!$M$1,Data!$E$1:$BM$1,),))/VLOOKUP(A20,Data!$E:$BM,MATCH(yoy!$M$1,Data!$E$1:$BM$1,),)</f>
        <v>4.5841832154207965E-2</v>
      </c>
      <c r="N20" s="14">
        <f>(VLOOKUP(B20,Data!$E:$BM,MATCH(yoy!$N$1,Data!$E$1:$BM$1,),)-VLOOKUP(A20,Data!$E:$BM,MATCH(yoy!$N$1,Data!$E$1:$BM$1,),))/VLOOKUP(A20,Data!$E:$BM,MATCH(yoy!$N$1,Data!$E$1:$BM$1,),)</f>
        <v>0.16296116492184184</v>
      </c>
      <c r="O20" s="14">
        <f>(VLOOKUP(B20,Data!$E:$BM,MATCH(yoy!$O$1,Data!$E$1:$BM$1,),)-VLOOKUP(A20,Data!$E:$BM,MATCH(yoy!$O$1,Data!$E$1:$BM$1,),))/VLOOKUP(A20,Data!$E:$BM,MATCH(yoy!$O$1,Data!$E$1:$BM$1,),)</f>
        <v>0.10827628149275402</v>
      </c>
      <c r="P20" s="14">
        <f>(VLOOKUP(B20,Data!$E:$BM,MATCH(yoy!$P$1,Data!$E$1:$BM$1,),)-VLOOKUP(A20,Data!$E:$BM,MATCH(yoy!$P$1,Data!$E$1:$BM$1,),))/VLOOKUP(A20,Data!$E:$BM,MATCH(yoy!$P$1,Data!$E$1:$BM$1,),)</f>
        <v>8.2326146998255217E-2</v>
      </c>
      <c r="Q20" s="14">
        <f>(VLOOKUP(B20,Data!$E:$BM,MATCH(yoy!$Q$1,Data!$E$1:$BM$1,),)-VLOOKUP(A20,Data!$E:$BM,MATCH(yoy!$Q$1,Data!$E$1:$BM$1,),))/VLOOKUP(A20,Data!$E:$BM,MATCH(yoy!$Q$1,Data!$E$1:$BM$1,),)</f>
        <v>5.7506615940996188E-2</v>
      </c>
      <c r="R20" s="14">
        <f>(VLOOKUP(B20,Data!$E:$BM,MATCH(yoy!$R$1,Data!$E$1:$BM$1,),)-VLOOKUP(A20,Data!$E:$BM,MATCH(yoy!$R$1,Data!$E$1:$BM$1,),))/VLOOKUP(A20,Data!$E:$BM,MATCH(yoy!$R$1,Data!$E$1:$BM$1,),)</f>
        <v>7.2300301623274943E-2</v>
      </c>
      <c r="S20" s="14">
        <f>(VLOOKUP(B20,Data!$E:$BM,MATCH(yoy!$S$1,Data!$E$1:$BM$1,),)-VLOOKUP(A20,Data!$E:$BM,MATCH(yoy!$S$1,Data!$E$1:$BM$1,),))/VLOOKUP(A20,Data!$E:$BM,MATCH(yoy!$S$1,Data!$E$1:$BM$1,),)</f>
        <v>7.8996532651369092E-2</v>
      </c>
      <c r="T20" s="14">
        <f>(VLOOKUP(B20,Data!$E:$BM,MATCH(yoy!$T$1,Data!$E$1:$BM$1,),)-VLOOKUP(A20,Data!$E:$BM,MATCH(yoy!$T$1,Data!$E$1:$BM$1,),))/VLOOKUP(A20,Data!$E:$BM,MATCH(yoy!$T$1,Data!$E$1:$BM$1,),)</f>
        <v>0.11565600282846317</v>
      </c>
      <c r="U20" s="14">
        <f>(VLOOKUP(B20,Data!$E:$BM,MATCH(yoy!$U$1,Data!$E$1:$BM$1,),)-VLOOKUP(A20,Data!$E:$BM,MATCH(yoy!$U$1,Data!$E$1:$BM$1,),))/VLOOKUP(A20,Data!$E:$BM,MATCH(yoy!$U$1,Data!$E$1:$BM$1,),)</f>
        <v>2.58030052519065E-2</v>
      </c>
      <c r="V20" s="14">
        <f>(VLOOKUP(B20,Data!$E:$BM,MATCH(yoy!$V$1,Data!$E$1:$BM$1,),)-VLOOKUP(A20,Data!$E:$BM,MATCH(yoy!$V$1,Data!$E$1:$BM$1,),))/VLOOKUP(A20,Data!$E:$BM,MATCH(yoy!$V$1,Data!$E$1:$BM$1,),)</f>
        <v>4.2309142589325929E-2</v>
      </c>
      <c r="W20" s="14">
        <f>(VLOOKUP(B20,Data!$E:$BM,MATCH(yoy!$W$1,Data!$E$1:$BM$1,),)-VLOOKUP(A20,Data!$E:$BM,MATCH(yoy!$W$1,Data!$E$1:$BM$1,),))/VLOOKUP(A20,Data!$E:$BM,MATCH(yoy!$W$1,Data!$E$1:$BM$1,),)</f>
        <v>0.11883404490775633</v>
      </c>
      <c r="X20" s="14">
        <f>(VLOOKUP(B20,Data!$E:$BM,MATCH(yoy!$X$1,Data!$E$1:$BM$1,),)-VLOOKUP(A20,Data!$E:$BM,MATCH(yoy!$X$1,Data!$E$1:$BM$1,),))/VLOOKUP(A20,Data!$E:$BM,MATCH(yoy!$X$1,Data!$E$1:$BM$1,),)</f>
        <v>7.931796872050785E-2</v>
      </c>
      <c r="Y20" s="14">
        <f>(VLOOKUP(B20,Data!$E:$BM,MATCH(yoy!$Y$1,Data!$E$1:$BM$1,),)-VLOOKUP(A20,Data!$E:$BM,MATCH(yoy!$Y$1,Data!$E$1:$BM$1,),))/VLOOKUP(A20,Data!$E:$BM,MATCH(yoy!$Y$1,Data!$E$1:$BM$1,),)</f>
        <v>9.6146653228158352E-2</v>
      </c>
      <c r="Z20" s="14">
        <f>(VLOOKUP(B20,Data!$E:$BM,MATCH(yoy!$Z$1,Data!$E$1:$BM$1,),)-VLOOKUP(A20,Data!$E:$BM,MATCH(yoy!$Z$1,Data!$E$1:$BM$1,),))/VLOOKUP(A20,Data!$E:$BM,MATCH(yoy!$Z$1,Data!$E$1:$BM$1,),)</f>
        <v>8.8570177960840102E-2</v>
      </c>
      <c r="AA20" s="14">
        <f>(VLOOKUP(B20,Data!$E:$BM,MATCH(yoy!$AA$1,Data!$E$1:$BM$1,),)-VLOOKUP(A20,Data!$E:$BM,MATCH(yoy!$AA$1,Data!$E$1:$BM$1,),))/VLOOKUP(A20,Data!$E:$BM,MATCH(yoy!$AA$1,Data!$E$1:$BM$1,),)</f>
        <v>0.10325307120086322</v>
      </c>
    </row>
    <row r="21" spans="1:27" x14ac:dyDescent="0.2">
      <c r="A21" s="20">
        <f t="shared" si="3"/>
        <v>42125</v>
      </c>
      <c r="B21" s="12">
        <v>42491</v>
      </c>
      <c r="C21" s="14">
        <f>(VLOOKUP(B21,Data!$E:$BM,MATCH(yoy!$C$1,Data!$E$1:$BM$1,),)-VLOOKUP(A21,Data!$E:$BM,MATCH(yoy!$C$1,Data!$E$1:$BM$1,),))/VLOOKUP(A21,Data!$E:$BM,MATCH(yoy!$C$1,Data!$E$1:$BM$1,),)</f>
        <v>6.2301134009918484E-2</v>
      </c>
      <c r="D21" s="14">
        <f>(VLOOKUP(B21,Data!$E:$BM,MATCH(yoy!$D$1,Data!$E$1:$BM$1,),)-VLOOKUP(A21,Data!$E:$BM,MATCH(yoy!$D$1,Data!$E$1:$BM$1,),))/VLOOKUP(A21,Data!$E:$BM,MATCH(yoy!$D$1,Data!$E$1:$BM$1,),)</f>
        <v>6.7509962145358204E-2</v>
      </c>
      <c r="E21" s="14">
        <f>(VLOOKUP(B21,Data!$E:$BM,MATCH(yoy!$E$1,Data!$E$1:$BM$1,),)-VLOOKUP(A21,Data!$E:$BM,MATCH(yoy!$E$1,Data!$E$1:$BM$1,),))/VLOOKUP(A21,Data!$E:$BM,MATCH(yoy!$E$1,Data!$E$1:$BM$1,),)</f>
        <v>0.12575211486522217</v>
      </c>
      <c r="F21" s="14">
        <f>(VLOOKUP(B21,Data!$E:$BM,MATCH(yoy!$F$1,Data!$E$1:$BM$1,),)-VLOOKUP(A21,Data!$E:$BM,MATCH(yoy!$F$1,Data!$E$1:$BM$1,),))/VLOOKUP(A21,Data!$E:$BM,MATCH(yoy!$F$1,Data!$E$1:$BM$1,),)</f>
        <v>4.7831274406587618E-2</v>
      </c>
      <c r="G21" s="14">
        <f>(VLOOKUP(B21,Data!$E:$BM,MATCH(yoy!$G$1,Data!$E$1:$BM$1,),)-VLOOKUP(A21,Data!$E:$BM,MATCH(yoy!$G$1,Data!$E$1:$BM$1,),))/VLOOKUP(A21,Data!$E:$BM,MATCH(yoy!$G$1,Data!$E$1:$BM$1,),)</f>
        <v>2.7600810948303307E-2</v>
      </c>
      <c r="H21" s="14">
        <f>(VLOOKUP(B21,Data!$E:$BM,MATCH(yoy!$H$1,Data!$E$1:$BM$1,),)-VLOOKUP(A21,Data!$E:$BM,MATCH(yoy!$H$1,Data!$E$1:$BM$1,),))/VLOOKUP(A21,Data!$E:$BM,MATCH(yoy!$H$1,Data!$E$1:$BM$1,),)</f>
        <v>3.2747164286135083E-2</v>
      </c>
      <c r="I21" s="14">
        <f>(VLOOKUP(B21,Data!$E:$BM,MATCH(yoy!$I$1,Data!$E$1:$BM$1,),)-VLOOKUP(A21,Data!$E:$BM,MATCH(yoy!$I$1,Data!$E$1:$BM$1,),))/VLOOKUP(A21,Data!$E:$BM,MATCH(yoy!$I$1,Data!$E$1:$BM$1,),)</f>
        <v>2.3211265104787045E-2</v>
      </c>
      <c r="J21" s="14">
        <f>(VLOOKUP(B21,Data!$E:$BM,MATCH(yoy!$J$1,Data!$E$1:$BM$1,),)-VLOOKUP(A21,Data!$E:$BM,MATCH(yoy!$J$1,Data!$E$1:$BM$1,),))/VLOOKUP(A21,Data!$E:$BM,MATCH(yoy!$J$1,Data!$E$1:$BM$1,),)</f>
        <v>7.9586686827466641E-2</v>
      </c>
      <c r="K21" s="14">
        <f>(VLOOKUP(B21,Data!$E:$BM,MATCH(yoy!$K$1,Data!$E$1:$BM$1,),)-VLOOKUP(A21,Data!$E:$BM,MATCH(yoy!$K$1,Data!$E$1:$BM$1,),))/VLOOKUP(A21,Data!$E:$BM,MATCH(yoy!$K$1,Data!$E$1:$BM$1,),)</f>
        <v>4.3003937405453302E-2</v>
      </c>
      <c r="L21" s="14">
        <f>(VLOOKUP(B21,Data!$E:$BM,MATCH(yoy!$L$1,Data!$E$1:$BM$1,),)-VLOOKUP(A21,Data!$E:$BM,MATCH(yoy!$L$1,Data!$E$1:$BM$1,),))/VLOOKUP(A21,Data!$E:$BM,MATCH(yoy!$L$1,Data!$E$1:$BM$1,),)</f>
        <v>0.10357106121387037</v>
      </c>
      <c r="M21" s="14">
        <f>(VLOOKUP(B21,Data!$E:$BM,MATCH(yoy!$M$1,Data!$E$1:$BM$1,),)-VLOOKUP(A21,Data!$E:$BM,MATCH(yoy!$M$1,Data!$E$1:$BM$1,),))/VLOOKUP(A21,Data!$E:$BM,MATCH(yoy!$M$1,Data!$E$1:$BM$1,),)</f>
        <v>3.4929724257934204E-2</v>
      </c>
      <c r="N21" s="14">
        <f>(VLOOKUP(B21,Data!$E:$BM,MATCH(yoy!$N$1,Data!$E$1:$BM$1,),)-VLOOKUP(A21,Data!$E:$BM,MATCH(yoy!$N$1,Data!$E$1:$BM$1,),))/VLOOKUP(A21,Data!$E:$BM,MATCH(yoy!$N$1,Data!$E$1:$BM$1,),)</f>
        <v>0.17037808143581898</v>
      </c>
      <c r="O21" s="14">
        <f>(VLOOKUP(B21,Data!$E:$BM,MATCH(yoy!$O$1,Data!$E$1:$BM$1,),)-VLOOKUP(A21,Data!$E:$BM,MATCH(yoy!$O$1,Data!$E$1:$BM$1,),))/VLOOKUP(A21,Data!$E:$BM,MATCH(yoy!$O$1,Data!$E$1:$BM$1,),)</f>
        <v>0.10886451309755817</v>
      </c>
      <c r="P21" s="14">
        <f>(VLOOKUP(B21,Data!$E:$BM,MATCH(yoy!$P$1,Data!$E$1:$BM$1,),)-VLOOKUP(A21,Data!$E:$BM,MATCH(yoy!$P$1,Data!$E$1:$BM$1,),))/VLOOKUP(A21,Data!$E:$BM,MATCH(yoy!$P$1,Data!$E$1:$BM$1,),)</f>
        <v>9.4653941688313578E-2</v>
      </c>
      <c r="Q21" s="14">
        <f>(VLOOKUP(B21,Data!$E:$BM,MATCH(yoy!$Q$1,Data!$E$1:$BM$1,),)-VLOOKUP(A21,Data!$E:$BM,MATCH(yoy!$Q$1,Data!$E$1:$BM$1,),))/VLOOKUP(A21,Data!$E:$BM,MATCH(yoy!$Q$1,Data!$E$1:$BM$1,),)</f>
        <v>5.7103010606855534E-2</v>
      </c>
      <c r="R21" s="14">
        <f>(VLOOKUP(B21,Data!$E:$BM,MATCH(yoy!$R$1,Data!$E$1:$BM$1,),)-VLOOKUP(A21,Data!$E:$BM,MATCH(yoy!$R$1,Data!$E$1:$BM$1,),))/VLOOKUP(A21,Data!$E:$BM,MATCH(yoy!$R$1,Data!$E$1:$BM$1,),)</f>
        <v>7.3313259932403438E-2</v>
      </c>
      <c r="S21" s="14">
        <f>(VLOOKUP(B21,Data!$E:$BM,MATCH(yoy!$S$1,Data!$E$1:$BM$1,),)-VLOOKUP(A21,Data!$E:$BM,MATCH(yoy!$S$1,Data!$E$1:$BM$1,),))/VLOOKUP(A21,Data!$E:$BM,MATCH(yoy!$S$1,Data!$E$1:$BM$1,),)</f>
        <v>7.7866348238996547E-2</v>
      </c>
      <c r="T21" s="14">
        <f>(VLOOKUP(B21,Data!$E:$BM,MATCH(yoy!$T$1,Data!$E$1:$BM$1,),)-VLOOKUP(A21,Data!$E:$BM,MATCH(yoy!$T$1,Data!$E$1:$BM$1,),))/VLOOKUP(A21,Data!$E:$BM,MATCH(yoy!$T$1,Data!$E$1:$BM$1,),)</f>
        <v>0.11349264571537186</v>
      </c>
      <c r="U21" s="14">
        <f>(VLOOKUP(B21,Data!$E:$BM,MATCH(yoy!$U$1,Data!$E$1:$BM$1,),)-VLOOKUP(A21,Data!$E:$BM,MATCH(yoy!$U$1,Data!$E$1:$BM$1,),))/VLOOKUP(A21,Data!$E:$BM,MATCH(yoy!$U$1,Data!$E$1:$BM$1,),)</f>
        <v>1.4146335949646469E-2</v>
      </c>
      <c r="V21" s="14">
        <f>(VLOOKUP(B21,Data!$E:$BM,MATCH(yoy!$V$1,Data!$E$1:$BM$1,),)-VLOOKUP(A21,Data!$E:$BM,MATCH(yoy!$V$1,Data!$E$1:$BM$1,),))/VLOOKUP(A21,Data!$E:$BM,MATCH(yoy!$V$1,Data!$E$1:$BM$1,),)</f>
        <v>5.2953739943902893E-2</v>
      </c>
      <c r="W21" s="14">
        <f>(VLOOKUP(B21,Data!$E:$BM,MATCH(yoy!$W$1,Data!$E$1:$BM$1,),)-VLOOKUP(A21,Data!$E:$BM,MATCH(yoy!$W$1,Data!$E$1:$BM$1,),))/VLOOKUP(A21,Data!$E:$BM,MATCH(yoy!$W$1,Data!$E$1:$BM$1,),)</f>
        <v>0.11351694398310393</v>
      </c>
      <c r="X21" s="14">
        <f>(VLOOKUP(B21,Data!$E:$BM,MATCH(yoy!$X$1,Data!$E$1:$BM$1,),)-VLOOKUP(A21,Data!$E:$BM,MATCH(yoy!$X$1,Data!$E$1:$BM$1,),))/VLOOKUP(A21,Data!$E:$BM,MATCH(yoy!$X$1,Data!$E$1:$BM$1,),)</f>
        <v>6.7613112108194567E-2</v>
      </c>
      <c r="Y21" s="14">
        <f>(VLOOKUP(B21,Data!$E:$BM,MATCH(yoy!$Y$1,Data!$E$1:$BM$1,),)-VLOOKUP(A21,Data!$E:$BM,MATCH(yoy!$Y$1,Data!$E$1:$BM$1,),))/VLOOKUP(A21,Data!$E:$BM,MATCH(yoy!$Y$1,Data!$E$1:$BM$1,),)</f>
        <v>9.8446816523784481E-2</v>
      </c>
      <c r="Z21" s="14">
        <f>(VLOOKUP(B21,Data!$E:$BM,MATCH(yoy!$Z$1,Data!$E$1:$BM$1,),)-VLOOKUP(A21,Data!$E:$BM,MATCH(yoy!$Z$1,Data!$E$1:$BM$1,),))/VLOOKUP(A21,Data!$E:$BM,MATCH(yoy!$Z$1,Data!$E$1:$BM$1,),)</f>
        <v>8.9710119196533059E-2</v>
      </c>
      <c r="AA21" s="14">
        <f>(VLOOKUP(B21,Data!$E:$BM,MATCH(yoy!$AA$1,Data!$E$1:$BM$1,),)-VLOOKUP(A21,Data!$E:$BM,MATCH(yoy!$AA$1,Data!$E$1:$BM$1,),))/VLOOKUP(A21,Data!$E:$BM,MATCH(yoy!$AA$1,Data!$E$1:$BM$1,),)</f>
        <v>0.11584806322771218</v>
      </c>
    </row>
    <row r="22" spans="1:27" x14ac:dyDescent="0.2">
      <c r="A22" s="20">
        <f t="shared" si="3"/>
        <v>42156</v>
      </c>
      <c r="B22" s="12">
        <v>42522</v>
      </c>
      <c r="C22" s="14">
        <f>(VLOOKUP(B22,Data!$E:$BM,MATCH(yoy!$C$1,Data!$E$1:$BM$1,),)-VLOOKUP(A22,Data!$E:$BM,MATCH(yoy!$C$1,Data!$E$1:$BM$1,),))/VLOOKUP(A22,Data!$E:$BM,MATCH(yoy!$C$1,Data!$E$1:$BM$1,),)</f>
        <v>6.5324550354489197E-2</v>
      </c>
      <c r="D22" s="14">
        <f>(VLOOKUP(B22,Data!$E:$BM,MATCH(yoy!$D$1,Data!$E$1:$BM$1,),)-VLOOKUP(A22,Data!$E:$BM,MATCH(yoy!$D$1,Data!$E$1:$BM$1,),))/VLOOKUP(A22,Data!$E:$BM,MATCH(yoy!$D$1,Data!$E$1:$BM$1,),)</f>
        <v>6.9114390670057993E-2</v>
      </c>
      <c r="E22" s="14">
        <f>(VLOOKUP(B22,Data!$E:$BM,MATCH(yoy!$E$1,Data!$E$1:$BM$1,),)-VLOOKUP(A22,Data!$E:$BM,MATCH(yoy!$E$1,Data!$E$1:$BM$1,),))/VLOOKUP(A22,Data!$E:$BM,MATCH(yoy!$E$1,Data!$E$1:$BM$1,),)</f>
        <v>0.11992306519341722</v>
      </c>
      <c r="F22" s="14">
        <f>(VLOOKUP(B22,Data!$E:$BM,MATCH(yoy!$F$1,Data!$E$1:$BM$1,),)-VLOOKUP(A22,Data!$E:$BM,MATCH(yoy!$F$1,Data!$E$1:$BM$1,),))/VLOOKUP(A22,Data!$E:$BM,MATCH(yoy!$F$1,Data!$E$1:$BM$1,),)</f>
        <v>4.8936671719653629E-2</v>
      </c>
      <c r="G22" s="14">
        <f>(VLOOKUP(B22,Data!$E:$BM,MATCH(yoy!$G$1,Data!$E$1:$BM$1,),)-VLOOKUP(A22,Data!$E:$BM,MATCH(yoy!$G$1,Data!$E$1:$BM$1,),))/VLOOKUP(A22,Data!$E:$BM,MATCH(yoy!$G$1,Data!$E$1:$BM$1,),)</f>
        <v>2.8655131190840063E-2</v>
      </c>
      <c r="H22" s="14">
        <f>(VLOOKUP(B22,Data!$E:$BM,MATCH(yoy!$H$1,Data!$E$1:$BM$1,),)-VLOOKUP(A22,Data!$E:$BM,MATCH(yoy!$H$1,Data!$E$1:$BM$1,),))/VLOOKUP(A22,Data!$E:$BM,MATCH(yoy!$H$1,Data!$E$1:$BM$1,),)</f>
        <v>5.7119535801289499E-2</v>
      </c>
      <c r="I22" s="14">
        <f>(VLOOKUP(B22,Data!$E:$BM,MATCH(yoy!$I$1,Data!$E$1:$BM$1,),)-VLOOKUP(A22,Data!$E:$BM,MATCH(yoy!$I$1,Data!$E$1:$BM$1,),))/VLOOKUP(A22,Data!$E:$BM,MATCH(yoy!$I$1,Data!$E$1:$BM$1,),)</f>
        <v>2.2647619314800346E-2</v>
      </c>
      <c r="J22" s="14">
        <f>(VLOOKUP(B22,Data!$E:$BM,MATCH(yoy!$J$1,Data!$E$1:$BM$1,),)-VLOOKUP(A22,Data!$E:$BM,MATCH(yoy!$J$1,Data!$E$1:$BM$1,),))/VLOOKUP(A22,Data!$E:$BM,MATCH(yoy!$J$1,Data!$E$1:$BM$1,),)</f>
        <v>7.1344669426110383E-2</v>
      </c>
      <c r="K22" s="14">
        <f>(VLOOKUP(B22,Data!$E:$BM,MATCH(yoy!$K$1,Data!$E$1:$BM$1,),)-VLOOKUP(A22,Data!$E:$BM,MATCH(yoy!$K$1,Data!$E$1:$BM$1,),))/VLOOKUP(A22,Data!$E:$BM,MATCH(yoy!$K$1,Data!$E$1:$BM$1,),)</f>
        <v>3.9841173943640798E-2</v>
      </c>
      <c r="L22" s="14">
        <f>(VLOOKUP(B22,Data!$E:$BM,MATCH(yoy!$L$1,Data!$E$1:$BM$1,),)-VLOOKUP(A22,Data!$E:$BM,MATCH(yoy!$L$1,Data!$E$1:$BM$1,),))/VLOOKUP(A22,Data!$E:$BM,MATCH(yoy!$L$1,Data!$E$1:$BM$1,),)</f>
        <v>0.10237729927076675</v>
      </c>
      <c r="M22" s="14">
        <f>(VLOOKUP(B22,Data!$E:$BM,MATCH(yoy!$M$1,Data!$E$1:$BM$1,),)-VLOOKUP(A22,Data!$E:$BM,MATCH(yoy!$M$1,Data!$E$1:$BM$1,),))/VLOOKUP(A22,Data!$E:$BM,MATCH(yoy!$M$1,Data!$E$1:$BM$1,),)</f>
        <v>3.5245672600278194E-2</v>
      </c>
      <c r="N22" s="14">
        <f>(VLOOKUP(B22,Data!$E:$BM,MATCH(yoy!$N$1,Data!$E$1:$BM$1,),)-VLOOKUP(A22,Data!$E:$BM,MATCH(yoy!$N$1,Data!$E$1:$BM$1,),))/VLOOKUP(A22,Data!$E:$BM,MATCH(yoy!$N$1,Data!$E$1:$BM$1,),)</f>
        <v>0.15917293245513098</v>
      </c>
      <c r="O22" s="14">
        <f>(VLOOKUP(B22,Data!$E:$BM,MATCH(yoy!$O$1,Data!$E$1:$BM$1,),)-VLOOKUP(A22,Data!$E:$BM,MATCH(yoy!$O$1,Data!$E$1:$BM$1,),))/VLOOKUP(A22,Data!$E:$BM,MATCH(yoy!$O$1,Data!$E$1:$BM$1,),)</f>
        <v>9.4849439936172994E-2</v>
      </c>
      <c r="P22" s="14">
        <f>(VLOOKUP(B22,Data!$E:$BM,MATCH(yoy!$P$1,Data!$E$1:$BM$1,),)-VLOOKUP(A22,Data!$E:$BM,MATCH(yoy!$P$1,Data!$E$1:$BM$1,),))/VLOOKUP(A22,Data!$E:$BM,MATCH(yoy!$P$1,Data!$E$1:$BM$1,),)</f>
        <v>9.7521594279499385E-2</v>
      </c>
      <c r="Q22" s="14">
        <f>(VLOOKUP(B22,Data!$E:$BM,MATCH(yoy!$Q$1,Data!$E$1:$BM$1,),)-VLOOKUP(A22,Data!$E:$BM,MATCH(yoy!$Q$1,Data!$E$1:$BM$1,),))/VLOOKUP(A22,Data!$E:$BM,MATCH(yoy!$Q$1,Data!$E$1:$BM$1,),)</f>
        <v>5.809519028014852E-2</v>
      </c>
      <c r="R22" s="14">
        <f>(VLOOKUP(B22,Data!$E:$BM,MATCH(yoy!$R$1,Data!$E$1:$BM$1,),)-VLOOKUP(A22,Data!$E:$BM,MATCH(yoy!$R$1,Data!$E$1:$BM$1,),))/VLOOKUP(A22,Data!$E:$BM,MATCH(yoy!$R$1,Data!$E$1:$BM$1,),)</f>
        <v>8.0489033397218843E-2</v>
      </c>
      <c r="S22" s="14">
        <f>(VLOOKUP(B22,Data!$E:$BM,MATCH(yoy!$S$1,Data!$E$1:$BM$1,),)-VLOOKUP(A22,Data!$E:$BM,MATCH(yoy!$S$1,Data!$E$1:$BM$1,),))/VLOOKUP(A22,Data!$E:$BM,MATCH(yoy!$S$1,Data!$E$1:$BM$1,),)</f>
        <v>7.7280651936253456E-2</v>
      </c>
      <c r="T22" s="14">
        <f>(VLOOKUP(B22,Data!$E:$BM,MATCH(yoy!$T$1,Data!$E$1:$BM$1,),)-VLOOKUP(A22,Data!$E:$BM,MATCH(yoy!$T$1,Data!$E$1:$BM$1,),))/VLOOKUP(A22,Data!$E:$BM,MATCH(yoy!$T$1,Data!$E$1:$BM$1,),)</f>
        <v>0.11441795886692009</v>
      </c>
      <c r="U22" s="14">
        <f>(VLOOKUP(B22,Data!$E:$BM,MATCH(yoy!$U$1,Data!$E$1:$BM$1,),)-VLOOKUP(A22,Data!$E:$BM,MATCH(yoy!$U$1,Data!$E$1:$BM$1,),))/VLOOKUP(A22,Data!$E:$BM,MATCH(yoy!$U$1,Data!$E$1:$BM$1,),)</f>
        <v>1.3930900735092148E-2</v>
      </c>
      <c r="V22" s="14">
        <f>(VLOOKUP(B22,Data!$E:$BM,MATCH(yoy!$V$1,Data!$E$1:$BM$1,),)-VLOOKUP(A22,Data!$E:$BM,MATCH(yoy!$V$1,Data!$E$1:$BM$1,),))/VLOOKUP(A22,Data!$E:$BM,MATCH(yoy!$V$1,Data!$E$1:$BM$1,),)</f>
        <v>6.4315063916132939E-2</v>
      </c>
      <c r="W22" s="14">
        <f>(VLOOKUP(B22,Data!$E:$BM,MATCH(yoy!$W$1,Data!$E$1:$BM$1,),)-VLOOKUP(A22,Data!$E:$BM,MATCH(yoy!$W$1,Data!$E$1:$BM$1,),))/VLOOKUP(A22,Data!$E:$BM,MATCH(yoy!$W$1,Data!$E$1:$BM$1,),)</f>
        <v>0.12034431751493282</v>
      </c>
      <c r="X22" s="14">
        <f>(VLOOKUP(B22,Data!$E:$BM,MATCH(yoy!$X$1,Data!$E$1:$BM$1,),)-VLOOKUP(A22,Data!$E:$BM,MATCH(yoy!$X$1,Data!$E$1:$BM$1,),))/VLOOKUP(A22,Data!$E:$BM,MATCH(yoy!$X$1,Data!$E$1:$BM$1,),)</f>
        <v>6.0107347030481574E-2</v>
      </c>
      <c r="Y22" s="14">
        <f>(VLOOKUP(B22,Data!$E:$BM,MATCH(yoy!$Y$1,Data!$E$1:$BM$1,),)-VLOOKUP(A22,Data!$E:$BM,MATCH(yoy!$Y$1,Data!$E$1:$BM$1,),))/VLOOKUP(A22,Data!$E:$BM,MATCH(yoy!$Y$1,Data!$E$1:$BM$1,),)</f>
        <v>9.2210328401699168E-2</v>
      </c>
      <c r="Z22" s="14">
        <f>(VLOOKUP(B22,Data!$E:$BM,MATCH(yoy!$Z$1,Data!$E$1:$BM$1,),)-VLOOKUP(A22,Data!$E:$BM,MATCH(yoy!$Z$1,Data!$E$1:$BM$1,),))/VLOOKUP(A22,Data!$E:$BM,MATCH(yoy!$Z$1,Data!$E$1:$BM$1,),)</f>
        <v>9.2398939667123717E-2</v>
      </c>
      <c r="AA22" s="14">
        <f>(VLOOKUP(B22,Data!$E:$BM,MATCH(yoy!$AA$1,Data!$E$1:$BM$1,),)-VLOOKUP(A22,Data!$E:$BM,MATCH(yoy!$AA$1,Data!$E$1:$BM$1,),))/VLOOKUP(A22,Data!$E:$BM,MATCH(yoy!$AA$1,Data!$E$1:$BM$1,),)</f>
        <v>0.11520146990203015</v>
      </c>
    </row>
    <row r="23" spans="1:27" x14ac:dyDescent="0.2">
      <c r="A23" s="20">
        <f t="shared" si="3"/>
        <v>42186</v>
      </c>
      <c r="B23" s="12">
        <v>42552</v>
      </c>
      <c r="C23" s="14">
        <f>(VLOOKUP(B23,Data!$E:$BM,MATCH(yoy!$C$1,Data!$E$1:$BM$1,),)-VLOOKUP(A23,Data!$E:$BM,MATCH(yoy!$C$1,Data!$E$1:$BM$1,),))/VLOOKUP(A23,Data!$E:$BM,MATCH(yoy!$C$1,Data!$E$1:$BM$1,),)</f>
        <v>6.6680569053287425E-2</v>
      </c>
      <c r="D23" s="14">
        <f>(VLOOKUP(B23,Data!$E:$BM,MATCH(yoy!$D$1,Data!$E$1:$BM$1,),)-VLOOKUP(A23,Data!$E:$BM,MATCH(yoy!$D$1,Data!$E$1:$BM$1,),))/VLOOKUP(A23,Data!$E:$BM,MATCH(yoy!$D$1,Data!$E$1:$BM$1,),)</f>
        <v>6.9372037618807419E-2</v>
      </c>
      <c r="E23" s="14">
        <f>(VLOOKUP(B23,Data!$E:$BM,MATCH(yoy!$E$1,Data!$E$1:$BM$1,),)-VLOOKUP(A23,Data!$E:$BM,MATCH(yoy!$E$1,Data!$E$1:$BM$1,),))/VLOOKUP(A23,Data!$E:$BM,MATCH(yoy!$E$1,Data!$E$1:$BM$1,),)</f>
        <v>0.11069930732716755</v>
      </c>
      <c r="F23" s="14">
        <f>(VLOOKUP(B23,Data!$E:$BM,MATCH(yoy!$F$1,Data!$E$1:$BM$1,),)-VLOOKUP(A23,Data!$E:$BM,MATCH(yoy!$F$1,Data!$E$1:$BM$1,),))/VLOOKUP(A23,Data!$E:$BM,MATCH(yoy!$F$1,Data!$E$1:$BM$1,),)</f>
        <v>5.0634539273644405E-2</v>
      </c>
      <c r="G23" s="14">
        <f>(VLOOKUP(B23,Data!$E:$BM,MATCH(yoy!$G$1,Data!$E$1:$BM$1,),)-VLOOKUP(A23,Data!$E:$BM,MATCH(yoy!$G$1,Data!$E$1:$BM$1,),))/VLOOKUP(A23,Data!$E:$BM,MATCH(yoy!$G$1,Data!$E$1:$BM$1,),)</f>
        <v>2.8797205074092815E-2</v>
      </c>
      <c r="H23" s="14">
        <f>(VLOOKUP(B23,Data!$E:$BM,MATCH(yoy!$H$1,Data!$E$1:$BM$1,),)-VLOOKUP(A23,Data!$E:$BM,MATCH(yoy!$H$1,Data!$E$1:$BM$1,),))/VLOOKUP(A23,Data!$E:$BM,MATCH(yoy!$H$1,Data!$E$1:$BM$1,),)</f>
        <v>7.9993814490228105E-2</v>
      </c>
      <c r="I23" s="14">
        <f>(VLOOKUP(B23,Data!$E:$BM,MATCH(yoy!$I$1,Data!$E$1:$BM$1,),)-VLOOKUP(A23,Data!$E:$BM,MATCH(yoy!$I$1,Data!$E$1:$BM$1,),))/VLOOKUP(A23,Data!$E:$BM,MATCH(yoy!$I$1,Data!$E$1:$BM$1,),)</f>
        <v>2.4689962569444574E-2</v>
      </c>
      <c r="J23" s="14">
        <f>(VLOOKUP(B23,Data!$E:$BM,MATCH(yoy!$J$1,Data!$E$1:$BM$1,),)-VLOOKUP(A23,Data!$E:$BM,MATCH(yoy!$J$1,Data!$E$1:$BM$1,),))/VLOOKUP(A23,Data!$E:$BM,MATCH(yoy!$J$1,Data!$E$1:$BM$1,),)</f>
        <v>7.5579227272682112E-2</v>
      </c>
      <c r="K23" s="14">
        <f>(VLOOKUP(B23,Data!$E:$BM,MATCH(yoy!$K$1,Data!$E$1:$BM$1,),)-VLOOKUP(A23,Data!$E:$BM,MATCH(yoy!$K$1,Data!$E$1:$BM$1,),))/VLOOKUP(A23,Data!$E:$BM,MATCH(yoy!$K$1,Data!$E$1:$BM$1,),)</f>
        <v>4.5357728690131945E-2</v>
      </c>
      <c r="L23" s="14">
        <f>(VLOOKUP(B23,Data!$E:$BM,MATCH(yoy!$L$1,Data!$E$1:$BM$1,),)-VLOOKUP(A23,Data!$E:$BM,MATCH(yoy!$L$1,Data!$E$1:$BM$1,),))/VLOOKUP(A23,Data!$E:$BM,MATCH(yoy!$L$1,Data!$E$1:$BM$1,),)</f>
        <v>0.10660319330842441</v>
      </c>
      <c r="M23" s="14">
        <f>(VLOOKUP(B23,Data!$E:$BM,MATCH(yoy!$M$1,Data!$E$1:$BM$1,),)-VLOOKUP(A23,Data!$E:$BM,MATCH(yoy!$M$1,Data!$E$1:$BM$1,),))/VLOOKUP(A23,Data!$E:$BM,MATCH(yoy!$M$1,Data!$E$1:$BM$1,),)</f>
        <v>3.9630114953262748E-2</v>
      </c>
      <c r="N23" s="14">
        <f>(VLOOKUP(B23,Data!$E:$BM,MATCH(yoy!$N$1,Data!$E$1:$BM$1,),)-VLOOKUP(A23,Data!$E:$BM,MATCH(yoy!$N$1,Data!$E$1:$BM$1,),))/VLOOKUP(A23,Data!$E:$BM,MATCH(yoy!$N$1,Data!$E$1:$BM$1,),)</f>
        <v>0.13536092519203641</v>
      </c>
      <c r="O23" s="14">
        <f>(VLOOKUP(B23,Data!$E:$BM,MATCH(yoy!$O$1,Data!$E$1:$BM$1,),)-VLOOKUP(A23,Data!$E:$BM,MATCH(yoy!$O$1,Data!$E$1:$BM$1,),))/VLOOKUP(A23,Data!$E:$BM,MATCH(yoy!$O$1,Data!$E$1:$BM$1,),)</f>
        <v>9.5120379079138118E-2</v>
      </c>
      <c r="P23" s="14">
        <f>(VLOOKUP(B23,Data!$E:$BM,MATCH(yoy!$P$1,Data!$E$1:$BM$1,),)-VLOOKUP(A23,Data!$E:$BM,MATCH(yoy!$P$1,Data!$E$1:$BM$1,),))/VLOOKUP(A23,Data!$E:$BM,MATCH(yoy!$P$1,Data!$E$1:$BM$1,),)</f>
        <v>8.8696579859403768E-2</v>
      </c>
      <c r="Q23" s="14">
        <f>(VLOOKUP(B23,Data!$E:$BM,MATCH(yoy!$Q$1,Data!$E$1:$BM$1,),)-VLOOKUP(A23,Data!$E:$BM,MATCH(yoy!$Q$1,Data!$E$1:$BM$1,),))/VLOOKUP(A23,Data!$E:$BM,MATCH(yoy!$Q$1,Data!$E$1:$BM$1,),)</f>
        <v>5.8353781395256057E-2</v>
      </c>
      <c r="R23" s="14">
        <f>(VLOOKUP(B23,Data!$E:$BM,MATCH(yoy!$R$1,Data!$E$1:$BM$1,),)-VLOOKUP(A23,Data!$E:$BM,MATCH(yoy!$R$1,Data!$E$1:$BM$1,),))/VLOOKUP(A23,Data!$E:$BM,MATCH(yoy!$R$1,Data!$E$1:$BM$1,),)</f>
        <v>8.3907456244547471E-2</v>
      </c>
      <c r="S23" s="14">
        <f>(VLOOKUP(B23,Data!$E:$BM,MATCH(yoy!$S$1,Data!$E$1:$BM$1,),)-VLOOKUP(A23,Data!$E:$BM,MATCH(yoy!$S$1,Data!$E$1:$BM$1,),))/VLOOKUP(A23,Data!$E:$BM,MATCH(yoy!$S$1,Data!$E$1:$BM$1,),)</f>
        <v>7.8986703035777719E-2</v>
      </c>
      <c r="T23" s="14">
        <f>(VLOOKUP(B23,Data!$E:$BM,MATCH(yoy!$T$1,Data!$E$1:$BM$1,),)-VLOOKUP(A23,Data!$E:$BM,MATCH(yoy!$T$1,Data!$E$1:$BM$1,),))/VLOOKUP(A23,Data!$E:$BM,MATCH(yoy!$T$1,Data!$E$1:$BM$1,),)</f>
        <v>0.10891132948866311</v>
      </c>
      <c r="U23" s="14">
        <f>(VLOOKUP(B23,Data!$E:$BM,MATCH(yoy!$U$1,Data!$E$1:$BM$1,),)-VLOOKUP(A23,Data!$E:$BM,MATCH(yoy!$U$1,Data!$E$1:$BM$1,),))/VLOOKUP(A23,Data!$E:$BM,MATCH(yoy!$U$1,Data!$E$1:$BM$1,),)</f>
        <v>8.5010841103780213E-4</v>
      </c>
      <c r="V23" s="14">
        <f>(VLOOKUP(B23,Data!$E:$BM,MATCH(yoy!$V$1,Data!$E$1:$BM$1,),)-VLOOKUP(A23,Data!$E:$BM,MATCH(yoy!$V$1,Data!$E$1:$BM$1,),))/VLOOKUP(A23,Data!$E:$BM,MATCH(yoy!$V$1,Data!$E$1:$BM$1,),)</f>
        <v>7.3712928048317611E-2</v>
      </c>
      <c r="W23" s="14">
        <f>(VLOOKUP(B23,Data!$E:$BM,MATCH(yoy!$W$1,Data!$E$1:$BM$1,),)-VLOOKUP(A23,Data!$E:$BM,MATCH(yoy!$W$1,Data!$E$1:$BM$1,),))/VLOOKUP(A23,Data!$E:$BM,MATCH(yoy!$W$1,Data!$E$1:$BM$1,),)</f>
        <v>0.11617476006870026</v>
      </c>
      <c r="X23" s="14">
        <f>(VLOOKUP(B23,Data!$E:$BM,MATCH(yoy!$X$1,Data!$E$1:$BM$1,),)-VLOOKUP(A23,Data!$E:$BM,MATCH(yoy!$X$1,Data!$E$1:$BM$1,),))/VLOOKUP(A23,Data!$E:$BM,MATCH(yoy!$X$1,Data!$E$1:$BM$1,),)</f>
        <v>5.1971946281122484E-2</v>
      </c>
      <c r="Y23" s="14">
        <f>(VLOOKUP(B23,Data!$E:$BM,MATCH(yoy!$Y$1,Data!$E$1:$BM$1,),)-VLOOKUP(A23,Data!$E:$BM,MATCH(yoy!$Y$1,Data!$E$1:$BM$1,),))/VLOOKUP(A23,Data!$E:$BM,MATCH(yoy!$Y$1,Data!$E$1:$BM$1,),)</f>
        <v>8.6523072157333097E-2</v>
      </c>
      <c r="Z23" s="14">
        <f>(VLOOKUP(B23,Data!$E:$BM,MATCH(yoy!$Z$1,Data!$E$1:$BM$1,),)-VLOOKUP(A23,Data!$E:$BM,MATCH(yoy!$Z$1,Data!$E$1:$BM$1,),))/VLOOKUP(A23,Data!$E:$BM,MATCH(yoy!$Z$1,Data!$E$1:$BM$1,),)</f>
        <v>9.1079630618394011E-2</v>
      </c>
      <c r="AA23" s="14">
        <f>(VLOOKUP(B23,Data!$E:$BM,MATCH(yoy!$AA$1,Data!$E$1:$BM$1,),)-VLOOKUP(A23,Data!$E:$BM,MATCH(yoy!$AA$1,Data!$E$1:$BM$1,),))/VLOOKUP(A23,Data!$E:$BM,MATCH(yoy!$AA$1,Data!$E$1:$BM$1,),)</f>
        <v>0.11089776186427722</v>
      </c>
    </row>
    <row r="24" spans="1:27" x14ac:dyDescent="0.2">
      <c r="A24" s="20">
        <f t="shared" si="3"/>
        <v>42217</v>
      </c>
      <c r="B24" s="12">
        <v>42583</v>
      </c>
      <c r="C24" s="14">
        <f>(VLOOKUP(B24,Data!$E:$BM,MATCH(yoy!$C$1,Data!$E$1:$BM$1,),)-VLOOKUP(A24,Data!$E:$BM,MATCH(yoy!$C$1,Data!$E$1:$BM$1,),))/VLOOKUP(A24,Data!$E:$BM,MATCH(yoy!$C$1,Data!$E$1:$BM$1,),)</f>
        <v>6.6714740426494251E-2</v>
      </c>
      <c r="D24" s="14">
        <f>(VLOOKUP(B24,Data!$E:$BM,MATCH(yoy!$D$1,Data!$E$1:$BM$1,),)-VLOOKUP(A24,Data!$E:$BM,MATCH(yoy!$D$1,Data!$E$1:$BM$1,),))/VLOOKUP(A24,Data!$E:$BM,MATCH(yoy!$D$1,Data!$E$1:$BM$1,),)</f>
        <v>7.2088551753498695E-2</v>
      </c>
      <c r="E24" s="14">
        <f>(VLOOKUP(B24,Data!$E:$BM,MATCH(yoy!$E$1,Data!$E$1:$BM$1,),)-VLOOKUP(A24,Data!$E:$BM,MATCH(yoy!$E$1,Data!$E$1:$BM$1,),))/VLOOKUP(A24,Data!$E:$BM,MATCH(yoy!$E$1,Data!$E$1:$BM$1,),)</f>
        <v>0.10755338297650473</v>
      </c>
      <c r="F24" s="14">
        <f>(VLOOKUP(B24,Data!$E:$BM,MATCH(yoy!$F$1,Data!$E$1:$BM$1,),)-VLOOKUP(A24,Data!$E:$BM,MATCH(yoy!$F$1,Data!$E$1:$BM$1,),))/VLOOKUP(A24,Data!$E:$BM,MATCH(yoy!$F$1,Data!$E$1:$BM$1,),)</f>
        <v>5.0897605689356612E-2</v>
      </c>
      <c r="G24" s="14">
        <f>(VLOOKUP(B24,Data!$E:$BM,MATCH(yoy!$G$1,Data!$E$1:$BM$1,),)-VLOOKUP(A24,Data!$E:$BM,MATCH(yoy!$G$1,Data!$E$1:$BM$1,),))/VLOOKUP(A24,Data!$E:$BM,MATCH(yoy!$G$1,Data!$E$1:$BM$1,),)</f>
        <v>2.7634537349174534E-2</v>
      </c>
      <c r="H24" s="14">
        <f>(VLOOKUP(B24,Data!$E:$BM,MATCH(yoy!$H$1,Data!$E$1:$BM$1,),)-VLOOKUP(A24,Data!$E:$BM,MATCH(yoy!$H$1,Data!$E$1:$BM$1,),))/VLOOKUP(A24,Data!$E:$BM,MATCH(yoy!$H$1,Data!$E$1:$BM$1,),)</f>
        <v>8.4427136830978161E-2</v>
      </c>
      <c r="I24" s="14">
        <f>(VLOOKUP(B24,Data!$E:$BM,MATCH(yoy!$I$1,Data!$E$1:$BM$1,),)-VLOOKUP(A24,Data!$E:$BM,MATCH(yoy!$I$1,Data!$E$1:$BM$1,),))/VLOOKUP(A24,Data!$E:$BM,MATCH(yoy!$I$1,Data!$E$1:$BM$1,),)</f>
        <v>2.7239921241147307E-2</v>
      </c>
      <c r="J24" s="14">
        <f>(VLOOKUP(B24,Data!$E:$BM,MATCH(yoy!$J$1,Data!$E$1:$BM$1,),)-VLOOKUP(A24,Data!$E:$BM,MATCH(yoy!$J$1,Data!$E$1:$BM$1,),))/VLOOKUP(A24,Data!$E:$BM,MATCH(yoy!$J$1,Data!$E$1:$BM$1,),)</f>
        <v>8.3161524927613389E-2</v>
      </c>
      <c r="K24" s="14">
        <f>(VLOOKUP(B24,Data!$E:$BM,MATCH(yoy!$K$1,Data!$E$1:$BM$1,),)-VLOOKUP(A24,Data!$E:$BM,MATCH(yoy!$K$1,Data!$E$1:$BM$1,),))/VLOOKUP(A24,Data!$E:$BM,MATCH(yoy!$K$1,Data!$E$1:$BM$1,),)</f>
        <v>5.0726866056644955E-2</v>
      </c>
      <c r="L24" s="14">
        <f>(VLOOKUP(B24,Data!$E:$BM,MATCH(yoy!$L$1,Data!$E$1:$BM$1,),)-VLOOKUP(A24,Data!$E:$BM,MATCH(yoy!$L$1,Data!$E$1:$BM$1,),))/VLOOKUP(A24,Data!$E:$BM,MATCH(yoy!$L$1,Data!$E$1:$BM$1,),)</f>
        <v>0.11604231692736773</v>
      </c>
      <c r="M24" s="14">
        <f>(VLOOKUP(B24,Data!$E:$BM,MATCH(yoy!$M$1,Data!$E$1:$BM$1,),)-VLOOKUP(A24,Data!$E:$BM,MATCH(yoy!$M$1,Data!$E$1:$BM$1,),))/VLOOKUP(A24,Data!$E:$BM,MATCH(yoy!$M$1,Data!$E$1:$BM$1,),)</f>
        <v>3.5639053085129768E-2</v>
      </c>
      <c r="N24" s="14">
        <f>(VLOOKUP(B24,Data!$E:$BM,MATCH(yoy!$N$1,Data!$E$1:$BM$1,),)-VLOOKUP(A24,Data!$E:$BM,MATCH(yoy!$N$1,Data!$E$1:$BM$1,),))/VLOOKUP(A24,Data!$E:$BM,MATCH(yoy!$N$1,Data!$E$1:$BM$1,),)</f>
        <v>9.8876647436338519E-2</v>
      </c>
      <c r="O24" s="14">
        <f>(VLOOKUP(B24,Data!$E:$BM,MATCH(yoy!$O$1,Data!$E$1:$BM$1,),)-VLOOKUP(A24,Data!$E:$BM,MATCH(yoy!$O$1,Data!$E$1:$BM$1,),))/VLOOKUP(A24,Data!$E:$BM,MATCH(yoy!$O$1,Data!$E$1:$BM$1,),)</f>
        <v>0.10203384745354561</v>
      </c>
      <c r="P24" s="14">
        <f>(VLOOKUP(B24,Data!$E:$BM,MATCH(yoy!$P$1,Data!$E$1:$BM$1,),)-VLOOKUP(A24,Data!$E:$BM,MATCH(yoy!$P$1,Data!$E$1:$BM$1,),))/VLOOKUP(A24,Data!$E:$BM,MATCH(yoy!$P$1,Data!$E$1:$BM$1,),)</f>
        <v>8.0883421938789599E-2</v>
      </c>
      <c r="Q24" s="14">
        <f>(VLOOKUP(B24,Data!$E:$BM,MATCH(yoy!$Q$1,Data!$E$1:$BM$1,),)-VLOOKUP(A24,Data!$E:$BM,MATCH(yoy!$Q$1,Data!$E$1:$BM$1,),))/VLOOKUP(A24,Data!$E:$BM,MATCH(yoy!$Q$1,Data!$E$1:$BM$1,),)</f>
        <v>6.0393592949863149E-2</v>
      </c>
      <c r="R24" s="14">
        <f>(VLOOKUP(B24,Data!$E:$BM,MATCH(yoy!$R$1,Data!$E$1:$BM$1,),)-VLOOKUP(A24,Data!$E:$BM,MATCH(yoy!$R$1,Data!$E$1:$BM$1,),))/VLOOKUP(A24,Data!$E:$BM,MATCH(yoy!$R$1,Data!$E$1:$BM$1,),)</f>
        <v>7.9254902077110292E-2</v>
      </c>
      <c r="S24" s="14">
        <f>(VLOOKUP(B24,Data!$E:$BM,MATCH(yoy!$S$1,Data!$E$1:$BM$1,),)-VLOOKUP(A24,Data!$E:$BM,MATCH(yoy!$S$1,Data!$E$1:$BM$1,),))/VLOOKUP(A24,Data!$E:$BM,MATCH(yoy!$S$1,Data!$E$1:$BM$1,),)</f>
        <v>8.0918985038434713E-2</v>
      </c>
      <c r="T24" s="14">
        <f>(VLOOKUP(B24,Data!$E:$BM,MATCH(yoy!$T$1,Data!$E$1:$BM$1,),)-VLOOKUP(A24,Data!$E:$BM,MATCH(yoy!$T$1,Data!$E$1:$BM$1,),))/VLOOKUP(A24,Data!$E:$BM,MATCH(yoy!$T$1,Data!$E$1:$BM$1,),)</f>
        <v>9.819518414543818E-2</v>
      </c>
      <c r="U24" s="14">
        <f>(VLOOKUP(B24,Data!$E:$BM,MATCH(yoy!$U$1,Data!$E$1:$BM$1,),)-VLOOKUP(A24,Data!$E:$BM,MATCH(yoy!$U$1,Data!$E$1:$BM$1,),))/VLOOKUP(A24,Data!$E:$BM,MATCH(yoy!$U$1,Data!$E$1:$BM$1,),)</f>
        <v>-7.8815834388376391E-3</v>
      </c>
      <c r="V24" s="14">
        <f>(VLOOKUP(B24,Data!$E:$BM,MATCH(yoy!$V$1,Data!$E$1:$BM$1,),)-VLOOKUP(A24,Data!$E:$BM,MATCH(yoy!$V$1,Data!$E$1:$BM$1,),))/VLOOKUP(A24,Data!$E:$BM,MATCH(yoy!$V$1,Data!$E$1:$BM$1,),)</f>
        <v>7.4002856177222118E-2</v>
      </c>
      <c r="W24" s="14">
        <f>(VLOOKUP(B24,Data!$E:$BM,MATCH(yoy!$W$1,Data!$E$1:$BM$1,),)-VLOOKUP(A24,Data!$E:$BM,MATCH(yoy!$W$1,Data!$E$1:$BM$1,),))/VLOOKUP(A24,Data!$E:$BM,MATCH(yoy!$W$1,Data!$E$1:$BM$1,),)</f>
        <v>0.10108810074755384</v>
      </c>
      <c r="X24" s="14">
        <f>(VLOOKUP(B24,Data!$E:$BM,MATCH(yoy!$X$1,Data!$E$1:$BM$1,),)-VLOOKUP(A24,Data!$E:$BM,MATCH(yoy!$X$1,Data!$E$1:$BM$1,),))/VLOOKUP(A24,Data!$E:$BM,MATCH(yoy!$X$1,Data!$E$1:$BM$1,),)</f>
        <v>5.0554177265953903E-2</v>
      </c>
      <c r="Y24" s="14">
        <f>(VLOOKUP(B24,Data!$E:$BM,MATCH(yoy!$Y$1,Data!$E$1:$BM$1,),)-VLOOKUP(A24,Data!$E:$BM,MATCH(yoy!$Y$1,Data!$E$1:$BM$1,),))/VLOOKUP(A24,Data!$E:$BM,MATCH(yoy!$Y$1,Data!$E$1:$BM$1,),)</f>
        <v>8.4348898928663374E-2</v>
      </c>
      <c r="Z24" s="14">
        <f>(VLOOKUP(B24,Data!$E:$BM,MATCH(yoy!$Z$1,Data!$E$1:$BM$1,),)-VLOOKUP(A24,Data!$E:$BM,MATCH(yoy!$Z$1,Data!$E$1:$BM$1,),))/VLOOKUP(A24,Data!$E:$BM,MATCH(yoy!$Z$1,Data!$E$1:$BM$1,),)</f>
        <v>9.0680792740281096E-2</v>
      </c>
      <c r="AA24" s="14">
        <f>(VLOOKUP(B24,Data!$E:$BM,MATCH(yoy!$AA$1,Data!$E$1:$BM$1,),)-VLOOKUP(A24,Data!$E:$BM,MATCH(yoy!$AA$1,Data!$E$1:$BM$1,),))/VLOOKUP(A24,Data!$E:$BM,MATCH(yoy!$AA$1,Data!$E$1:$BM$1,),)</f>
        <v>0.10445834269765812</v>
      </c>
    </row>
    <row r="25" spans="1:27" x14ac:dyDescent="0.2">
      <c r="A25" s="20">
        <f t="shared" si="3"/>
        <v>42248</v>
      </c>
      <c r="B25" s="12">
        <v>42614</v>
      </c>
      <c r="C25" s="14">
        <f>(VLOOKUP(B25,Data!$E:$BM,MATCH(yoy!$C$1,Data!$E$1:$BM$1,),)-VLOOKUP(A25,Data!$E:$BM,MATCH(yoy!$C$1,Data!$E$1:$BM$1,),))/VLOOKUP(A25,Data!$E:$BM,MATCH(yoy!$C$1,Data!$E$1:$BM$1,),)</f>
        <v>6.7372952478747236E-2</v>
      </c>
      <c r="D25" s="14">
        <f>(VLOOKUP(B25,Data!$E:$BM,MATCH(yoy!$D$1,Data!$E$1:$BM$1,),)-VLOOKUP(A25,Data!$E:$BM,MATCH(yoy!$D$1,Data!$E$1:$BM$1,),))/VLOOKUP(A25,Data!$E:$BM,MATCH(yoy!$D$1,Data!$E$1:$BM$1,),)</f>
        <v>7.2211853120714417E-2</v>
      </c>
      <c r="E25" s="14">
        <f>(VLOOKUP(B25,Data!$E:$BM,MATCH(yoy!$E$1,Data!$E$1:$BM$1,),)-VLOOKUP(A25,Data!$E:$BM,MATCH(yoy!$E$1,Data!$E$1:$BM$1,),))/VLOOKUP(A25,Data!$E:$BM,MATCH(yoy!$E$1,Data!$E$1:$BM$1,),)</f>
        <v>0.11348441425974647</v>
      </c>
      <c r="F25" s="14">
        <f>(VLOOKUP(B25,Data!$E:$BM,MATCH(yoy!$F$1,Data!$E$1:$BM$1,),)-VLOOKUP(A25,Data!$E:$BM,MATCH(yoy!$F$1,Data!$E$1:$BM$1,),))/VLOOKUP(A25,Data!$E:$BM,MATCH(yoy!$F$1,Data!$E$1:$BM$1,),)</f>
        <v>5.0888407862593452E-2</v>
      </c>
      <c r="G25" s="14">
        <f>(VLOOKUP(B25,Data!$E:$BM,MATCH(yoy!$G$1,Data!$E$1:$BM$1,),)-VLOOKUP(A25,Data!$E:$BM,MATCH(yoy!$G$1,Data!$E$1:$BM$1,),))/VLOOKUP(A25,Data!$E:$BM,MATCH(yoy!$G$1,Data!$E$1:$BM$1,),)</f>
        <v>2.9381978655163961E-2</v>
      </c>
      <c r="H25" s="14">
        <f>(VLOOKUP(B25,Data!$E:$BM,MATCH(yoy!$H$1,Data!$E$1:$BM$1,),)-VLOOKUP(A25,Data!$E:$BM,MATCH(yoy!$H$1,Data!$E$1:$BM$1,),))/VLOOKUP(A25,Data!$E:$BM,MATCH(yoy!$H$1,Data!$E$1:$BM$1,),)</f>
        <v>9.2482274031306169E-2</v>
      </c>
      <c r="I25" s="14">
        <f>(VLOOKUP(B25,Data!$E:$BM,MATCH(yoy!$I$1,Data!$E$1:$BM$1,),)-VLOOKUP(A25,Data!$E:$BM,MATCH(yoy!$I$1,Data!$E$1:$BM$1,),))/VLOOKUP(A25,Data!$E:$BM,MATCH(yoy!$I$1,Data!$E$1:$BM$1,),)</f>
        <v>2.8793633684284718E-2</v>
      </c>
      <c r="J25" s="14">
        <f>(VLOOKUP(B25,Data!$E:$BM,MATCH(yoy!$J$1,Data!$E$1:$BM$1,),)-VLOOKUP(A25,Data!$E:$BM,MATCH(yoy!$J$1,Data!$E$1:$BM$1,),))/VLOOKUP(A25,Data!$E:$BM,MATCH(yoy!$J$1,Data!$E$1:$BM$1,),)</f>
        <v>8.6056350795327335E-2</v>
      </c>
      <c r="K25" s="14">
        <f>(VLOOKUP(B25,Data!$E:$BM,MATCH(yoy!$K$1,Data!$E$1:$BM$1,),)-VLOOKUP(A25,Data!$E:$BM,MATCH(yoy!$K$1,Data!$E$1:$BM$1,),))/VLOOKUP(A25,Data!$E:$BM,MATCH(yoy!$K$1,Data!$E$1:$BM$1,),)</f>
        <v>5.990945179622046E-2</v>
      </c>
      <c r="L25" s="14">
        <f>(VLOOKUP(B25,Data!$E:$BM,MATCH(yoy!$L$1,Data!$E$1:$BM$1,),)-VLOOKUP(A25,Data!$E:$BM,MATCH(yoy!$L$1,Data!$E$1:$BM$1,),))/VLOOKUP(A25,Data!$E:$BM,MATCH(yoy!$L$1,Data!$E$1:$BM$1,),)</f>
        <v>0.12354332474160322</v>
      </c>
      <c r="M25" s="14">
        <f>(VLOOKUP(B25,Data!$E:$BM,MATCH(yoy!$M$1,Data!$E$1:$BM$1,),)-VLOOKUP(A25,Data!$E:$BM,MATCH(yoy!$M$1,Data!$E$1:$BM$1,),))/VLOOKUP(A25,Data!$E:$BM,MATCH(yoy!$M$1,Data!$E$1:$BM$1,),)</f>
        <v>5.0391495182926474E-2</v>
      </c>
      <c r="N25" s="14">
        <f>(VLOOKUP(B25,Data!$E:$BM,MATCH(yoy!$N$1,Data!$E$1:$BM$1,),)-VLOOKUP(A25,Data!$E:$BM,MATCH(yoy!$N$1,Data!$E$1:$BM$1,),))/VLOOKUP(A25,Data!$E:$BM,MATCH(yoy!$N$1,Data!$E$1:$BM$1,),)</f>
        <v>6.3565743424225205E-2</v>
      </c>
      <c r="O25" s="14">
        <f>(VLOOKUP(B25,Data!$E:$BM,MATCH(yoy!$O$1,Data!$E$1:$BM$1,),)-VLOOKUP(A25,Data!$E:$BM,MATCH(yoy!$O$1,Data!$E$1:$BM$1,),))/VLOOKUP(A25,Data!$E:$BM,MATCH(yoy!$O$1,Data!$E$1:$BM$1,),)</f>
        <v>0.10548438535474211</v>
      </c>
      <c r="P25" s="14">
        <f>(VLOOKUP(B25,Data!$E:$BM,MATCH(yoy!$P$1,Data!$E$1:$BM$1,),)-VLOOKUP(A25,Data!$E:$BM,MATCH(yoy!$P$1,Data!$E$1:$BM$1,),))/VLOOKUP(A25,Data!$E:$BM,MATCH(yoy!$P$1,Data!$E$1:$BM$1,),)</f>
        <v>8.0452414352858992E-2</v>
      </c>
      <c r="Q25" s="14">
        <f>(VLOOKUP(B25,Data!$E:$BM,MATCH(yoy!$Q$1,Data!$E$1:$BM$1,),)-VLOOKUP(A25,Data!$E:$BM,MATCH(yoy!$Q$1,Data!$E$1:$BM$1,),))/VLOOKUP(A25,Data!$E:$BM,MATCH(yoy!$Q$1,Data!$E$1:$BM$1,),)</f>
        <v>5.9159524708179249E-2</v>
      </c>
      <c r="R25" s="14">
        <f>(VLOOKUP(B25,Data!$E:$BM,MATCH(yoy!$R$1,Data!$E$1:$BM$1,),)-VLOOKUP(A25,Data!$E:$BM,MATCH(yoy!$R$1,Data!$E$1:$BM$1,),))/VLOOKUP(A25,Data!$E:$BM,MATCH(yoy!$R$1,Data!$E$1:$BM$1,),)</f>
        <v>6.3752625105223656E-2</v>
      </c>
      <c r="S25" s="14">
        <f>(VLOOKUP(B25,Data!$E:$BM,MATCH(yoy!$S$1,Data!$E$1:$BM$1,),)-VLOOKUP(A25,Data!$E:$BM,MATCH(yoy!$S$1,Data!$E$1:$BM$1,),))/VLOOKUP(A25,Data!$E:$BM,MATCH(yoy!$S$1,Data!$E$1:$BM$1,),)</f>
        <v>8.0945927090316019E-2</v>
      </c>
      <c r="T25" s="14">
        <f>(VLOOKUP(B25,Data!$E:$BM,MATCH(yoy!$T$1,Data!$E$1:$BM$1,),)-VLOOKUP(A25,Data!$E:$BM,MATCH(yoy!$T$1,Data!$E$1:$BM$1,),))/VLOOKUP(A25,Data!$E:$BM,MATCH(yoy!$T$1,Data!$E$1:$BM$1,),)</f>
        <v>9.5037357711497822E-2</v>
      </c>
      <c r="U25" s="14">
        <f>(VLOOKUP(B25,Data!$E:$BM,MATCH(yoy!$U$1,Data!$E$1:$BM$1,),)-VLOOKUP(A25,Data!$E:$BM,MATCH(yoy!$U$1,Data!$E$1:$BM$1,),))/VLOOKUP(A25,Data!$E:$BM,MATCH(yoy!$U$1,Data!$E$1:$BM$1,),)</f>
        <v>-1.2389690957318964E-2</v>
      </c>
      <c r="V25" s="14">
        <f>(VLOOKUP(B25,Data!$E:$BM,MATCH(yoy!$V$1,Data!$E$1:$BM$1,),)-VLOOKUP(A25,Data!$E:$BM,MATCH(yoy!$V$1,Data!$E$1:$BM$1,),))/VLOOKUP(A25,Data!$E:$BM,MATCH(yoy!$V$1,Data!$E$1:$BM$1,),)</f>
        <v>6.3322018777052097E-2</v>
      </c>
      <c r="W25" s="14">
        <f>(VLOOKUP(B25,Data!$E:$BM,MATCH(yoy!$W$1,Data!$E$1:$BM$1,),)-VLOOKUP(A25,Data!$E:$BM,MATCH(yoy!$W$1,Data!$E$1:$BM$1,),))/VLOOKUP(A25,Data!$E:$BM,MATCH(yoy!$W$1,Data!$E$1:$BM$1,),)</f>
        <v>8.4689966605950143E-2</v>
      </c>
      <c r="X25" s="14">
        <f>(VLOOKUP(B25,Data!$E:$BM,MATCH(yoy!$X$1,Data!$E$1:$BM$1,),)-VLOOKUP(A25,Data!$E:$BM,MATCH(yoy!$X$1,Data!$E$1:$BM$1,),))/VLOOKUP(A25,Data!$E:$BM,MATCH(yoy!$X$1,Data!$E$1:$BM$1,),)</f>
        <v>5.5423551841771022E-2</v>
      </c>
      <c r="Y25" s="14">
        <f>(VLOOKUP(B25,Data!$E:$BM,MATCH(yoy!$Y$1,Data!$E$1:$BM$1,),)-VLOOKUP(A25,Data!$E:$BM,MATCH(yoy!$Y$1,Data!$E$1:$BM$1,),))/VLOOKUP(A25,Data!$E:$BM,MATCH(yoy!$Y$1,Data!$E$1:$BM$1,),)</f>
        <v>7.7307443467060047E-2</v>
      </c>
      <c r="Z25" s="14">
        <f>(VLOOKUP(B25,Data!$E:$BM,MATCH(yoy!$Z$1,Data!$E$1:$BM$1,),)-VLOOKUP(A25,Data!$E:$BM,MATCH(yoy!$Z$1,Data!$E$1:$BM$1,),))/VLOOKUP(A25,Data!$E:$BM,MATCH(yoy!$Z$1,Data!$E$1:$BM$1,),)</f>
        <v>8.7933084700795791E-2</v>
      </c>
      <c r="AA25" s="14">
        <f>(VLOOKUP(B25,Data!$E:$BM,MATCH(yoy!$AA$1,Data!$E$1:$BM$1,),)-VLOOKUP(A25,Data!$E:$BM,MATCH(yoy!$AA$1,Data!$E$1:$BM$1,),))/VLOOKUP(A25,Data!$E:$BM,MATCH(yoy!$AA$1,Data!$E$1:$BM$1,),)</f>
        <v>9.7745054186187078E-2</v>
      </c>
    </row>
    <row r="26" spans="1:27" x14ac:dyDescent="0.2">
      <c r="A26" s="20">
        <f t="shared" si="3"/>
        <v>42278</v>
      </c>
      <c r="B26" s="12">
        <v>42644</v>
      </c>
      <c r="C26" s="14">
        <f>(VLOOKUP(B26,Data!$E:$BM,MATCH(yoy!$C$1,Data!$E$1:$BM$1,),)-VLOOKUP(A26,Data!$E:$BM,MATCH(yoy!$C$1,Data!$E$1:$BM$1,),))/VLOOKUP(A26,Data!$E:$BM,MATCH(yoy!$C$1,Data!$E$1:$BM$1,),)</f>
        <v>7.0503291151203934E-2</v>
      </c>
      <c r="D26" s="14">
        <f>(VLOOKUP(B26,Data!$E:$BM,MATCH(yoy!$D$1,Data!$E$1:$BM$1,),)-VLOOKUP(A26,Data!$E:$BM,MATCH(yoy!$D$1,Data!$E$1:$BM$1,),))/VLOOKUP(A26,Data!$E:$BM,MATCH(yoy!$D$1,Data!$E$1:$BM$1,),)</f>
        <v>7.5034860892201807E-2</v>
      </c>
      <c r="E26" s="14">
        <f>(VLOOKUP(B26,Data!$E:$BM,MATCH(yoy!$E$1,Data!$E$1:$BM$1,),)-VLOOKUP(A26,Data!$E:$BM,MATCH(yoy!$E$1,Data!$E$1:$BM$1,),))/VLOOKUP(A26,Data!$E:$BM,MATCH(yoy!$E$1,Data!$E$1:$BM$1,),)</f>
        <v>0.11441870493071883</v>
      </c>
      <c r="F26" s="14">
        <f>(VLOOKUP(B26,Data!$E:$BM,MATCH(yoy!$F$1,Data!$E$1:$BM$1,),)-VLOOKUP(A26,Data!$E:$BM,MATCH(yoy!$F$1,Data!$E$1:$BM$1,),))/VLOOKUP(A26,Data!$E:$BM,MATCH(yoy!$F$1,Data!$E$1:$BM$1,),)</f>
        <v>4.7473368742767294E-2</v>
      </c>
      <c r="G26" s="14">
        <f>(VLOOKUP(B26,Data!$E:$BM,MATCH(yoy!$G$1,Data!$E$1:$BM$1,),)-VLOOKUP(A26,Data!$E:$BM,MATCH(yoy!$G$1,Data!$E$1:$BM$1,),))/VLOOKUP(A26,Data!$E:$BM,MATCH(yoy!$G$1,Data!$E$1:$BM$1,),)</f>
        <v>3.0389815444655723E-2</v>
      </c>
      <c r="H26" s="14">
        <f>(VLOOKUP(B26,Data!$E:$BM,MATCH(yoy!$H$1,Data!$E$1:$BM$1,),)-VLOOKUP(A26,Data!$E:$BM,MATCH(yoy!$H$1,Data!$E$1:$BM$1,),))/VLOOKUP(A26,Data!$E:$BM,MATCH(yoy!$H$1,Data!$E$1:$BM$1,),)</f>
        <v>0.10266692862891677</v>
      </c>
      <c r="I26" s="14">
        <f>(VLOOKUP(B26,Data!$E:$BM,MATCH(yoy!$I$1,Data!$E$1:$BM$1,),)-VLOOKUP(A26,Data!$E:$BM,MATCH(yoy!$I$1,Data!$E$1:$BM$1,),))/VLOOKUP(A26,Data!$E:$BM,MATCH(yoy!$I$1,Data!$E$1:$BM$1,),)</f>
        <v>2.9177035442239142E-2</v>
      </c>
      <c r="J26" s="14">
        <f>(VLOOKUP(B26,Data!$E:$BM,MATCH(yoy!$J$1,Data!$E$1:$BM$1,),)-VLOOKUP(A26,Data!$E:$BM,MATCH(yoy!$J$1,Data!$E$1:$BM$1,),))/VLOOKUP(A26,Data!$E:$BM,MATCH(yoy!$J$1,Data!$E$1:$BM$1,),)</f>
        <v>8.2879469802729325E-2</v>
      </c>
      <c r="K26" s="14">
        <f>(VLOOKUP(B26,Data!$E:$BM,MATCH(yoy!$K$1,Data!$E$1:$BM$1,),)-VLOOKUP(A26,Data!$E:$BM,MATCH(yoy!$K$1,Data!$E$1:$BM$1,),))/VLOOKUP(A26,Data!$E:$BM,MATCH(yoy!$K$1,Data!$E$1:$BM$1,),)</f>
        <v>6.0270761132527981E-2</v>
      </c>
      <c r="L26" s="14">
        <f>(VLOOKUP(B26,Data!$E:$BM,MATCH(yoy!$L$1,Data!$E$1:$BM$1,),)-VLOOKUP(A26,Data!$E:$BM,MATCH(yoy!$L$1,Data!$E$1:$BM$1,),))/VLOOKUP(A26,Data!$E:$BM,MATCH(yoy!$L$1,Data!$E$1:$BM$1,),)</f>
        <v>0.12056661632740884</v>
      </c>
      <c r="M26" s="14">
        <f>(VLOOKUP(B26,Data!$E:$BM,MATCH(yoy!$M$1,Data!$E$1:$BM$1,),)-VLOOKUP(A26,Data!$E:$BM,MATCH(yoy!$M$1,Data!$E$1:$BM$1,),))/VLOOKUP(A26,Data!$E:$BM,MATCH(yoy!$M$1,Data!$E$1:$BM$1,),)</f>
        <v>6.1460144150518904E-2</v>
      </c>
      <c r="N26" s="14">
        <f>(VLOOKUP(B26,Data!$E:$BM,MATCH(yoy!$N$1,Data!$E$1:$BM$1,),)-VLOOKUP(A26,Data!$E:$BM,MATCH(yoy!$N$1,Data!$E$1:$BM$1,),))/VLOOKUP(A26,Data!$E:$BM,MATCH(yoy!$N$1,Data!$E$1:$BM$1,),)</f>
        <v>5.458755866428134E-2</v>
      </c>
      <c r="O26" s="14">
        <f>(VLOOKUP(B26,Data!$E:$BM,MATCH(yoy!$O$1,Data!$E$1:$BM$1,),)-VLOOKUP(A26,Data!$E:$BM,MATCH(yoy!$O$1,Data!$E$1:$BM$1,),))/VLOOKUP(A26,Data!$E:$BM,MATCH(yoy!$O$1,Data!$E$1:$BM$1,),)</f>
        <v>0.10921492738630598</v>
      </c>
      <c r="P26" s="14">
        <f>(VLOOKUP(B26,Data!$E:$BM,MATCH(yoy!$P$1,Data!$E$1:$BM$1,),)-VLOOKUP(A26,Data!$E:$BM,MATCH(yoy!$P$1,Data!$E$1:$BM$1,),))/VLOOKUP(A26,Data!$E:$BM,MATCH(yoy!$P$1,Data!$E$1:$BM$1,),)</f>
        <v>9.0218113591056623E-2</v>
      </c>
      <c r="Q26" s="14">
        <f>(VLOOKUP(B26,Data!$E:$BM,MATCH(yoy!$Q$1,Data!$E$1:$BM$1,),)-VLOOKUP(A26,Data!$E:$BM,MATCH(yoy!$Q$1,Data!$E$1:$BM$1,),))/VLOOKUP(A26,Data!$E:$BM,MATCH(yoy!$Q$1,Data!$E$1:$BM$1,),)</f>
        <v>5.8225608257557161E-2</v>
      </c>
      <c r="R26" s="14">
        <f>(VLOOKUP(B26,Data!$E:$BM,MATCH(yoy!$R$1,Data!$E$1:$BM$1,),)-VLOOKUP(A26,Data!$E:$BM,MATCH(yoy!$R$1,Data!$E$1:$BM$1,),))/VLOOKUP(A26,Data!$E:$BM,MATCH(yoy!$R$1,Data!$E$1:$BM$1,),)</f>
        <v>6.3108870278584889E-2</v>
      </c>
      <c r="S26" s="14">
        <f>(VLOOKUP(B26,Data!$E:$BM,MATCH(yoy!$S$1,Data!$E$1:$BM$1,),)-VLOOKUP(A26,Data!$E:$BM,MATCH(yoy!$S$1,Data!$E$1:$BM$1,),))/VLOOKUP(A26,Data!$E:$BM,MATCH(yoy!$S$1,Data!$E$1:$BM$1,),)</f>
        <v>8.1366654091328122E-2</v>
      </c>
      <c r="T26" s="14">
        <f>(VLOOKUP(B26,Data!$E:$BM,MATCH(yoy!$T$1,Data!$E$1:$BM$1,),)-VLOOKUP(A26,Data!$E:$BM,MATCH(yoy!$T$1,Data!$E$1:$BM$1,),))/VLOOKUP(A26,Data!$E:$BM,MATCH(yoy!$T$1,Data!$E$1:$BM$1,),)</f>
        <v>9.26277192523451E-2</v>
      </c>
      <c r="U26" s="14">
        <f>(VLOOKUP(B26,Data!$E:$BM,MATCH(yoy!$U$1,Data!$E$1:$BM$1,),)-VLOOKUP(A26,Data!$E:$BM,MATCH(yoy!$U$1,Data!$E$1:$BM$1,),))/VLOOKUP(A26,Data!$E:$BM,MATCH(yoy!$U$1,Data!$E$1:$BM$1,),)</f>
        <v>-2.7819449876284048E-2</v>
      </c>
      <c r="V26" s="14">
        <f>(VLOOKUP(B26,Data!$E:$BM,MATCH(yoy!$V$1,Data!$E$1:$BM$1,),)-VLOOKUP(A26,Data!$E:$BM,MATCH(yoy!$V$1,Data!$E$1:$BM$1,),))/VLOOKUP(A26,Data!$E:$BM,MATCH(yoy!$V$1,Data!$E$1:$BM$1,),)</f>
        <v>5.5536679262898812E-2</v>
      </c>
      <c r="W26" s="14">
        <f>(VLOOKUP(B26,Data!$E:$BM,MATCH(yoy!$W$1,Data!$E$1:$BM$1,),)-VLOOKUP(A26,Data!$E:$BM,MATCH(yoy!$W$1,Data!$E$1:$BM$1,),))/VLOOKUP(A26,Data!$E:$BM,MATCH(yoy!$W$1,Data!$E$1:$BM$1,),)</f>
        <v>9.3079556754150597E-2</v>
      </c>
      <c r="X26" s="14">
        <f>(VLOOKUP(B26,Data!$E:$BM,MATCH(yoy!$X$1,Data!$E$1:$BM$1,),)-VLOOKUP(A26,Data!$E:$BM,MATCH(yoy!$X$1,Data!$E$1:$BM$1,),))/VLOOKUP(A26,Data!$E:$BM,MATCH(yoy!$X$1,Data!$E$1:$BM$1,),)</f>
        <v>6.132440042533327E-2</v>
      </c>
      <c r="Y26" s="14">
        <f>(VLOOKUP(B26,Data!$E:$BM,MATCH(yoy!$Y$1,Data!$E$1:$BM$1,),)-VLOOKUP(A26,Data!$E:$BM,MATCH(yoy!$Y$1,Data!$E$1:$BM$1,),))/VLOOKUP(A26,Data!$E:$BM,MATCH(yoy!$Y$1,Data!$E$1:$BM$1,),)</f>
        <v>8.0061657137954365E-2</v>
      </c>
      <c r="Z26" s="14">
        <f>(VLOOKUP(B26,Data!$E:$BM,MATCH(yoy!$Z$1,Data!$E$1:$BM$1,),)-VLOOKUP(A26,Data!$E:$BM,MATCH(yoy!$Z$1,Data!$E$1:$BM$1,),))/VLOOKUP(A26,Data!$E:$BM,MATCH(yoy!$Z$1,Data!$E$1:$BM$1,),)</f>
        <v>8.2223109097382799E-2</v>
      </c>
      <c r="AA26" s="14">
        <f>(VLOOKUP(B26,Data!$E:$BM,MATCH(yoy!$AA$1,Data!$E$1:$BM$1,),)-VLOOKUP(A26,Data!$E:$BM,MATCH(yoy!$AA$1,Data!$E$1:$BM$1,),))/VLOOKUP(A26,Data!$E:$BM,MATCH(yoy!$AA$1,Data!$E$1:$BM$1,),)</f>
        <v>9.0764955804452194E-2</v>
      </c>
    </row>
    <row r="27" spans="1:27" x14ac:dyDescent="0.2">
      <c r="A27" s="20">
        <f t="shared" si="3"/>
        <v>42309</v>
      </c>
      <c r="B27" s="12">
        <v>42675</v>
      </c>
      <c r="C27" s="14">
        <f>(VLOOKUP(B27,Data!$E:$BM,MATCH(yoy!$C$1,Data!$E$1:$BM$1,),)-VLOOKUP(A27,Data!$E:$BM,MATCH(yoy!$C$1,Data!$E$1:$BM$1,),))/VLOOKUP(A27,Data!$E:$BM,MATCH(yoy!$C$1,Data!$E$1:$BM$1,),)</f>
        <v>7.186262490849589E-2</v>
      </c>
      <c r="D27" s="14">
        <f>(VLOOKUP(B27,Data!$E:$BM,MATCH(yoy!$D$1,Data!$E$1:$BM$1,),)-VLOOKUP(A27,Data!$E:$BM,MATCH(yoy!$D$1,Data!$E$1:$BM$1,),))/VLOOKUP(A27,Data!$E:$BM,MATCH(yoy!$D$1,Data!$E$1:$BM$1,),)</f>
        <v>7.2949356329208848E-2</v>
      </c>
      <c r="E27" s="14">
        <f>(VLOOKUP(B27,Data!$E:$BM,MATCH(yoy!$E$1,Data!$E$1:$BM$1,),)-VLOOKUP(A27,Data!$E:$BM,MATCH(yoy!$E$1,Data!$E$1:$BM$1,),))/VLOOKUP(A27,Data!$E:$BM,MATCH(yoy!$E$1,Data!$E$1:$BM$1,),)</f>
        <v>0.11315583585151812</v>
      </c>
      <c r="F27" s="14">
        <f>(VLOOKUP(B27,Data!$E:$BM,MATCH(yoy!$F$1,Data!$E$1:$BM$1,),)-VLOOKUP(A27,Data!$E:$BM,MATCH(yoy!$F$1,Data!$E$1:$BM$1,),))/VLOOKUP(A27,Data!$E:$BM,MATCH(yoy!$F$1,Data!$E$1:$BM$1,),)</f>
        <v>4.5005063032795965E-2</v>
      </c>
      <c r="G27" s="14">
        <f>(VLOOKUP(B27,Data!$E:$BM,MATCH(yoy!$G$1,Data!$E$1:$BM$1,),)-VLOOKUP(A27,Data!$E:$BM,MATCH(yoy!$G$1,Data!$E$1:$BM$1,),))/VLOOKUP(A27,Data!$E:$BM,MATCH(yoy!$G$1,Data!$E$1:$BM$1,),)</f>
        <v>3.2280515298545198E-2</v>
      </c>
      <c r="H27" s="14">
        <f>(VLOOKUP(B27,Data!$E:$BM,MATCH(yoy!$H$1,Data!$E$1:$BM$1,),)-VLOOKUP(A27,Data!$E:$BM,MATCH(yoy!$H$1,Data!$E$1:$BM$1,),))/VLOOKUP(A27,Data!$E:$BM,MATCH(yoy!$H$1,Data!$E$1:$BM$1,),)</f>
        <v>0.10736495391296204</v>
      </c>
      <c r="I27" s="14">
        <f>(VLOOKUP(B27,Data!$E:$BM,MATCH(yoy!$I$1,Data!$E$1:$BM$1,),)-VLOOKUP(A27,Data!$E:$BM,MATCH(yoy!$I$1,Data!$E$1:$BM$1,),))/VLOOKUP(A27,Data!$E:$BM,MATCH(yoy!$I$1,Data!$E$1:$BM$1,),)</f>
        <v>2.3310827558173024E-2</v>
      </c>
      <c r="J27" s="14">
        <f>(VLOOKUP(B27,Data!$E:$BM,MATCH(yoy!$J$1,Data!$E$1:$BM$1,),)-VLOOKUP(A27,Data!$E:$BM,MATCH(yoy!$J$1,Data!$E$1:$BM$1,),))/VLOOKUP(A27,Data!$E:$BM,MATCH(yoy!$J$1,Data!$E$1:$BM$1,),)</f>
        <v>8.3600797406010077E-2</v>
      </c>
      <c r="K27" s="14">
        <f>(VLOOKUP(B27,Data!$E:$BM,MATCH(yoy!$K$1,Data!$E$1:$BM$1,),)-VLOOKUP(A27,Data!$E:$BM,MATCH(yoy!$K$1,Data!$E$1:$BM$1,),))/VLOOKUP(A27,Data!$E:$BM,MATCH(yoy!$K$1,Data!$E$1:$BM$1,),)</f>
        <v>6.0300351844145256E-2</v>
      </c>
      <c r="L27" s="14">
        <f>(VLOOKUP(B27,Data!$E:$BM,MATCH(yoy!$L$1,Data!$E$1:$BM$1,),)-VLOOKUP(A27,Data!$E:$BM,MATCH(yoy!$L$1,Data!$E$1:$BM$1,),))/VLOOKUP(A27,Data!$E:$BM,MATCH(yoy!$L$1,Data!$E$1:$BM$1,),)</f>
        <v>0.11732245517872532</v>
      </c>
      <c r="M27" s="14">
        <f>(VLOOKUP(B27,Data!$E:$BM,MATCH(yoy!$M$1,Data!$E$1:$BM$1,),)-VLOOKUP(A27,Data!$E:$BM,MATCH(yoy!$M$1,Data!$E$1:$BM$1,),))/VLOOKUP(A27,Data!$E:$BM,MATCH(yoy!$M$1,Data!$E$1:$BM$1,),)</f>
        <v>6.5910078602342881E-2</v>
      </c>
      <c r="N27" s="14">
        <f>(VLOOKUP(B27,Data!$E:$BM,MATCH(yoy!$N$1,Data!$E$1:$BM$1,),)-VLOOKUP(A27,Data!$E:$BM,MATCH(yoy!$N$1,Data!$E$1:$BM$1,),))/VLOOKUP(A27,Data!$E:$BM,MATCH(yoy!$N$1,Data!$E$1:$BM$1,),)</f>
        <v>5.1018566892490028E-2</v>
      </c>
      <c r="O27" s="14">
        <f>(VLOOKUP(B27,Data!$E:$BM,MATCH(yoy!$O$1,Data!$E$1:$BM$1,),)-VLOOKUP(A27,Data!$E:$BM,MATCH(yoy!$O$1,Data!$E$1:$BM$1,),))/VLOOKUP(A27,Data!$E:$BM,MATCH(yoy!$O$1,Data!$E$1:$BM$1,),)</f>
        <v>0.10490523850393547</v>
      </c>
      <c r="P27" s="14">
        <f>(VLOOKUP(B27,Data!$E:$BM,MATCH(yoy!$P$1,Data!$E$1:$BM$1,),)-VLOOKUP(A27,Data!$E:$BM,MATCH(yoy!$P$1,Data!$E$1:$BM$1,),))/VLOOKUP(A27,Data!$E:$BM,MATCH(yoy!$P$1,Data!$E$1:$BM$1,),)</f>
        <v>8.5361974185989536E-2</v>
      </c>
      <c r="Q27" s="14">
        <f>(VLOOKUP(B27,Data!$E:$BM,MATCH(yoy!$Q$1,Data!$E$1:$BM$1,),)-VLOOKUP(A27,Data!$E:$BM,MATCH(yoy!$Q$1,Data!$E$1:$BM$1,),))/VLOOKUP(A27,Data!$E:$BM,MATCH(yoy!$Q$1,Data!$E$1:$BM$1,),)</f>
        <v>6.0587151979390907E-2</v>
      </c>
      <c r="R27" s="14">
        <f>(VLOOKUP(B27,Data!$E:$BM,MATCH(yoy!$R$1,Data!$E$1:$BM$1,),)-VLOOKUP(A27,Data!$E:$BM,MATCH(yoy!$R$1,Data!$E$1:$BM$1,),))/VLOOKUP(A27,Data!$E:$BM,MATCH(yoy!$R$1,Data!$E$1:$BM$1,),)</f>
        <v>8.4343988491453886E-2</v>
      </c>
      <c r="S27" s="14">
        <f>(VLOOKUP(B27,Data!$E:$BM,MATCH(yoy!$S$1,Data!$E$1:$BM$1,),)-VLOOKUP(A27,Data!$E:$BM,MATCH(yoy!$S$1,Data!$E$1:$BM$1,),))/VLOOKUP(A27,Data!$E:$BM,MATCH(yoy!$S$1,Data!$E$1:$BM$1,),)</f>
        <v>7.9125459018836955E-2</v>
      </c>
      <c r="T27" s="14">
        <f>(VLOOKUP(B27,Data!$E:$BM,MATCH(yoy!$T$1,Data!$E$1:$BM$1,),)-VLOOKUP(A27,Data!$E:$BM,MATCH(yoy!$T$1,Data!$E$1:$BM$1,),))/VLOOKUP(A27,Data!$E:$BM,MATCH(yoy!$T$1,Data!$E$1:$BM$1,),)</f>
        <v>8.5244072312661651E-2</v>
      </c>
      <c r="U27" s="14">
        <f>(VLOOKUP(B27,Data!$E:$BM,MATCH(yoy!$U$1,Data!$E$1:$BM$1,),)-VLOOKUP(A27,Data!$E:$BM,MATCH(yoy!$U$1,Data!$E$1:$BM$1,),))/VLOOKUP(A27,Data!$E:$BM,MATCH(yoy!$U$1,Data!$E$1:$BM$1,),)</f>
        <v>-3.1588518985657871E-2</v>
      </c>
      <c r="V27" s="14">
        <f>(VLOOKUP(B27,Data!$E:$BM,MATCH(yoy!$V$1,Data!$E$1:$BM$1,),)-VLOOKUP(A27,Data!$E:$BM,MATCH(yoy!$V$1,Data!$E$1:$BM$1,),))/VLOOKUP(A27,Data!$E:$BM,MATCH(yoy!$V$1,Data!$E$1:$BM$1,),)</f>
        <v>5.460715754833393E-2</v>
      </c>
      <c r="W27" s="14">
        <f>(VLOOKUP(B27,Data!$E:$BM,MATCH(yoy!$W$1,Data!$E$1:$BM$1,),)-VLOOKUP(A27,Data!$E:$BM,MATCH(yoy!$W$1,Data!$E$1:$BM$1,),))/VLOOKUP(A27,Data!$E:$BM,MATCH(yoy!$W$1,Data!$E$1:$BM$1,),)</f>
        <v>0.12928515767939314</v>
      </c>
      <c r="X27" s="14">
        <f>(VLOOKUP(B27,Data!$E:$BM,MATCH(yoy!$X$1,Data!$E$1:$BM$1,),)-VLOOKUP(A27,Data!$E:$BM,MATCH(yoy!$X$1,Data!$E$1:$BM$1,),))/VLOOKUP(A27,Data!$E:$BM,MATCH(yoy!$X$1,Data!$E$1:$BM$1,),)</f>
        <v>5.8692350206192317E-2</v>
      </c>
      <c r="Y27" s="14">
        <f>(VLOOKUP(B27,Data!$E:$BM,MATCH(yoy!$Y$1,Data!$E$1:$BM$1,),)-VLOOKUP(A27,Data!$E:$BM,MATCH(yoy!$Y$1,Data!$E$1:$BM$1,),))/VLOOKUP(A27,Data!$E:$BM,MATCH(yoy!$Y$1,Data!$E$1:$BM$1,),)</f>
        <v>8.0259447155352853E-2</v>
      </c>
      <c r="Z27" s="14">
        <f>(VLOOKUP(B27,Data!$E:$BM,MATCH(yoy!$Z$1,Data!$E$1:$BM$1,),)-VLOOKUP(A27,Data!$E:$BM,MATCH(yoy!$Z$1,Data!$E$1:$BM$1,),))/VLOOKUP(A27,Data!$E:$BM,MATCH(yoy!$Z$1,Data!$E$1:$BM$1,),)</f>
        <v>8.1302477589280622E-2</v>
      </c>
      <c r="AA27" s="14">
        <f>(VLOOKUP(B27,Data!$E:$BM,MATCH(yoy!$AA$1,Data!$E$1:$BM$1,),)-VLOOKUP(A27,Data!$E:$BM,MATCH(yoy!$AA$1,Data!$E$1:$BM$1,),))/VLOOKUP(A27,Data!$E:$BM,MATCH(yoy!$AA$1,Data!$E$1:$BM$1,),)</f>
        <v>9.1997740284812696E-2</v>
      </c>
    </row>
    <row r="28" spans="1:27" x14ac:dyDescent="0.2">
      <c r="A28" s="20">
        <f t="shared" si="3"/>
        <v>42339</v>
      </c>
      <c r="B28" s="12">
        <v>42705</v>
      </c>
      <c r="C28" s="14">
        <f>(VLOOKUP(B28,Data!$E:$BM,MATCH(yoy!$C$1,Data!$E$1:$BM$1,),)-VLOOKUP(A28,Data!$E:$BM,MATCH(yoy!$C$1,Data!$E$1:$BM$1,),))/VLOOKUP(A28,Data!$E:$BM,MATCH(yoy!$C$1,Data!$E$1:$BM$1,),)</f>
        <v>7.2565915544930096E-2</v>
      </c>
      <c r="D28" s="14">
        <f>(VLOOKUP(B28,Data!$E:$BM,MATCH(yoy!$D$1,Data!$E$1:$BM$1,),)-VLOOKUP(A28,Data!$E:$BM,MATCH(yoy!$D$1,Data!$E$1:$BM$1,),))/VLOOKUP(A28,Data!$E:$BM,MATCH(yoy!$D$1,Data!$E$1:$BM$1,),)</f>
        <v>7.0461833945897792E-2</v>
      </c>
      <c r="E28" s="14">
        <f>(VLOOKUP(B28,Data!$E:$BM,MATCH(yoy!$E$1,Data!$E$1:$BM$1,),)-VLOOKUP(A28,Data!$E:$BM,MATCH(yoy!$E$1,Data!$E$1:$BM$1,),))/VLOOKUP(A28,Data!$E:$BM,MATCH(yoy!$E$1,Data!$E$1:$BM$1,),)</f>
        <v>0.11289648902975361</v>
      </c>
      <c r="F28" s="14">
        <f>(VLOOKUP(B28,Data!$E:$BM,MATCH(yoy!$F$1,Data!$E$1:$BM$1,),)-VLOOKUP(A28,Data!$E:$BM,MATCH(yoy!$F$1,Data!$E$1:$BM$1,),))/VLOOKUP(A28,Data!$E:$BM,MATCH(yoy!$F$1,Data!$E$1:$BM$1,),)</f>
        <v>4.8746914612921584E-2</v>
      </c>
      <c r="G28" s="14">
        <f>(VLOOKUP(B28,Data!$E:$BM,MATCH(yoy!$G$1,Data!$E$1:$BM$1,),)-VLOOKUP(A28,Data!$E:$BM,MATCH(yoy!$G$1,Data!$E$1:$BM$1,),))/VLOOKUP(A28,Data!$E:$BM,MATCH(yoy!$G$1,Data!$E$1:$BM$1,),)</f>
        <v>3.3515197981846497E-2</v>
      </c>
      <c r="H28" s="14">
        <f>(VLOOKUP(B28,Data!$E:$BM,MATCH(yoy!$H$1,Data!$E$1:$BM$1,),)-VLOOKUP(A28,Data!$E:$BM,MATCH(yoy!$H$1,Data!$E$1:$BM$1,),))/VLOOKUP(A28,Data!$E:$BM,MATCH(yoy!$H$1,Data!$E$1:$BM$1,),)</f>
        <v>0.10236619998014108</v>
      </c>
      <c r="I28" s="14">
        <f>(VLOOKUP(B28,Data!$E:$BM,MATCH(yoy!$I$1,Data!$E$1:$BM$1,),)-VLOOKUP(A28,Data!$E:$BM,MATCH(yoy!$I$1,Data!$E$1:$BM$1,),))/VLOOKUP(A28,Data!$E:$BM,MATCH(yoy!$I$1,Data!$E$1:$BM$1,),)</f>
        <v>2.4132621191874919E-2</v>
      </c>
      <c r="J28" s="14">
        <f>(VLOOKUP(B28,Data!$E:$BM,MATCH(yoy!$J$1,Data!$E$1:$BM$1,),)-VLOOKUP(A28,Data!$E:$BM,MATCH(yoy!$J$1,Data!$E$1:$BM$1,),))/VLOOKUP(A28,Data!$E:$BM,MATCH(yoy!$J$1,Data!$E$1:$BM$1,),)</f>
        <v>8.4523631522845227E-2</v>
      </c>
      <c r="K28" s="14">
        <f>(VLOOKUP(B28,Data!$E:$BM,MATCH(yoy!$K$1,Data!$E$1:$BM$1,),)-VLOOKUP(A28,Data!$E:$BM,MATCH(yoy!$K$1,Data!$E$1:$BM$1,),))/VLOOKUP(A28,Data!$E:$BM,MATCH(yoy!$K$1,Data!$E$1:$BM$1,),)</f>
        <v>5.7116078811780317E-2</v>
      </c>
      <c r="L28" s="14">
        <f>(VLOOKUP(B28,Data!$E:$BM,MATCH(yoy!$L$1,Data!$E$1:$BM$1,),)-VLOOKUP(A28,Data!$E:$BM,MATCH(yoy!$L$1,Data!$E$1:$BM$1,),))/VLOOKUP(A28,Data!$E:$BM,MATCH(yoy!$L$1,Data!$E$1:$BM$1,),)</f>
        <v>0.11126929252061497</v>
      </c>
      <c r="M28" s="14">
        <f>(VLOOKUP(B28,Data!$E:$BM,MATCH(yoy!$M$1,Data!$E$1:$BM$1,),)-VLOOKUP(A28,Data!$E:$BM,MATCH(yoy!$M$1,Data!$E$1:$BM$1,),))/VLOOKUP(A28,Data!$E:$BM,MATCH(yoy!$M$1,Data!$E$1:$BM$1,),)</f>
        <v>7.2367500979453769E-2</v>
      </c>
      <c r="N28" s="14">
        <f>(VLOOKUP(B28,Data!$E:$BM,MATCH(yoy!$N$1,Data!$E$1:$BM$1,),)-VLOOKUP(A28,Data!$E:$BM,MATCH(yoy!$N$1,Data!$E$1:$BM$1,),))/VLOOKUP(A28,Data!$E:$BM,MATCH(yoy!$N$1,Data!$E$1:$BM$1,),)</f>
        <v>2.0127878238163446E-2</v>
      </c>
      <c r="O28" s="14">
        <f>(VLOOKUP(B28,Data!$E:$BM,MATCH(yoy!$O$1,Data!$E$1:$BM$1,),)-VLOOKUP(A28,Data!$E:$BM,MATCH(yoy!$O$1,Data!$E$1:$BM$1,),))/VLOOKUP(A28,Data!$E:$BM,MATCH(yoy!$O$1,Data!$E$1:$BM$1,),)</f>
        <v>8.1506364922206587E-2</v>
      </c>
      <c r="P28" s="14">
        <f>(VLOOKUP(B28,Data!$E:$BM,MATCH(yoy!$P$1,Data!$E$1:$BM$1,),)-VLOOKUP(A28,Data!$E:$BM,MATCH(yoy!$P$1,Data!$E$1:$BM$1,),))/VLOOKUP(A28,Data!$E:$BM,MATCH(yoy!$P$1,Data!$E$1:$BM$1,),)</f>
        <v>8.2442535228873431E-2</v>
      </c>
      <c r="Q28" s="14">
        <f>(VLOOKUP(B28,Data!$E:$BM,MATCH(yoy!$Q$1,Data!$E$1:$BM$1,),)-VLOOKUP(A28,Data!$E:$BM,MATCH(yoy!$Q$1,Data!$E$1:$BM$1,),))/VLOOKUP(A28,Data!$E:$BM,MATCH(yoy!$Q$1,Data!$E$1:$BM$1,),)</f>
        <v>6.4803169535082944E-2</v>
      </c>
      <c r="R28" s="14">
        <f>(VLOOKUP(B28,Data!$E:$BM,MATCH(yoy!$R$1,Data!$E$1:$BM$1,),)-VLOOKUP(A28,Data!$E:$BM,MATCH(yoy!$R$1,Data!$E$1:$BM$1,),))/VLOOKUP(A28,Data!$E:$BM,MATCH(yoy!$R$1,Data!$E$1:$BM$1,),)</f>
        <v>9.77498402207293E-2</v>
      </c>
      <c r="S28" s="14">
        <f>(VLOOKUP(B28,Data!$E:$BM,MATCH(yoy!$S$1,Data!$E$1:$BM$1,),)-VLOOKUP(A28,Data!$E:$BM,MATCH(yoy!$S$1,Data!$E$1:$BM$1,),))/VLOOKUP(A28,Data!$E:$BM,MATCH(yoy!$S$1,Data!$E$1:$BM$1,),)</f>
        <v>7.5426090437406737E-2</v>
      </c>
      <c r="T28" s="14">
        <f>(VLOOKUP(B28,Data!$E:$BM,MATCH(yoy!$T$1,Data!$E$1:$BM$1,),)-VLOOKUP(A28,Data!$E:$BM,MATCH(yoy!$T$1,Data!$E$1:$BM$1,),))/VLOOKUP(A28,Data!$E:$BM,MATCH(yoy!$T$1,Data!$E$1:$BM$1,),)</f>
        <v>8.1270048705349207E-2</v>
      </c>
      <c r="U28" s="14">
        <f>(VLOOKUP(B28,Data!$E:$BM,MATCH(yoy!$U$1,Data!$E$1:$BM$1,),)-VLOOKUP(A28,Data!$E:$BM,MATCH(yoy!$U$1,Data!$E$1:$BM$1,),))/VLOOKUP(A28,Data!$E:$BM,MATCH(yoy!$U$1,Data!$E$1:$BM$1,),)</f>
        <v>-3.5176664942604248E-2</v>
      </c>
      <c r="V28" s="14">
        <f>(VLOOKUP(B28,Data!$E:$BM,MATCH(yoy!$V$1,Data!$E$1:$BM$1,),)-VLOOKUP(A28,Data!$E:$BM,MATCH(yoy!$V$1,Data!$E$1:$BM$1,),))/VLOOKUP(A28,Data!$E:$BM,MATCH(yoy!$V$1,Data!$E$1:$BM$1,),)</f>
        <v>5.7062909695724563E-2</v>
      </c>
      <c r="W28" s="14">
        <f>(VLOOKUP(B28,Data!$E:$BM,MATCH(yoy!$W$1,Data!$E$1:$BM$1,),)-VLOOKUP(A28,Data!$E:$BM,MATCH(yoy!$W$1,Data!$E$1:$BM$1,),))/VLOOKUP(A28,Data!$E:$BM,MATCH(yoy!$W$1,Data!$E$1:$BM$1,),)</f>
        <v>0.16435179237409517</v>
      </c>
      <c r="X28" s="14">
        <f>(VLOOKUP(B28,Data!$E:$BM,MATCH(yoy!$X$1,Data!$E$1:$BM$1,),)-VLOOKUP(A28,Data!$E:$BM,MATCH(yoy!$X$1,Data!$E$1:$BM$1,),))/VLOOKUP(A28,Data!$E:$BM,MATCH(yoy!$X$1,Data!$E$1:$BM$1,),)</f>
        <v>5.4117352611338633E-2</v>
      </c>
      <c r="Y28" s="14">
        <f>(VLOOKUP(B28,Data!$E:$BM,MATCH(yoy!$Y$1,Data!$E$1:$BM$1,),)-VLOOKUP(A28,Data!$E:$BM,MATCH(yoy!$Y$1,Data!$E$1:$BM$1,),))/VLOOKUP(A28,Data!$E:$BM,MATCH(yoy!$Y$1,Data!$E$1:$BM$1,),)</f>
        <v>7.4919325613901896E-2</v>
      </c>
      <c r="Z28" s="14">
        <f>(VLOOKUP(B28,Data!$E:$BM,MATCH(yoy!$Z$1,Data!$E$1:$BM$1,),)-VLOOKUP(A28,Data!$E:$BM,MATCH(yoy!$Z$1,Data!$E$1:$BM$1,),))/VLOOKUP(A28,Data!$E:$BM,MATCH(yoy!$Z$1,Data!$E$1:$BM$1,),)</f>
        <v>7.3952820795085902E-2</v>
      </c>
      <c r="AA28" s="14">
        <f>(VLOOKUP(B28,Data!$E:$BM,MATCH(yoy!$AA$1,Data!$E$1:$BM$1,),)-VLOOKUP(A28,Data!$E:$BM,MATCH(yoy!$AA$1,Data!$E$1:$BM$1,),))/VLOOKUP(A28,Data!$E:$BM,MATCH(yoy!$AA$1,Data!$E$1:$BM$1,),)</f>
        <v>9.5916840760041908E-2</v>
      </c>
    </row>
    <row r="29" spans="1:27" x14ac:dyDescent="0.2">
      <c r="A29" s="20">
        <f t="shared" si="3"/>
        <v>42370</v>
      </c>
      <c r="B29" s="12">
        <v>42736</v>
      </c>
      <c r="C29" s="14">
        <f>(VLOOKUP(B29,Data!$E:$BM,MATCH(yoy!$C$1,Data!$E$1:$BM$1,),)-VLOOKUP(A29,Data!$E:$BM,MATCH(yoy!$C$1,Data!$E$1:$BM$1,),))/VLOOKUP(A29,Data!$E:$BM,MATCH(yoy!$C$1,Data!$E$1:$BM$1,),)</f>
        <v>7.0200842266759142E-2</v>
      </c>
      <c r="D29" s="14">
        <f>(VLOOKUP(B29,Data!$E:$BM,MATCH(yoy!$D$1,Data!$E$1:$BM$1,),)-VLOOKUP(A29,Data!$E:$BM,MATCH(yoy!$D$1,Data!$E$1:$BM$1,),))/VLOOKUP(A29,Data!$E:$BM,MATCH(yoy!$D$1,Data!$E$1:$BM$1,),)</f>
        <v>6.5612011401713313E-2</v>
      </c>
      <c r="E29" s="14">
        <f>(VLOOKUP(B29,Data!$E:$BM,MATCH(yoy!$E$1,Data!$E$1:$BM$1,),)-VLOOKUP(A29,Data!$E:$BM,MATCH(yoy!$E$1,Data!$E$1:$BM$1,),))/VLOOKUP(A29,Data!$E:$BM,MATCH(yoy!$E$1,Data!$E$1:$BM$1,),)</f>
        <v>0.11285829797161631</v>
      </c>
      <c r="F29" s="14">
        <f>(VLOOKUP(B29,Data!$E:$BM,MATCH(yoy!$F$1,Data!$E$1:$BM$1,),)-VLOOKUP(A29,Data!$E:$BM,MATCH(yoy!$F$1,Data!$E$1:$BM$1,),))/VLOOKUP(A29,Data!$E:$BM,MATCH(yoy!$F$1,Data!$E$1:$BM$1,),)</f>
        <v>4.912017525293564E-2</v>
      </c>
      <c r="G29" s="14">
        <f>(VLOOKUP(B29,Data!$E:$BM,MATCH(yoy!$G$1,Data!$E$1:$BM$1,),)-VLOOKUP(A29,Data!$E:$BM,MATCH(yoy!$G$1,Data!$E$1:$BM$1,),))/VLOOKUP(A29,Data!$E:$BM,MATCH(yoy!$G$1,Data!$E$1:$BM$1,),)</f>
        <v>3.4132969679865947E-2</v>
      </c>
      <c r="H29" s="14">
        <f>(VLOOKUP(B29,Data!$E:$BM,MATCH(yoy!$H$1,Data!$E$1:$BM$1,),)-VLOOKUP(A29,Data!$E:$BM,MATCH(yoy!$H$1,Data!$E$1:$BM$1,),))/VLOOKUP(A29,Data!$E:$BM,MATCH(yoy!$H$1,Data!$E$1:$BM$1,),)</f>
        <v>9.7349940699694409E-2</v>
      </c>
      <c r="I29" s="14">
        <f>(VLOOKUP(B29,Data!$E:$BM,MATCH(yoy!$I$1,Data!$E$1:$BM$1,),)-VLOOKUP(A29,Data!$E:$BM,MATCH(yoy!$I$1,Data!$E$1:$BM$1,),))/VLOOKUP(A29,Data!$E:$BM,MATCH(yoy!$I$1,Data!$E$1:$BM$1,),)</f>
        <v>3.0331772323594287E-2</v>
      </c>
      <c r="J29" s="14">
        <f>(VLOOKUP(B29,Data!$E:$BM,MATCH(yoy!$J$1,Data!$E$1:$BM$1,),)-VLOOKUP(A29,Data!$E:$BM,MATCH(yoy!$J$1,Data!$E$1:$BM$1,),))/VLOOKUP(A29,Data!$E:$BM,MATCH(yoy!$J$1,Data!$E$1:$BM$1,),)</f>
        <v>9.0746261802065853E-2</v>
      </c>
      <c r="K29" s="14">
        <f>(VLOOKUP(B29,Data!$E:$BM,MATCH(yoy!$K$1,Data!$E$1:$BM$1,),)-VLOOKUP(A29,Data!$E:$BM,MATCH(yoy!$K$1,Data!$E$1:$BM$1,),))/VLOOKUP(A29,Data!$E:$BM,MATCH(yoy!$K$1,Data!$E$1:$BM$1,),)</f>
        <v>5.7041268557369941E-2</v>
      </c>
      <c r="L29" s="14">
        <f>(VLOOKUP(B29,Data!$E:$BM,MATCH(yoy!$L$1,Data!$E$1:$BM$1,),)-VLOOKUP(A29,Data!$E:$BM,MATCH(yoy!$L$1,Data!$E$1:$BM$1,),))/VLOOKUP(A29,Data!$E:$BM,MATCH(yoy!$L$1,Data!$E$1:$BM$1,),)</f>
        <v>0.11226440009882631</v>
      </c>
      <c r="M29" s="14">
        <f>(VLOOKUP(B29,Data!$E:$BM,MATCH(yoy!$M$1,Data!$E$1:$BM$1,),)-VLOOKUP(A29,Data!$E:$BM,MATCH(yoy!$M$1,Data!$E$1:$BM$1,),))/VLOOKUP(A29,Data!$E:$BM,MATCH(yoy!$M$1,Data!$E$1:$BM$1,),)</f>
        <v>6.3169176420106304E-2</v>
      </c>
      <c r="N29" s="14">
        <f>(VLOOKUP(B29,Data!$E:$BM,MATCH(yoy!$N$1,Data!$E$1:$BM$1,),)-VLOOKUP(A29,Data!$E:$BM,MATCH(yoy!$N$1,Data!$E$1:$BM$1,),))/VLOOKUP(A29,Data!$E:$BM,MATCH(yoy!$N$1,Data!$E$1:$BM$1,),)</f>
        <v>-2.4722735885465626E-4</v>
      </c>
      <c r="O29" s="14">
        <f>(VLOOKUP(B29,Data!$E:$BM,MATCH(yoy!$O$1,Data!$E$1:$BM$1,),)-VLOOKUP(A29,Data!$E:$BM,MATCH(yoy!$O$1,Data!$E$1:$BM$1,),))/VLOOKUP(A29,Data!$E:$BM,MATCH(yoy!$O$1,Data!$E$1:$BM$1,),)</f>
        <v>6.2705614488513917E-2</v>
      </c>
      <c r="P29" s="14">
        <f>(VLOOKUP(B29,Data!$E:$BM,MATCH(yoy!$P$1,Data!$E$1:$BM$1,),)-VLOOKUP(A29,Data!$E:$BM,MATCH(yoy!$P$1,Data!$E$1:$BM$1,),))/VLOOKUP(A29,Data!$E:$BM,MATCH(yoy!$P$1,Data!$E$1:$BM$1,),)</f>
        <v>7.4974188214586429E-2</v>
      </c>
      <c r="Q29" s="14">
        <f>(VLOOKUP(B29,Data!$E:$BM,MATCH(yoy!$Q$1,Data!$E$1:$BM$1,),)-VLOOKUP(A29,Data!$E:$BM,MATCH(yoy!$Q$1,Data!$E$1:$BM$1,),))/VLOOKUP(A29,Data!$E:$BM,MATCH(yoy!$Q$1,Data!$E$1:$BM$1,),)</f>
        <v>6.8872126206898476E-2</v>
      </c>
      <c r="R29" s="14">
        <f>(VLOOKUP(B29,Data!$E:$BM,MATCH(yoy!$R$1,Data!$E$1:$BM$1,),)-VLOOKUP(A29,Data!$E:$BM,MATCH(yoy!$R$1,Data!$E$1:$BM$1,),))/VLOOKUP(A29,Data!$E:$BM,MATCH(yoy!$R$1,Data!$E$1:$BM$1,),)</f>
        <v>0.10000822531558602</v>
      </c>
      <c r="S29" s="14">
        <f>(VLOOKUP(B29,Data!$E:$BM,MATCH(yoy!$S$1,Data!$E$1:$BM$1,),)-VLOOKUP(A29,Data!$E:$BM,MATCH(yoy!$S$1,Data!$E$1:$BM$1,),))/VLOOKUP(A29,Data!$E:$BM,MATCH(yoy!$S$1,Data!$E$1:$BM$1,),)</f>
        <v>7.5547719532413751E-2</v>
      </c>
      <c r="T29" s="14">
        <f>(VLOOKUP(B29,Data!$E:$BM,MATCH(yoy!$T$1,Data!$E$1:$BM$1,),)-VLOOKUP(A29,Data!$E:$BM,MATCH(yoy!$T$1,Data!$E$1:$BM$1,),))/VLOOKUP(A29,Data!$E:$BM,MATCH(yoy!$T$1,Data!$E$1:$BM$1,),)</f>
        <v>8.2586873130719302E-2</v>
      </c>
      <c r="U29" s="14">
        <f>(VLOOKUP(B29,Data!$E:$BM,MATCH(yoy!$U$1,Data!$E$1:$BM$1,),)-VLOOKUP(A29,Data!$E:$BM,MATCH(yoy!$U$1,Data!$E$1:$BM$1,),))/VLOOKUP(A29,Data!$E:$BM,MATCH(yoy!$U$1,Data!$E$1:$BM$1,),)</f>
        <v>-2.0349366131452471E-2</v>
      </c>
      <c r="V29" s="14">
        <f>(VLOOKUP(B29,Data!$E:$BM,MATCH(yoy!$V$1,Data!$E$1:$BM$1,),)-VLOOKUP(A29,Data!$E:$BM,MATCH(yoy!$V$1,Data!$E$1:$BM$1,),))/VLOOKUP(A29,Data!$E:$BM,MATCH(yoy!$V$1,Data!$E$1:$BM$1,),)</f>
        <v>5.9351841200704129E-2</v>
      </c>
      <c r="W29" s="14">
        <f>(VLOOKUP(B29,Data!$E:$BM,MATCH(yoy!$W$1,Data!$E$1:$BM$1,),)-VLOOKUP(A29,Data!$E:$BM,MATCH(yoy!$W$1,Data!$E$1:$BM$1,),))/VLOOKUP(A29,Data!$E:$BM,MATCH(yoy!$W$1,Data!$E$1:$BM$1,),)</f>
        <v>0.1803081887002527</v>
      </c>
      <c r="X29" s="14">
        <f>(VLOOKUP(B29,Data!$E:$BM,MATCH(yoy!$X$1,Data!$E$1:$BM$1,),)-VLOOKUP(A29,Data!$E:$BM,MATCH(yoy!$X$1,Data!$E$1:$BM$1,),))/VLOOKUP(A29,Data!$E:$BM,MATCH(yoy!$X$1,Data!$E$1:$BM$1,),)</f>
        <v>6.7665576124735685E-2</v>
      </c>
      <c r="Y29" s="14">
        <f>(VLOOKUP(B29,Data!$E:$BM,MATCH(yoy!$Y$1,Data!$E$1:$BM$1,),)-VLOOKUP(A29,Data!$E:$BM,MATCH(yoy!$Y$1,Data!$E$1:$BM$1,),))/VLOOKUP(A29,Data!$E:$BM,MATCH(yoy!$Y$1,Data!$E$1:$BM$1,),)</f>
        <v>7.5459368289302026E-2</v>
      </c>
      <c r="Z29" s="14">
        <f>(VLOOKUP(B29,Data!$E:$BM,MATCH(yoy!$Z$1,Data!$E$1:$BM$1,),)-VLOOKUP(A29,Data!$E:$BM,MATCH(yoy!$Z$1,Data!$E$1:$BM$1,),))/VLOOKUP(A29,Data!$E:$BM,MATCH(yoy!$Z$1,Data!$E$1:$BM$1,),)</f>
        <v>7.3319181068258465E-2</v>
      </c>
      <c r="AA29" s="14">
        <f>(VLOOKUP(B29,Data!$E:$BM,MATCH(yoy!$AA$1,Data!$E$1:$BM$1,),)-VLOOKUP(A29,Data!$E:$BM,MATCH(yoy!$AA$1,Data!$E$1:$BM$1,),))/VLOOKUP(A29,Data!$E:$BM,MATCH(yoy!$AA$1,Data!$E$1:$BM$1,),)</f>
        <v>8.9916951303005505E-2</v>
      </c>
    </row>
    <row r="30" spans="1:27" x14ac:dyDescent="0.2">
      <c r="A30" s="20">
        <f t="shared" si="3"/>
        <v>42401</v>
      </c>
      <c r="B30" s="12">
        <v>42767</v>
      </c>
      <c r="C30" s="14">
        <f>(VLOOKUP(B30,Data!$E:$BM,MATCH(yoy!$C$1,Data!$E$1:$BM$1,),)-VLOOKUP(A30,Data!$E:$BM,MATCH(yoy!$C$1,Data!$E$1:$BM$1,),))/VLOOKUP(A30,Data!$E:$BM,MATCH(yoy!$C$1,Data!$E$1:$BM$1,),)</f>
        <v>6.9492692557725277E-2</v>
      </c>
      <c r="D30" s="14">
        <f>(VLOOKUP(B30,Data!$E:$BM,MATCH(yoy!$D$1,Data!$E$1:$BM$1,),)-VLOOKUP(A30,Data!$E:$BM,MATCH(yoy!$D$1,Data!$E$1:$BM$1,),))/VLOOKUP(A30,Data!$E:$BM,MATCH(yoy!$D$1,Data!$E$1:$BM$1,),)</f>
        <v>6.4366796463983147E-2</v>
      </c>
      <c r="E30" s="14">
        <f>(VLOOKUP(B30,Data!$E:$BM,MATCH(yoy!$E$1,Data!$E$1:$BM$1,),)-VLOOKUP(A30,Data!$E:$BM,MATCH(yoy!$E$1,Data!$E$1:$BM$1,),))/VLOOKUP(A30,Data!$E:$BM,MATCH(yoy!$E$1,Data!$E$1:$BM$1,),)</f>
        <v>0.11101274195406356</v>
      </c>
      <c r="F30" s="14">
        <f>(VLOOKUP(B30,Data!$E:$BM,MATCH(yoy!$F$1,Data!$E$1:$BM$1,),)-VLOOKUP(A30,Data!$E:$BM,MATCH(yoy!$F$1,Data!$E$1:$BM$1,),))/VLOOKUP(A30,Data!$E:$BM,MATCH(yoy!$F$1,Data!$E$1:$BM$1,),)</f>
        <v>4.7003862945527511E-2</v>
      </c>
      <c r="G30" s="14">
        <f>(VLOOKUP(B30,Data!$E:$BM,MATCH(yoy!$G$1,Data!$E$1:$BM$1,),)-VLOOKUP(A30,Data!$E:$BM,MATCH(yoy!$G$1,Data!$E$1:$BM$1,),))/VLOOKUP(A30,Data!$E:$BM,MATCH(yoy!$G$1,Data!$E$1:$BM$1,),)</f>
        <v>3.5484538113058871E-2</v>
      </c>
      <c r="H30" s="14">
        <f>(VLOOKUP(B30,Data!$E:$BM,MATCH(yoy!$H$1,Data!$E$1:$BM$1,),)-VLOOKUP(A30,Data!$E:$BM,MATCH(yoy!$H$1,Data!$E$1:$BM$1,),))/VLOOKUP(A30,Data!$E:$BM,MATCH(yoy!$H$1,Data!$E$1:$BM$1,),)</f>
        <v>9.8643392319387277E-2</v>
      </c>
      <c r="I30" s="14">
        <f>(VLOOKUP(B30,Data!$E:$BM,MATCH(yoy!$I$1,Data!$E$1:$BM$1,),)-VLOOKUP(A30,Data!$E:$BM,MATCH(yoy!$I$1,Data!$E$1:$BM$1,),))/VLOOKUP(A30,Data!$E:$BM,MATCH(yoy!$I$1,Data!$E$1:$BM$1,),)</f>
        <v>3.1458860919084418E-2</v>
      </c>
      <c r="J30" s="14">
        <f>(VLOOKUP(B30,Data!$E:$BM,MATCH(yoy!$J$1,Data!$E$1:$BM$1,),)-VLOOKUP(A30,Data!$E:$BM,MATCH(yoy!$J$1,Data!$E$1:$BM$1,),))/VLOOKUP(A30,Data!$E:$BM,MATCH(yoy!$J$1,Data!$E$1:$BM$1,),)</f>
        <v>9.881812306211768E-2</v>
      </c>
      <c r="K30" s="14">
        <f>(VLOOKUP(B30,Data!$E:$BM,MATCH(yoy!$K$1,Data!$E$1:$BM$1,),)-VLOOKUP(A30,Data!$E:$BM,MATCH(yoy!$K$1,Data!$E$1:$BM$1,),))/VLOOKUP(A30,Data!$E:$BM,MATCH(yoy!$K$1,Data!$E$1:$BM$1,),)</f>
        <v>6.2694063971965017E-2</v>
      </c>
      <c r="L30" s="14">
        <f>(VLOOKUP(B30,Data!$E:$BM,MATCH(yoy!$L$1,Data!$E$1:$BM$1,),)-VLOOKUP(A30,Data!$E:$BM,MATCH(yoy!$L$1,Data!$E$1:$BM$1,),))/VLOOKUP(A30,Data!$E:$BM,MATCH(yoy!$L$1,Data!$E$1:$BM$1,),)</f>
        <v>0.11460507912723797</v>
      </c>
      <c r="M30" s="14">
        <f>(VLOOKUP(B30,Data!$E:$BM,MATCH(yoy!$M$1,Data!$E$1:$BM$1,),)-VLOOKUP(A30,Data!$E:$BM,MATCH(yoy!$M$1,Data!$E$1:$BM$1,),))/VLOOKUP(A30,Data!$E:$BM,MATCH(yoy!$M$1,Data!$E$1:$BM$1,),)</f>
        <v>6.2107801349343565E-2</v>
      </c>
      <c r="N30" s="14">
        <f>(VLOOKUP(B30,Data!$E:$BM,MATCH(yoy!$N$1,Data!$E$1:$BM$1,),)-VLOOKUP(A30,Data!$E:$BM,MATCH(yoy!$N$1,Data!$E$1:$BM$1,),))/VLOOKUP(A30,Data!$E:$BM,MATCH(yoy!$N$1,Data!$E$1:$BM$1,),)</f>
        <v>3.6459673377983873E-3</v>
      </c>
      <c r="O30" s="14">
        <f>(VLOOKUP(B30,Data!$E:$BM,MATCH(yoy!$O$1,Data!$E$1:$BM$1,),)-VLOOKUP(A30,Data!$E:$BM,MATCH(yoy!$O$1,Data!$E$1:$BM$1,),))/VLOOKUP(A30,Data!$E:$BM,MATCH(yoy!$O$1,Data!$E$1:$BM$1,),)</f>
        <v>6.2358575405975905E-2</v>
      </c>
      <c r="P30" s="14">
        <f>(VLOOKUP(B30,Data!$E:$BM,MATCH(yoy!$P$1,Data!$E$1:$BM$1,),)-VLOOKUP(A30,Data!$E:$BM,MATCH(yoy!$P$1,Data!$E$1:$BM$1,),))/VLOOKUP(A30,Data!$E:$BM,MATCH(yoy!$P$1,Data!$E$1:$BM$1,),)</f>
        <v>6.8948370414571206E-2</v>
      </c>
      <c r="Q30" s="14">
        <f>(VLOOKUP(B30,Data!$E:$BM,MATCH(yoy!$Q$1,Data!$E$1:$BM$1,),)-VLOOKUP(A30,Data!$E:$BM,MATCH(yoy!$Q$1,Data!$E$1:$BM$1,),))/VLOOKUP(A30,Data!$E:$BM,MATCH(yoy!$Q$1,Data!$E$1:$BM$1,),)</f>
        <v>7.0052380483491425E-2</v>
      </c>
      <c r="R30" s="14">
        <f>(VLOOKUP(B30,Data!$E:$BM,MATCH(yoy!$R$1,Data!$E$1:$BM$1,),)-VLOOKUP(A30,Data!$E:$BM,MATCH(yoy!$R$1,Data!$E$1:$BM$1,),))/VLOOKUP(A30,Data!$E:$BM,MATCH(yoy!$R$1,Data!$E$1:$BM$1,),)</f>
        <v>9.5992374813150372E-2</v>
      </c>
      <c r="S30" s="14">
        <f>(VLOOKUP(B30,Data!$E:$BM,MATCH(yoy!$S$1,Data!$E$1:$BM$1,),)-VLOOKUP(A30,Data!$E:$BM,MATCH(yoy!$S$1,Data!$E$1:$BM$1,),))/VLOOKUP(A30,Data!$E:$BM,MATCH(yoy!$S$1,Data!$E$1:$BM$1,),)</f>
        <v>7.367617910876216E-2</v>
      </c>
      <c r="T30" s="14">
        <f>(VLOOKUP(B30,Data!$E:$BM,MATCH(yoy!$T$1,Data!$E$1:$BM$1,),)-VLOOKUP(A30,Data!$E:$BM,MATCH(yoy!$T$1,Data!$E$1:$BM$1,),))/VLOOKUP(A30,Data!$E:$BM,MATCH(yoy!$T$1,Data!$E$1:$BM$1,),)</f>
        <v>8.3334968286578326E-2</v>
      </c>
      <c r="U30" s="14">
        <f>(VLOOKUP(B30,Data!$E:$BM,MATCH(yoy!$U$1,Data!$E$1:$BM$1,),)-VLOOKUP(A30,Data!$E:$BM,MATCH(yoy!$U$1,Data!$E$1:$BM$1,),))/VLOOKUP(A30,Data!$E:$BM,MATCH(yoy!$U$1,Data!$E$1:$BM$1,),)</f>
        <v>6.302570466029586E-3</v>
      </c>
      <c r="V30" s="14">
        <f>(VLOOKUP(B30,Data!$E:$BM,MATCH(yoy!$V$1,Data!$E$1:$BM$1,),)-VLOOKUP(A30,Data!$E:$BM,MATCH(yoy!$V$1,Data!$E$1:$BM$1,),))/VLOOKUP(A30,Data!$E:$BM,MATCH(yoy!$V$1,Data!$E$1:$BM$1,),)</f>
        <v>5.7278239328234171E-2</v>
      </c>
      <c r="W30" s="14">
        <f>(VLOOKUP(B30,Data!$E:$BM,MATCH(yoy!$W$1,Data!$E$1:$BM$1,),)-VLOOKUP(A30,Data!$E:$BM,MATCH(yoy!$W$1,Data!$E$1:$BM$1,),))/VLOOKUP(A30,Data!$E:$BM,MATCH(yoy!$W$1,Data!$E$1:$BM$1,),)</f>
        <v>0.1719604290442949</v>
      </c>
      <c r="X30" s="14">
        <f>(VLOOKUP(B30,Data!$E:$BM,MATCH(yoy!$X$1,Data!$E$1:$BM$1,),)-VLOOKUP(A30,Data!$E:$BM,MATCH(yoy!$X$1,Data!$E$1:$BM$1,),))/VLOOKUP(A30,Data!$E:$BM,MATCH(yoy!$X$1,Data!$E$1:$BM$1,),)</f>
        <v>7.1254553559077227E-2</v>
      </c>
      <c r="Y30" s="14">
        <f>(VLOOKUP(B30,Data!$E:$BM,MATCH(yoy!$Y$1,Data!$E$1:$BM$1,),)-VLOOKUP(A30,Data!$E:$BM,MATCH(yoy!$Y$1,Data!$E$1:$BM$1,),))/VLOOKUP(A30,Data!$E:$BM,MATCH(yoy!$Y$1,Data!$E$1:$BM$1,),)</f>
        <v>6.9848935620392016E-2</v>
      </c>
      <c r="Z30" s="14">
        <f>(VLOOKUP(B30,Data!$E:$BM,MATCH(yoy!$Z$1,Data!$E$1:$BM$1,),)-VLOOKUP(A30,Data!$E:$BM,MATCH(yoy!$Z$1,Data!$E$1:$BM$1,),))/VLOOKUP(A30,Data!$E:$BM,MATCH(yoy!$Z$1,Data!$E$1:$BM$1,),)</f>
        <v>8.4958208067659899E-2</v>
      </c>
      <c r="AA30" s="14">
        <f>(VLOOKUP(B30,Data!$E:$BM,MATCH(yoy!$AA$1,Data!$E$1:$BM$1,),)-VLOOKUP(A30,Data!$E:$BM,MATCH(yoy!$AA$1,Data!$E$1:$BM$1,),))/VLOOKUP(A30,Data!$E:$BM,MATCH(yoy!$AA$1,Data!$E$1:$BM$1,),)</f>
        <v>8.288762022051295E-2</v>
      </c>
    </row>
    <row r="31" spans="1:27" x14ac:dyDescent="0.2">
      <c r="A31" s="20">
        <f t="shared" si="3"/>
        <v>42430</v>
      </c>
      <c r="B31" s="12">
        <v>42795</v>
      </c>
      <c r="C31" s="14">
        <f>(VLOOKUP(B31,Data!$E:$BM,MATCH(yoy!$C$1,Data!$E$1:$BM$1,),)-VLOOKUP(A31,Data!$E:$BM,MATCH(yoy!$C$1,Data!$E$1:$BM$1,),))/VLOOKUP(A31,Data!$E:$BM,MATCH(yoy!$C$1,Data!$E$1:$BM$1,),)</f>
        <v>7.1148454013430021E-2</v>
      </c>
      <c r="D31" s="14">
        <f>(VLOOKUP(B31,Data!$E:$BM,MATCH(yoy!$D$1,Data!$E$1:$BM$1,),)-VLOOKUP(A31,Data!$E:$BM,MATCH(yoy!$D$1,Data!$E$1:$BM$1,),))/VLOOKUP(A31,Data!$E:$BM,MATCH(yoy!$D$1,Data!$E$1:$BM$1,),)</f>
        <v>6.4573902793843604E-2</v>
      </c>
      <c r="E31" s="14">
        <f>(VLOOKUP(B31,Data!$E:$BM,MATCH(yoy!$E$1,Data!$E$1:$BM$1,),)-VLOOKUP(A31,Data!$E:$BM,MATCH(yoy!$E$1,Data!$E$1:$BM$1,),))/VLOOKUP(A31,Data!$E:$BM,MATCH(yoy!$E$1,Data!$E$1:$BM$1,),)</f>
        <v>0.10845505066653882</v>
      </c>
      <c r="F31" s="14">
        <f>(VLOOKUP(B31,Data!$E:$BM,MATCH(yoy!$F$1,Data!$E$1:$BM$1,),)-VLOOKUP(A31,Data!$E:$BM,MATCH(yoy!$F$1,Data!$E$1:$BM$1,),))/VLOOKUP(A31,Data!$E:$BM,MATCH(yoy!$F$1,Data!$E$1:$BM$1,),)</f>
        <v>5.0435471253862808E-2</v>
      </c>
      <c r="G31" s="14">
        <f>(VLOOKUP(B31,Data!$E:$BM,MATCH(yoy!$G$1,Data!$E$1:$BM$1,),)-VLOOKUP(A31,Data!$E:$BM,MATCH(yoy!$G$1,Data!$E$1:$BM$1,),))/VLOOKUP(A31,Data!$E:$BM,MATCH(yoy!$G$1,Data!$E$1:$BM$1,),)</f>
        <v>3.5848889762232314E-2</v>
      </c>
      <c r="H31" s="14">
        <f>(VLOOKUP(B31,Data!$E:$BM,MATCH(yoy!$H$1,Data!$E$1:$BM$1,),)-VLOOKUP(A31,Data!$E:$BM,MATCH(yoy!$H$1,Data!$E$1:$BM$1,),))/VLOOKUP(A31,Data!$E:$BM,MATCH(yoy!$H$1,Data!$E$1:$BM$1,),)</f>
        <v>0.10387270856905724</v>
      </c>
      <c r="I31" s="14">
        <f>(VLOOKUP(B31,Data!$E:$BM,MATCH(yoy!$I$1,Data!$E$1:$BM$1,),)-VLOOKUP(A31,Data!$E:$BM,MATCH(yoy!$I$1,Data!$E$1:$BM$1,),))/VLOOKUP(A31,Data!$E:$BM,MATCH(yoy!$I$1,Data!$E$1:$BM$1,),)</f>
        <v>3.1345389479741297E-2</v>
      </c>
      <c r="J31" s="14">
        <f>(VLOOKUP(B31,Data!$E:$BM,MATCH(yoy!$J$1,Data!$E$1:$BM$1,),)-VLOOKUP(A31,Data!$E:$BM,MATCH(yoy!$J$1,Data!$E$1:$BM$1,),))/VLOOKUP(A31,Data!$E:$BM,MATCH(yoy!$J$1,Data!$E$1:$BM$1,),)</f>
        <v>9.8829268660770894E-2</v>
      </c>
      <c r="K31" s="14">
        <f>(VLOOKUP(B31,Data!$E:$BM,MATCH(yoy!$K$1,Data!$E$1:$BM$1,),)-VLOOKUP(A31,Data!$E:$BM,MATCH(yoy!$K$1,Data!$E$1:$BM$1,),))/VLOOKUP(A31,Data!$E:$BM,MATCH(yoy!$K$1,Data!$E$1:$BM$1,),)</f>
        <v>6.7997821746233394E-2</v>
      </c>
      <c r="L31" s="14">
        <f>(VLOOKUP(B31,Data!$E:$BM,MATCH(yoy!$L$1,Data!$E$1:$BM$1,),)-VLOOKUP(A31,Data!$E:$BM,MATCH(yoy!$L$1,Data!$E$1:$BM$1,),))/VLOOKUP(A31,Data!$E:$BM,MATCH(yoy!$L$1,Data!$E$1:$BM$1,),)</f>
        <v>0.11087888272642113</v>
      </c>
      <c r="M31" s="14">
        <f>(VLOOKUP(B31,Data!$E:$BM,MATCH(yoy!$M$1,Data!$E$1:$BM$1,),)-VLOOKUP(A31,Data!$E:$BM,MATCH(yoy!$M$1,Data!$E$1:$BM$1,),))/VLOOKUP(A31,Data!$E:$BM,MATCH(yoy!$M$1,Data!$E$1:$BM$1,),)</f>
        <v>7.0830128089797981E-2</v>
      </c>
      <c r="N31" s="14">
        <f>(VLOOKUP(B31,Data!$E:$BM,MATCH(yoy!$N$1,Data!$E$1:$BM$1,),)-VLOOKUP(A31,Data!$E:$BM,MATCH(yoy!$N$1,Data!$E$1:$BM$1,),))/VLOOKUP(A31,Data!$E:$BM,MATCH(yoy!$N$1,Data!$E$1:$BM$1,),)</f>
        <v>7.019694639708883E-3</v>
      </c>
      <c r="O31" s="14">
        <f>(VLOOKUP(B31,Data!$E:$BM,MATCH(yoy!$O$1,Data!$E$1:$BM$1,),)-VLOOKUP(A31,Data!$E:$BM,MATCH(yoy!$O$1,Data!$E$1:$BM$1,),))/VLOOKUP(A31,Data!$E:$BM,MATCH(yoy!$O$1,Data!$E$1:$BM$1,),)</f>
        <v>8.3288979285183626E-2</v>
      </c>
      <c r="P31" s="14">
        <f>(VLOOKUP(B31,Data!$E:$BM,MATCH(yoy!$P$1,Data!$E$1:$BM$1,),)-VLOOKUP(A31,Data!$E:$BM,MATCH(yoy!$P$1,Data!$E$1:$BM$1,),))/VLOOKUP(A31,Data!$E:$BM,MATCH(yoy!$P$1,Data!$E$1:$BM$1,),)</f>
        <v>8.291951626950711E-2</v>
      </c>
      <c r="Q31" s="14">
        <f>(VLOOKUP(B31,Data!$E:$BM,MATCH(yoy!$Q$1,Data!$E$1:$BM$1,),)-VLOOKUP(A31,Data!$E:$BM,MATCH(yoy!$Q$1,Data!$E$1:$BM$1,),))/VLOOKUP(A31,Data!$E:$BM,MATCH(yoy!$Q$1,Data!$E$1:$BM$1,),)</f>
        <v>6.8567398537795116E-2</v>
      </c>
      <c r="R31" s="14">
        <f>(VLOOKUP(B31,Data!$E:$BM,MATCH(yoy!$R$1,Data!$E$1:$BM$1,),)-VLOOKUP(A31,Data!$E:$BM,MATCH(yoy!$R$1,Data!$E$1:$BM$1,),))/VLOOKUP(A31,Data!$E:$BM,MATCH(yoy!$R$1,Data!$E$1:$BM$1,),)</f>
        <v>9.6422538661592505E-2</v>
      </c>
      <c r="S31" s="14">
        <f>(VLOOKUP(B31,Data!$E:$BM,MATCH(yoy!$S$1,Data!$E$1:$BM$1,),)-VLOOKUP(A31,Data!$E:$BM,MATCH(yoy!$S$1,Data!$E$1:$BM$1,),))/VLOOKUP(A31,Data!$E:$BM,MATCH(yoy!$S$1,Data!$E$1:$BM$1,),)</f>
        <v>7.4370649402196579E-2</v>
      </c>
      <c r="T31" s="14">
        <f>(VLOOKUP(B31,Data!$E:$BM,MATCH(yoy!$T$1,Data!$E$1:$BM$1,),)-VLOOKUP(A31,Data!$E:$BM,MATCH(yoy!$T$1,Data!$E$1:$BM$1,),))/VLOOKUP(A31,Data!$E:$BM,MATCH(yoy!$T$1,Data!$E$1:$BM$1,),)</f>
        <v>8.7260928644322042E-2</v>
      </c>
      <c r="U31" s="14">
        <f>(VLOOKUP(B31,Data!$E:$BM,MATCH(yoy!$U$1,Data!$E$1:$BM$1,),)-VLOOKUP(A31,Data!$E:$BM,MATCH(yoy!$U$1,Data!$E$1:$BM$1,),))/VLOOKUP(A31,Data!$E:$BM,MATCH(yoy!$U$1,Data!$E$1:$BM$1,),)</f>
        <v>1.8236847994254776E-2</v>
      </c>
      <c r="V31" s="14">
        <f>(VLOOKUP(B31,Data!$E:$BM,MATCH(yoy!$V$1,Data!$E$1:$BM$1,),)-VLOOKUP(A31,Data!$E:$BM,MATCH(yoy!$V$1,Data!$E$1:$BM$1,),))/VLOOKUP(A31,Data!$E:$BM,MATCH(yoy!$V$1,Data!$E$1:$BM$1,),)</f>
        <v>5.9008047695784535E-2</v>
      </c>
      <c r="W31" s="14">
        <f>(VLOOKUP(B31,Data!$E:$BM,MATCH(yoy!$W$1,Data!$E$1:$BM$1,),)-VLOOKUP(A31,Data!$E:$BM,MATCH(yoy!$W$1,Data!$E$1:$BM$1,),))/VLOOKUP(A31,Data!$E:$BM,MATCH(yoy!$W$1,Data!$E$1:$BM$1,),)</f>
        <v>0.17093975090314292</v>
      </c>
      <c r="X31" s="14">
        <f>(VLOOKUP(B31,Data!$E:$BM,MATCH(yoy!$X$1,Data!$E$1:$BM$1,),)-VLOOKUP(A31,Data!$E:$BM,MATCH(yoy!$X$1,Data!$E$1:$BM$1,),))/VLOOKUP(A31,Data!$E:$BM,MATCH(yoy!$X$1,Data!$E$1:$BM$1,),)</f>
        <v>5.9860662992890425E-2</v>
      </c>
      <c r="Y31" s="14">
        <f>(VLOOKUP(B31,Data!$E:$BM,MATCH(yoy!$Y$1,Data!$E$1:$BM$1,),)-VLOOKUP(A31,Data!$E:$BM,MATCH(yoy!$Y$1,Data!$E$1:$BM$1,),))/VLOOKUP(A31,Data!$E:$BM,MATCH(yoy!$Y$1,Data!$E$1:$BM$1,),)</f>
        <v>6.466580964802815E-2</v>
      </c>
      <c r="Z31" s="14">
        <f>(VLOOKUP(B31,Data!$E:$BM,MATCH(yoy!$Z$1,Data!$E$1:$BM$1,),)-VLOOKUP(A31,Data!$E:$BM,MATCH(yoy!$Z$1,Data!$E$1:$BM$1,),))/VLOOKUP(A31,Data!$E:$BM,MATCH(yoy!$Z$1,Data!$E$1:$BM$1,),)</f>
        <v>9.7516970749419285E-2</v>
      </c>
      <c r="AA31" s="14">
        <f>(VLOOKUP(B31,Data!$E:$BM,MATCH(yoy!$AA$1,Data!$E$1:$BM$1,),)-VLOOKUP(A31,Data!$E:$BM,MATCH(yoy!$AA$1,Data!$E$1:$BM$1,),))/VLOOKUP(A31,Data!$E:$BM,MATCH(yoy!$AA$1,Data!$E$1:$BM$1,),)</f>
        <v>7.9800783038525849E-2</v>
      </c>
    </row>
    <row r="32" spans="1:27" x14ac:dyDescent="0.2">
      <c r="A32" s="20">
        <f t="shared" si="3"/>
        <v>42461</v>
      </c>
      <c r="B32" s="12">
        <v>42826</v>
      </c>
      <c r="C32" s="14">
        <f>(VLOOKUP(B32,Data!$E:$BM,MATCH(yoy!$C$1,Data!$E$1:$BM$1,),)-VLOOKUP(A32,Data!$E:$BM,MATCH(yoy!$C$1,Data!$E$1:$BM$1,),))/VLOOKUP(A32,Data!$E:$BM,MATCH(yoy!$C$1,Data!$E$1:$BM$1,),)</f>
        <v>7.1665242014562855E-2</v>
      </c>
      <c r="D32" s="14">
        <f>(VLOOKUP(B32,Data!$E:$BM,MATCH(yoy!$D$1,Data!$E$1:$BM$1,),)-VLOOKUP(A32,Data!$E:$BM,MATCH(yoy!$D$1,Data!$E$1:$BM$1,),))/VLOOKUP(A32,Data!$E:$BM,MATCH(yoy!$D$1,Data!$E$1:$BM$1,),)</f>
        <v>6.2235732645376567E-2</v>
      </c>
      <c r="E32" s="14">
        <f>(VLOOKUP(B32,Data!$E:$BM,MATCH(yoy!$E$1,Data!$E$1:$BM$1,),)-VLOOKUP(A32,Data!$E:$BM,MATCH(yoy!$E$1,Data!$E$1:$BM$1,),))/VLOOKUP(A32,Data!$E:$BM,MATCH(yoy!$E$1,Data!$E$1:$BM$1,),)</f>
        <v>0.10626926616530087</v>
      </c>
      <c r="F32" s="14">
        <f>(VLOOKUP(B32,Data!$E:$BM,MATCH(yoy!$F$1,Data!$E$1:$BM$1,),)-VLOOKUP(A32,Data!$E:$BM,MATCH(yoy!$F$1,Data!$E$1:$BM$1,),))/VLOOKUP(A32,Data!$E:$BM,MATCH(yoy!$F$1,Data!$E$1:$BM$1,),)</f>
        <v>5.1269464040435024E-2</v>
      </c>
      <c r="G32" s="14">
        <f>(VLOOKUP(B32,Data!$E:$BM,MATCH(yoy!$G$1,Data!$E$1:$BM$1,),)-VLOOKUP(A32,Data!$E:$BM,MATCH(yoy!$G$1,Data!$E$1:$BM$1,),))/VLOOKUP(A32,Data!$E:$BM,MATCH(yoy!$G$1,Data!$E$1:$BM$1,),)</f>
        <v>3.350976405531586E-2</v>
      </c>
      <c r="H32" s="14">
        <f>(VLOOKUP(B32,Data!$E:$BM,MATCH(yoy!$H$1,Data!$E$1:$BM$1,),)-VLOOKUP(A32,Data!$E:$BM,MATCH(yoy!$H$1,Data!$E$1:$BM$1,),))/VLOOKUP(A32,Data!$E:$BM,MATCH(yoy!$H$1,Data!$E$1:$BM$1,),)</f>
        <v>0.11189544053635733</v>
      </c>
      <c r="I32" s="14">
        <f>(VLOOKUP(B32,Data!$E:$BM,MATCH(yoy!$I$1,Data!$E$1:$BM$1,),)-VLOOKUP(A32,Data!$E:$BM,MATCH(yoy!$I$1,Data!$E$1:$BM$1,),))/VLOOKUP(A32,Data!$E:$BM,MATCH(yoy!$I$1,Data!$E$1:$BM$1,),)</f>
        <v>3.1088026931106891E-2</v>
      </c>
      <c r="J32" s="14">
        <f>(VLOOKUP(B32,Data!$E:$BM,MATCH(yoy!$J$1,Data!$E$1:$BM$1,),)-VLOOKUP(A32,Data!$E:$BM,MATCH(yoy!$J$1,Data!$E$1:$BM$1,),))/VLOOKUP(A32,Data!$E:$BM,MATCH(yoy!$J$1,Data!$E$1:$BM$1,),)</f>
        <v>0.10112620675049348</v>
      </c>
      <c r="K32" s="14">
        <f>(VLOOKUP(B32,Data!$E:$BM,MATCH(yoy!$K$1,Data!$E$1:$BM$1,),)-VLOOKUP(A32,Data!$E:$BM,MATCH(yoy!$K$1,Data!$E$1:$BM$1,),))/VLOOKUP(A32,Data!$E:$BM,MATCH(yoy!$K$1,Data!$E$1:$BM$1,),)</f>
        <v>7.0635646624564216E-2</v>
      </c>
      <c r="L32" s="14">
        <f>(VLOOKUP(B32,Data!$E:$BM,MATCH(yoy!$L$1,Data!$E$1:$BM$1,),)-VLOOKUP(A32,Data!$E:$BM,MATCH(yoy!$L$1,Data!$E$1:$BM$1,),))/VLOOKUP(A32,Data!$E:$BM,MATCH(yoy!$L$1,Data!$E$1:$BM$1,),)</f>
        <v>0.10562137960086172</v>
      </c>
      <c r="M32" s="14">
        <f>(VLOOKUP(B32,Data!$E:$BM,MATCH(yoy!$M$1,Data!$E$1:$BM$1,),)-VLOOKUP(A32,Data!$E:$BM,MATCH(yoy!$M$1,Data!$E$1:$BM$1,),))/VLOOKUP(A32,Data!$E:$BM,MATCH(yoy!$M$1,Data!$E$1:$BM$1,),)</f>
        <v>7.5193641565322947E-2</v>
      </c>
      <c r="N32" s="14">
        <f>(VLOOKUP(B32,Data!$E:$BM,MATCH(yoy!$N$1,Data!$E$1:$BM$1,),)-VLOOKUP(A32,Data!$E:$BM,MATCH(yoy!$N$1,Data!$E$1:$BM$1,),))/VLOOKUP(A32,Data!$E:$BM,MATCH(yoy!$N$1,Data!$E$1:$BM$1,),)</f>
        <v>1.9703354453902523E-2</v>
      </c>
      <c r="O32" s="14">
        <f>(VLOOKUP(B32,Data!$E:$BM,MATCH(yoy!$O$1,Data!$E$1:$BM$1,),)-VLOOKUP(A32,Data!$E:$BM,MATCH(yoy!$O$1,Data!$E$1:$BM$1,),))/VLOOKUP(A32,Data!$E:$BM,MATCH(yoy!$O$1,Data!$E$1:$BM$1,),)</f>
        <v>8.0429552884225194E-2</v>
      </c>
      <c r="P32" s="14">
        <f>(VLOOKUP(B32,Data!$E:$BM,MATCH(yoy!$P$1,Data!$E$1:$BM$1,),)-VLOOKUP(A32,Data!$E:$BM,MATCH(yoy!$P$1,Data!$E$1:$BM$1,),))/VLOOKUP(A32,Data!$E:$BM,MATCH(yoy!$P$1,Data!$E$1:$BM$1,),)</f>
        <v>8.639536751022564E-2</v>
      </c>
      <c r="Q32" s="14">
        <f>(VLOOKUP(B32,Data!$E:$BM,MATCH(yoy!$Q$1,Data!$E$1:$BM$1,),)-VLOOKUP(A32,Data!$E:$BM,MATCH(yoy!$Q$1,Data!$E$1:$BM$1,),))/VLOOKUP(A32,Data!$E:$BM,MATCH(yoy!$Q$1,Data!$E$1:$BM$1,),)</f>
        <v>7.0245301356025511E-2</v>
      </c>
      <c r="R32" s="14">
        <f>(VLOOKUP(B32,Data!$E:$BM,MATCH(yoy!$R$1,Data!$E$1:$BM$1,),)-VLOOKUP(A32,Data!$E:$BM,MATCH(yoy!$R$1,Data!$E$1:$BM$1,),))/VLOOKUP(A32,Data!$E:$BM,MATCH(yoy!$R$1,Data!$E$1:$BM$1,),)</f>
        <v>9.8921245339981867E-2</v>
      </c>
      <c r="S32" s="14">
        <f>(VLOOKUP(B32,Data!$E:$BM,MATCH(yoy!$S$1,Data!$E$1:$BM$1,),)-VLOOKUP(A32,Data!$E:$BM,MATCH(yoy!$S$1,Data!$E$1:$BM$1,),))/VLOOKUP(A32,Data!$E:$BM,MATCH(yoy!$S$1,Data!$E$1:$BM$1,),)</f>
        <v>7.3922660276217342E-2</v>
      </c>
      <c r="T32" s="14">
        <f>(VLOOKUP(B32,Data!$E:$BM,MATCH(yoy!$T$1,Data!$E$1:$BM$1,),)-VLOOKUP(A32,Data!$E:$BM,MATCH(yoy!$T$1,Data!$E$1:$BM$1,),))/VLOOKUP(A32,Data!$E:$BM,MATCH(yoy!$T$1,Data!$E$1:$BM$1,),)</f>
        <v>9.418641694510918E-2</v>
      </c>
      <c r="U32" s="14">
        <f>(VLOOKUP(B32,Data!$E:$BM,MATCH(yoy!$U$1,Data!$E$1:$BM$1,),)-VLOOKUP(A32,Data!$E:$BM,MATCH(yoy!$U$1,Data!$E$1:$BM$1,),))/VLOOKUP(A32,Data!$E:$BM,MATCH(yoy!$U$1,Data!$E$1:$BM$1,),)</f>
        <v>1.0497877652933885E-2</v>
      </c>
      <c r="V32" s="14">
        <f>(VLOOKUP(B32,Data!$E:$BM,MATCH(yoy!$V$1,Data!$E$1:$BM$1,),)-VLOOKUP(A32,Data!$E:$BM,MATCH(yoy!$V$1,Data!$E$1:$BM$1,),))/VLOOKUP(A32,Data!$E:$BM,MATCH(yoy!$V$1,Data!$E$1:$BM$1,),)</f>
        <v>5.6381326106984403E-2</v>
      </c>
      <c r="W32" s="14">
        <f>(VLOOKUP(B32,Data!$E:$BM,MATCH(yoy!$W$1,Data!$E$1:$BM$1,),)-VLOOKUP(A32,Data!$E:$BM,MATCH(yoy!$W$1,Data!$E$1:$BM$1,),))/VLOOKUP(A32,Data!$E:$BM,MATCH(yoy!$W$1,Data!$E$1:$BM$1,),)</f>
        <v>0.18982546975628775</v>
      </c>
      <c r="X32" s="14">
        <f>(VLOOKUP(B32,Data!$E:$BM,MATCH(yoy!$X$1,Data!$E$1:$BM$1,),)-VLOOKUP(A32,Data!$E:$BM,MATCH(yoy!$X$1,Data!$E$1:$BM$1,),))/VLOOKUP(A32,Data!$E:$BM,MATCH(yoy!$X$1,Data!$E$1:$BM$1,),)</f>
        <v>5.4422411763982985E-2</v>
      </c>
      <c r="Y32" s="14">
        <f>(VLOOKUP(B32,Data!$E:$BM,MATCH(yoy!$Y$1,Data!$E$1:$BM$1,),)-VLOOKUP(A32,Data!$E:$BM,MATCH(yoy!$Y$1,Data!$E$1:$BM$1,),))/VLOOKUP(A32,Data!$E:$BM,MATCH(yoy!$Y$1,Data!$E$1:$BM$1,),)</f>
        <v>6.219440495947734E-2</v>
      </c>
      <c r="Z32" s="14">
        <f>(VLOOKUP(B32,Data!$E:$BM,MATCH(yoy!$Z$1,Data!$E$1:$BM$1,),)-VLOOKUP(A32,Data!$E:$BM,MATCH(yoy!$Z$1,Data!$E$1:$BM$1,),))/VLOOKUP(A32,Data!$E:$BM,MATCH(yoy!$Z$1,Data!$E$1:$BM$1,),)</f>
        <v>0.11043346755349179</v>
      </c>
      <c r="AA32" s="14">
        <f>(VLOOKUP(B32,Data!$E:$BM,MATCH(yoy!$AA$1,Data!$E$1:$BM$1,),)-VLOOKUP(A32,Data!$E:$BM,MATCH(yoy!$AA$1,Data!$E$1:$BM$1,),))/VLOOKUP(A32,Data!$E:$BM,MATCH(yoy!$AA$1,Data!$E$1:$BM$1,),)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(VLOOKUP(B33,Data!$E:$BM,MATCH(yoy!$C$1,Data!$E$1:$BM$1,),)-VLOOKUP(A33,Data!$E:$BM,MATCH(yoy!$C$1,Data!$E$1:$BM$1,),))/VLOOKUP(A33,Data!$E:$BM,MATCH(yoy!$C$1,Data!$E$1:$BM$1,),)</f>
        <v>7.0195538826312229E-2</v>
      </c>
      <c r="D33" s="14">
        <f>(VLOOKUP(B33,Data!$E:$BM,MATCH(yoy!$D$1,Data!$E$1:$BM$1,),)-VLOOKUP(A33,Data!$E:$BM,MATCH(yoy!$D$1,Data!$E$1:$BM$1,),))/VLOOKUP(A33,Data!$E:$BM,MATCH(yoy!$D$1,Data!$E$1:$BM$1,),)</f>
        <v>6.0717119146603903E-2</v>
      </c>
      <c r="E33" s="14">
        <f>(VLOOKUP(B33,Data!$E:$BM,MATCH(yoy!$E$1,Data!$E$1:$BM$1,),)-VLOOKUP(A33,Data!$E:$BM,MATCH(yoy!$E$1,Data!$E$1:$BM$1,),))/VLOOKUP(A33,Data!$E:$BM,MATCH(yoy!$E$1,Data!$E$1:$BM$1,),)</f>
        <v>0.10161049551894444</v>
      </c>
      <c r="F33" s="14">
        <f>(VLOOKUP(B33,Data!$E:$BM,MATCH(yoy!$F$1,Data!$E$1:$BM$1,),)-VLOOKUP(A33,Data!$E:$BM,MATCH(yoy!$F$1,Data!$E$1:$BM$1,),))/VLOOKUP(A33,Data!$E:$BM,MATCH(yoy!$F$1,Data!$E$1:$BM$1,),)</f>
        <v>4.7553599302176022E-2</v>
      </c>
      <c r="G33" s="14">
        <f>(VLOOKUP(B33,Data!$E:$BM,MATCH(yoy!$G$1,Data!$E$1:$BM$1,),)-VLOOKUP(A33,Data!$E:$BM,MATCH(yoy!$G$1,Data!$E$1:$BM$1,),))/VLOOKUP(A33,Data!$E:$BM,MATCH(yoy!$G$1,Data!$E$1:$BM$1,),)</f>
        <v>3.2104158293761197E-2</v>
      </c>
      <c r="H33" s="14">
        <f>(VLOOKUP(B33,Data!$E:$BM,MATCH(yoy!$H$1,Data!$E$1:$BM$1,),)-VLOOKUP(A33,Data!$E:$BM,MATCH(yoy!$H$1,Data!$E$1:$BM$1,),))/VLOOKUP(A33,Data!$E:$BM,MATCH(yoy!$H$1,Data!$E$1:$BM$1,),)</f>
        <v>0.11336560174462187</v>
      </c>
      <c r="I33" s="14">
        <f>(VLOOKUP(B33,Data!$E:$BM,MATCH(yoy!$I$1,Data!$E$1:$BM$1,),)-VLOOKUP(A33,Data!$E:$BM,MATCH(yoy!$I$1,Data!$E$1:$BM$1,),))/VLOOKUP(A33,Data!$E:$BM,MATCH(yoy!$I$1,Data!$E$1:$BM$1,),)</f>
        <v>3.557312252964432E-2</v>
      </c>
      <c r="J33" s="14">
        <f>(VLOOKUP(B33,Data!$E:$BM,MATCH(yoy!$J$1,Data!$E$1:$BM$1,),)-VLOOKUP(A33,Data!$E:$BM,MATCH(yoy!$J$1,Data!$E$1:$BM$1,),))/VLOOKUP(A33,Data!$E:$BM,MATCH(yoy!$J$1,Data!$E$1:$BM$1,),)</f>
        <v>0.10042497816382216</v>
      </c>
      <c r="K33" s="14">
        <f>(VLOOKUP(B33,Data!$E:$BM,MATCH(yoy!$K$1,Data!$E$1:$BM$1,),)-VLOOKUP(A33,Data!$E:$BM,MATCH(yoy!$K$1,Data!$E$1:$BM$1,),))/VLOOKUP(A33,Data!$E:$BM,MATCH(yoy!$K$1,Data!$E$1:$BM$1,),)</f>
        <v>6.8388044742206902E-2</v>
      </c>
      <c r="L33" s="14">
        <f>(VLOOKUP(B33,Data!$E:$BM,MATCH(yoy!$L$1,Data!$E$1:$BM$1,),)-VLOOKUP(A33,Data!$E:$BM,MATCH(yoy!$L$1,Data!$E$1:$BM$1,),))/VLOOKUP(A33,Data!$E:$BM,MATCH(yoy!$L$1,Data!$E$1:$BM$1,),)</f>
        <v>9.899090139014928E-2</v>
      </c>
      <c r="M33" s="14">
        <f>(VLOOKUP(B33,Data!$E:$BM,MATCH(yoy!$M$1,Data!$E$1:$BM$1,),)-VLOOKUP(A33,Data!$E:$BM,MATCH(yoy!$M$1,Data!$E$1:$BM$1,),))/VLOOKUP(A33,Data!$E:$BM,MATCH(yoy!$M$1,Data!$E$1:$BM$1,),)</f>
        <v>7.1159444614859235E-2</v>
      </c>
      <c r="N33" s="14">
        <f>(VLOOKUP(B33,Data!$E:$BM,MATCH(yoy!$N$1,Data!$E$1:$BM$1,),)-VLOOKUP(A33,Data!$E:$BM,MATCH(yoy!$N$1,Data!$E$1:$BM$1,),))/VLOOKUP(A33,Data!$E:$BM,MATCH(yoy!$N$1,Data!$E$1:$BM$1,),)</f>
        <v>2.3080179176132632E-2</v>
      </c>
      <c r="O33" s="14">
        <f>(VLOOKUP(B33,Data!$E:$BM,MATCH(yoy!$O$1,Data!$E$1:$BM$1,),)-VLOOKUP(A33,Data!$E:$BM,MATCH(yoy!$O$1,Data!$E$1:$BM$1,),))/VLOOKUP(A33,Data!$E:$BM,MATCH(yoy!$O$1,Data!$E$1:$BM$1,),)</f>
        <v>6.6335865571802835E-2</v>
      </c>
      <c r="P33" s="14">
        <f>(VLOOKUP(B33,Data!$E:$BM,MATCH(yoy!$P$1,Data!$E$1:$BM$1,),)-VLOOKUP(A33,Data!$E:$BM,MATCH(yoy!$P$1,Data!$E$1:$BM$1,),))/VLOOKUP(A33,Data!$E:$BM,MATCH(yoy!$P$1,Data!$E$1:$BM$1,),)</f>
        <v>7.8984730742124393E-2</v>
      </c>
      <c r="Q33" s="14">
        <f>(VLOOKUP(B33,Data!$E:$BM,MATCH(yoy!$Q$1,Data!$E$1:$BM$1,),)-VLOOKUP(A33,Data!$E:$BM,MATCH(yoy!$Q$1,Data!$E$1:$BM$1,),))/VLOOKUP(A33,Data!$E:$BM,MATCH(yoy!$Q$1,Data!$E$1:$BM$1,),)</f>
        <v>7.4178908464328674E-2</v>
      </c>
      <c r="R33" s="14">
        <f>(VLOOKUP(B33,Data!$E:$BM,MATCH(yoy!$R$1,Data!$E$1:$BM$1,),)-VLOOKUP(A33,Data!$E:$BM,MATCH(yoy!$R$1,Data!$E$1:$BM$1,),))/VLOOKUP(A33,Data!$E:$BM,MATCH(yoy!$R$1,Data!$E$1:$BM$1,),)</f>
        <v>0.10463792036698522</v>
      </c>
      <c r="S33" s="14">
        <f>(VLOOKUP(B33,Data!$E:$BM,MATCH(yoy!$S$1,Data!$E$1:$BM$1,),)-VLOOKUP(A33,Data!$E:$BM,MATCH(yoy!$S$1,Data!$E$1:$BM$1,),))/VLOOKUP(A33,Data!$E:$BM,MATCH(yoy!$S$1,Data!$E$1:$BM$1,),)</f>
        <v>6.9265027631166973E-2</v>
      </c>
      <c r="T33" s="14">
        <f>(VLOOKUP(B33,Data!$E:$BM,MATCH(yoy!$T$1,Data!$E$1:$BM$1,),)-VLOOKUP(A33,Data!$E:$BM,MATCH(yoy!$T$1,Data!$E$1:$BM$1,),))/VLOOKUP(A33,Data!$E:$BM,MATCH(yoy!$T$1,Data!$E$1:$BM$1,),)</f>
        <v>8.9569320460104879E-2</v>
      </c>
      <c r="U33" s="14">
        <f>(VLOOKUP(B33,Data!$E:$BM,MATCH(yoy!$U$1,Data!$E$1:$BM$1,),)-VLOOKUP(A33,Data!$E:$BM,MATCH(yoy!$U$1,Data!$E$1:$BM$1,),))/VLOOKUP(A33,Data!$E:$BM,MATCH(yoy!$U$1,Data!$E$1:$BM$1,),)</f>
        <v>-2.6354801515401337E-3</v>
      </c>
      <c r="V33" s="14">
        <f>(VLOOKUP(B33,Data!$E:$BM,MATCH(yoy!$V$1,Data!$E$1:$BM$1,),)-VLOOKUP(A33,Data!$E:$BM,MATCH(yoy!$V$1,Data!$E$1:$BM$1,),))/VLOOKUP(A33,Data!$E:$BM,MATCH(yoy!$V$1,Data!$E$1:$BM$1,),)</f>
        <v>4.8772715520161151E-2</v>
      </c>
      <c r="W33" s="14">
        <f>(VLOOKUP(B33,Data!$E:$BM,MATCH(yoy!$W$1,Data!$E$1:$BM$1,),)-VLOOKUP(A33,Data!$E:$BM,MATCH(yoy!$W$1,Data!$E$1:$BM$1,),))/VLOOKUP(A33,Data!$E:$BM,MATCH(yoy!$W$1,Data!$E$1:$BM$1,),)</f>
        <v>0.19249607472413788</v>
      </c>
      <c r="X33" s="14">
        <f>(VLOOKUP(B33,Data!$E:$BM,MATCH(yoy!$X$1,Data!$E$1:$BM$1,),)-VLOOKUP(A33,Data!$E:$BM,MATCH(yoy!$X$1,Data!$E$1:$BM$1,),))/VLOOKUP(A33,Data!$E:$BM,MATCH(yoy!$X$1,Data!$E$1:$BM$1,),)</f>
        <v>5.7669835096893558E-2</v>
      </c>
      <c r="Y33" s="14">
        <f>(VLOOKUP(B33,Data!$E:$BM,MATCH(yoy!$Y$1,Data!$E$1:$BM$1,),)-VLOOKUP(A33,Data!$E:$BM,MATCH(yoy!$Y$1,Data!$E$1:$BM$1,),))/VLOOKUP(A33,Data!$E:$BM,MATCH(yoy!$Y$1,Data!$E$1:$BM$1,),)</f>
        <v>6.0666238702437071E-2</v>
      </c>
      <c r="Z33" s="14">
        <f>(VLOOKUP(B33,Data!$E:$BM,MATCH(yoy!$Z$1,Data!$E$1:$BM$1,),)-VLOOKUP(A33,Data!$E:$BM,MATCH(yoy!$Z$1,Data!$E$1:$BM$1,),))/VLOOKUP(A33,Data!$E:$BM,MATCH(yoy!$Z$1,Data!$E$1:$BM$1,),)</f>
        <v>0.11020667744210975</v>
      </c>
      <c r="AA33" s="14">
        <f>(VLOOKUP(B33,Data!$E:$BM,MATCH(yoy!$AA$1,Data!$E$1:$BM$1,),)-VLOOKUP(A33,Data!$E:$BM,MATCH(yoy!$AA$1,Data!$E$1:$BM$1,),))/VLOOKUP(A33,Data!$E:$BM,MATCH(yoy!$AA$1,Data!$E$1:$BM$1,),)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(VLOOKUP(B34,Data!$E:$BM,MATCH(yoy!$C$1,Data!$E$1:$BM$1,),)-VLOOKUP(A34,Data!$E:$BM,MATCH(yoy!$C$1,Data!$E$1:$BM$1,),))/VLOOKUP(A34,Data!$E:$BM,MATCH(yoy!$C$1,Data!$E$1:$BM$1,),)</f>
        <v>6.6459140744758186E-2</v>
      </c>
      <c r="D34" s="14">
        <f>(VLOOKUP(B34,Data!$E:$BM,MATCH(yoy!$D$1,Data!$E$1:$BM$1,),)-VLOOKUP(A34,Data!$E:$BM,MATCH(yoy!$D$1,Data!$E$1:$BM$1,),))/VLOOKUP(A34,Data!$E:$BM,MATCH(yoy!$D$1,Data!$E$1:$BM$1,),)</f>
        <v>5.7276911599799113E-2</v>
      </c>
      <c r="E34" s="14">
        <f>(VLOOKUP(B34,Data!$E:$BM,MATCH(yoy!$E$1,Data!$E$1:$BM$1,),)-VLOOKUP(A34,Data!$E:$BM,MATCH(yoy!$E$1,Data!$E$1:$BM$1,),))/VLOOKUP(A34,Data!$E:$BM,MATCH(yoy!$E$1,Data!$E$1:$BM$1,),)</f>
        <v>9.6599752653762888E-2</v>
      </c>
      <c r="F34" s="14">
        <f>(VLOOKUP(B34,Data!$E:$BM,MATCH(yoy!$F$1,Data!$E$1:$BM$1,),)-VLOOKUP(A34,Data!$E:$BM,MATCH(yoy!$F$1,Data!$E$1:$BM$1,),))/VLOOKUP(A34,Data!$E:$BM,MATCH(yoy!$F$1,Data!$E$1:$BM$1,),)</f>
        <v>4.7052090933802589E-2</v>
      </c>
      <c r="G34" s="14">
        <f>(VLOOKUP(B34,Data!$E:$BM,MATCH(yoy!$G$1,Data!$E$1:$BM$1,),)-VLOOKUP(A34,Data!$E:$BM,MATCH(yoy!$G$1,Data!$E$1:$BM$1,),))/VLOOKUP(A34,Data!$E:$BM,MATCH(yoy!$G$1,Data!$E$1:$BM$1,),)</f>
        <v>3.328810563425523E-2</v>
      </c>
      <c r="H34" s="14">
        <f>(VLOOKUP(B34,Data!$E:$BM,MATCH(yoy!$H$1,Data!$E$1:$BM$1,),)-VLOOKUP(A34,Data!$E:$BM,MATCH(yoy!$H$1,Data!$E$1:$BM$1,),))/VLOOKUP(A34,Data!$E:$BM,MATCH(yoy!$H$1,Data!$E$1:$BM$1,),)</f>
        <v>9.3343010018214947E-2</v>
      </c>
      <c r="I34" s="14">
        <f>(VLOOKUP(B34,Data!$E:$BM,MATCH(yoy!$I$1,Data!$E$1:$BM$1,),)-VLOOKUP(A34,Data!$E:$BM,MATCH(yoy!$I$1,Data!$E$1:$BM$1,),))/VLOOKUP(A34,Data!$E:$BM,MATCH(yoy!$I$1,Data!$E$1:$BM$1,),)</f>
        <v>3.9348354721077533E-2</v>
      </c>
      <c r="J34" s="14">
        <f>(VLOOKUP(B34,Data!$E:$BM,MATCH(yoy!$J$1,Data!$E$1:$BM$1,),)-VLOOKUP(A34,Data!$E:$BM,MATCH(yoy!$J$1,Data!$E$1:$BM$1,),))/VLOOKUP(A34,Data!$E:$BM,MATCH(yoy!$J$1,Data!$E$1:$BM$1,),)</f>
        <v>0.10651820443111852</v>
      </c>
      <c r="K34" s="14">
        <f>(VLOOKUP(B34,Data!$E:$BM,MATCH(yoy!$K$1,Data!$E$1:$BM$1,),)-VLOOKUP(A34,Data!$E:$BM,MATCH(yoy!$K$1,Data!$E$1:$BM$1,),))/VLOOKUP(A34,Data!$E:$BM,MATCH(yoy!$K$1,Data!$E$1:$BM$1,),)</f>
        <v>6.7386738034055871E-2</v>
      </c>
      <c r="L34" s="14">
        <f>(VLOOKUP(B34,Data!$E:$BM,MATCH(yoy!$L$1,Data!$E$1:$BM$1,),)-VLOOKUP(A34,Data!$E:$BM,MATCH(yoy!$L$1,Data!$E$1:$BM$1,),))/VLOOKUP(A34,Data!$E:$BM,MATCH(yoy!$L$1,Data!$E$1:$BM$1,),)</f>
        <v>9.62835292857675E-2</v>
      </c>
      <c r="M34" s="14">
        <f>(VLOOKUP(B34,Data!$E:$BM,MATCH(yoy!$M$1,Data!$E$1:$BM$1,),)-VLOOKUP(A34,Data!$E:$BM,MATCH(yoy!$M$1,Data!$E$1:$BM$1,),))/VLOOKUP(A34,Data!$E:$BM,MATCH(yoy!$M$1,Data!$E$1:$BM$1,),)</f>
        <v>7.3460887874121972E-2</v>
      </c>
      <c r="N34" s="14">
        <f>(VLOOKUP(B34,Data!$E:$BM,MATCH(yoy!$N$1,Data!$E$1:$BM$1,),)-VLOOKUP(A34,Data!$E:$BM,MATCH(yoy!$N$1,Data!$E$1:$BM$1,),))/VLOOKUP(A34,Data!$E:$BM,MATCH(yoy!$N$1,Data!$E$1:$BM$1,),)</f>
        <v>3.1647059033268435E-2</v>
      </c>
      <c r="O34" s="14">
        <f>(VLOOKUP(B34,Data!$E:$BM,MATCH(yoy!$O$1,Data!$E$1:$BM$1,),)-VLOOKUP(A34,Data!$E:$BM,MATCH(yoy!$O$1,Data!$E$1:$BM$1,),))/VLOOKUP(A34,Data!$E:$BM,MATCH(yoy!$O$1,Data!$E$1:$BM$1,),)</f>
        <v>7.4355692854875421E-2</v>
      </c>
      <c r="P34" s="14">
        <f>(VLOOKUP(B34,Data!$E:$BM,MATCH(yoy!$P$1,Data!$E$1:$BM$1,),)-VLOOKUP(A34,Data!$E:$BM,MATCH(yoy!$P$1,Data!$E$1:$BM$1,),))/VLOOKUP(A34,Data!$E:$BM,MATCH(yoy!$P$1,Data!$E$1:$BM$1,),)</f>
        <v>6.764861299465301E-2</v>
      </c>
      <c r="Q34" s="14">
        <f>(VLOOKUP(B34,Data!$E:$BM,MATCH(yoy!$Q$1,Data!$E$1:$BM$1,),)-VLOOKUP(A34,Data!$E:$BM,MATCH(yoy!$Q$1,Data!$E$1:$BM$1,),))/VLOOKUP(A34,Data!$E:$BM,MATCH(yoy!$Q$1,Data!$E$1:$BM$1,),)</f>
        <v>7.5937811089273999E-2</v>
      </c>
      <c r="R34" s="14">
        <f>(VLOOKUP(B34,Data!$E:$BM,MATCH(yoy!$R$1,Data!$E$1:$BM$1,),)-VLOOKUP(A34,Data!$E:$BM,MATCH(yoy!$R$1,Data!$E$1:$BM$1,),))/VLOOKUP(A34,Data!$E:$BM,MATCH(yoy!$R$1,Data!$E$1:$BM$1,),)</f>
        <v>0.10622860901251903</v>
      </c>
      <c r="S34" s="14">
        <f>(VLOOKUP(B34,Data!$E:$BM,MATCH(yoy!$S$1,Data!$E$1:$BM$1,),)-VLOOKUP(A34,Data!$E:$BM,MATCH(yoy!$S$1,Data!$E$1:$BM$1,),))/VLOOKUP(A34,Data!$E:$BM,MATCH(yoy!$S$1,Data!$E$1:$BM$1,),)</f>
        <v>6.7990365294451002E-2</v>
      </c>
      <c r="T34" s="14">
        <f>(VLOOKUP(B34,Data!$E:$BM,MATCH(yoy!$T$1,Data!$E$1:$BM$1,),)-VLOOKUP(A34,Data!$E:$BM,MATCH(yoy!$T$1,Data!$E$1:$BM$1,),))/VLOOKUP(A34,Data!$E:$BM,MATCH(yoy!$T$1,Data!$E$1:$BM$1,),)</f>
        <v>8.1997350809970698E-2</v>
      </c>
      <c r="U34" s="14">
        <f>(VLOOKUP(B34,Data!$E:$BM,MATCH(yoy!$U$1,Data!$E$1:$BM$1,),)-VLOOKUP(A34,Data!$E:$BM,MATCH(yoy!$U$1,Data!$E$1:$BM$1,),))/VLOOKUP(A34,Data!$E:$BM,MATCH(yoy!$U$1,Data!$E$1:$BM$1,),)</f>
        <v>1.6940455284587382E-4</v>
      </c>
      <c r="V34" s="14">
        <f>(VLOOKUP(B34,Data!$E:$BM,MATCH(yoy!$V$1,Data!$E$1:$BM$1,),)-VLOOKUP(A34,Data!$E:$BM,MATCH(yoy!$V$1,Data!$E$1:$BM$1,),))/VLOOKUP(A34,Data!$E:$BM,MATCH(yoy!$V$1,Data!$E$1:$BM$1,),)</f>
        <v>5.2327640577975322E-2</v>
      </c>
      <c r="W34" s="14">
        <f>(VLOOKUP(B34,Data!$E:$BM,MATCH(yoy!$W$1,Data!$E$1:$BM$1,),)-VLOOKUP(A34,Data!$E:$BM,MATCH(yoy!$W$1,Data!$E$1:$BM$1,),))/VLOOKUP(A34,Data!$E:$BM,MATCH(yoy!$W$1,Data!$E$1:$BM$1,),)</f>
        <v>0.1868809905227978</v>
      </c>
      <c r="X34" s="14">
        <f>(VLOOKUP(B34,Data!$E:$BM,MATCH(yoy!$X$1,Data!$E$1:$BM$1,),)-VLOOKUP(A34,Data!$E:$BM,MATCH(yoy!$X$1,Data!$E$1:$BM$1,),))/VLOOKUP(A34,Data!$E:$BM,MATCH(yoy!$X$1,Data!$E$1:$BM$1,),)</f>
        <v>6.2035496760605095E-2</v>
      </c>
      <c r="Y34" s="14">
        <f>(VLOOKUP(B34,Data!$E:$BM,MATCH(yoy!$Y$1,Data!$E$1:$BM$1,),)-VLOOKUP(A34,Data!$E:$BM,MATCH(yoy!$Y$1,Data!$E$1:$BM$1,),))/VLOOKUP(A34,Data!$E:$BM,MATCH(yoy!$Y$1,Data!$E$1:$BM$1,),)</f>
        <v>6.1638666778194337E-2</v>
      </c>
      <c r="Z34" s="14">
        <f>(VLOOKUP(B34,Data!$E:$BM,MATCH(yoy!$Z$1,Data!$E$1:$BM$1,),)-VLOOKUP(A34,Data!$E:$BM,MATCH(yoy!$Z$1,Data!$E$1:$BM$1,),))/VLOOKUP(A34,Data!$E:$BM,MATCH(yoy!$Z$1,Data!$E$1:$BM$1,),)</f>
        <v>0.10298591559686507</v>
      </c>
      <c r="AA34" s="14">
        <f>(VLOOKUP(B34,Data!$E:$BM,MATCH(yoy!$AA$1,Data!$E$1:$BM$1,),)-VLOOKUP(A34,Data!$E:$BM,MATCH(yoy!$AA$1,Data!$E$1:$BM$1,),))/VLOOKUP(A34,Data!$E:$BM,MATCH(yoy!$AA$1,Data!$E$1:$BM$1,),)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(VLOOKUP(B35,Data!$E:$BM,MATCH(yoy!$C$1,Data!$E$1:$BM$1,),)-VLOOKUP(A35,Data!$E:$BM,MATCH(yoy!$C$1,Data!$E$1:$BM$1,),))/VLOOKUP(A35,Data!$E:$BM,MATCH(yoy!$C$1,Data!$E$1:$BM$1,),)</f>
        <v>6.4345613649438069E-2</v>
      </c>
      <c r="D35" s="14">
        <f>(VLOOKUP(B35,Data!$E:$BM,MATCH(yoy!$D$1,Data!$E$1:$BM$1,),)-VLOOKUP(A35,Data!$E:$BM,MATCH(yoy!$D$1,Data!$E$1:$BM$1,),))/VLOOKUP(A35,Data!$E:$BM,MATCH(yoy!$D$1,Data!$E$1:$BM$1,),)</f>
        <v>5.7125215895111145E-2</v>
      </c>
      <c r="E35" s="14">
        <f>(VLOOKUP(B35,Data!$E:$BM,MATCH(yoy!$E$1,Data!$E$1:$BM$1,),)-VLOOKUP(A35,Data!$E:$BM,MATCH(yoy!$E$1,Data!$E$1:$BM$1,),))/VLOOKUP(A35,Data!$E:$BM,MATCH(yoy!$E$1,Data!$E$1:$BM$1,),)</f>
        <v>9.4225494082740266E-2</v>
      </c>
      <c r="F35" s="14">
        <f>(VLOOKUP(B35,Data!$E:$BM,MATCH(yoy!$F$1,Data!$E$1:$BM$1,),)-VLOOKUP(A35,Data!$E:$BM,MATCH(yoy!$F$1,Data!$E$1:$BM$1,),))/VLOOKUP(A35,Data!$E:$BM,MATCH(yoy!$F$1,Data!$E$1:$BM$1,),)</f>
        <v>4.4943404426116489E-2</v>
      </c>
      <c r="G35" s="14">
        <f>(VLOOKUP(B35,Data!$E:$BM,MATCH(yoy!$G$1,Data!$E$1:$BM$1,),)-VLOOKUP(A35,Data!$E:$BM,MATCH(yoy!$G$1,Data!$E$1:$BM$1,),))/VLOOKUP(A35,Data!$E:$BM,MATCH(yoy!$G$1,Data!$E$1:$BM$1,),)</f>
        <v>3.3595579355309699E-2</v>
      </c>
      <c r="H35" s="14">
        <f>(VLOOKUP(B35,Data!$E:$BM,MATCH(yoy!$H$1,Data!$E$1:$BM$1,),)-VLOOKUP(A35,Data!$E:$BM,MATCH(yoy!$H$1,Data!$E$1:$BM$1,),))/VLOOKUP(A35,Data!$E:$BM,MATCH(yoy!$H$1,Data!$E$1:$BM$1,),)</f>
        <v>7.2296278424513014E-2</v>
      </c>
      <c r="I35" s="14">
        <f>(VLOOKUP(B35,Data!$E:$BM,MATCH(yoy!$I$1,Data!$E$1:$BM$1,),)-VLOOKUP(A35,Data!$E:$BM,MATCH(yoy!$I$1,Data!$E$1:$BM$1,),))/VLOOKUP(A35,Data!$E:$BM,MATCH(yoy!$I$1,Data!$E$1:$BM$1,),)</f>
        <v>3.9132136731611984E-2</v>
      </c>
      <c r="J35" s="14">
        <f>(VLOOKUP(B35,Data!$E:$BM,MATCH(yoy!$J$1,Data!$E$1:$BM$1,),)-VLOOKUP(A35,Data!$E:$BM,MATCH(yoy!$J$1,Data!$E$1:$BM$1,),))/VLOOKUP(A35,Data!$E:$BM,MATCH(yoy!$J$1,Data!$E$1:$BM$1,),)</f>
        <v>0.10323314318469692</v>
      </c>
      <c r="K35" s="14">
        <f>(VLOOKUP(B35,Data!$E:$BM,MATCH(yoy!$K$1,Data!$E$1:$BM$1,),)-VLOOKUP(A35,Data!$E:$BM,MATCH(yoy!$K$1,Data!$E$1:$BM$1,),))/VLOOKUP(A35,Data!$E:$BM,MATCH(yoy!$K$1,Data!$E$1:$BM$1,),)</f>
        <v>6.7564721191772106E-2</v>
      </c>
      <c r="L35" s="14">
        <f>(VLOOKUP(B35,Data!$E:$BM,MATCH(yoy!$L$1,Data!$E$1:$BM$1,),)-VLOOKUP(A35,Data!$E:$BM,MATCH(yoy!$L$1,Data!$E$1:$BM$1,),))/VLOOKUP(A35,Data!$E:$BM,MATCH(yoy!$L$1,Data!$E$1:$BM$1,),)</f>
        <v>9.1606383332748634E-2</v>
      </c>
      <c r="M35" s="14">
        <f>(VLOOKUP(B35,Data!$E:$BM,MATCH(yoy!$M$1,Data!$E$1:$BM$1,),)-VLOOKUP(A35,Data!$E:$BM,MATCH(yoy!$M$1,Data!$E$1:$BM$1,),))/VLOOKUP(A35,Data!$E:$BM,MATCH(yoy!$M$1,Data!$E$1:$BM$1,),)</f>
        <v>8.1393326542274352E-2</v>
      </c>
      <c r="N35" s="14">
        <f>(VLOOKUP(B35,Data!$E:$BM,MATCH(yoy!$N$1,Data!$E$1:$BM$1,),)-VLOOKUP(A35,Data!$E:$BM,MATCH(yoy!$N$1,Data!$E$1:$BM$1,),))/VLOOKUP(A35,Data!$E:$BM,MATCH(yoy!$N$1,Data!$E$1:$BM$1,),)</f>
        <v>3.8466007303875872E-2</v>
      </c>
      <c r="O35" s="14">
        <f>(VLOOKUP(B35,Data!$E:$BM,MATCH(yoy!$O$1,Data!$E$1:$BM$1,),)-VLOOKUP(A35,Data!$E:$BM,MATCH(yoy!$O$1,Data!$E$1:$BM$1,),))/VLOOKUP(A35,Data!$E:$BM,MATCH(yoy!$O$1,Data!$E$1:$BM$1,),)</f>
        <v>7.0513878585278481E-2</v>
      </c>
      <c r="P35" s="14">
        <f>(VLOOKUP(B35,Data!$E:$BM,MATCH(yoy!$P$1,Data!$E$1:$BM$1,),)-VLOOKUP(A35,Data!$E:$BM,MATCH(yoy!$P$1,Data!$E$1:$BM$1,),))/VLOOKUP(A35,Data!$E:$BM,MATCH(yoy!$P$1,Data!$E$1:$BM$1,),)</f>
        <v>5.1362904366312238E-2</v>
      </c>
      <c r="Q35" s="14">
        <f>(VLOOKUP(B35,Data!$E:$BM,MATCH(yoy!$Q$1,Data!$E$1:$BM$1,),)-VLOOKUP(A35,Data!$E:$BM,MATCH(yoy!$Q$1,Data!$E$1:$BM$1,),))/VLOOKUP(A35,Data!$E:$BM,MATCH(yoy!$Q$1,Data!$E$1:$BM$1,),)</f>
        <v>7.3593693746336133E-2</v>
      </c>
      <c r="R35" s="14">
        <f>(VLOOKUP(B35,Data!$E:$BM,MATCH(yoy!$R$1,Data!$E$1:$BM$1,),)-VLOOKUP(A35,Data!$E:$BM,MATCH(yoy!$R$1,Data!$E$1:$BM$1,),))/VLOOKUP(A35,Data!$E:$BM,MATCH(yoy!$R$1,Data!$E$1:$BM$1,),)</f>
        <v>9.8675910185122118E-2</v>
      </c>
      <c r="S35" s="14">
        <f>(VLOOKUP(B35,Data!$E:$BM,MATCH(yoy!$S$1,Data!$E$1:$BM$1,),)-VLOOKUP(A35,Data!$E:$BM,MATCH(yoy!$S$1,Data!$E$1:$BM$1,),))/VLOOKUP(A35,Data!$E:$BM,MATCH(yoy!$S$1,Data!$E$1:$BM$1,),)</f>
        <v>6.3947936967689509E-2</v>
      </c>
      <c r="T35" s="14">
        <f>(VLOOKUP(B35,Data!$E:$BM,MATCH(yoy!$T$1,Data!$E$1:$BM$1,),)-VLOOKUP(A35,Data!$E:$BM,MATCH(yoy!$T$1,Data!$E$1:$BM$1,),))/VLOOKUP(A35,Data!$E:$BM,MATCH(yoy!$T$1,Data!$E$1:$BM$1,),)</f>
        <v>7.8920528407361065E-2</v>
      </c>
      <c r="U35" s="14">
        <f>(VLOOKUP(B35,Data!$E:$BM,MATCH(yoy!$U$1,Data!$E$1:$BM$1,),)-VLOOKUP(A35,Data!$E:$BM,MATCH(yoy!$U$1,Data!$E$1:$BM$1,),))/VLOOKUP(A35,Data!$E:$BM,MATCH(yoy!$U$1,Data!$E$1:$BM$1,),)</f>
        <v>1.6810154754047979E-3</v>
      </c>
      <c r="V35" s="14">
        <f>(VLOOKUP(B35,Data!$E:$BM,MATCH(yoy!$V$1,Data!$E$1:$BM$1,),)-VLOOKUP(A35,Data!$E:$BM,MATCH(yoy!$V$1,Data!$E$1:$BM$1,),))/VLOOKUP(A35,Data!$E:$BM,MATCH(yoy!$V$1,Data!$E$1:$BM$1,),)</f>
        <v>5.5120797060374538E-2</v>
      </c>
      <c r="W35" s="14">
        <f>(VLOOKUP(B35,Data!$E:$BM,MATCH(yoy!$W$1,Data!$E$1:$BM$1,),)-VLOOKUP(A35,Data!$E:$BM,MATCH(yoy!$W$1,Data!$E$1:$BM$1,),))/VLOOKUP(A35,Data!$E:$BM,MATCH(yoy!$W$1,Data!$E$1:$BM$1,),)</f>
        <v>0.18496146044984535</v>
      </c>
      <c r="X35" s="14">
        <f>(VLOOKUP(B35,Data!$E:$BM,MATCH(yoy!$X$1,Data!$E$1:$BM$1,),)-VLOOKUP(A35,Data!$E:$BM,MATCH(yoy!$X$1,Data!$E$1:$BM$1,),))/VLOOKUP(A35,Data!$E:$BM,MATCH(yoy!$X$1,Data!$E$1:$BM$1,),)</f>
        <v>6.6789655065471187E-2</v>
      </c>
      <c r="Y35" s="14">
        <f>(VLOOKUP(B35,Data!$E:$BM,MATCH(yoy!$Y$1,Data!$E$1:$BM$1,),)-VLOOKUP(A35,Data!$E:$BM,MATCH(yoy!$Y$1,Data!$E$1:$BM$1,),))/VLOOKUP(A35,Data!$E:$BM,MATCH(yoy!$Y$1,Data!$E$1:$BM$1,),)</f>
        <v>6.3130692394362531E-2</v>
      </c>
      <c r="Z35" s="14">
        <f>(VLOOKUP(B35,Data!$E:$BM,MATCH(yoy!$Z$1,Data!$E$1:$BM$1,),)-VLOOKUP(A35,Data!$E:$BM,MATCH(yoy!$Z$1,Data!$E$1:$BM$1,),))/VLOOKUP(A35,Data!$E:$BM,MATCH(yoy!$Z$1,Data!$E$1:$BM$1,),)</f>
        <v>9.9654973647267789E-2</v>
      </c>
      <c r="AA35" s="14">
        <f>(VLOOKUP(B35,Data!$E:$BM,MATCH(yoy!$AA$1,Data!$E$1:$BM$1,),)-VLOOKUP(A35,Data!$E:$BM,MATCH(yoy!$AA$1,Data!$E$1:$BM$1,),))/VLOOKUP(A35,Data!$E:$BM,MATCH(yoy!$AA$1,Data!$E$1:$BM$1,),)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(VLOOKUP(B36,Data!$E:$BM,MATCH(yoy!$C$1,Data!$E$1:$BM$1,),)-VLOOKUP(A36,Data!$E:$BM,MATCH(yoy!$C$1,Data!$E$1:$BM$1,),))/VLOOKUP(A36,Data!$E:$BM,MATCH(yoy!$C$1,Data!$E$1:$BM$1,),)</f>
        <v>6.2696606855099257E-2</v>
      </c>
      <c r="D36" s="14">
        <f>(VLOOKUP(B36,Data!$E:$BM,MATCH(yoy!$D$1,Data!$E$1:$BM$1,),)-VLOOKUP(A36,Data!$E:$BM,MATCH(yoy!$D$1,Data!$E$1:$BM$1,),))/VLOOKUP(A36,Data!$E:$BM,MATCH(yoy!$D$1,Data!$E$1:$BM$1,),)</f>
        <v>5.4280640486321224E-2</v>
      </c>
      <c r="E36" s="14">
        <f>(VLOOKUP(B36,Data!$E:$BM,MATCH(yoy!$E$1,Data!$E$1:$BM$1,),)-VLOOKUP(A36,Data!$E:$BM,MATCH(yoy!$E$1,Data!$E$1:$BM$1,),))/VLOOKUP(A36,Data!$E:$BM,MATCH(yoy!$E$1,Data!$E$1:$BM$1,),)</f>
        <v>9.0717351555584483E-2</v>
      </c>
      <c r="F36" s="14">
        <f>(VLOOKUP(B36,Data!$E:$BM,MATCH(yoy!$F$1,Data!$E$1:$BM$1,),)-VLOOKUP(A36,Data!$E:$BM,MATCH(yoy!$F$1,Data!$E$1:$BM$1,),))/VLOOKUP(A36,Data!$E:$BM,MATCH(yoy!$F$1,Data!$E$1:$BM$1,),)</f>
        <v>4.5111274982509809E-2</v>
      </c>
      <c r="G36" s="14">
        <f>(VLOOKUP(B36,Data!$E:$BM,MATCH(yoy!$G$1,Data!$E$1:$BM$1,),)-VLOOKUP(A36,Data!$E:$BM,MATCH(yoy!$G$1,Data!$E$1:$BM$1,),))/VLOOKUP(A36,Data!$E:$BM,MATCH(yoy!$G$1,Data!$E$1:$BM$1,),)</f>
        <v>3.3501664913616294E-2</v>
      </c>
      <c r="H36" s="14">
        <f>(VLOOKUP(B36,Data!$E:$BM,MATCH(yoy!$H$1,Data!$E$1:$BM$1,),)-VLOOKUP(A36,Data!$E:$BM,MATCH(yoy!$H$1,Data!$E$1:$BM$1,),))/VLOOKUP(A36,Data!$E:$BM,MATCH(yoy!$H$1,Data!$E$1:$BM$1,),)</f>
        <v>7.0209512143758993E-2</v>
      </c>
      <c r="I36" s="14">
        <f>(VLOOKUP(B36,Data!$E:$BM,MATCH(yoy!$I$1,Data!$E$1:$BM$1,),)-VLOOKUP(A36,Data!$E:$BM,MATCH(yoy!$I$1,Data!$E$1:$BM$1,),))/VLOOKUP(A36,Data!$E:$BM,MATCH(yoy!$I$1,Data!$E$1:$BM$1,),)</f>
        <v>3.9831262096016173E-2</v>
      </c>
      <c r="J36" s="14">
        <f>(VLOOKUP(B36,Data!$E:$BM,MATCH(yoy!$J$1,Data!$E$1:$BM$1,),)-VLOOKUP(A36,Data!$E:$BM,MATCH(yoy!$J$1,Data!$E$1:$BM$1,),))/VLOOKUP(A36,Data!$E:$BM,MATCH(yoy!$J$1,Data!$E$1:$BM$1,),)</f>
        <v>9.4625123010288553E-2</v>
      </c>
      <c r="K36" s="14">
        <f>(VLOOKUP(B36,Data!$E:$BM,MATCH(yoy!$K$1,Data!$E$1:$BM$1,),)-VLOOKUP(A36,Data!$E:$BM,MATCH(yoy!$K$1,Data!$E$1:$BM$1,),))/VLOOKUP(A36,Data!$E:$BM,MATCH(yoy!$K$1,Data!$E$1:$BM$1,),)</f>
        <v>6.2386847151030919E-2</v>
      </c>
      <c r="L36" s="14">
        <f>(VLOOKUP(B36,Data!$E:$BM,MATCH(yoy!$L$1,Data!$E$1:$BM$1,),)-VLOOKUP(A36,Data!$E:$BM,MATCH(yoy!$L$1,Data!$E$1:$BM$1,),))/VLOOKUP(A36,Data!$E:$BM,MATCH(yoy!$L$1,Data!$E$1:$BM$1,),)</f>
        <v>8.9612497337417593E-2</v>
      </c>
      <c r="M36" s="14">
        <f>(VLOOKUP(B36,Data!$E:$BM,MATCH(yoy!$M$1,Data!$E$1:$BM$1,),)-VLOOKUP(A36,Data!$E:$BM,MATCH(yoy!$M$1,Data!$E$1:$BM$1,),))/VLOOKUP(A36,Data!$E:$BM,MATCH(yoy!$M$1,Data!$E$1:$BM$1,),)</f>
        <v>8.1852513804680449E-2</v>
      </c>
      <c r="N36" s="14">
        <f>(VLOOKUP(B36,Data!$E:$BM,MATCH(yoy!$N$1,Data!$E$1:$BM$1,),)-VLOOKUP(A36,Data!$E:$BM,MATCH(yoy!$N$1,Data!$E$1:$BM$1,),))/VLOOKUP(A36,Data!$E:$BM,MATCH(yoy!$N$1,Data!$E$1:$BM$1,),)</f>
        <v>3.6645332780011641E-2</v>
      </c>
      <c r="O36" s="14">
        <f>(VLOOKUP(B36,Data!$E:$BM,MATCH(yoy!$O$1,Data!$E$1:$BM$1,),)-VLOOKUP(A36,Data!$E:$BM,MATCH(yoy!$O$1,Data!$E$1:$BM$1,),))/VLOOKUP(A36,Data!$E:$BM,MATCH(yoy!$O$1,Data!$E$1:$BM$1,),)</f>
        <v>6.1534714025494403E-2</v>
      </c>
      <c r="P36" s="14">
        <f>(VLOOKUP(B36,Data!$E:$BM,MATCH(yoy!$P$1,Data!$E$1:$BM$1,),)-VLOOKUP(A36,Data!$E:$BM,MATCH(yoy!$P$1,Data!$E$1:$BM$1,),))/VLOOKUP(A36,Data!$E:$BM,MATCH(yoy!$P$1,Data!$E$1:$BM$1,),)</f>
        <v>4.9842093544238714E-2</v>
      </c>
      <c r="Q36" s="14">
        <f>(VLOOKUP(B36,Data!$E:$BM,MATCH(yoy!$Q$1,Data!$E$1:$BM$1,),)-VLOOKUP(A36,Data!$E:$BM,MATCH(yoy!$Q$1,Data!$E$1:$BM$1,),))/VLOOKUP(A36,Data!$E:$BM,MATCH(yoy!$Q$1,Data!$E$1:$BM$1,),)</f>
        <v>6.8910944833621007E-2</v>
      </c>
      <c r="R36" s="14">
        <f>(VLOOKUP(B36,Data!$E:$BM,MATCH(yoy!$R$1,Data!$E$1:$BM$1,),)-VLOOKUP(A36,Data!$E:$BM,MATCH(yoy!$R$1,Data!$E$1:$BM$1,),))/VLOOKUP(A36,Data!$E:$BM,MATCH(yoy!$R$1,Data!$E$1:$BM$1,),)</f>
        <v>9.7008553272891179E-2</v>
      </c>
      <c r="S36" s="14">
        <f>(VLOOKUP(B36,Data!$E:$BM,MATCH(yoy!$S$1,Data!$E$1:$BM$1,),)-VLOOKUP(A36,Data!$E:$BM,MATCH(yoy!$S$1,Data!$E$1:$BM$1,),))/VLOOKUP(A36,Data!$E:$BM,MATCH(yoy!$S$1,Data!$E$1:$BM$1,),)</f>
        <v>5.8571651197599404E-2</v>
      </c>
      <c r="T36" s="14">
        <f>(VLOOKUP(B36,Data!$E:$BM,MATCH(yoy!$T$1,Data!$E$1:$BM$1,),)-VLOOKUP(A36,Data!$E:$BM,MATCH(yoy!$T$1,Data!$E$1:$BM$1,),))/VLOOKUP(A36,Data!$E:$BM,MATCH(yoy!$T$1,Data!$E$1:$BM$1,),)</f>
        <v>6.782871893397445E-2</v>
      </c>
      <c r="U36" s="14">
        <f>(VLOOKUP(B36,Data!$E:$BM,MATCH(yoy!$U$1,Data!$E$1:$BM$1,),)-VLOOKUP(A36,Data!$E:$BM,MATCH(yoy!$U$1,Data!$E$1:$BM$1,),))/VLOOKUP(A36,Data!$E:$BM,MATCH(yoy!$U$1,Data!$E$1:$BM$1,),)</f>
        <v>8.4865671493800955E-3</v>
      </c>
      <c r="V36" s="14">
        <f>(VLOOKUP(B36,Data!$E:$BM,MATCH(yoy!$V$1,Data!$E$1:$BM$1,),)-VLOOKUP(A36,Data!$E:$BM,MATCH(yoy!$V$1,Data!$E$1:$BM$1,),))/VLOOKUP(A36,Data!$E:$BM,MATCH(yoy!$V$1,Data!$E$1:$BM$1,),)</f>
        <v>5.9642202942610752E-2</v>
      </c>
      <c r="W36" s="14">
        <f>(VLOOKUP(B36,Data!$E:$BM,MATCH(yoy!$W$1,Data!$E$1:$BM$1,),)-VLOOKUP(A36,Data!$E:$BM,MATCH(yoy!$W$1,Data!$E$1:$BM$1,),))/VLOOKUP(A36,Data!$E:$BM,MATCH(yoy!$W$1,Data!$E$1:$BM$1,),)</f>
        <v>0.19103592783768594</v>
      </c>
      <c r="X36" s="14">
        <f>(VLOOKUP(B36,Data!$E:$BM,MATCH(yoy!$X$1,Data!$E$1:$BM$1,),)-VLOOKUP(A36,Data!$E:$BM,MATCH(yoy!$X$1,Data!$E$1:$BM$1,),))/VLOOKUP(A36,Data!$E:$BM,MATCH(yoy!$X$1,Data!$E$1:$BM$1,),)</f>
        <v>6.9599811376539589E-2</v>
      </c>
      <c r="Y36" s="14">
        <f>(VLOOKUP(B36,Data!$E:$BM,MATCH(yoy!$Y$1,Data!$E$1:$BM$1,),)-VLOOKUP(A36,Data!$E:$BM,MATCH(yoy!$Y$1,Data!$E$1:$BM$1,),))/VLOOKUP(A36,Data!$E:$BM,MATCH(yoy!$Y$1,Data!$E$1:$BM$1,),)</f>
        <v>6.4717952076136884E-2</v>
      </c>
      <c r="Z36" s="14">
        <f>(VLOOKUP(B36,Data!$E:$BM,MATCH(yoy!$Z$1,Data!$E$1:$BM$1,),)-VLOOKUP(A36,Data!$E:$BM,MATCH(yoy!$Z$1,Data!$E$1:$BM$1,),))/VLOOKUP(A36,Data!$E:$BM,MATCH(yoy!$Z$1,Data!$E$1:$BM$1,),)</f>
        <v>9.9880358213531792E-2</v>
      </c>
      <c r="AA36" s="14">
        <f>(VLOOKUP(B36,Data!$E:$BM,MATCH(yoy!$AA$1,Data!$E$1:$BM$1,),)-VLOOKUP(A36,Data!$E:$BM,MATCH(yoy!$AA$1,Data!$E$1:$BM$1,),))/VLOOKUP(A36,Data!$E:$BM,MATCH(yoy!$AA$1,Data!$E$1:$BM$1,),)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(VLOOKUP(B37,Data!$E:$BM,MATCH(yoy!$C$1,Data!$E$1:$BM$1,),)-VLOOKUP(A37,Data!$E:$BM,MATCH(yoy!$C$1,Data!$E$1:$BM$1,),))/VLOOKUP(A37,Data!$E:$BM,MATCH(yoy!$C$1,Data!$E$1:$BM$1,),)</f>
        <v>6.1888208272358407E-2</v>
      </c>
      <c r="D37" s="14">
        <f>(VLOOKUP(B37,Data!$E:$BM,MATCH(yoy!$D$1,Data!$E$1:$BM$1,),)-VLOOKUP(A37,Data!$E:$BM,MATCH(yoy!$D$1,Data!$E$1:$BM$1,),))/VLOOKUP(A37,Data!$E:$BM,MATCH(yoy!$D$1,Data!$E$1:$BM$1,),)</f>
        <v>5.2621955442687322E-2</v>
      </c>
      <c r="E37" s="14">
        <f>(VLOOKUP(B37,Data!$E:$BM,MATCH(yoy!$E$1,Data!$E$1:$BM$1,),)-VLOOKUP(A37,Data!$E:$BM,MATCH(yoy!$E$1,Data!$E$1:$BM$1,),))/VLOOKUP(A37,Data!$E:$BM,MATCH(yoy!$E$1,Data!$E$1:$BM$1,),)</f>
        <v>8.9693384036516097E-2</v>
      </c>
      <c r="F37" s="14">
        <f>(VLOOKUP(B37,Data!$E:$BM,MATCH(yoy!$F$1,Data!$E$1:$BM$1,),)-VLOOKUP(A37,Data!$E:$BM,MATCH(yoy!$F$1,Data!$E$1:$BM$1,),))/VLOOKUP(A37,Data!$E:$BM,MATCH(yoy!$F$1,Data!$E$1:$BM$1,),)</f>
        <v>4.8588735418035961E-2</v>
      </c>
      <c r="G37" s="14">
        <f>(VLOOKUP(B37,Data!$E:$BM,MATCH(yoy!$G$1,Data!$E$1:$BM$1,),)-VLOOKUP(A37,Data!$E:$BM,MATCH(yoy!$G$1,Data!$E$1:$BM$1,),))/VLOOKUP(A37,Data!$E:$BM,MATCH(yoy!$G$1,Data!$E$1:$BM$1,),)</f>
        <v>3.3963989125802202E-2</v>
      </c>
      <c r="H37" s="14">
        <f>(VLOOKUP(B37,Data!$E:$BM,MATCH(yoy!$H$1,Data!$E$1:$BM$1,),)-VLOOKUP(A37,Data!$E:$BM,MATCH(yoy!$H$1,Data!$E$1:$BM$1,),))/VLOOKUP(A37,Data!$E:$BM,MATCH(yoy!$H$1,Data!$E$1:$BM$1,),)</f>
        <v>7.1342481163189073E-2</v>
      </c>
      <c r="I37" s="14">
        <f>(VLOOKUP(B37,Data!$E:$BM,MATCH(yoy!$I$1,Data!$E$1:$BM$1,),)-VLOOKUP(A37,Data!$E:$BM,MATCH(yoy!$I$1,Data!$E$1:$BM$1,),))/VLOOKUP(A37,Data!$E:$BM,MATCH(yoy!$I$1,Data!$E$1:$BM$1,),)</f>
        <v>4.1772724399033151E-2</v>
      </c>
      <c r="J37" s="14">
        <f>(VLOOKUP(B37,Data!$E:$BM,MATCH(yoy!$J$1,Data!$E$1:$BM$1,),)-VLOOKUP(A37,Data!$E:$BM,MATCH(yoy!$J$1,Data!$E$1:$BM$1,),))/VLOOKUP(A37,Data!$E:$BM,MATCH(yoy!$J$1,Data!$E$1:$BM$1,),)</f>
        <v>9.836346663110361E-2</v>
      </c>
      <c r="K37" s="14">
        <f>(VLOOKUP(B37,Data!$E:$BM,MATCH(yoy!$K$1,Data!$E$1:$BM$1,),)-VLOOKUP(A37,Data!$E:$BM,MATCH(yoy!$K$1,Data!$E$1:$BM$1,),))/VLOOKUP(A37,Data!$E:$BM,MATCH(yoy!$K$1,Data!$E$1:$BM$1,),)</f>
        <v>5.5523907756654667E-2</v>
      </c>
      <c r="L37" s="14">
        <f>(VLOOKUP(B37,Data!$E:$BM,MATCH(yoy!$L$1,Data!$E$1:$BM$1,),)-VLOOKUP(A37,Data!$E:$BM,MATCH(yoy!$L$1,Data!$E$1:$BM$1,),))/VLOOKUP(A37,Data!$E:$BM,MATCH(yoy!$L$1,Data!$E$1:$BM$1,),)</f>
        <v>9.0910937233712838E-2</v>
      </c>
      <c r="M37" s="14">
        <f>(VLOOKUP(B37,Data!$E:$BM,MATCH(yoy!$M$1,Data!$E$1:$BM$1,),)-VLOOKUP(A37,Data!$E:$BM,MATCH(yoy!$M$1,Data!$E$1:$BM$1,),))/VLOOKUP(A37,Data!$E:$BM,MATCH(yoy!$M$1,Data!$E$1:$BM$1,),)</f>
        <v>7.5367733424041169E-2</v>
      </c>
      <c r="N37" s="14">
        <f>(VLOOKUP(B37,Data!$E:$BM,MATCH(yoy!$N$1,Data!$E$1:$BM$1,),)-VLOOKUP(A37,Data!$E:$BM,MATCH(yoy!$N$1,Data!$E$1:$BM$1,),))/VLOOKUP(A37,Data!$E:$BM,MATCH(yoy!$N$1,Data!$E$1:$BM$1,),)</f>
        <v>4.2397883966521152E-2</v>
      </c>
      <c r="O37" s="14">
        <f>(VLOOKUP(B37,Data!$E:$BM,MATCH(yoy!$O$1,Data!$E$1:$BM$1,),)-VLOOKUP(A37,Data!$E:$BM,MATCH(yoy!$O$1,Data!$E$1:$BM$1,),))/VLOOKUP(A37,Data!$E:$BM,MATCH(yoy!$O$1,Data!$E$1:$BM$1,),)</f>
        <v>5.5881657580182313E-2</v>
      </c>
      <c r="P37" s="14">
        <f>(VLOOKUP(B37,Data!$E:$BM,MATCH(yoy!$P$1,Data!$E$1:$BM$1,),)-VLOOKUP(A37,Data!$E:$BM,MATCH(yoy!$P$1,Data!$E$1:$BM$1,),))/VLOOKUP(A37,Data!$E:$BM,MATCH(yoy!$P$1,Data!$E$1:$BM$1,),)</f>
        <v>4.6461191749702896E-2</v>
      </c>
      <c r="Q37" s="14">
        <f>(VLOOKUP(B37,Data!$E:$BM,MATCH(yoy!$Q$1,Data!$E$1:$BM$1,),)-VLOOKUP(A37,Data!$E:$BM,MATCH(yoy!$Q$1,Data!$E$1:$BM$1,),))/VLOOKUP(A37,Data!$E:$BM,MATCH(yoy!$Q$1,Data!$E$1:$BM$1,),)</f>
        <v>6.8478659364216668E-2</v>
      </c>
      <c r="R37" s="14">
        <f>(VLOOKUP(B37,Data!$E:$BM,MATCH(yoy!$R$1,Data!$E$1:$BM$1,),)-VLOOKUP(A37,Data!$E:$BM,MATCH(yoy!$R$1,Data!$E$1:$BM$1,),))/VLOOKUP(A37,Data!$E:$BM,MATCH(yoy!$R$1,Data!$E$1:$BM$1,),)</f>
        <v>0.10427525042272022</v>
      </c>
      <c r="S37" s="14">
        <f>(VLOOKUP(B37,Data!$E:$BM,MATCH(yoy!$S$1,Data!$E$1:$BM$1,),)-VLOOKUP(A37,Data!$E:$BM,MATCH(yoy!$S$1,Data!$E$1:$BM$1,),))/VLOOKUP(A37,Data!$E:$BM,MATCH(yoy!$S$1,Data!$E$1:$BM$1,),)</f>
        <v>5.7924834020120705E-2</v>
      </c>
      <c r="T37" s="14">
        <f>(VLOOKUP(B37,Data!$E:$BM,MATCH(yoy!$T$1,Data!$E$1:$BM$1,),)-VLOOKUP(A37,Data!$E:$BM,MATCH(yoy!$T$1,Data!$E$1:$BM$1,),))/VLOOKUP(A37,Data!$E:$BM,MATCH(yoy!$T$1,Data!$E$1:$BM$1,),)</f>
        <v>5.9565056609328731E-2</v>
      </c>
      <c r="U37" s="14">
        <f>(VLOOKUP(B37,Data!$E:$BM,MATCH(yoy!$U$1,Data!$E$1:$BM$1,),)-VLOOKUP(A37,Data!$E:$BM,MATCH(yoy!$U$1,Data!$E$1:$BM$1,),))/VLOOKUP(A37,Data!$E:$BM,MATCH(yoy!$U$1,Data!$E$1:$BM$1,),)</f>
        <v>2.2227831531813819E-2</v>
      </c>
      <c r="V37" s="14">
        <f>(VLOOKUP(B37,Data!$E:$BM,MATCH(yoy!$V$1,Data!$E$1:$BM$1,),)-VLOOKUP(A37,Data!$E:$BM,MATCH(yoy!$V$1,Data!$E$1:$BM$1,),))/VLOOKUP(A37,Data!$E:$BM,MATCH(yoy!$V$1,Data!$E$1:$BM$1,),)</f>
        <v>6.4797838011959943E-2</v>
      </c>
      <c r="W37" s="14">
        <f>(VLOOKUP(B37,Data!$E:$BM,MATCH(yoy!$W$1,Data!$E$1:$BM$1,),)-VLOOKUP(A37,Data!$E:$BM,MATCH(yoy!$W$1,Data!$E$1:$BM$1,),))/VLOOKUP(A37,Data!$E:$BM,MATCH(yoy!$W$1,Data!$E$1:$BM$1,),)</f>
        <v>0.19952945292342686</v>
      </c>
      <c r="X37" s="14">
        <f>(VLOOKUP(B37,Data!$E:$BM,MATCH(yoy!$X$1,Data!$E$1:$BM$1,),)-VLOOKUP(A37,Data!$E:$BM,MATCH(yoy!$X$1,Data!$E$1:$BM$1,),))/VLOOKUP(A37,Data!$E:$BM,MATCH(yoy!$X$1,Data!$E$1:$BM$1,),)</f>
        <v>6.9668141469379982E-2</v>
      </c>
      <c r="Y37" s="14">
        <f>(VLOOKUP(B37,Data!$E:$BM,MATCH(yoy!$Y$1,Data!$E$1:$BM$1,),)-VLOOKUP(A37,Data!$E:$BM,MATCH(yoy!$Y$1,Data!$E$1:$BM$1,),))/VLOOKUP(A37,Data!$E:$BM,MATCH(yoy!$Y$1,Data!$E$1:$BM$1,),)</f>
        <v>6.811654641877514E-2</v>
      </c>
      <c r="Z37" s="14">
        <f>(VLOOKUP(B37,Data!$E:$BM,MATCH(yoy!$Z$1,Data!$E$1:$BM$1,),)-VLOOKUP(A37,Data!$E:$BM,MATCH(yoy!$Z$1,Data!$E$1:$BM$1,),))/VLOOKUP(A37,Data!$E:$BM,MATCH(yoy!$Z$1,Data!$E$1:$BM$1,),)</f>
        <v>9.9464304859234631E-2</v>
      </c>
      <c r="AA37" s="14">
        <f>(VLOOKUP(B37,Data!$E:$BM,MATCH(yoy!$AA$1,Data!$E$1:$BM$1,),)-VLOOKUP(A37,Data!$E:$BM,MATCH(yoy!$AA$1,Data!$E$1:$BM$1,),))/VLOOKUP(A37,Data!$E:$BM,MATCH(yoy!$AA$1,Data!$E$1:$BM$1,),)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(VLOOKUP(B38,Data!$E:$BM,MATCH(yoy!$C$1,Data!$E$1:$BM$1,),)-VLOOKUP(A38,Data!$E:$BM,MATCH(yoy!$C$1,Data!$E$1:$BM$1,),))/VLOOKUP(A38,Data!$E:$BM,MATCH(yoy!$C$1,Data!$E$1:$BM$1,),)</f>
        <v>6.1168803937581312E-2</v>
      </c>
      <c r="D38" s="14">
        <f>(VLOOKUP(B38,Data!$E:$BM,MATCH(yoy!$D$1,Data!$E$1:$BM$1,),)-VLOOKUP(A38,Data!$E:$BM,MATCH(yoy!$D$1,Data!$E$1:$BM$1,),))/VLOOKUP(A38,Data!$E:$BM,MATCH(yoy!$D$1,Data!$E$1:$BM$1,),)</f>
        <v>5.1117239402669129E-2</v>
      </c>
      <c r="E38" s="14">
        <f>(VLOOKUP(B38,Data!$E:$BM,MATCH(yoy!$E$1,Data!$E$1:$BM$1,),)-VLOOKUP(A38,Data!$E:$BM,MATCH(yoy!$E$1,Data!$E$1:$BM$1,),))/VLOOKUP(A38,Data!$E:$BM,MATCH(yoy!$E$1,Data!$E$1:$BM$1,),)</f>
        <v>8.8823767178658058E-2</v>
      </c>
      <c r="F38" s="14">
        <f>(VLOOKUP(B38,Data!$E:$BM,MATCH(yoy!$F$1,Data!$E$1:$BM$1,),)-VLOOKUP(A38,Data!$E:$BM,MATCH(yoy!$F$1,Data!$E$1:$BM$1,),))/VLOOKUP(A38,Data!$E:$BM,MATCH(yoy!$F$1,Data!$E$1:$BM$1,),)</f>
        <v>4.860593733681963E-2</v>
      </c>
      <c r="G38" s="14">
        <f>(VLOOKUP(B38,Data!$E:$BM,MATCH(yoy!$G$1,Data!$E$1:$BM$1,),)-VLOOKUP(A38,Data!$E:$BM,MATCH(yoy!$G$1,Data!$E$1:$BM$1,),))/VLOOKUP(A38,Data!$E:$BM,MATCH(yoy!$G$1,Data!$E$1:$BM$1,),)</f>
        <v>3.4224541208807177E-2</v>
      </c>
      <c r="H38" s="14">
        <f>(VLOOKUP(B38,Data!$E:$BM,MATCH(yoy!$H$1,Data!$E$1:$BM$1,),)-VLOOKUP(A38,Data!$E:$BM,MATCH(yoy!$H$1,Data!$E$1:$BM$1,),))/VLOOKUP(A38,Data!$E:$BM,MATCH(yoy!$H$1,Data!$E$1:$BM$1,),)</f>
        <v>6.6788045208532418E-2</v>
      </c>
      <c r="I38" s="14">
        <f>(VLOOKUP(B38,Data!$E:$BM,MATCH(yoy!$I$1,Data!$E$1:$BM$1,),)-VLOOKUP(A38,Data!$E:$BM,MATCH(yoy!$I$1,Data!$E$1:$BM$1,),))/VLOOKUP(A38,Data!$E:$BM,MATCH(yoy!$I$1,Data!$E$1:$BM$1,),)</f>
        <v>4.1870831400843307E-2</v>
      </c>
      <c r="J38" s="14">
        <f>(VLOOKUP(B38,Data!$E:$BM,MATCH(yoy!$J$1,Data!$E$1:$BM$1,),)-VLOOKUP(A38,Data!$E:$BM,MATCH(yoy!$J$1,Data!$E$1:$BM$1,),))/VLOOKUP(A38,Data!$E:$BM,MATCH(yoy!$J$1,Data!$E$1:$BM$1,),)</f>
        <v>9.7607843703313449E-2</v>
      </c>
      <c r="K38" s="14">
        <f>(VLOOKUP(B38,Data!$E:$BM,MATCH(yoy!$K$1,Data!$E$1:$BM$1,),)-VLOOKUP(A38,Data!$E:$BM,MATCH(yoy!$K$1,Data!$E$1:$BM$1,),))/VLOOKUP(A38,Data!$E:$BM,MATCH(yoy!$K$1,Data!$E$1:$BM$1,),)</f>
        <v>5.9497453176396146E-2</v>
      </c>
      <c r="L38" s="14">
        <f>(VLOOKUP(B38,Data!$E:$BM,MATCH(yoy!$L$1,Data!$E$1:$BM$1,),)-VLOOKUP(A38,Data!$E:$BM,MATCH(yoy!$L$1,Data!$E$1:$BM$1,),))/VLOOKUP(A38,Data!$E:$BM,MATCH(yoy!$L$1,Data!$E$1:$BM$1,),)</f>
        <v>9.1756987695413073E-2</v>
      </c>
      <c r="M38" s="14">
        <f>(VLOOKUP(B38,Data!$E:$BM,MATCH(yoy!$M$1,Data!$E$1:$BM$1,),)-VLOOKUP(A38,Data!$E:$BM,MATCH(yoy!$M$1,Data!$E$1:$BM$1,),))/VLOOKUP(A38,Data!$E:$BM,MATCH(yoy!$M$1,Data!$E$1:$BM$1,),)</f>
        <v>7.3303986414015129E-2</v>
      </c>
      <c r="N38" s="14">
        <f>(VLOOKUP(B38,Data!$E:$BM,MATCH(yoy!$N$1,Data!$E$1:$BM$1,),)-VLOOKUP(A38,Data!$E:$BM,MATCH(yoy!$N$1,Data!$E$1:$BM$1,),))/VLOOKUP(A38,Data!$E:$BM,MATCH(yoy!$N$1,Data!$E$1:$BM$1,),)</f>
        <v>4.9740726541646678E-2</v>
      </c>
      <c r="O38" s="14">
        <f>(VLOOKUP(B38,Data!$E:$BM,MATCH(yoy!$O$1,Data!$E$1:$BM$1,),)-VLOOKUP(A38,Data!$E:$BM,MATCH(yoy!$O$1,Data!$E$1:$BM$1,),))/VLOOKUP(A38,Data!$E:$BM,MATCH(yoy!$O$1,Data!$E$1:$BM$1,),)</f>
        <v>6.1808093800064176E-2</v>
      </c>
      <c r="P38" s="14">
        <f>(VLOOKUP(B38,Data!$E:$BM,MATCH(yoy!$P$1,Data!$E$1:$BM$1,),)-VLOOKUP(A38,Data!$E:$BM,MATCH(yoy!$P$1,Data!$E$1:$BM$1,),))/VLOOKUP(A38,Data!$E:$BM,MATCH(yoy!$P$1,Data!$E$1:$BM$1,),)</f>
        <v>4.6101706461391702E-2</v>
      </c>
      <c r="Q38" s="14">
        <f>(VLOOKUP(B38,Data!$E:$BM,MATCH(yoy!$Q$1,Data!$E$1:$BM$1,),)-VLOOKUP(A38,Data!$E:$BM,MATCH(yoy!$Q$1,Data!$E$1:$BM$1,),))/VLOOKUP(A38,Data!$E:$BM,MATCH(yoy!$Q$1,Data!$E$1:$BM$1,),)</f>
        <v>6.741044887039245E-2</v>
      </c>
      <c r="R38" s="14">
        <f>(VLOOKUP(B38,Data!$E:$BM,MATCH(yoy!$R$1,Data!$E$1:$BM$1,),)-VLOOKUP(A38,Data!$E:$BM,MATCH(yoy!$R$1,Data!$E$1:$BM$1,),))/VLOOKUP(A38,Data!$E:$BM,MATCH(yoy!$R$1,Data!$E$1:$BM$1,),)</f>
        <v>0.10763141645139962</v>
      </c>
      <c r="S38" s="14">
        <f>(VLOOKUP(B38,Data!$E:$BM,MATCH(yoy!$S$1,Data!$E$1:$BM$1,),)-VLOOKUP(A38,Data!$E:$BM,MATCH(yoy!$S$1,Data!$E$1:$BM$1,),))/VLOOKUP(A38,Data!$E:$BM,MATCH(yoy!$S$1,Data!$E$1:$BM$1,),)</f>
        <v>5.8180049291867618E-2</v>
      </c>
      <c r="T38" s="14">
        <f>(VLOOKUP(B38,Data!$E:$BM,MATCH(yoy!$T$1,Data!$E$1:$BM$1,),)-VLOOKUP(A38,Data!$E:$BM,MATCH(yoy!$T$1,Data!$E$1:$BM$1,),))/VLOOKUP(A38,Data!$E:$BM,MATCH(yoy!$T$1,Data!$E$1:$BM$1,),)</f>
        <v>5.7472256017578584E-2</v>
      </c>
      <c r="U38" s="14">
        <f>(VLOOKUP(B38,Data!$E:$BM,MATCH(yoy!$U$1,Data!$E$1:$BM$1,),)-VLOOKUP(A38,Data!$E:$BM,MATCH(yoy!$U$1,Data!$E$1:$BM$1,),))/VLOOKUP(A38,Data!$E:$BM,MATCH(yoy!$U$1,Data!$E$1:$BM$1,),)</f>
        <v>2.3631613204056805E-2</v>
      </c>
      <c r="V38" s="14">
        <f>(VLOOKUP(B38,Data!$E:$BM,MATCH(yoy!$V$1,Data!$E$1:$BM$1,),)-VLOOKUP(A38,Data!$E:$BM,MATCH(yoy!$V$1,Data!$E$1:$BM$1,),))/VLOOKUP(A38,Data!$E:$BM,MATCH(yoy!$V$1,Data!$E$1:$BM$1,),)</f>
        <v>5.7708994620134388E-2</v>
      </c>
      <c r="W38" s="14">
        <f>(VLOOKUP(B38,Data!$E:$BM,MATCH(yoy!$W$1,Data!$E$1:$BM$1,),)-VLOOKUP(A38,Data!$E:$BM,MATCH(yoy!$W$1,Data!$E$1:$BM$1,),))/VLOOKUP(A38,Data!$E:$BM,MATCH(yoy!$W$1,Data!$E$1:$BM$1,),)</f>
        <v>0.20948922024098218</v>
      </c>
      <c r="X38" s="14">
        <f>(VLOOKUP(B38,Data!$E:$BM,MATCH(yoy!$X$1,Data!$E$1:$BM$1,),)-VLOOKUP(A38,Data!$E:$BM,MATCH(yoy!$X$1,Data!$E$1:$BM$1,),))/VLOOKUP(A38,Data!$E:$BM,MATCH(yoy!$X$1,Data!$E$1:$BM$1,),)</f>
        <v>6.0548846170446667E-2</v>
      </c>
      <c r="Y38" s="14">
        <f>(VLOOKUP(B38,Data!$E:$BM,MATCH(yoy!$Y$1,Data!$E$1:$BM$1,),)-VLOOKUP(A38,Data!$E:$BM,MATCH(yoy!$Y$1,Data!$E$1:$BM$1,),))/VLOOKUP(A38,Data!$E:$BM,MATCH(yoy!$Y$1,Data!$E$1:$BM$1,),)</f>
        <v>7.0146932312922489E-2</v>
      </c>
      <c r="Z38" s="14">
        <f>(VLOOKUP(B38,Data!$E:$BM,MATCH(yoy!$Z$1,Data!$E$1:$BM$1,),)-VLOOKUP(A38,Data!$E:$BM,MATCH(yoy!$Z$1,Data!$E$1:$BM$1,),))/VLOOKUP(A38,Data!$E:$BM,MATCH(yoy!$Z$1,Data!$E$1:$BM$1,),)</f>
        <v>9.2084593455739217E-2</v>
      </c>
      <c r="AA38" s="14">
        <f>(VLOOKUP(B38,Data!$E:$BM,MATCH(yoy!$AA$1,Data!$E$1:$BM$1,),)-VLOOKUP(A38,Data!$E:$BM,MATCH(yoy!$AA$1,Data!$E$1:$BM$1,),))/VLOOKUP(A38,Data!$E:$BM,MATCH(yoy!$AA$1,Data!$E$1:$BM$1,),)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(VLOOKUP(B39,Data!$E:$BM,MATCH(yoy!$C$1,Data!$E$1:$BM$1,),)-VLOOKUP(A39,Data!$E:$BM,MATCH(yoy!$C$1,Data!$E$1:$BM$1,),))/VLOOKUP(A39,Data!$E:$BM,MATCH(yoy!$C$1,Data!$E$1:$BM$1,),)</f>
        <v>5.88638106966764E-2</v>
      </c>
      <c r="D39" s="14">
        <f>(VLOOKUP(B39,Data!$E:$BM,MATCH(yoy!$D$1,Data!$E$1:$BM$1,),)-VLOOKUP(A39,Data!$E:$BM,MATCH(yoy!$D$1,Data!$E$1:$BM$1,),))/VLOOKUP(A39,Data!$E:$BM,MATCH(yoy!$D$1,Data!$E$1:$BM$1,),)</f>
        <v>4.7405104813700118E-2</v>
      </c>
      <c r="E39" s="14">
        <f>(VLOOKUP(B39,Data!$E:$BM,MATCH(yoy!$E$1,Data!$E$1:$BM$1,),)-VLOOKUP(A39,Data!$E:$BM,MATCH(yoy!$E$1,Data!$E$1:$BM$1,),))/VLOOKUP(A39,Data!$E:$BM,MATCH(yoy!$E$1,Data!$E$1:$BM$1,),)</f>
        <v>8.8531977752076191E-2</v>
      </c>
      <c r="F39" s="14">
        <f>(VLOOKUP(B39,Data!$E:$BM,MATCH(yoy!$F$1,Data!$E$1:$BM$1,),)-VLOOKUP(A39,Data!$E:$BM,MATCH(yoy!$F$1,Data!$E$1:$BM$1,),))/VLOOKUP(A39,Data!$E:$BM,MATCH(yoy!$F$1,Data!$E$1:$BM$1,),)</f>
        <v>4.6684613138357096E-2</v>
      </c>
      <c r="G39" s="14">
        <f>(VLOOKUP(B39,Data!$E:$BM,MATCH(yoy!$G$1,Data!$E$1:$BM$1,),)-VLOOKUP(A39,Data!$E:$BM,MATCH(yoy!$G$1,Data!$E$1:$BM$1,),))/VLOOKUP(A39,Data!$E:$BM,MATCH(yoy!$G$1,Data!$E$1:$BM$1,),)</f>
        <v>3.3445445622338574E-2</v>
      </c>
      <c r="H39" s="14">
        <f>(VLOOKUP(B39,Data!$E:$BM,MATCH(yoy!$H$1,Data!$E$1:$BM$1,),)-VLOOKUP(A39,Data!$E:$BM,MATCH(yoy!$H$1,Data!$E$1:$BM$1,),))/VLOOKUP(A39,Data!$E:$BM,MATCH(yoy!$H$1,Data!$E$1:$BM$1,),)</f>
        <v>6.4065538350738194E-2</v>
      </c>
      <c r="I39" s="14">
        <f>(VLOOKUP(B39,Data!$E:$BM,MATCH(yoy!$I$1,Data!$E$1:$BM$1,),)-VLOOKUP(A39,Data!$E:$BM,MATCH(yoy!$I$1,Data!$E$1:$BM$1,),))/VLOOKUP(A39,Data!$E:$BM,MATCH(yoy!$I$1,Data!$E$1:$BM$1,),)</f>
        <v>4.1714221492779043E-2</v>
      </c>
      <c r="J39" s="14">
        <f>(VLOOKUP(B39,Data!$E:$BM,MATCH(yoy!$J$1,Data!$E$1:$BM$1,),)-VLOOKUP(A39,Data!$E:$BM,MATCH(yoy!$J$1,Data!$E$1:$BM$1,),))/VLOOKUP(A39,Data!$E:$BM,MATCH(yoy!$J$1,Data!$E$1:$BM$1,),)</f>
        <v>9.0967980586063577E-2</v>
      </c>
      <c r="K39" s="14">
        <f>(VLOOKUP(B39,Data!$E:$BM,MATCH(yoy!$K$1,Data!$E$1:$BM$1,),)-VLOOKUP(A39,Data!$E:$BM,MATCH(yoy!$K$1,Data!$E$1:$BM$1,),))/VLOOKUP(A39,Data!$E:$BM,MATCH(yoy!$K$1,Data!$E$1:$BM$1,),)</f>
        <v>6.1962142331986526E-2</v>
      </c>
      <c r="L39" s="14">
        <f>(VLOOKUP(B39,Data!$E:$BM,MATCH(yoy!$L$1,Data!$E$1:$BM$1,),)-VLOOKUP(A39,Data!$E:$BM,MATCH(yoy!$L$1,Data!$E$1:$BM$1,),))/VLOOKUP(A39,Data!$E:$BM,MATCH(yoy!$L$1,Data!$E$1:$BM$1,),)</f>
        <v>8.8985144309065289E-2</v>
      </c>
      <c r="M39" s="14">
        <f>(VLOOKUP(B39,Data!$E:$BM,MATCH(yoy!$M$1,Data!$E$1:$BM$1,),)-VLOOKUP(A39,Data!$E:$BM,MATCH(yoy!$M$1,Data!$E$1:$BM$1,),))/VLOOKUP(A39,Data!$E:$BM,MATCH(yoy!$M$1,Data!$E$1:$BM$1,),)</f>
        <v>7.8806760955648661E-2</v>
      </c>
      <c r="N39" s="14">
        <f>(VLOOKUP(B39,Data!$E:$BM,MATCH(yoy!$N$1,Data!$E$1:$BM$1,),)-VLOOKUP(A39,Data!$E:$BM,MATCH(yoy!$N$1,Data!$E$1:$BM$1,),))/VLOOKUP(A39,Data!$E:$BM,MATCH(yoy!$N$1,Data!$E$1:$BM$1,),)</f>
        <v>5.4160898876404538E-2</v>
      </c>
      <c r="O39" s="14">
        <f>(VLOOKUP(B39,Data!$E:$BM,MATCH(yoy!$O$1,Data!$E$1:$BM$1,),)-VLOOKUP(A39,Data!$E:$BM,MATCH(yoy!$O$1,Data!$E$1:$BM$1,),))/VLOOKUP(A39,Data!$E:$BM,MATCH(yoy!$O$1,Data!$E$1:$BM$1,),)</f>
        <v>6.8324023371455725E-2</v>
      </c>
      <c r="P39" s="14">
        <f>(VLOOKUP(B39,Data!$E:$BM,MATCH(yoy!$P$1,Data!$E$1:$BM$1,),)-VLOOKUP(A39,Data!$E:$BM,MATCH(yoy!$P$1,Data!$E$1:$BM$1,),))/VLOOKUP(A39,Data!$E:$BM,MATCH(yoy!$P$1,Data!$E$1:$BM$1,),)</f>
        <v>4.8676504492074869E-2</v>
      </c>
      <c r="Q39" s="14">
        <f>(VLOOKUP(B39,Data!$E:$BM,MATCH(yoy!$Q$1,Data!$E$1:$BM$1,),)-VLOOKUP(A39,Data!$E:$BM,MATCH(yoy!$Q$1,Data!$E$1:$BM$1,),))/VLOOKUP(A39,Data!$E:$BM,MATCH(yoy!$Q$1,Data!$E$1:$BM$1,),)</f>
        <v>6.2552044477683311E-2</v>
      </c>
      <c r="R39" s="14">
        <f>(VLOOKUP(B39,Data!$E:$BM,MATCH(yoy!$R$1,Data!$E$1:$BM$1,),)-VLOOKUP(A39,Data!$E:$BM,MATCH(yoy!$R$1,Data!$E$1:$BM$1,),))/VLOOKUP(A39,Data!$E:$BM,MATCH(yoy!$R$1,Data!$E$1:$BM$1,),)</f>
        <v>9.914598333340828E-2</v>
      </c>
      <c r="S39" s="14">
        <f>(VLOOKUP(B39,Data!$E:$BM,MATCH(yoy!$S$1,Data!$E$1:$BM$1,),)-VLOOKUP(A39,Data!$E:$BM,MATCH(yoy!$S$1,Data!$E$1:$BM$1,),))/VLOOKUP(A39,Data!$E:$BM,MATCH(yoy!$S$1,Data!$E$1:$BM$1,),)</f>
        <v>6.1535536216077533E-2</v>
      </c>
      <c r="T39" s="14">
        <f>(VLOOKUP(B39,Data!$E:$BM,MATCH(yoy!$T$1,Data!$E$1:$BM$1,),)-VLOOKUP(A39,Data!$E:$BM,MATCH(yoy!$T$1,Data!$E$1:$BM$1,),))/VLOOKUP(A39,Data!$E:$BM,MATCH(yoy!$T$1,Data!$E$1:$BM$1,),)</f>
        <v>5.4611158131824246E-2</v>
      </c>
      <c r="U39" s="14">
        <f>(VLOOKUP(B39,Data!$E:$BM,MATCH(yoy!$U$1,Data!$E$1:$BM$1,),)-VLOOKUP(A39,Data!$E:$BM,MATCH(yoy!$U$1,Data!$E$1:$BM$1,),))/VLOOKUP(A39,Data!$E:$BM,MATCH(yoy!$U$1,Data!$E$1:$BM$1,),)</f>
        <v>1.5565147616891017E-2</v>
      </c>
      <c r="V39" s="14">
        <f>(VLOOKUP(B39,Data!$E:$BM,MATCH(yoy!$V$1,Data!$E$1:$BM$1,),)-VLOOKUP(A39,Data!$E:$BM,MATCH(yoy!$V$1,Data!$E$1:$BM$1,),))/VLOOKUP(A39,Data!$E:$BM,MATCH(yoy!$V$1,Data!$E$1:$BM$1,),)</f>
        <v>5.1072879663811001E-2</v>
      </c>
      <c r="W39" s="14">
        <f>(VLOOKUP(B39,Data!$E:$BM,MATCH(yoy!$W$1,Data!$E$1:$BM$1,),)-VLOOKUP(A39,Data!$E:$BM,MATCH(yoy!$W$1,Data!$E$1:$BM$1,),))/VLOOKUP(A39,Data!$E:$BM,MATCH(yoy!$W$1,Data!$E$1:$BM$1,),)</f>
        <v>0.20514002216178115</v>
      </c>
      <c r="X39" s="14">
        <f>(VLOOKUP(B39,Data!$E:$BM,MATCH(yoy!$X$1,Data!$E$1:$BM$1,),)-VLOOKUP(A39,Data!$E:$BM,MATCH(yoy!$X$1,Data!$E$1:$BM$1,),))/VLOOKUP(A39,Data!$E:$BM,MATCH(yoy!$X$1,Data!$E$1:$BM$1,),)</f>
        <v>5.8503239937939253E-2</v>
      </c>
      <c r="Y39" s="14">
        <f>(VLOOKUP(B39,Data!$E:$BM,MATCH(yoy!$Y$1,Data!$E$1:$BM$1,),)-VLOOKUP(A39,Data!$E:$BM,MATCH(yoy!$Y$1,Data!$E$1:$BM$1,),))/VLOOKUP(A39,Data!$E:$BM,MATCH(yoy!$Y$1,Data!$E$1:$BM$1,),)</f>
        <v>7.1363299181869927E-2</v>
      </c>
      <c r="Z39" s="14">
        <f>(VLOOKUP(B39,Data!$E:$BM,MATCH(yoy!$Z$1,Data!$E$1:$BM$1,),)-VLOOKUP(A39,Data!$E:$BM,MATCH(yoy!$Z$1,Data!$E$1:$BM$1,),))/VLOOKUP(A39,Data!$E:$BM,MATCH(yoy!$Z$1,Data!$E$1:$BM$1,),)</f>
        <v>8.0824310975272123E-2</v>
      </c>
      <c r="AA39" s="14">
        <f>(VLOOKUP(B39,Data!$E:$BM,MATCH(yoy!$AA$1,Data!$E$1:$BM$1,),)-VLOOKUP(A39,Data!$E:$BM,MATCH(yoy!$AA$1,Data!$E$1:$BM$1,),))/VLOOKUP(A39,Data!$E:$BM,MATCH(yoy!$AA$1,Data!$E$1:$BM$1,),)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(VLOOKUP(B40,Data!$E:$BM,MATCH(yoy!$C$1,Data!$E$1:$BM$1,),)-VLOOKUP(A40,Data!$E:$BM,MATCH(yoy!$C$1,Data!$E$1:$BM$1,),))/VLOOKUP(A40,Data!$E:$BM,MATCH(yoy!$C$1,Data!$E$1:$BM$1,),)</f>
        <v>5.7198688648729415E-2</v>
      </c>
      <c r="D40" s="14">
        <f>(VLOOKUP(B40,Data!$E:$BM,MATCH(yoy!$D$1,Data!$E$1:$BM$1,),)-VLOOKUP(A40,Data!$E:$BM,MATCH(yoy!$D$1,Data!$E$1:$BM$1,),))/VLOOKUP(A40,Data!$E:$BM,MATCH(yoy!$D$1,Data!$E$1:$BM$1,),)</f>
        <v>4.8238916244929812E-2</v>
      </c>
      <c r="E40" s="14">
        <f>(VLOOKUP(B40,Data!$E:$BM,MATCH(yoy!$E$1,Data!$E$1:$BM$1,),)-VLOOKUP(A40,Data!$E:$BM,MATCH(yoy!$E$1,Data!$E$1:$BM$1,),))/VLOOKUP(A40,Data!$E:$BM,MATCH(yoy!$E$1,Data!$E$1:$BM$1,),)</f>
        <v>8.6046823628508587E-2</v>
      </c>
      <c r="F40" s="14">
        <f>(VLOOKUP(B40,Data!$E:$BM,MATCH(yoy!$F$1,Data!$E$1:$BM$1,),)-VLOOKUP(A40,Data!$E:$BM,MATCH(yoy!$F$1,Data!$E$1:$BM$1,),))/VLOOKUP(A40,Data!$E:$BM,MATCH(yoy!$F$1,Data!$E$1:$BM$1,),)</f>
        <v>4.3706809056851571E-2</v>
      </c>
      <c r="G40" s="14">
        <f>(VLOOKUP(B40,Data!$E:$BM,MATCH(yoy!$G$1,Data!$E$1:$BM$1,),)-VLOOKUP(A40,Data!$E:$BM,MATCH(yoy!$G$1,Data!$E$1:$BM$1,),))/VLOOKUP(A40,Data!$E:$BM,MATCH(yoy!$G$1,Data!$E$1:$BM$1,),)</f>
        <v>3.065751701679818E-2</v>
      </c>
      <c r="H40" s="14">
        <f>(VLOOKUP(B40,Data!$E:$BM,MATCH(yoy!$H$1,Data!$E$1:$BM$1,),)-VLOOKUP(A40,Data!$E:$BM,MATCH(yoy!$H$1,Data!$E$1:$BM$1,),))/VLOOKUP(A40,Data!$E:$BM,MATCH(yoy!$H$1,Data!$E$1:$BM$1,),)</f>
        <v>6.3878983203821252E-2</v>
      </c>
      <c r="I40" s="14">
        <f>(VLOOKUP(B40,Data!$E:$BM,MATCH(yoy!$I$1,Data!$E$1:$BM$1,),)-VLOOKUP(A40,Data!$E:$BM,MATCH(yoy!$I$1,Data!$E$1:$BM$1,),))/VLOOKUP(A40,Data!$E:$BM,MATCH(yoy!$I$1,Data!$E$1:$BM$1,),)</f>
        <v>3.8838989732687033E-2</v>
      </c>
      <c r="J40" s="14">
        <f>(VLOOKUP(B40,Data!$E:$BM,MATCH(yoy!$J$1,Data!$E$1:$BM$1,),)-VLOOKUP(A40,Data!$E:$BM,MATCH(yoy!$J$1,Data!$E$1:$BM$1,),))/VLOOKUP(A40,Data!$E:$BM,MATCH(yoy!$J$1,Data!$E$1:$BM$1,),)</f>
        <v>8.6217140783408919E-2</v>
      </c>
      <c r="K40" s="14">
        <f>(VLOOKUP(B40,Data!$E:$BM,MATCH(yoy!$K$1,Data!$E$1:$BM$1,),)-VLOOKUP(A40,Data!$E:$BM,MATCH(yoy!$K$1,Data!$E$1:$BM$1,),))/VLOOKUP(A40,Data!$E:$BM,MATCH(yoy!$K$1,Data!$E$1:$BM$1,),)</f>
        <v>6.2790813558716491E-2</v>
      </c>
      <c r="L40" s="14">
        <f>(VLOOKUP(B40,Data!$E:$BM,MATCH(yoy!$L$1,Data!$E$1:$BM$1,),)-VLOOKUP(A40,Data!$E:$BM,MATCH(yoy!$L$1,Data!$E$1:$BM$1,),))/VLOOKUP(A40,Data!$E:$BM,MATCH(yoy!$L$1,Data!$E$1:$BM$1,),)</f>
        <v>7.9795267300921083E-2</v>
      </c>
      <c r="M40" s="14">
        <f>(VLOOKUP(B40,Data!$E:$BM,MATCH(yoy!$M$1,Data!$E$1:$BM$1,),)-VLOOKUP(A40,Data!$E:$BM,MATCH(yoy!$M$1,Data!$E$1:$BM$1,),))/VLOOKUP(A40,Data!$E:$BM,MATCH(yoy!$M$1,Data!$E$1:$BM$1,),)</f>
        <v>8.2252952106824331E-2</v>
      </c>
      <c r="N40" s="14">
        <f>(VLOOKUP(B40,Data!$E:$BM,MATCH(yoy!$N$1,Data!$E$1:$BM$1,),)-VLOOKUP(A40,Data!$E:$BM,MATCH(yoy!$N$1,Data!$E$1:$BM$1,),))/VLOOKUP(A40,Data!$E:$BM,MATCH(yoy!$N$1,Data!$E$1:$BM$1,),)</f>
        <v>6.4650261810693083E-2</v>
      </c>
      <c r="O40" s="14">
        <f>(VLOOKUP(B40,Data!$E:$BM,MATCH(yoy!$O$1,Data!$E$1:$BM$1,),)-VLOOKUP(A40,Data!$E:$BM,MATCH(yoy!$O$1,Data!$E$1:$BM$1,),))/VLOOKUP(A40,Data!$E:$BM,MATCH(yoy!$O$1,Data!$E$1:$BM$1,),)</f>
        <v>8.5929774796866476E-2</v>
      </c>
      <c r="P40" s="14">
        <f>(VLOOKUP(B40,Data!$E:$BM,MATCH(yoy!$P$1,Data!$E$1:$BM$1,),)-VLOOKUP(A40,Data!$E:$BM,MATCH(yoy!$P$1,Data!$E$1:$BM$1,),))/VLOOKUP(A40,Data!$E:$BM,MATCH(yoy!$P$1,Data!$E$1:$BM$1,),)</f>
        <v>4.8623818982272686E-2</v>
      </c>
      <c r="Q40" s="14">
        <f>(VLOOKUP(B40,Data!$E:$BM,MATCH(yoy!$Q$1,Data!$E$1:$BM$1,),)-VLOOKUP(A40,Data!$E:$BM,MATCH(yoy!$Q$1,Data!$E$1:$BM$1,),))/VLOOKUP(A40,Data!$E:$BM,MATCH(yoy!$Q$1,Data!$E$1:$BM$1,),)</f>
        <v>5.2560175014695835E-2</v>
      </c>
      <c r="R40" s="14">
        <f>(VLOOKUP(B40,Data!$E:$BM,MATCH(yoy!$R$1,Data!$E$1:$BM$1,),)-VLOOKUP(A40,Data!$E:$BM,MATCH(yoy!$R$1,Data!$E$1:$BM$1,),))/VLOOKUP(A40,Data!$E:$BM,MATCH(yoy!$R$1,Data!$E$1:$BM$1,),)</f>
        <v>8.8324097313684999E-2</v>
      </c>
      <c r="S40" s="14">
        <f>(VLOOKUP(B40,Data!$E:$BM,MATCH(yoy!$S$1,Data!$E$1:$BM$1,),)-VLOOKUP(A40,Data!$E:$BM,MATCH(yoy!$S$1,Data!$E$1:$BM$1,),))/VLOOKUP(A40,Data!$E:$BM,MATCH(yoy!$S$1,Data!$E$1:$BM$1,),)</f>
        <v>6.8135289906943342E-2</v>
      </c>
      <c r="T40" s="14">
        <f>(VLOOKUP(B40,Data!$E:$BM,MATCH(yoy!$T$1,Data!$E$1:$BM$1,),)-VLOOKUP(A40,Data!$E:$BM,MATCH(yoy!$T$1,Data!$E$1:$BM$1,),))/VLOOKUP(A40,Data!$E:$BM,MATCH(yoy!$T$1,Data!$E$1:$BM$1,),)</f>
        <v>5.0745460276658785E-2</v>
      </c>
      <c r="U40" s="14">
        <f>(VLOOKUP(B40,Data!$E:$BM,MATCH(yoy!$U$1,Data!$E$1:$BM$1,),)-VLOOKUP(A40,Data!$E:$BM,MATCH(yoy!$U$1,Data!$E$1:$BM$1,),))/VLOOKUP(A40,Data!$E:$BM,MATCH(yoy!$U$1,Data!$E$1:$BM$1,),)</f>
        <v>1.9556777062342826E-2</v>
      </c>
      <c r="V40" s="14">
        <f>(VLOOKUP(B40,Data!$E:$BM,MATCH(yoy!$V$1,Data!$E$1:$BM$1,),)-VLOOKUP(A40,Data!$E:$BM,MATCH(yoy!$V$1,Data!$E$1:$BM$1,),))/VLOOKUP(A40,Data!$E:$BM,MATCH(yoy!$V$1,Data!$E$1:$BM$1,),)</f>
        <v>5.1727840181262232E-2</v>
      </c>
      <c r="W40" s="14">
        <f>(VLOOKUP(B40,Data!$E:$BM,MATCH(yoy!$W$1,Data!$E$1:$BM$1,),)-VLOOKUP(A40,Data!$E:$BM,MATCH(yoy!$W$1,Data!$E$1:$BM$1,),))/VLOOKUP(A40,Data!$E:$BM,MATCH(yoy!$W$1,Data!$E$1:$BM$1,),)</f>
        <v>0.17584404290585487</v>
      </c>
      <c r="X40" s="14">
        <f>(VLOOKUP(B40,Data!$E:$BM,MATCH(yoy!$X$1,Data!$E$1:$BM$1,),)-VLOOKUP(A40,Data!$E:$BM,MATCH(yoy!$X$1,Data!$E$1:$BM$1,),))/VLOOKUP(A40,Data!$E:$BM,MATCH(yoy!$X$1,Data!$E$1:$BM$1,),)</f>
        <v>6.4737446737786475E-2</v>
      </c>
      <c r="Y40" s="14">
        <f>(VLOOKUP(B40,Data!$E:$BM,MATCH(yoy!$Y$1,Data!$E$1:$BM$1,),)-VLOOKUP(A40,Data!$E:$BM,MATCH(yoy!$Y$1,Data!$E$1:$BM$1,),))/VLOOKUP(A40,Data!$E:$BM,MATCH(yoy!$Y$1,Data!$E$1:$BM$1,),)</f>
        <v>7.2767472122108892E-2</v>
      </c>
      <c r="Z40" s="14">
        <f>(VLOOKUP(B40,Data!$E:$BM,MATCH(yoy!$Z$1,Data!$E$1:$BM$1,),)-VLOOKUP(A40,Data!$E:$BM,MATCH(yoy!$Z$1,Data!$E$1:$BM$1,),))/VLOOKUP(A40,Data!$E:$BM,MATCH(yoy!$Z$1,Data!$E$1:$BM$1,),)</f>
        <v>8.0733680467813013E-2</v>
      </c>
      <c r="AA40" s="14">
        <f>(VLOOKUP(B40,Data!$E:$BM,MATCH(yoy!$AA$1,Data!$E$1:$BM$1,),)-VLOOKUP(A40,Data!$E:$BM,MATCH(yoy!$AA$1,Data!$E$1:$BM$1,),))/VLOOKUP(A40,Data!$E:$BM,MATCH(yoy!$AA$1,Data!$E$1:$BM$1,),)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(VLOOKUP(B41,Data!$E:$BM,MATCH(yoy!$C$1,Data!$E$1:$BM$1,),)-VLOOKUP(A41,Data!$E:$BM,MATCH(yoy!$C$1,Data!$E$1:$BM$1,),))/VLOOKUP(A41,Data!$E:$BM,MATCH(yoy!$C$1,Data!$E$1:$BM$1,),)</f>
        <v>5.2483820256649473E-2</v>
      </c>
      <c r="D41" s="14">
        <f>(VLOOKUP(B41,Data!$E:$BM,MATCH(yoy!$D$1,Data!$E$1:$BM$1,),)-VLOOKUP(A41,Data!$E:$BM,MATCH(yoy!$D$1,Data!$E$1:$BM$1,),))/VLOOKUP(A41,Data!$E:$BM,MATCH(yoy!$D$1,Data!$E$1:$BM$1,),)</f>
        <v>4.3909137879460824E-2</v>
      </c>
      <c r="E41" s="14">
        <f>(VLOOKUP(B41,Data!$E:$BM,MATCH(yoy!$E$1,Data!$E$1:$BM$1,),)-VLOOKUP(A41,Data!$E:$BM,MATCH(yoy!$E$1,Data!$E$1:$BM$1,),))/VLOOKUP(A41,Data!$E:$BM,MATCH(yoy!$E$1,Data!$E$1:$BM$1,),)</f>
        <v>8.6803950639735311E-2</v>
      </c>
      <c r="F41" s="14">
        <f>(VLOOKUP(B41,Data!$E:$BM,MATCH(yoy!$F$1,Data!$E$1:$BM$1,),)-VLOOKUP(A41,Data!$E:$BM,MATCH(yoy!$F$1,Data!$E$1:$BM$1,),))/VLOOKUP(A41,Data!$E:$BM,MATCH(yoy!$F$1,Data!$E$1:$BM$1,),)</f>
        <v>4.0741078185459176E-2</v>
      </c>
      <c r="G41" s="14">
        <f>(VLOOKUP(B41,Data!$E:$BM,MATCH(yoy!$G$1,Data!$E$1:$BM$1,),)-VLOOKUP(A41,Data!$E:$BM,MATCH(yoy!$G$1,Data!$E$1:$BM$1,),))/VLOOKUP(A41,Data!$E:$BM,MATCH(yoy!$G$1,Data!$E$1:$BM$1,),)</f>
        <v>2.9267850497609785E-2</v>
      </c>
      <c r="H41" s="14">
        <f>(VLOOKUP(B41,Data!$E:$BM,MATCH(yoy!$H$1,Data!$E$1:$BM$1,),)-VLOOKUP(A41,Data!$E:$BM,MATCH(yoy!$H$1,Data!$E$1:$BM$1,),))/VLOOKUP(A41,Data!$E:$BM,MATCH(yoy!$H$1,Data!$E$1:$BM$1,),)</f>
        <v>6.3904804273654497E-2</v>
      </c>
      <c r="I41" s="14">
        <f>(VLOOKUP(B41,Data!$E:$BM,MATCH(yoy!$I$1,Data!$E$1:$BM$1,),)-VLOOKUP(A41,Data!$E:$BM,MATCH(yoy!$I$1,Data!$E$1:$BM$1,),))/VLOOKUP(A41,Data!$E:$BM,MATCH(yoy!$I$1,Data!$E$1:$BM$1,),)</f>
        <v>3.7500024023077567E-2</v>
      </c>
      <c r="J41" s="14">
        <f>(VLOOKUP(B41,Data!$E:$BM,MATCH(yoy!$J$1,Data!$E$1:$BM$1,),)-VLOOKUP(A41,Data!$E:$BM,MATCH(yoy!$J$1,Data!$E$1:$BM$1,),))/VLOOKUP(A41,Data!$E:$BM,MATCH(yoy!$J$1,Data!$E$1:$BM$1,),)</f>
        <v>6.8977192982456123E-2</v>
      </c>
      <c r="K41" s="14">
        <f>(VLOOKUP(B41,Data!$E:$BM,MATCH(yoy!$K$1,Data!$E$1:$BM$1,),)-VLOOKUP(A41,Data!$E:$BM,MATCH(yoy!$K$1,Data!$E$1:$BM$1,),))/VLOOKUP(A41,Data!$E:$BM,MATCH(yoy!$K$1,Data!$E$1:$BM$1,),)</f>
        <v>6.5982355191789702E-2</v>
      </c>
      <c r="L41" s="14">
        <f>(VLOOKUP(B41,Data!$E:$BM,MATCH(yoy!$L$1,Data!$E$1:$BM$1,),)-VLOOKUP(A41,Data!$E:$BM,MATCH(yoy!$L$1,Data!$E$1:$BM$1,),))/VLOOKUP(A41,Data!$E:$BM,MATCH(yoy!$L$1,Data!$E$1:$BM$1,),)</f>
        <v>7.1386686751858539E-2</v>
      </c>
      <c r="M41" s="14">
        <f>(VLOOKUP(B41,Data!$E:$BM,MATCH(yoy!$M$1,Data!$E$1:$BM$1,),)-VLOOKUP(A41,Data!$E:$BM,MATCH(yoy!$M$1,Data!$E$1:$BM$1,),))/VLOOKUP(A41,Data!$E:$BM,MATCH(yoy!$M$1,Data!$E$1:$BM$1,),)</f>
        <v>6.9284788215596541E-2</v>
      </c>
      <c r="N41" s="14">
        <f>(VLOOKUP(B41,Data!$E:$BM,MATCH(yoy!$N$1,Data!$E$1:$BM$1,),)-VLOOKUP(A41,Data!$E:$BM,MATCH(yoy!$N$1,Data!$E$1:$BM$1,),))/VLOOKUP(A41,Data!$E:$BM,MATCH(yoy!$N$1,Data!$E$1:$BM$1,),)</f>
        <v>6.628974181621082E-2</v>
      </c>
      <c r="O41" s="14">
        <f>(VLOOKUP(B41,Data!$E:$BM,MATCH(yoy!$O$1,Data!$E$1:$BM$1,),)-VLOOKUP(A41,Data!$E:$BM,MATCH(yoy!$O$1,Data!$E$1:$BM$1,),))/VLOOKUP(A41,Data!$E:$BM,MATCH(yoy!$O$1,Data!$E$1:$BM$1,),)</f>
        <v>0.10306809678224003</v>
      </c>
      <c r="P41" s="14">
        <f>(VLOOKUP(B41,Data!$E:$BM,MATCH(yoy!$P$1,Data!$E$1:$BM$1,),)-VLOOKUP(A41,Data!$E:$BM,MATCH(yoy!$P$1,Data!$E$1:$BM$1,),))/VLOOKUP(A41,Data!$E:$BM,MATCH(yoy!$P$1,Data!$E$1:$BM$1,),)</f>
        <v>4.1762358411658866E-2</v>
      </c>
      <c r="Q41" s="14">
        <f>(VLOOKUP(B41,Data!$E:$BM,MATCH(yoy!$Q$1,Data!$E$1:$BM$1,),)-VLOOKUP(A41,Data!$E:$BM,MATCH(yoy!$Q$1,Data!$E$1:$BM$1,),))/VLOOKUP(A41,Data!$E:$BM,MATCH(yoy!$Q$1,Data!$E$1:$BM$1,),)</f>
        <v>4.4583791472977932E-2</v>
      </c>
      <c r="R41" s="14">
        <f>(VLOOKUP(B41,Data!$E:$BM,MATCH(yoy!$R$1,Data!$E$1:$BM$1,),)-VLOOKUP(A41,Data!$E:$BM,MATCH(yoy!$R$1,Data!$E$1:$BM$1,),))/VLOOKUP(A41,Data!$E:$BM,MATCH(yoy!$R$1,Data!$E$1:$BM$1,),)</f>
        <v>8.3970607252474808E-2</v>
      </c>
      <c r="S41" s="14">
        <f>(VLOOKUP(B41,Data!$E:$BM,MATCH(yoy!$S$1,Data!$E$1:$BM$1,),)-VLOOKUP(A41,Data!$E:$BM,MATCH(yoy!$S$1,Data!$E$1:$BM$1,),))/VLOOKUP(A41,Data!$E:$BM,MATCH(yoy!$S$1,Data!$E$1:$BM$1,),)</f>
        <v>6.9519315563394302E-2</v>
      </c>
      <c r="T41" s="14">
        <f>(VLOOKUP(B41,Data!$E:$BM,MATCH(yoy!$T$1,Data!$E$1:$BM$1,),)-VLOOKUP(A41,Data!$E:$BM,MATCH(yoy!$T$1,Data!$E$1:$BM$1,),))/VLOOKUP(A41,Data!$E:$BM,MATCH(yoy!$T$1,Data!$E$1:$BM$1,),)</f>
        <v>4.5927399873185358E-2</v>
      </c>
      <c r="U41" s="14">
        <f>(VLOOKUP(B41,Data!$E:$BM,MATCH(yoy!$U$1,Data!$E$1:$BM$1,),)-VLOOKUP(A41,Data!$E:$BM,MATCH(yoy!$U$1,Data!$E$1:$BM$1,),))/VLOOKUP(A41,Data!$E:$BM,MATCH(yoy!$U$1,Data!$E$1:$BM$1,),)</f>
        <v>2.3658497217788444E-2</v>
      </c>
      <c r="V41" s="14">
        <f>(VLOOKUP(B41,Data!$E:$BM,MATCH(yoy!$V$1,Data!$E$1:$BM$1,),)-VLOOKUP(A41,Data!$E:$BM,MATCH(yoy!$V$1,Data!$E$1:$BM$1,),))/VLOOKUP(A41,Data!$E:$BM,MATCH(yoy!$V$1,Data!$E$1:$BM$1,),)</f>
        <v>4.8637088529200442E-2</v>
      </c>
      <c r="W41" s="14">
        <f>(VLOOKUP(B41,Data!$E:$BM,MATCH(yoy!$W$1,Data!$E$1:$BM$1,),)-VLOOKUP(A41,Data!$E:$BM,MATCH(yoy!$W$1,Data!$E$1:$BM$1,),))/VLOOKUP(A41,Data!$E:$BM,MATCH(yoy!$W$1,Data!$E$1:$BM$1,),)</f>
        <v>0.14909391634127001</v>
      </c>
      <c r="X41" s="14">
        <f>(VLOOKUP(B41,Data!$E:$BM,MATCH(yoy!$X$1,Data!$E$1:$BM$1,),)-VLOOKUP(A41,Data!$E:$BM,MATCH(yoy!$X$1,Data!$E$1:$BM$1,),))/VLOOKUP(A41,Data!$E:$BM,MATCH(yoy!$X$1,Data!$E$1:$BM$1,),)</f>
        <v>6.0204663943463646E-2</v>
      </c>
      <c r="Y41" s="14">
        <f>(VLOOKUP(B41,Data!$E:$BM,MATCH(yoy!$Y$1,Data!$E$1:$BM$1,),)-VLOOKUP(A41,Data!$E:$BM,MATCH(yoy!$Y$1,Data!$E$1:$BM$1,),))/VLOOKUP(A41,Data!$E:$BM,MATCH(yoy!$Y$1,Data!$E$1:$BM$1,),)</f>
        <v>7.2969630951662881E-2</v>
      </c>
      <c r="Z41" s="14">
        <f>(VLOOKUP(B41,Data!$E:$BM,MATCH(yoy!$Z$1,Data!$E$1:$BM$1,),)-VLOOKUP(A41,Data!$E:$BM,MATCH(yoy!$Z$1,Data!$E$1:$BM$1,),))/VLOOKUP(A41,Data!$E:$BM,MATCH(yoy!$Z$1,Data!$E$1:$BM$1,),)</f>
        <v>7.7706924076217668E-2</v>
      </c>
      <c r="AA41" s="14">
        <f>(VLOOKUP(B41,Data!$E:$BM,MATCH(yoy!$AA$1,Data!$E$1:$BM$1,),)-VLOOKUP(A41,Data!$E:$BM,MATCH(yoy!$AA$1,Data!$E$1:$BM$1,),))/VLOOKUP(A41,Data!$E:$BM,MATCH(yoy!$AA$1,Data!$E$1:$BM$1,),)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(VLOOKUP(B42,Data!$E:$BM,MATCH(yoy!$C$1,Data!$E$1:$BM$1,),)-VLOOKUP(A42,Data!$E:$BM,MATCH(yoy!$C$1,Data!$E$1:$BM$1,),))/VLOOKUP(A42,Data!$E:$BM,MATCH(yoy!$C$1,Data!$E$1:$BM$1,),)</f>
        <v>5.0293521456017648E-2</v>
      </c>
      <c r="D42" s="14">
        <f>(VLOOKUP(B42,Data!$E:$BM,MATCH(yoy!$D$1,Data!$E$1:$BM$1,),)-VLOOKUP(A42,Data!$E:$BM,MATCH(yoy!$D$1,Data!$E$1:$BM$1,),))/VLOOKUP(A42,Data!$E:$BM,MATCH(yoy!$D$1,Data!$E$1:$BM$1,),)</f>
        <v>4.135405485852419E-2</v>
      </c>
      <c r="E42" s="14">
        <f>(VLOOKUP(B42,Data!$E:$BM,MATCH(yoy!$E$1,Data!$E$1:$BM$1,),)-VLOOKUP(A42,Data!$E:$BM,MATCH(yoy!$E$1,Data!$E$1:$BM$1,),))/VLOOKUP(A42,Data!$E:$BM,MATCH(yoy!$E$1,Data!$E$1:$BM$1,),)</f>
        <v>9.1770259953860678E-2</v>
      </c>
      <c r="F42" s="14">
        <f>(VLOOKUP(B42,Data!$E:$BM,MATCH(yoy!$F$1,Data!$E$1:$BM$1,),)-VLOOKUP(A42,Data!$E:$BM,MATCH(yoy!$F$1,Data!$E$1:$BM$1,),))/VLOOKUP(A42,Data!$E:$BM,MATCH(yoy!$F$1,Data!$E$1:$BM$1,),)</f>
        <v>3.7703797733618011E-2</v>
      </c>
      <c r="G42" s="14">
        <f>(VLOOKUP(B42,Data!$E:$BM,MATCH(yoy!$G$1,Data!$E$1:$BM$1,),)-VLOOKUP(A42,Data!$E:$BM,MATCH(yoy!$G$1,Data!$E$1:$BM$1,),))/VLOOKUP(A42,Data!$E:$BM,MATCH(yoy!$G$1,Data!$E$1:$BM$1,),)</f>
        <v>2.7533903793972175E-2</v>
      </c>
      <c r="H42" s="14">
        <f>(VLOOKUP(B42,Data!$E:$BM,MATCH(yoy!$H$1,Data!$E$1:$BM$1,),)-VLOOKUP(A42,Data!$E:$BM,MATCH(yoy!$H$1,Data!$E$1:$BM$1,),))/VLOOKUP(A42,Data!$E:$BM,MATCH(yoy!$H$1,Data!$E$1:$BM$1,),)</f>
        <v>5.8184586196360362E-2</v>
      </c>
      <c r="I42" s="14">
        <f>(VLOOKUP(B42,Data!$E:$BM,MATCH(yoy!$I$1,Data!$E$1:$BM$1,),)-VLOOKUP(A42,Data!$E:$BM,MATCH(yoy!$I$1,Data!$E$1:$BM$1,),))/VLOOKUP(A42,Data!$E:$BM,MATCH(yoy!$I$1,Data!$E$1:$BM$1,),)</f>
        <v>3.8064313878878701E-2</v>
      </c>
      <c r="J42" s="14">
        <f>(VLOOKUP(B42,Data!$E:$BM,MATCH(yoy!$J$1,Data!$E$1:$BM$1,),)-VLOOKUP(A42,Data!$E:$BM,MATCH(yoy!$J$1,Data!$E$1:$BM$1,),))/VLOOKUP(A42,Data!$E:$BM,MATCH(yoy!$J$1,Data!$E$1:$BM$1,),)</f>
        <v>5.8984231946546131E-2</v>
      </c>
      <c r="K42" s="14">
        <f>(VLOOKUP(B42,Data!$E:$BM,MATCH(yoy!$K$1,Data!$E$1:$BM$1,),)-VLOOKUP(A42,Data!$E:$BM,MATCH(yoy!$K$1,Data!$E$1:$BM$1,),))/VLOOKUP(A42,Data!$E:$BM,MATCH(yoy!$K$1,Data!$E$1:$BM$1,),)</f>
        <v>6.0685041452291609E-2</v>
      </c>
      <c r="L42" s="14">
        <f>(VLOOKUP(B42,Data!$E:$BM,MATCH(yoy!$L$1,Data!$E$1:$BM$1,),)-VLOOKUP(A42,Data!$E:$BM,MATCH(yoy!$L$1,Data!$E$1:$BM$1,),))/VLOOKUP(A42,Data!$E:$BM,MATCH(yoy!$L$1,Data!$E$1:$BM$1,),)</f>
        <v>6.846727409371485E-2</v>
      </c>
      <c r="M42" s="14">
        <f>(VLOOKUP(B42,Data!$E:$BM,MATCH(yoy!$M$1,Data!$E$1:$BM$1,),)-VLOOKUP(A42,Data!$E:$BM,MATCH(yoy!$M$1,Data!$E$1:$BM$1,),))/VLOOKUP(A42,Data!$E:$BM,MATCH(yoy!$M$1,Data!$E$1:$BM$1,),)</f>
        <v>5.6253405419685397E-2</v>
      </c>
      <c r="N42" s="14">
        <f>(VLOOKUP(B42,Data!$E:$BM,MATCH(yoy!$N$1,Data!$E$1:$BM$1,),)-VLOOKUP(A42,Data!$E:$BM,MATCH(yoy!$N$1,Data!$E$1:$BM$1,),))/VLOOKUP(A42,Data!$E:$BM,MATCH(yoy!$N$1,Data!$E$1:$BM$1,),)</f>
        <v>5.7604600436248279E-2</v>
      </c>
      <c r="O42" s="14">
        <f>(VLOOKUP(B42,Data!$E:$BM,MATCH(yoy!$O$1,Data!$E$1:$BM$1,),)-VLOOKUP(A42,Data!$E:$BM,MATCH(yoy!$O$1,Data!$E$1:$BM$1,),))/VLOOKUP(A42,Data!$E:$BM,MATCH(yoy!$O$1,Data!$E$1:$BM$1,),)</f>
        <v>0.10123322967413119</v>
      </c>
      <c r="P42" s="14">
        <f>(VLOOKUP(B42,Data!$E:$BM,MATCH(yoy!$P$1,Data!$E$1:$BM$1,),)-VLOOKUP(A42,Data!$E:$BM,MATCH(yoy!$P$1,Data!$E$1:$BM$1,),))/VLOOKUP(A42,Data!$E:$BM,MATCH(yoy!$P$1,Data!$E$1:$BM$1,),)</f>
        <v>5.3199360260857538E-2</v>
      </c>
      <c r="Q42" s="14">
        <f>(VLOOKUP(B42,Data!$E:$BM,MATCH(yoy!$Q$1,Data!$E$1:$BM$1,),)-VLOOKUP(A42,Data!$E:$BM,MATCH(yoy!$Q$1,Data!$E$1:$BM$1,),))/VLOOKUP(A42,Data!$E:$BM,MATCH(yoy!$Q$1,Data!$E$1:$BM$1,),)</f>
        <v>4.0518815496983128E-2</v>
      </c>
      <c r="R42" s="14">
        <f>(VLOOKUP(B42,Data!$E:$BM,MATCH(yoy!$R$1,Data!$E$1:$BM$1,),)-VLOOKUP(A42,Data!$E:$BM,MATCH(yoy!$R$1,Data!$E$1:$BM$1,),))/VLOOKUP(A42,Data!$E:$BM,MATCH(yoy!$R$1,Data!$E$1:$BM$1,),)</f>
        <v>8.3541290844223112E-2</v>
      </c>
      <c r="S42" s="14">
        <f>(VLOOKUP(B42,Data!$E:$BM,MATCH(yoy!$S$1,Data!$E$1:$BM$1,),)-VLOOKUP(A42,Data!$E:$BM,MATCH(yoy!$S$1,Data!$E$1:$BM$1,),))/VLOOKUP(A42,Data!$E:$BM,MATCH(yoy!$S$1,Data!$E$1:$BM$1,),)</f>
        <v>6.7084014205529896E-2</v>
      </c>
      <c r="T42" s="14">
        <f>(VLOOKUP(B42,Data!$E:$BM,MATCH(yoy!$T$1,Data!$E$1:$BM$1,),)-VLOOKUP(A42,Data!$E:$BM,MATCH(yoy!$T$1,Data!$E$1:$BM$1,),))/VLOOKUP(A42,Data!$E:$BM,MATCH(yoy!$T$1,Data!$E$1:$BM$1,),)</f>
        <v>4.1908783113682194E-2</v>
      </c>
      <c r="U42" s="14">
        <f>(VLOOKUP(B42,Data!$E:$BM,MATCH(yoy!$U$1,Data!$E$1:$BM$1,),)-VLOOKUP(A42,Data!$E:$BM,MATCH(yoy!$U$1,Data!$E$1:$BM$1,),))/VLOOKUP(A42,Data!$E:$BM,MATCH(yoy!$U$1,Data!$E$1:$BM$1,),)</f>
        <v>8.3349996000959096E-3</v>
      </c>
      <c r="V42" s="14">
        <f>(VLOOKUP(B42,Data!$E:$BM,MATCH(yoy!$V$1,Data!$E$1:$BM$1,),)-VLOOKUP(A42,Data!$E:$BM,MATCH(yoy!$V$1,Data!$E$1:$BM$1,),))/VLOOKUP(A42,Data!$E:$BM,MATCH(yoy!$V$1,Data!$E$1:$BM$1,),)</f>
        <v>4.2607529469138379E-2</v>
      </c>
      <c r="W42" s="14">
        <f>(VLOOKUP(B42,Data!$E:$BM,MATCH(yoy!$W$1,Data!$E$1:$BM$1,),)-VLOOKUP(A42,Data!$E:$BM,MATCH(yoy!$W$1,Data!$E$1:$BM$1,),))/VLOOKUP(A42,Data!$E:$BM,MATCH(yoy!$W$1,Data!$E$1:$BM$1,),)</f>
        <v>0.15283385040440212</v>
      </c>
      <c r="X42" s="14">
        <f>(VLOOKUP(B42,Data!$E:$BM,MATCH(yoy!$X$1,Data!$E$1:$BM$1,),)-VLOOKUP(A42,Data!$E:$BM,MATCH(yoy!$X$1,Data!$E$1:$BM$1,),))/VLOOKUP(A42,Data!$E:$BM,MATCH(yoy!$X$1,Data!$E$1:$BM$1,),)</f>
        <v>6.3084916726152268E-2</v>
      </c>
      <c r="Y42" s="14">
        <f>(VLOOKUP(B42,Data!$E:$BM,MATCH(yoy!$Y$1,Data!$E$1:$BM$1,),)-VLOOKUP(A42,Data!$E:$BM,MATCH(yoy!$Y$1,Data!$E$1:$BM$1,),))/VLOOKUP(A42,Data!$E:$BM,MATCH(yoy!$Y$1,Data!$E$1:$BM$1,),)</f>
        <v>7.4285896297030335E-2</v>
      </c>
      <c r="Z42" s="14">
        <f>(VLOOKUP(B42,Data!$E:$BM,MATCH(yoy!$Z$1,Data!$E$1:$BM$1,),)-VLOOKUP(A42,Data!$E:$BM,MATCH(yoy!$Z$1,Data!$E$1:$BM$1,),))/VLOOKUP(A42,Data!$E:$BM,MATCH(yoy!$Z$1,Data!$E$1:$BM$1,),)</f>
        <v>6.7755852729330657E-2</v>
      </c>
      <c r="AA42" s="14">
        <f>(VLOOKUP(B42,Data!$E:$BM,MATCH(yoy!$AA$1,Data!$E$1:$BM$1,),)-VLOOKUP(A42,Data!$E:$BM,MATCH(yoy!$AA$1,Data!$E$1:$BM$1,),))/VLOOKUP(A42,Data!$E:$BM,MATCH(yoy!$AA$1,Data!$E$1:$BM$1,),)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(VLOOKUP(B43,Data!$E:$BM,MATCH(yoy!$C$1,Data!$E$1:$BM$1,),)-VLOOKUP(A43,Data!$E:$BM,MATCH(yoy!$C$1,Data!$E$1:$BM$1,),))/VLOOKUP(A43,Data!$E:$BM,MATCH(yoy!$C$1,Data!$E$1:$BM$1,),)</f>
        <v>4.92068236612297E-2</v>
      </c>
      <c r="D43" s="14">
        <f>(VLOOKUP(B43,Data!$E:$BM,MATCH(yoy!$D$1,Data!$E$1:$BM$1,),)-VLOOKUP(A43,Data!$E:$BM,MATCH(yoy!$D$1,Data!$E$1:$BM$1,),))/VLOOKUP(A43,Data!$E:$BM,MATCH(yoy!$D$1,Data!$E$1:$BM$1,),)</f>
        <v>4.0353984524168447E-2</v>
      </c>
      <c r="E43" s="14">
        <f>(VLOOKUP(B43,Data!$E:$BM,MATCH(yoy!$E$1,Data!$E$1:$BM$1,),)-VLOOKUP(A43,Data!$E:$BM,MATCH(yoy!$E$1,Data!$E$1:$BM$1,),))/VLOOKUP(A43,Data!$E:$BM,MATCH(yoy!$E$1,Data!$E$1:$BM$1,),)</f>
        <v>8.994190860331247E-2</v>
      </c>
      <c r="F43" s="14">
        <f>(VLOOKUP(B43,Data!$E:$BM,MATCH(yoy!$F$1,Data!$E$1:$BM$1,),)-VLOOKUP(A43,Data!$E:$BM,MATCH(yoy!$F$1,Data!$E$1:$BM$1,),))/VLOOKUP(A43,Data!$E:$BM,MATCH(yoy!$F$1,Data!$E$1:$BM$1,),)</f>
        <v>3.4165930106848097E-2</v>
      </c>
      <c r="G43" s="14">
        <f>(VLOOKUP(B43,Data!$E:$BM,MATCH(yoy!$G$1,Data!$E$1:$BM$1,),)-VLOOKUP(A43,Data!$E:$BM,MATCH(yoy!$G$1,Data!$E$1:$BM$1,),))/VLOOKUP(A43,Data!$E:$BM,MATCH(yoy!$G$1,Data!$E$1:$BM$1,),)</f>
        <v>2.6523138386416487E-2</v>
      </c>
      <c r="H43" s="14">
        <f>(VLOOKUP(B43,Data!$E:$BM,MATCH(yoy!$H$1,Data!$E$1:$BM$1,),)-VLOOKUP(A43,Data!$E:$BM,MATCH(yoy!$H$1,Data!$E$1:$BM$1,),))/VLOOKUP(A43,Data!$E:$BM,MATCH(yoy!$H$1,Data!$E$1:$BM$1,),)</f>
        <v>4.0653262844841311E-2</v>
      </c>
      <c r="I43" s="14">
        <f>(VLOOKUP(B43,Data!$E:$BM,MATCH(yoy!$I$1,Data!$E$1:$BM$1,),)-VLOOKUP(A43,Data!$E:$BM,MATCH(yoy!$I$1,Data!$E$1:$BM$1,),))/VLOOKUP(A43,Data!$E:$BM,MATCH(yoy!$I$1,Data!$E$1:$BM$1,),)</f>
        <v>3.4561888393484085E-2</v>
      </c>
      <c r="J43" s="14">
        <f>(VLOOKUP(B43,Data!$E:$BM,MATCH(yoy!$J$1,Data!$E$1:$BM$1,),)-VLOOKUP(A43,Data!$E:$BM,MATCH(yoy!$J$1,Data!$E$1:$BM$1,),))/VLOOKUP(A43,Data!$E:$BM,MATCH(yoy!$J$1,Data!$E$1:$BM$1,),)</f>
        <v>6.3521807428517429E-2</v>
      </c>
      <c r="K43" s="14">
        <f>(VLOOKUP(B43,Data!$E:$BM,MATCH(yoy!$K$1,Data!$E$1:$BM$1,),)-VLOOKUP(A43,Data!$E:$BM,MATCH(yoy!$K$1,Data!$E$1:$BM$1,),))/VLOOKUP(A43,Data!$E:$BM,MATCH(yoy!$K$1,Data!$E$1:$BM$1,),)</f>
        <v>5.4748609510999975E-2</v>
      </c>
      <c r="L43" s="14">
        <f>(VLOOKUP(B43,Data!$E:$BM,MATCH(yoy!$L$1,Data!$E$1:$BM$1,),)-VLOOKUP(A43,Data!$E:$BM,MATCH(yoy!$L$1,Data!$E$1:$BM$1,),))/VLOOKUP(A43,Data!$E:$BM,MATCH(yoy!$L$1,Data!$E$1:$BM$1,),)</f>
        <v>6.566646505359483E-2</v>
      </c>
      <c r="M43" s="14">
        <f>(VLOOKUP(B43,Data!$E:$BM,MATCH(yoy!$M$1,Data!$E$1:$BM$1,),)-VLOOKUP(A43,Data!$E:$BM,MATCH(yoy!$M$1,Data!$E$1:$BM$1,),))/VLOOKUP(A43,Data!$E:$BM,MATCH(yoy!$M$1,Data!$E$1:$BM$1,),)</f>
        <v>6.6818939328577451E-2</v>
      </c>
      <c r="N43" s="14">
        <f>(VLOOKUP(B43,Data!$E:$BM,MATCH(yoy!$N$1,Data!$E$1:$BM$1,),)-VLOOKUP(A43,Data!$E:$BM,MATCH(yoy!$N$1,Data!$E$1:$BM$1,),))/VLOOKUP(A43,Data!$E:$BM,MATCH(yoy!$N$1,Data!$E$1:$BM$1,),)</f>
        <v>6.9167244162119959E-2</v>
      </c>
      <c r="O43" s="14">
        <f>(VLOOKUP(B43,Data!$E:$BM,MATCH(yoy!$O$1,Data!$E$1:$BM$1,),)-VLOOKUP(A43,Data!$E:$BM,MATCH(yoy!$O$1,Data!$E$1:$BM$1,),))/VLOOKUP(A43,Data!$E:$BM,MATCH(yoy!$O$1,Data!$E$1:$BM$1,),)</f>
        <v>8.1516314448957128E-2</v>
      </c>
      <c r="P43" s="14">
        <f>(VLOOKUP(B43,Data!$E:$BM,MATCH(yoy!$P$1,Data!$E$1:$BM$1,),)-VLOOKUP(A43,Data!$E:$BM,MATCH(yoy!$P$1,Data!$E$1:$BM$1,),))/VLOOKUP(A43,Data!$E:$BM,MATCH(yoy!$P$1,Data!$E$1:$BM$1,),)</f>
        <v>4.6452532699773778E-2</v>
      </c>
      <c r="Q43" s="14">
        <f>(VLOOKUP(B43,Data!$E:$BM,MATCH(yoy!$Q$1,Data!$E$1:$BM$1,),)-VLOOKUP(A43,Data!$E:$BM,MATCH(yoy!$Q$1,Data!$E$1:$BM$1,),))/VLOOKUP(A43,Data!$E:$BM,MATCH(yoy!$Q$1,Data!$E$1:$BM$1,),)</f>
        <v>3.7159692442984935E-2</v>
      </c>
      <c r="R43" s="14">
        <f>(VLOOKUP(B43,Data!$E:$BM,MATCH(yoy!$R$1,Data!$E$1:$BM$1,),)-VLOOKUP(A43,Data!$E:$BM,MATCH(yoy!$R$1,Data!$E$1:$BM$1,),))/VLOOKUP(A43,Data!$E:$BM,MATCH(yoy!$R$1,Data!$E$1:$BM$1,),)</f>
        <v>7.8794381702341681E-2</v>
      </c>
      <c r="S43" s="14">
        <f>(VLOOKUP(B43,Data!$E:$BM,MATCH(yoy!$S$1,Data!$E$1:$BM$1,),)-VLOOKUP(A43,Data!$E:$BM,MATCH(yoy!$S$1,Data!$E$1:$BM$1,),))/VLOOKUP(A43,Data!$E:$BM,MATCH(yoy!$S$1,Data!$E$1:$BM$1,),)</f>
        <v>6.6360254075577801E-2</v>
      </c>
      <c r="T43" s="14">
        <f>(VLOOKUP(B43,Data!$E:$BM,MATCH(yoy!$T$1,Data!$E$1:$BM$1,),)-VLOOKUP(A43,Data!$E:$BM,MATCH(yoy!$T$1,Data!$E$1:$BM$1,),))/VLOOKUP(A43,Data!$E:$BM,MATCH(yoy!$T$1,Data!$E$1:$BM$1,),)</f>
        <v>3.8842694737058009E-2</v>
      </c>
      <c r="U43" s="14">
        <f>(VLOOKUP(B43,Data!$E:$BM,MATCH(yoy!$U$1,Data!$E$1:$BM$1,),)-VLOOKUP(A43,Data!$E:$BM,MATCH(yoy!$U$1,Data!$E$1:$BM$1,),))/VLOOKUP(A43,Data!$E:$BM,MATCH(yoy!$U$1,Data!$E$1:$BM$1,),)</f>
        <v>-6.6811996104776542E-3</v>
      </c>
      <c r="V43" s="14">
        <f>(VLOOKUP(B43,Data!$E:$BM,MATCH(yoy!$V$1,Data!$E$1:$BM$1,),)-VLOOKUP(A43,Data!$E:$BM,MATCH(yoy!$V$1,Data!$E$1:$BM$1,),))/VLOOKUP(A43,Data!$E:$BM,MATCH(yoy!$V$1,Data!$E$1:$BM$1,),)</f>
        <v>4.4161717007118524E-2</v>
      </c>
      <c r="W43" s="14">
        <f>(VLOOKUP(B43,Data!$E:$BM,MATCH(yoy!$W$1,Data!$E$1:$BM$1,),)-VLOOKUP(A43,Data!$E:$BM,MATCH(yoy!$W$1,Data!$E$1:$BM$1,),))/VLOOKUP(A43,Data!$E:$BM,MATCH(yoy!$W$1,Data!$E$1:$BM$1,),)</f>
        <v>0.16741988284828951</v>
      </c>
      <c r="X43" s="14">
        <f>(VLOOKUP(B43,Data!$E:$BM,MATCH(yoy!$X$1,Data!$E$1:$BM$1,),)-VLOOKUP(A43,Data!$E:$BM,MATCH(yoy!$X$1,Data!$E$1:$BM$1,),))/VLOOKUP(A43,Data!$E:$BM,MATCH(yoy!$X$1,Data!$E$1:$BM$1,),)</f>
        <v>6.6249096386894524E-2</v>
      </c>
      <c r="Y43" s="14">
        <f>(VLOOKUP(B43,Data!$E:$BM,MATCH(yoy!$Y$1,Data!$E$1:$BM$1,),)-VLOOKUP(A43,Data!$E:$BM,MATCH(yoy!$Y$1,Data!$E$1:$BM$1,),))/VLOOKUP(A43,Data!$E:$BM,MATCH(yoy!$Y$1,Data!$E$1:$BM$1,),)</f>
        <v>7.3855238514927743E-2</v>
      </c>
      <c r="Z43" s="14">
        <f>(VLOOKUP(B43,Data!$E:$BM,MATCH(yoy!$Z$1,Data!$E$1:$BM$1,),)-VLOOKUP(A43,Data!$E:$BM,MATCH(yoy!$Z$1,Data!$E$1:$BM$1,),))/VLOOKUP(A43,Data!$E:$BM,MATCH(yoy!$Z$1,Data!$E$1:$BM$1,),)</f>
        <v>5.7284496044384986E-2</v>
      </c>
      <c r="AA43" s="14">
        <f>(VLOOKUP(B43,Data!$E:$BM,MATCH(yoy!$AA$1,Data!$E$1:$BM$1,),)-VLOOKUP(A43,Data!$E:$BM,MATCH(yoy!$AA$1,Data!$E$1:$BM$1,),))/VLOOKUP(A43,Data!$E:$BM,MATCH(yoy!$AA$1,Data!$E$1:$BM$1,),)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(VLOOKUP(B44,Data!$E:$BM,MATCH(yoy!$C$1,Data!$E$1:$BM$1,),)-VLOOKUP(A44,Data!$E:$BM,MATCH(yoy!$C$1,Data!$E$1:$BM$1,),))/VLOOKUP(A44,Data!$E:$BM,MATCH(yoy!$C$1,Data!$E$1:$BM$1,),)</f>
        <v>4.7483378283328131E-2</v>
      </c>
      <c r="D44" s="14">
        <f>(VLOOKUP(B44,Data!$E:$BM,MATCH(yoy!$D$1,Data!$E$1:$BM$1,),)-VLOOKUP(A44,Data!$E:$BM,MATCH(yoy!$D$1,Data!$E$1:$BM$1,),))/VLOOKUP(A44,Data!$E:$BM,MATCH(yoy!$D$1,Data!$E$1:$BM$1,),)</f>
        <v>3.8013405991533536E-2</v>
      </c>
      <c r="E44" s="14">
        <f>(VLOOKUP(B44,Data!$E:$BM,MATCH(yoy!$E$1,Data!$E$1:$BM$1,),)-VLOOKUP(A44,Data!$E:$BM,MATCH(yoy!$E$1,Data!$E$1:$BM$1,),))/VLOOKUP(A44,Data!$E:$BM,MATCH(yoy!$E$1,Data!$E$1:$BM$1,),)</f>
        <v>8.8288894102563312E-2</v>
      </c>
      <c r="F44" s="14">
        <f>(VLOOKUP(B44,Data!$E:$BM,MATCH(yoy!$F$1,Data!$E$1:$BM$1,),)-VLOOKUP(A44,Data!$E:$BM,MATCH(yoy!$F$1,Data!$E$1:$BM$1,),))/VLOOKUP(A44,Data!$E:$BM,MATCH(yoy!$F$1,Data!$E$1:$BM$1,),)</f>
        <v>3.2690055641673876E-2</v>
      </c>
      <c r="G44" s="14">
        <f>(VLOOKUP(B44,Data!$E:$BM,MATCH(yoy!$G$1,Data!$E$1:$BM$1,),)-VLOOKUP(A44,Data!$E:$BM,MATCH(yoy!$G$1,Data!$E$1:$BM$1,),))/VLOOKUP(A44,Data!$E:$BM,MATCH(yoy!$G$1,Data!$E$1:$BM$1,),)</f>
        <v>2.7435510070705608E-2</v>
      </c>
      <c r="H44" s="14">
        <f>(VLOOKUP(B44,Data!$E:$BM,MATCH(yoy!$H$1,Data!$E$1:$BM$1,),)-VLOOKUP(A44,Data!$E:$BM,MATCH(yoy!$H$1,Data!$E$1:$BM$1,),))/VLOOKUP(A44,Data!$E:$BM,MATCH(yoy!$H$1,Data!$E$1:$BM$1,),)</f>
        <v>2.6415278421424875E-2</v>
      </c>
      <c r="I44" s="14">
        <f>(VLOOKUP(B44,Data!$E:$BM,MATCH(yoy!$I$1,Data!$E$1:$BM$1,),)-VLOOKUP(A44,Data!$E:$BM,MATCH(yoy!$I$1,Data!$E$1:$BM$1,),))/VLOOKUP(A44,Data!$E:$BM,MATCH(yoy!$I$1,Data!$E$1:$BM$1,),)</f>
        <v>3.2613654437935083E-2</v>
      </c>
      <c r="J44" s="14">
        <f>(VLOOKUP(B44,Data!$E:$BM,MATCH(yoy!$J$1,Data!$E$1:$BM$1,),)-VLOOKUP(A44,Data!$E:$BM,MATCH(yoy!$J$1,Data!$E$1:$BM$1,),))/VLOOKUP(A44,Data!$E:$BM,MATCH(yoy!$J$1,Data!$E$1:$BM$1,),)</f>
        <v>6.3287422683219879E-2</v>
      </c>
      <c r="K44" s="14">
        <f>(VLOOKUP(B44,Data!$E:$BM,MATCH(yoy!$K$1,Data!$E$1:$BM$1,),)-VLOOKUP(A44,Data!$E:$BM,MATCH(yoy!$K$1,Data!$E$1:$BM$1,),))/VLOOKUP(A44,Data!$E:$BM,MATCH(yoy!$K$1,Data!$E$1:$BM$1,),)</f>
        <v>5.9026280203632681E-2</v>
      </c>
      <c r="L44" s="14">
        <f>(VLOOKUP(B44,Data!$E:$BM,MATCH(yoy!$L$1,Data!$E$1:$BM$1,),)-VLOOKUP(A44,Data!$E:$BM,MATCH(yoy!$L$1,Data!$E$1:$BM$1,),))/VLOOKUP(A44,Data!$E:$BM,MATCH(yoy!$L$1,Data!$E$1:$BM$1,),)</f>
        <v>6.6894993502917388E-2</v>
      </c>
      <c r="M44" s="14">
        <f>(VLOOKUP(B44,Data!$E:$BM,MATCH(yoy!$M$1,Data!$E$1:$BM$1,),)-VLOOKUP(A44,Data!$E:$BM,MATCH(yoy!$M$1,Data!$E$1:$BM$1,),))/VLOOKUP(A44,Data!$E:$BM,MATCH(yoy!$M$1,Data!$E$1:$BM$1,),)</f>
        <v>7.7470369970099817E-2</v>
      </c>
      <c r="N44" s="14">
        <f>(VLOOKUP(B44,Data!$E:$BM,MATCH(yoy!$N$1,Data!$E$1:$BM$1,),)-VLOOKUP(A44,Data!$E:$BM,MATCH(yoy!$N$1,Data!$E$1:$BM$1,),))/VLOOKUP(A44,Data!$E:$BM,MATCH(yoy!$N$1,Data!$E$1:$BM$1,),)</f>
        <v>9.3721112451248811E-2</v>
      </c>
      <c r="O44" s="14">
        <f>(VLOOKUP(B44,Data!$E:$BM,MATCH(yoy!$O$1,Data!$E$1:$BM$1,),)-VLOOKUP(A44,Data!$E:$BM,MATCH(yoy!$O$1,Data!$E$1:$BM$1,),))/VLOOKUP(A44,Data!$E:$BM,MATCH(yoy!$O$1,Data!$E$1:$BM$1,),)</f>
        <v>8.2663848141122084E-2</v>
      </c>
      <c r="P44" s="14">
        <f>(VLOOKUP(B44,Data!$E:$BM,MATCH(yoy!$P$1,Data!$E$1:$BM$1,),)-VLOOKUP(A44,Data!$E:$BM,MATCH(yoy!$P$1,Data!$E$1:$BM$1,),))/VLOOKUP(A44,Data!$E:$BM,MATCH(yoy!$P$1,Data!$E$1:$BM$1,),)</f>
        <v>3.7017778933264009E-2</v>
      </c>
      <c r="Q44" s="14">
        <f>(VLOOKUP(B44,Data!$E:$BM,MATCH(yoy!$Q$1,Data!$E$1:$BM$1,),)-VLOOKUP(A44,Data!$E:$BM,MATCH(yoy!$Q$1,Data!$E$1:$BM$1,),))/VLOOKUP(A44,Data!$E:$BM,MATCH(yoy!$Q$1,Data!$E$1:$BM$1,),)</f>
        <v>3.0401048225711828E-2</v>
      </c>
      <c r="R44" s="14">
        <f>(VLOOKUP(B44,Data!$E:$BM,MATCH(yoy!$R$1,Data!$E$1:$BM$1,),)-VLOOKUP(A44,Data!$E:$BM,MATCH(yoy!$R$1,Data!$E$1:$BM$1,),))/VLOOKUP(A44,Data!$E:$BM,MATCH(yoy!$R$1,Data!$E$1:$BM$1,),)</f>
        <v>7.4792407964524216E-2</v>
      </c>
      <c r="S44" s="14">
        <f>(VLOOKUP(B44,Data!$E:$BM,MATCH(yoy!$S$1,Data!$E$1:$BM$1,),)-VLOOKUP(A44,Data!$E:$BM,MATCH(yoy!$S$1,Data!$E$1:$BM$1,),))/VLOOKUP(A44,Data!$E:$BM,MATCH(yoy!$S$1,Data!$E$1:$BM$1,),)</f>
        <v>6.7904690238065987E-2</v>
      </c>
      <c r="T44" s="14">
        <f>(VLOOKUP(B44,Data!$E:$BM,MATCH(yoy!$T$1,Data!$E$1:$BM$1,),)-VLOOKUP(A44,Data!$E:$BM,MATCH(yoy!$T$1,Data!$E$1:$BM$1,),))/VLOOKUP(A44,Data!$E:$BM,MATCH(yoy!$T$1,Data!$E$1:$BM$1,),)</f>
        <v>4.5024206107387076E-2</v>
      </c>
      <c r="U44" s="14">
        <f>(VLOOKUP(B44,Data!$E:$BM,MATCH(yoy!$U$1,Data!$E$1:$BM$1,),)-VLOOKUP(A44,Data!$E:$BM,MATCH(yoy!$U$1,Data!$E$1:$BM$1,),))/VLOOKUP(A44,Data!$E:$BM,MATCH(yoy!$U$1,Data!$E$1:$BM$1,),)</f>
        <v>-4.4387953281456918E-3</v>
      </c>
      <c r="V44" s="14">
        <f>(VLOOKUP(B44,Data!$E:$BM,MATCH(yoy!$V$1,Data!$E$1:$BM$1,),)-VLOOKUP(A44,Data!$E:$BM,MATCH(yoy!$V$1,Data!$E$1:$BM$1,),))/VLOOKUP(A44,Data!$E:$BM,MATCH(yoy!$V$1,Data!$E$1:$BM$1,),)</f>
        <v>5.0144591722237869E-2</v>
      </c>
      <c r="W44" s="14">
        <f>(VLOOKUP(B44,Data!$E:$BM,MATCH(yoy!$W$1,Data!$E$1:$BM$1,),)-VLOOKUP(A44,Data!$E:$BM,MATCH(yoy!$W$1,Data!$E$1:$BM$1,),))/VLOOKUP(A44,Data!$E:$BM,MATCH(yoy!$W$1,Data!$E$1:$BM$1,),)</f>
        <v>0.16829869955965665</v>
      </c>
      <c r="X44" s="14">
        <f>(VLOOKUP(B44,Data!$E:$BM,MATCH(yoy!$X$1,Data!$E$1:$BM$1,),)-VLOOKUP(A44,Data!$E:$BM,MATCH(yoy!$X$1,Data!$E$1:$BM$1,),))/VLOOKUP(A44,Data!$E:$BM,MATCH(yoy!$X$1,Data!$E$1:$BM$1,),)</f>
        <v>6.4225488482175283E-2</v>
      </c>
      <c r="Y44" s="14">
        <f>(VLOOKUP(B44,Data!$E:$BM,MATCH(yoy!$Y$1,Data!$E$1:$BM$1,),)-VLOOKUP(A44,Data!$E:$BM,MATCH(yoy!$Y$1,Data!$E$1:$BM$1,),))/VLOOKUP(A44,Data!$E:$BM,MATCH(yoy!$Y$1,Data!$E$1:$BM$1,),)</f>
        <v>7.1147688578114696E-2</v>
      </c>
      <c r="Z44" s="14">
        <f>(VLOOKUP(B44,Data!$E:$BM,MATCH(yoy!$Z$1,Data!$E$1:$BM$1,),)-VLOOKUP(A44,Data!$E:$BM,MATCH(yoy!$Z$1,Data!$E$1:$BM$1,),))/VLOOKUP(A44,Data!$E:$BM,MATCH(yoy!$Z$1,Data!$E$1:$BM$1,),)</f>
        <v>4.3975977138720715E-2</v>
      </c>
      <c r="AA44" s="14">
        <f>(VLOOKUP(B44,Data!$E:$BM,MATCH(yoy!$AA$1,Data!$E$1:$BM$1,),)-VLOOKUP(A44,Data!$E:$BM,MATCH(yoy!$AA$1,Data!$E$1:$BM$1,),))/VLOOKUP(A44,Data!$E:$BM,MATCH(yoy!$AA$1,Data!$E$1:$BM$1,),)</f>
        <v>5.7559682842504629E-2</v>
      </c>
    </row>
    <row r="45" spans="1:27" s="78" customFormat="1" x14ac:dyDescent="0.2">
      <c r="A45" s="20">
        <f t="shared" si="3"/>
        <v>42856</v>
      </c>
      <c r="B45" s="12">
        <v>43221</v>
      </c>
      <c r="C45" s="14">
        <f>(VLOOKUP(B45,Data!$E:$BM,MATCH(yoy!$C$1,Data!$E$1:$BM$1,),)-VLOOKUP(A45,Data!$E:$BM,MATCH(yoy!$C$1,Data!$E$1:$BM$1,),))/VLOOKUP(A45,Data!$E:$BM,MATCH(yoy!$C$1,Data!$E$1:$BM$1,),)</f>
        <v>4.9663910118647528E-2</v>
      </c>
      <c r="D45" s="14">
        <f>(VLOOKUP(B45,Data!$E:$BM,MATCH(yoy!$D$1,Data!$E$1:$BM$1,),)-VLOOKUP(A45,Data!$E:$BM,MATCH(yoy!$D$1,Data!$E$1:$BM$1,),))/VLOOKUP(A45,Data!$E:$BM,MATCH(yoy!$D$1,Data!$E$1:$BM$1,),)</f>
        <v>3.8756325539616311E-2</v>
      </c>
      <c r="E45" s="14">
        <f>(VLOOKUP(B45,Data!$E:$BM,MATCH(yoy!$E$1,Data!$E$1:$BM$1,),)-VLOOKUP(A45,Data!$E:$BM,MATCH(yoy!$E$1,Data!$E$1:$BM$1,),))/VLOOKUP(A45,Data!$E:$BM,MATCH(yoy!$E$1,Data!$E$1:$BM$1,),)</f>
        <v>8.9153375122048559E-2</v>
      </c>
      <c r="F45" s="14">
        <f>(VLOOKUP(B45,Data!$E:$BM,MATCH(yoy!$F$1,Data!$E$1:$BM$1,),)-VLOOKUP(A45,Data!$E:$BM,MATCH(yoy!$F$1,Data!$E$1:$BM$1,),))/VLOOKUP(A45,Data!$E:$BM,MATCH(yoy!$F$1,Data!$E$1:$BM$1,),)</f>
        <v>3.570127504553737E-2</v>
      </c>
      <c r="G45" s="14">
        <f>(VLOOKUP(B45,Data!$E:$BM,MATCH(yoy!$G$1,Data!$E$1:$BM$1,),)-VLOOKUP(A45,Data!$E:$BM,MATCH(yoy!$G$1,Data!$E$1:$BM$1,),))/VLOOKUP(A45,Data!$E:$BM,MATCH(yoy!$G$1,Data!$E$1:$BM$1,),)</f>
        <v>2.6903443432828401E-2</v>
      </c>
      <c r="H45" s="14">
        <f>(VLOOKUP(B45,Data!$E:$BM,MATCH(yoy!$H$1,Data!$E$1:$BM$1,),)-VLOOKUP(A45,Data!$E:$BM,MATCH(yoy!$H$1,Data!$E$1:$BM$1,),))/VLOOKUP(A45,Data!$E:$BM,MATCH(yoy!$H$1,Data!$E$1:$BM$1,),)</f>
        <v>3.1445573932538176E-2</v>
      </c>
      <c r="I45" s="14">
        <f>(VLOOKUP(B45,Data!$E:$BM,MATCH(yoy!$I$1,Data!$E$1:$BM$1,),)-VLOOKUP(A45,Data!$E:$BM,MATCH(yoy!$I$1,Data!$E$1:$BM$1,),))/VLOOKUP(A45,Data!$E:$BM,MATCH(yoy!$I$1,Data!$E$1:$BM$1,),)</f>
        <v>3.0404502433004653E-2</v>
      </c>
      <c r="J45" s="14">
        <f>(VLOOKUP(B45,Data!$E:$BM,MATCH(yoy!$J$1,Data!$E$1:$BM$1,),)-VLOOKUP(A45,Data!$E:$BM,MATCH(yoy!$J$1,Data!$E$1:$BM$1,),))/VLOOKUP(A45,Data!$E:$BM,MATCH(yoy!$J$1,Data!$E$1:$BM$1,),)</f>
        <v>6.0534878224606195E-2</v>
      </c>
      <c r="K45" s="14">
        <f>(VLOOKUP(B45,Data!$E:$BM,MATCH(yoy!$K$1,Data!$E$1:$BM$1,),)-VLOOKUP(A45,Data!$E:$BM,MATCH(yoy!$K$1,Data!$E$1:$BM$1,),))/VLOOKUP(A45,Data!$E:$BM,MATCH(yoy!$K$1,Data!$E$1:$BM$1,),)</f>
        <v>6.5700923088132829E-2</v>
      </c>
      <c r="L45" s="14">
        <f>(VLOOKUP(B45,Data!$E:$BM,MATCH(yoy!$L$1,Data!$E$1:$BM$1,),)-VLOOKUP(A45,Data!$E:$BM,MATCH(yoy!$L$1,Data!$E$1:$BM$1,),))/VLOOKUP(A45,Data!$E:$BM,MATCH(yoy!$L$1,Data!$E$1:$BM$1,),)</f>
        <v>7.0080562214334091E-2</v>
      </c>
      <c r="M45" s="14">
        <f>(VLOOKUP(B45,Data!$E:$BM,MATCH(yoy!$M$1,Data!$E$1:$BM$1,),)-VLOOKUP(A45,Data!$E:$BM,MATCH(yoy!$M$1,Data!$E$1:$BM$1,),))/VLOOKUP(A45,Data!$E:$BM,MATCH(yoy!$M$1,Data!$E$1:$BM$1,),)</f>
        <v>8.6577045826219182E-2</v>
      </c>
      <c r="N45" s="14">
        <f>(VLOOKUP(B45,Data!$E:$BM,MATCH(yoy!$N$1,Data!$E$1:$BM$1,),)-VLOOKUP(A45,Data!$E:$BM,MATCH(yoy!$N$1,Data!$E$1:$BM$1,),))/VLOOKUP(A45,Data!$E:$BM,MATCH(yoy!$N$1,Data!$E$1:$BM$1,),)</f>
        <v>0.10387758076947583</v>
      </c>
      <c r="O45" s="14">
        <f>(VLOOKUP(B45,Data!$E:$BM,MATCH(yoy!$O$1,Data!$E$1:$BM$1,),)-VLOOKUP(A45,Data!$E:$BM,MATCH(yoy!$O$1,Data!$E$1:$BM$1,),))/VLOOKUP(A45,Data!$E:$BM,MATCH(yoy!$O$1,Data!$E$1:$BM$1,),)</f>
        <v>9.8046869638028306E-2</v>
      </c>
      <c r="P45" s="14">
        <f>(VLOOKUP(B45,Data!$E:$BM,MATCH(yoy!$P$1,Data!$E$1:$BM$1,),)-VLOOKUP(A45,Data!$E:$BM,MATCH(yoy!$P$1,Data!$E$1:$BM$1,),))/VLOOKUP(A45,Data!$E:$BM,MATCH(yoy!$P$1,Data!$E$1:$BM$1,),)</f>
        <v>3.4348958288393586E-2</v>
      </c>
      <c r="Q45" s="14">
        <f>(VLOOKUP(B45,Data!$E:$BM,MATCH(yoy!$Q$1,Data!$E$1:$BM$1,),)-VLOOKUP(A45,Data!$E:$BM,MATCH(yoy!$Q$1,Data!$E$1:$BM$1,),))/VLOOKUP(A45,Data!$E:$BM,MATCH(yoy!$Q$1,Data!$E$1:$BM$1,),)</f>
        <v>2.4187566763788311E-2</v>
      </c>
      <c r="R45" s="14">
        <f>(VLOOKUP(B45,Data!$E:$BM,MATCH(yoy!$R$1,Data!$E$1:$BM$1,),)-VLOOKUP(A45,Data!$E:$BM,MATCH(yoy!$R$1,Data!$E$1:$BM$1,),))/VLOOKUP(A45,Data!$E:$BM,MATCH(yoy!$R$1,Data!$E$1:$BM$1,),)</f>
        <v>6.7358966208325641E-2</v>
      </c>
      <c r="S45" s="14">
        <f>(VLOOKUP(B45,Data!$E:$BM,MATCH(yoy!$S$1,Data!$E$1:$BM$1,),)-VLOOKUP(A45,Data!$E:$BM,MATCH(yoy!$S$1,Data!$E$1:$BM$1,),))/VLOOKUP(A45,Data!$E:$BM,MATCH(yoy!$S$1,Data!$E$1:$BM$1,),)</f>
        <v>6.8600213972304827E-2</v>
      </c>
      <c r="T45" s="14">
        <f>(VLOOKUP(B45,Data!$E:$BM,MATCH(yoy!$T$1,Data!$E$1:$BM$1,),)-VLOOKUP(A45,Data!$E:$BM,MATCH(yoy!$T$1,Data!$E$1:$BM$1,),))/VLOOKUP(A45,Data!$E:$BM,MATCH(yoy!$T$1,Data!$E$1:$BM$1,),)</f>
        <v>5.4550163843695459E-2</v>
      </c>
      <c r="U45" s="14">
        <f>(VLOOKUP(B45,Data!$E:$BM,MATCH(yoy!$U$1,Data!$E$1:$BM$1,),)-VLOOKUP(A45,Data!$E:$BM,MATCH(yoy!$U$1,Data!$E$1:$BM$1,),))/VLOOKUP(A45,Data!$E:$BM,MATCH(yoy!$U$1,Data!$E$1:$BM$1,),)</f>
        <v>-4.8823904626750202E-3</v>
      </c>
      <c r="V45" s="14">
        <f>(VLOOKUP(B45,Data!$E:$BM,MATCH(yoy!$V$1,Data!$E$1:$BM$1,),)-VLOOKUP(A45,Data!$E:$BM,MATCH(yoy!$V$1,Data!$E$1:$BM$1,),))/VLOOKUP(A45,Data!$E:$BM,MATCH(yoy!$V$1,Data!$E$1:$BM$1,),)</f>
        <v>4.8986260594752577E-2</v>
      </c>
      <c r="W45" s="14">
        <f>(VLOOKUP(B45,Data!$E:$BM,MATCH(yoy!$W$1,Data!$E$1:$BM$1,),)-VLOOKUP(A45,Data!$E:$BM,MATCH(yoy!$W$1,Data!$E$1:$BM$1,),))/VLOOKUP(A45,Data!$E:$BM,MATCH(yoy!$W$1,Data!$E$1:$BM$1,),)</f>
        <v>0.18869231503579945</v>
      </c>
      <c r="X45" s="14">
        <f>(VLOOKUP(B45,Data!$E:$BM,MATCH(yoy!$X$1,Data!$E$1:$BM$1,),)-VLOOKUP(A45,Data!$E:$BM,MATCH(yoy!$X$1,Data!$E$1:$BM$1,),))/VLOOKUP(A45,Data!$E:$BM,MATCH(yoy!$X$1,Data!$E$1:$BM$1,),)</f>
        <v>6.1059021549192981E-2</v>
      </c>
      <c r="Y45" s="14">
        <f>(VLOOKUP(B45,Data!$E:$BM,MATCH(yoy!$Y$1,Data!$E$1:$BM$1,),)-VLOOKUP(A45,Data!$E:$BM,MATCH(yoy!$Y$1,Data!$E$1:$BM$1,),))/VLOOKUP(A45,Data!$E:$BM,MATCH(yoy!$Y$1,Data!$E$1:$BM$1,),)</f>
        <v>6.8700933969041866E-2</v>
      </c>
      <c r="Z45" s="14">
        <f>(VLOOKUP(B45,Data!$E:$BM,MATCH(yoy!$Z$1,Data!$E$1:$BM$1,),)-VLOOKUP(A45,Data!$E:$BM,MATCH(yoy!$Z$1,Data!$E$1:$BM$1,),))/VLOOKUP(A45,Data!$E:$BM,MATCH(yoy!$Z$1,Data!$E$1:$BM$1,),)</f>
        <v>4.4449058312341687E-2</v>
      </c>
      <c r="AA45" s="14">
        <f>(VLOOKUP(B45,Data!$E:$BM,MATCH(yoy!$AA$1,Data!$E$1:$BM$1,),)-VLOOKUP(A45,Data!$E:$BM,MATCH(yoy!$AA$1,Data!$E$1:$BM$1,),))/VLOOKUP(A45,Data!$E:$BM,MATCH(yoy!$AA$1,Data!$E$1:$BM$1,),)</f>
        <v>6.1305789256194884E-2</v>
      </c>
    </row>
    <row r="46" spans="1:27" s="78" customFormat="1" x14ac:dyDescent="0.2">
      <c r="A46" s="20">
        <f t="shared" si="3"/>
        <v>42887</v>
      </c>
      <c r="B46" s="12">
        <v>43252</v>
      </c>
      <c r="C46" s="14">
        <f>(VLOOKUP(B46,Data!$E:$BM,MATCH(yoy!$C$1,Data!$E$1:$BM$1,),)-VLOOKUP(A46,Data!$E:$BM,MATCH(yoy!$C$1,Data!$E$1:$BM$1,),))/VLOOKUP(A46,Data!$E:$BM,MATCH(yoy!$C$1,Data!$E$1:$BM$1,),)</f>
        <v>5.2872195214979927E-2</v>
      </c>
      <c r="D46" s="14">
        <f>(VLOOKUP(B46,Data!$E:$BM,MATCH(yoy!$D$1,Data!$E$1:$BM$1,),)-VLOOKUP(A46,Data!$E:$BM,MATCH(yoy!$D$1,Data!$E$1:$BM$1,),))/VLOOKUP(A46,Data!$E:$BM,MATCH(yoy!$D$1,Data!$E$1:$BM$1,),)</f>
        <v>4.1443929766761957E-2</v>
      </c>
      <c r="E46" s="14">
        <f>(VLOOKUP(B46,Data!$E:$BM,MATCH(yoy!$E$1,Data!$E$1:$BM$1,),)-VLOOKUP(A46,Data!$E:$BM,MATCH(yoy!$E$1,Data!$E$1:$BM$1,),))/VLOOKUP(A46,Data!$E:$BM,MATCH(yoy!$E$1,Data!$E$1:$BM$1,),)</f>
        <v>8.766600462744939E-2</v>
      </c>
      <c r="F46" s="14">
        <f>(VLOOKUP(B46,Data!$E:$BM,MATCH(yoy!$F$1,Data!$E$1:$BM$1,),)-VLOOKUP(A46,Data!$E:$BM,MATCH(yoy!$F$1,Data!$E$1:$BM$1,),))/VLOOKUP(A46,Data!$E:$BM,MATCH(yoy!$F$1,Data!$E$1:$BM$1,),)</f>
        <v>4.10817399003632E-2</v>
      </c>
      <c r="G46" s="14">
        <f>(VLOOKUP(B46,Data!$E:$BM,MATCH(yoy!$G$1,Data!$E$1:$BM$1,),)-VLOOKUP(A46,Data!$E:$BM,MATCH(yoy!$G$1,Data!$E$1:$BM$1,),))/VLOOKUP(A46,Data!$E:$BM,MATCH(yoy!$G$1,Data!$E$1:$BM$1,),)</f>
        <v>2.6605274709540532E-2</v>
      </c>
      <c r="H46" s="14">
        <f>(VLOOKUP(B46,Data!$E:$BM,MATCH(yoy!$H$1,Data!$E$1:$BM$1,),)-VLOOKUP(A46,Data!$E:$BM,MATCH(yoy!$H$1,Data!$E$1:$BM$1,),))/VLOOKUP(A46,Data!$E:$BM,MATCH(yoy!$H$1,Data!$E$1:$BM$1,),)</f>
        <v>3.7207009981162185E-2</v>
      </c>
      <c r="I46" s="14">
        <f>(VLOOKUP(B46,Data!$E:$BM,MATCH(yoy!$I$1,Data!$E$1:$BM$1,),)-VLOOKUP(A46,Data!$E:$BM,MATCH(yoy!$I$1,Data!$E$1:$BM$1,),))/VLOOKUP(A46,Data!$E:$BM,MATCH(yoy!$I$1,Data!$E$1:$BM$1,),)</f>
        <v>2.5345009615022032E-2</v>
      </c>
      <c r="J46" s="14">
        <f>(VLOOKUP(B46,Data!$E:$BM,MATCH(yoy!$J$1,Data!$E$1:$BM$1,),)-VLOOKUP(A46,Data!$E:$BM,MATCH(yoy!$J$1,Data!$E$1:$BM$1,),))/VLOOKUP(A46,Data!$E:$BM,MATCH(yoy!$J$1,Data!$E$1:$BM$1,),)</f>
        <v>5.6650941528267669E-2</v>
      </c>
      <c r="K46" s="14">
        <f>(VLOOKUP(B46,Data!$E:$BM,MATCH(yoy!$K$1,Data!$E$1:$BM$1,),)-VLOOKUP(A46,Data!$E:$BM,MATCH(yoy!$K$1,Data!$E$1:$BM$1,),))/VLOOKUP(A46,Data!$E:$BM,MATCH(yoy!$K$1,Data!$E$1:$BM$1,),)</f>
        <v>6.5657927835398006E-2</v>
      </c>
      <c r="L46" s="14">
        <f>(VLOOKUP(B46,Data!$E:$BM,MATCH(yoy!$L$1,Data!$E$1:$BM$1,),)-VLOOKUP(A46,Data!$E:$BM,MATCH(yoy!$L$1,Data!$E$1:$BM$1,),))/VLOOKUP(A46,Data!$E:$BM,MATCH(yoy!$L$1,Data!$E$1:$BM$1,),)</f>
        <v>7.2752907359404734E-2</v>
      </c>
      <c r="M46" s="14">
        <f>(VLOOKUP(B46,Data!$E:$BM,MATCH(yoy!$M$1,Data!$E$1:$BM$1,),)-VLOOKUP(A46,Data!$E:$BM,MATCH(yoy!$M$1,Data!$E$1:$BM$1,),))/VLOOKUP(A46,Data!$E:$BM,MATCH(yoy!$M$1,Data!$E$1:$BM$1,),)</f>
        <v>8.9299887521710405E-2</v>
      </c>
      <c r="N46" s="14">
        <f>(VLOOKUP(B46,Data!$E:$BM,MATCH(yoy!$N$1,Data!$E$1:$BM$1,),)-VLOOKUP(A46,Data!$E:$BM,MATCH(yoy!$N$1,Data!$E$1:$BM$1,),))/VLOOKUP(A46,Data!$E:$BM,MATCH(yoy!$N$1,Data!$E$1:$BM$1,),)</f>
        <v>9.9026651517049855E-2</v>
      </c>
      <c r="O46" s="14">
        <f>(VLOOKUP(B46,Data!$E:$BM,MATCH(yoy!$O$1,Data!$E$1:$BM$1,),)-VLOOKUP(A46,Data!$E:$BM,MATCH(yoy!$O$1,Data!$E$1:$BM$1,),))/VLOOKUP(A46,Data!$E:$BM,MATCH(yoy!$O$1,Data!$E$1:$BM$1,),)</f>
        <v>9.7248629764320305E-2</v>
      </c>
      <c r="P46" s="14">
        <f>(VLOOKUP(B46,Data!$E:$BM,MATCH(yoy!$P$1,Data!$E$1:$BM$1,),)-VLOOKUP(A46,Data!$E:$BM,MATCH(yoy!$P$1,Data!$E$1:$BM$1,),))/VLOOKUP(A46,Data!$E:$BM,MATCH(yoy!$P$1,Data!$E$1:$BM$1,),)</f>
        <v>4.3647854467926003E-2</v>
      </c>
      <c r="Q46" s="14">
        <f>(VLOOKUP(B46,Data!$E:$BM,MATCH(yoy!$Q$1,Data!$E$1:$BM$1,),)-VLOOKUP(A46,Data!$E:$BM,MATCH(yoy!$Q$1,Data!$E$1:$BM$1,),))/VLOOKUP(A46,Data!$E:$BM,MATCH(yoy!$Q$1,Data!$E$1:$BM$1,),)</f>
        <v>2.1029708664049421E-2</v>
      </c>
      <c r="R46" s="14">
        <f>(VLOOKUP(B46,Data!$E:$BM,MATCH(yoy!$R$1,Data!$E$1:$BM$1,),)-VLOOKUP(A46,Data!$E:$BM,MATCH(yoy!$R$1,Data!$E$1:$BM$1,),))/VLOOKUP(A46,Data!$E:$BM,MATCH(yoy!$R$1,Data!$E$1:$BM$1,),)</f>
        <v>5.9340770236688573E-2</v>
      </c>
      <c r="S46" s="14">
        <f>(VLOOKUP(B46,Data!$E:$BM,MATCH(yoy!$S$1,Data!$E$1:$BM$1,),)-VLOOKUP(A46,Data!$E:$BM,MATCH(yoy!$S$1,Data!$E$1:$BM$1,),))/VLOOKUP(A46,Data!$E:$BM,MATCH(yoy!$S$1,Data!$E$1:$BM$1,),)</f>
        <v>6.7451583085157488E-2</v>
      </c>
      <c r="T46" s="14">
        <f>(VLOOKUP(B46,Data!$E:$BM,MATCH(yoy!$T$1,Data!$E$1:$BM$1,),)-VLOOKUP(A46,Data!$E:$BM,MATCH(yoy!$T$1,Data!$E$1:$BM$1,),))/VLOOKUP(A46,Data!$E:$BM,MATCH(yoy!$T$1,Data!$E$1:$BM$1,),)</f>
        <v>5.8679702484293141E-2</v>
      </c>
      <c r="U46" s="14">
        <f>(VLOOKUP(B46,Data!$E:$BM,MATCH(yoy!$U$1,Data!$E$1:$BM$1,),)-VLOOKUP(A46,Data!$E:$BM,MATCH(yoy!$U$1,Data!$E$1:$BM$1,),))/VLOOKUP(A46,Data!$E:$BM,MATCH(yoy!$U$1,Data!$E$1:$BM$1,),)</f>
        <v>-1.2286643039390806E-2</v>
      </c>
      <c r="V46" s="14">
        <f>(VLOOKUP(B46,Data!$E:$BM,MATCH(yoy!$V$1,Data!$E$1:$BM$1,),)-VLOOKUP(A46,Data!$E:$BM,MATCH(yoy!$V$1,Data!$E$1:$BM$1,),))/VLOOKUP(A46,Data!$E:$BM,MATCH(yoy!$V$1,Data!$E$1:$BM$1,),)</f>
        <v>3.6170220424795146E-2</v>
      </c>
      <c r="W46" s="14">
        <f>(VLOOKUP(B46,Data!$E:$BM,MATCH(yoy!$W$1,Data!$E$1:$BM$1,),)-VLOOKUP(A46,Data!$E:$BM,MATCH(yoy!$W$1,Data!$E$1:$BM$1,),))/VLOOKUP(A46,Data!$E:$BM,MATCH(yoy!$W$1,Data!$E$1:$BM$1,),)</f>
        <v>0.20832624843470965</v>
      </c>
      <c r="X46" s="14">
        <f>(VLOOKUP(B46,Data!$E:$BM,MATCH(yoy!$X$1,Data!$E$1:$BM$1,),)-VLOOKUP(A46,Data!$E:$BM,MATCH(yoy!$X$1,Data!$E$1:$BM$1,),))/VLOOKUP(A46,Data!$E:$BM,MATCH(yoy!$X$1,Data!$E$1:$BM$1,),)</f>
        <v>5.8245142246930247E-2</v>
      </c>
      <c r="Y46" s="14">
        <f>(VLOOKUP(B46,Data!$E:$BM,MATCH(yoy!$Y$1,Data!$E$1:$BM$1,),)-VLOOKUP(A46,Data!$E:$BM,MATCH(yoy!$Y$1,Data!$E$1:$BM$1,),))/VLOOKUP(A46,Data!$E:$BM,MATCH(yoy!$Y$1,Data!$E$1:$BM$1,),)</f>
        <v>6.940472510755602E-2</v>
      </c>
      <c r="Z46" s="14">
        <f>(VLOOKUP(B46,Data!$E:$BM,MATCH(yoy!$Z$1,Data!$E$1:$BM$1,),)-VLOOKUP(A46,Data!$E:$BM,MATCH(yoy!$Z$1,Data!$E$1:$BM$1,),))/VLOOKUP(A46,Data!$E:$BM,MATCH(yoy!$Z$1,Data!$E$1:$BM$1,),)</f>
        <v>5.1383366163127796E-2</v>
      </c>
      <c r="AA46" s="14">
        <f>(VLOOKUP(B46,Data!$E:$BM,MATCH(yoy!$AA$1,Data!$E$1:$BM$1,),)-VLOOKUP(A46,Data!$E:$BM,MATCH(yoy!$AA$1,Data!$E$1:$BM$1,),))/VLOOKUP(A46,Data!$E:$BM,MATCH(yoy!$AA$1,Data!$E$1:$BM$1,),)</f>
        <v>6.9121708045840946E-2</v>
      </c>
    </row>
    <row r="47" spans="1:27" s="78" customFormat="1" x14ac:dyDescent="0.2">
      <c r="A47" s="20">
        <f t="shared" si="3"/>
        <v>42917</v>
      </c>
      <c r="B47" s="12">
        <v>43282</v>
      </c>
      <c r="C47" s="14">
        <f>(VLOOKUP(B47,Data!$E:$BM,MATCH(yoy!$C$1,Data!$E$1:$BM$1,),)-VLOOKUP(A47,Data!$E:$BM,MATCH(yoy!$C$1,Data!$E$1:$BM$1,),))/VLOOKUP(A47,Data!$E:$BM,MATCH(yoy!$C$1,Data!$E$1:$BM$1,),)</f>
        <v>5.1678437465944256E-2</v>
      </c>
      <c r="D47" s="14">
        <f>(VLOOKUP(B47,Data!$E:$BM,MATCH(yoy!$D$1,Data!$E$1:$BM$1,),)-VLOOKUP(A47,Data!$E:$BM,MATCH(yoy!$D$1,Data!$E$1:$BM$1,),))/VLOOKUP(A47,Data!$E:$BM,MATCH(yoy!$D$1,Data!$E$1:$BM$1,),)</f>
        <v>3.9271077619647633E-2</v>
      </c>
      <c r="E47" s="14">
        <f>(VLOOKUP(B47,Data!$E:$BM,MATCH(yoy!$E$1,Data!$E$1:$BM$1,),)-VLOOKUP(A47,Data!$E:$BM,MATCH(yoy!$E$1,Data!$E$1:$BM$1,),))/VLOOKUP(A47,Data!$E:$BM,MATCH(yoy!$E$1,Data!$E$1:$BM$1,),)</f>
        <v>8.8199288556878391E-2</v>
      </c>
      <c r="F47" s="14">
        <f>(VLOOKUP(B47,Data!$E:$BM,MATCH(yoy!$F$1,Data!$E$1:$BM$1,),)-VLOOKUP(A47,Data!$E:$BM,MATCH(yoy!$F$1,Data!$E$1:$BM$1,),))/VLOOKUP(A47,Data!$E:$BM,MATCH(yoy!$F$1,Data!$E$1:$BM$1,),)</f>
        <v>4.1710934704870688E-2</v>
      </c>
      <c r="G47" s="14">
        <f>(VLOOKUP(B47,Data!$E:$BM,MATCH(yoy!$G$1,Data!$E$1:$BM$1,),)-VLOOKUP(A47,Data!$E:$BM,MATCH(yoy!$G$1,Data!$E$1:$BM$1,),))/VLOOKUP(A47,Data!$E:$BM,MATCH(yoy!$G$1,Data!$E$1:$BM$1,),)</f>
        <v>2.5401951005088939E-2</v>
      </c>
      <c r="H47" s="14">
        <f>(VLOOKUP(B47,Data!$E:$BM,MATCH(yoy!$H$1,Data!$E$1:$BM$1,),)-VLOOKUP(A47,Data!$E:$BM,MATCH(yoy!$H$1,Data!$E$1:$BM$1,),))/VLOOKUP(A47,Data!$E:$BM,MATCH(yoy!$H$1,Data!$E$1:$BM$1,),)</f>
        <v>3.3807453459149955E-2</v>
      </c>
      <c r="I47" s="14">
        <f>(VLOOKUP(B47,Data!$E:$BM,MATCH(yoy!$I$1,Data!$E$1:$BM$1,),)-VLOOKUP(A47,Data!$E:$BM,MATCH(yoy!$I$1,Data!$E$1:$BM$1,),))/VLOOKUP(A47,Data!$E:$BM,MATCH(yoy!$I$1,Data!$E$1:$BM$1,),)</f>
        <v>2.3059912371017694E-2</v>
      </c>
      <c r="J47" s="14">
        <f>(VLOOKUP(B47,Data!$E:$BM,MATCH(yoy!$J$1,Data!$E$1:$BM$1,),)-VLOOKUP(A47,Data!$E:$BM,MATCH(yoy!$J$1,Data!$E$1:$BM$1,),))/VLOOKUP(A47,Data!$E:$BM,MATCH(yoy!$J$1,Data!$E$1:$BM$1,),)</f>
        <v>5.3987033926997087E-2</v>
      </c>
      <c r="K47" s="14">
        <f>(VLOOKUP(B47,Data!$E:$BM,MATCH(yoy!$K$1,Data!$E$1:$BM$1,),)-VLOOKUP(A47,Data!$E:$BM,MATCH(yoy!$K$1,Data!$E$1:$BM$1,),))/VLOOKUP(A47,Data!$E:$BM,MATCH(yoy!$K$1,Data!$E$1:$BM$1,),)</f>
        <v>5.8462419975891383E-2</v>
      </c>
      <c r="L47" s="14">
        <f>(VLOOKUP(B47,Data!$E:$BM,MATCH(yoy!$L$1,Data!$E$1:$BM$1,),)-VLOOKUP(A47,Data!$E:$BM,MATCH(yoy!$L$1,Data!$E$1:$BM$1,),))/VLOOKUP(A47,Data!$E:$BM,MATCH(yoy!$L$1,Data!$E$1:$BM$1,),)</f>
        <v>7.4927246301343689E-2</v>
      </c>
      <c r="M47" s="14">
        <f>(VLOOKUP(B47,Data!$E:$BM,MATCH(yoy!$M$1,Data!$E$1:$BM$1,),)-VLOOKUP(A47,Data!$E:$BM,MATCH(yoy!$M$1,Data!$E$1:$BM$1,),))/VLOOKUP(A47,Data!$E:$BM,MATCH(yoy!$M$1,Data!$E$1:$BM$1,),)</f>
        <v>7.5153978703662694E-2</v>
      </c>
      <c r="N47" s="14">
        <f>(VLOOKUP(B47,Data!$E:$BM,MATCH(yoy!$N$1,Data!$E$1:$BM$1,),)-VLOOKUP(A47,Data!$E:$BM,MATCH(yoy!$N$1,Data!$E$1:$BM$1,),))/VLOOKUP(A47,Data!$E:$BM,MATCH(yoy!$N$1,Data!$E$1:$BM$1,),)</f>
        <v>9.5172029166121636E-2</v>
      </c>
      <c r="O47" s="14">
        <f>(VLOOKUP(B47,Data!$E:$BM,MATCH(yoy!$O$1,Data!$E$1:$BM$1,),)-VLOOKUP(A47,Data!$E:$BM,MATCH(yoy!$O$1,Data!$E$1:$BM$1,),))/VLOOKUP(A47,Data!$E:$BM,MATCH(yoy!$O$1,Data!$E$1:$BM$1,),)</f>
        <v>9.8341642769096585E-2</v>
      </c>
      <c r="P47" s="14">
        <f>(VLOOKUP(B47,Data!$E:$BM,MATCH(yoy!$P$1,Data!$E$1:$BM$1,),)-VLOOKUP(A47,Data!$E:$BM,MATCH(yoy!$P$1,Data!$E$1:$BM$1,),))/VLOOKUP(A47,Data!$E:$BM,MATCH(yoy!$P$1,Data!$E$1:$BM$1,),)</f>
        <v>5.1277489609901562E-2</v>
      </c>
      <c r="Q47" s="14">
        <f>(VLOOKUP(B47,Data!$E:$BM,MATCH(yoy!$Q$1,Data!$E$1:$BM$1,),)-VLOOKUP(A47,Data!$E:$BM,MATCH(yoy!$Q$1,Data!$E$1:$BM$1,),))/VLOOKUP(A47,Data!$E:$BM,MATCH(yoy!$Q$1,Data!$E$1:$BM$1,),)</f>
        <v>1.9160269960882301E-2</v>
      </c>
      <c r="R47" s="14">
        <f>(VLOOKUP(B47,Data!$E:$BM,MATCH(yoy!$R$1,Data!$E$1:$BM$1,),)-VLOOKUP(A47,Data!$E:$BM,MATCH(yoy!$R$1,Data!$E$1:$BM$1,),))/VLOOKUP(A47,Data!$E:$BM,MATCH(yoy!$R$1,Data!$E$1:$BM$1,),)</f>
        <v>6.1303674347961634E-2</v>
      </c>
      <c r="S47" s="14">
        <f>(VLOOKUP(B47,Data!$E:$BM,MATCH(yoy!$S$1,Data!$E$1:$BM$1,),)-VLOOKUP(A47,Data!$E:$BM,MATCH(yoy!$S$1,Data!$E$1:$BM$1,),))/VLOOKUP(A47,Data!$E:$BM,MATCH(yoy!$S$1,Data!$E$1:$BM$1,),)</f>
        <v>6.8843179155127027E-2</v>
      </c>
      <c r="T47" s="14">
        <f>(VLOOKUP(B47,Data!$E:$BM,MATCH(yoy!$T$1,Data!$E$1:$BM$1,),)-VLOOKUP(A47,Data!$E:$BM,MATCH(yoy!$T$1,Data!$E$1:$BM$1,),))/VLOOKUP(A47,Data!$E:$BM,MATCH(yoy!$T$1,Data!$E$1:$BM$1,),)</f>
        <v>6.1853287672379929E-2</v>
      </c>
      <c r="U47" s="14">
        <f>(VLOOKUP(B47,Data!$E:$BM,MATCH(yoy!$U$1,Data!$E$1:$BM$1,),)-VLOOKUP(A47,Data!$E:$BM,MATCH(yoy!$U$1,Data!$E$1:$BM$1,),))/VLOOKUP(A47,Data!$E:$BM,MATCH(yoy!$U$1,Data!$E$1:$BM$1,),)</f>
        <v>-5.4620106620497386E-3</v>
      </c>
      <c r="V47" s="14">
        <f>(VLOOKUP(B47,Data!$E:$BM,MATCH(yoy!$V$1,Data!$E$1:$BM$1,),)-VLOOKUP(A47,Data!$E:$BM,MATCH(yoy!$V$1,Data!$E$1:$BM$1,),))/VLOOKUP(A47,Data!$E:$BM,MATCH(yoy!$V$1,Data!$E$1:$BM$1,),)</f>
        <v>2.9037451211504958E-2</v>
      </c>
      <c r="W47" s="14">
        <f>(VLOOKUP(B47,Data!$E:$BM,MATCH(yoy!$W$1,Data!$E$1:$BM$1,),)-VLOOKUP(A47,Data!$E:$BM,MATCH(yoy!$W$1,Data!$E$1:$BM$1,),))/VLOOKUP(A47,Data!$E:$BM,MATCH(yoy!$W$1,Data!$E$1:$BM$1,),)</f>
        <v>0.22286064987893819</v>
      </c>
      <c r="X47" s="14">
        <f>(VLOOKUP(B47,Data!$E:$BM,MATCH(yoy!$X$1,Data!$E$1:$BM$1,),)-VLOOKUP(A47,Data!$E:$BM,MATCH(yoy!$X$1,Data!$E$1:$BM$1,),))/VLOOKUP(A47,Data!$E:$BM,MATCH(yoy!$X$1,Data!$E$1:$BM$1,),)</f>
        <v>5.9500055060015336E-2</v>
      </c>
      <c r="Y47" s="14">
        <f>(VLOOKUP(B47,Data!$E:$BM,MATCH(yoy!$Y$1,Data!$E$1:$BM$1,),)-VLOOKUP(A47,Data!$E:$BM,MATCH(yoy!$Y$1,Data!$E$1:$BM$1,),))/VLOOKUP(A47,Data!$E:$BM,MATCH(yoy!$Y$1,Data!$E$1:$BM$1,),)</f>
        <v>6.9853595308311159E-2</v>
      </c>
      <c r="Z47" s="14">
        <f>(VLOOKUP(B47,Data!$E:$BM,MATCH(yoy!$Z$1,Data!$E$1:$BM$1,),)-VLOOKUP(A47,Data!$E:$BM,MATCH(yoy!$Z$1,Data!$E$1:$BM$1,),))/VLOOKUP(A47,Data!$E:$BM,MATCH(yoy!$Z$1,Data!$E$1:$BM$1,),)</f>
        <v>5.016879266842901E-2</v>
      </c>
      <c r="AA47" s="14">
        <f>(VLOOKUP(B47,Data!$E:$BM,MATCH(yoy!$AA$1,Data!$E$1:$BM$1,),)-VLOOKUP(A47,Data!$E:$BM,MATCH(yoy!$AA$1,Data!$E$1:$BM$1,),))/VLOOKUP(A47,Data!$E:$BM,MATCH(yoy!$AA$1,Data!$E$1:$BM$1,),)</f>
        <v>7.3085513064686219E-2</v>
      </c>
    </row>
    <row r="48" spans="1:27" s="78" customFormat="1" x14ac:dyDescent="0.2">
      <c r="A48" s="20">
        <f t="shared" si="3"/>
        <v>42948</v>
      </c>
      <c r="B48" s="12">
        <v>43313</v>
      </c>
      <c r="C48" s="14">
        <f>(VLOOKUP(B48,Data!$E:$BM,MATCH(yoy!$C$1,Data!$E$1:$BM$1,),)-VLOOKUP(A48,Data!$E:$BM,MATCH(yoy!$C$1,Data!$E$1:$BM$1,),))/VLOOKUP(A48,Data!$E:$BM,MATCH(yoy!$C$1,Data!$E$1:$BM$1,),)</f>
        <v>5.1470041361182793E-2</v>
      </c>
      <c r="D48" s="14">
        <f>(VLOOKUP(B48,Data!$E:$BM,MATCH(yoy!$D$1,Data!$E$1:$BM$1,),)-VLOOKUP(A48,Data!$E:$BM,MATCH(yoy!$D$1,Data!$E$1:$BM$1,),))/VLOOKUP(A48,Data!$E:$BM,MATCH(yoy!$D$1,Data!$E$1:$BM$1,),)</f>
        <v>3.8270366361292198E-2</v>
      </c>
      <c r="E48" s="14">
        <f>(VLOOKUP(B48,Data!$E:$BM,MATCH(yoy!$E$1,Data!$E$1:$BM$1,),)-VLOOKUP(A48,Data!$E:$BM,MATCH(yoy!$E$1,Data!$E$1:$BM$1,),))/VLOOKUP(A48,Data!$E:$BM,MATCH(yoy!$E$1,Data!$E$1:$BM$1,),)</f>
        <v>8.9070939064283497E-2</v>
      </c>
      <c r="F48" s="14">
        <f>(VLOOKUP(B48,Data!$E:$BM,MATCH(yoy!$F$1,Data!$E$1:$BM$1,),)-VLOOKUP(A48,Data!$E:$BM,MATCH(yoy!$F$1,Data!$E$1:$BM$1,),))/VLOOKUP(A48,Data!$E:$BM,MATCH(yoy!$F$1,Data!$E$1:$BM$1,),)</f>
        <v>3.7668618199186626E-2</v>
      </c>
      <c r="G48" s="14">
        <f>(VLOOKUP(B48,Data!$E:$BM,MATCH(yoy!$G$1,Data!$E$1:$BM$1,),)-VLOOKUP(A48,Data!$E:$BM,MATCH(yoy!$G$1,Data!$E$1:$BM$1,),))/VLOOKUP(A48,Data!$E:$BM,MATCH(yoy!$G$1,Data!$E$1:$BM$1,),)</f>
        <v>2.4860459798552299E-2</v>
      </c>
      <c r="H48" s="14">
        <f>(VLOOKUP(B48,Data!$E:$BM,MATCH(yoy!$H$1,Data!$E$1:$BM$1,),)-VLOOKUP(A48,Data!$E:$BM,MATCH(yoy!$H$1,Data!$E$1:$BM$1,),))/VLOOKUP(A48,Data!$E:$BM,MATCH(yoy!$H$1,Data!$E$1:$BM$1,),)</f>
        <v>2.7211351983495228E-2</v>
      </c>
      <c r="I48" s="14">
        <f>(VLOOKUP(B48,Data!$E:$BM,MATCH(yoy!$I$1,Data!$E$1:$BM$1,),)-VLOOKUP(A48,Data!$E:$BM,MATCH(yoy!$I$1,Data!$E$1:$BM$1,),))/VLOOKUP(A48,Data!$E:$BM,MATCH(yoy!$I$1,Data!$E$1:$BM$1,),)</f>
        <v>2.3986136805376777E-2</v>
      </c>
      <c r="J48" s="14">
        <f>(VLOOKUP(B48,Data!$E:$BM,MATCH(yoy!$J$1,Data!$E$1:$BM$1,),)-VLOOKUP(A48,Data!$E:$BM,MATCH(yoy!$J$1,Data!$E$1:$BM$1,),))/VLOOKUP(A48,Data!$E:$BM,MATCH(yoy!$J$1,Data!$E$1:$BM$1,),)</f>
        <v>4.9214925783512019E-2</v>
      </c>
      <c r="K48" s="14">
        <f>(VLOOKUP(B48,Data!$E:$BM,MATCH(yoy!$K$1,Data!$E$1:$BM$1,),)-VLOOKUP(A48,Data!$E:$BM,MATCH(yoy!$K$1,Data!$E$1:$BM$1,),))/VLOOKUP(A48,Data!$E:$BM,MATCH(yoy!$K$1,Data!$E$1:$BM$1,),)</f>
        <v>5.6703676373438136E-2</v>
      </c>
      <c r="L48" s="14">
        <f>(VLOOKUP(B48,Data!$E:$BM,MATCH(yoy!$L$1,Data!$E$1:$BM$1,),)-VLOOKUP(A48,Data!$E:$BM,MATCH(yoy!$L$1,Data!$E$1:$BM$1,),))/VLOOKUP(A48,Data!$E:$BM,MATCH(yoy!$L$1,Data!$E$1:$BM$1,),)</f>
        <v>7.4659388064084231E-2</v>
      </c>
      <c r="M48" s="14">
        <f>(VLOOKUP(B48,Data!$E:$BM,MATCH(yoy!$M$1,Data!$E$1:$BM$1,),)-VLOOKUP(A48,Data!$E:$BM,MATCH(yoy!$M$1,Data!$E$1:$BM$1,),))/VLOOKUP(A48,Data!$E:$BM,MATCH(yoy!$M$1,Data!$E$1:$BM$1,),)</f>
        <v>7.3606854767691771E-2</v>
      </c>
      <c r="N48" s="14">
        <f>(VLOOKUP(B48,Data!$E:$BM,MATCH(yoy!$N$1,Data!$E$1:$BM$1,),)-VLOOKUP(A48,Data!$E:$BM,MATCH(yoy!$N$1,Data!$E$1:$BM$1,),))/VLOOKUP(A48,Data!$E:$BM,MATCH(yoy!$N$1,Data!$E$1:$BM$1,),)</f>
        <v>0.10556576010574002</v>
      </c>
      <c r="O48" s="14">
        <f>(VLOOKUP(B48,Data!$E:$BM,MATCH(yoy!$O$1,Data!$E$1:$BM$1,),)-VLOOKUP(A48,Data!$E:$BM,MATCH(yoy!$O$1,Data!$E$1:$BM$1,),))/VLOOKUP(A48,Data!$E:$BM,MATCH(yoy!$O$1,Data!$E$1:$BM$1,),)</f>
        <v>0.10379803433585011</v>
      </c>
      <c r="P48" s="14">
        <f>(VLOOKUP(B48,Data!$E:$BM,MATCH(yoy!$P$1,Data!$E$1:$BM$1,),)-VLOOKUP(A48,Data!$E:$BM,MATCH(yoy!$P$1,Data!$E$1:$BM$1,),))/VLOOKUP(A48,Data!$E:$BM,MATCH(yoy!$P$1,Data!$E$1:$BM$1,),)</f>
        <v>5.4909286707329988E-2</v>
      </c>
      <c r="Q48" s="14">
        <f>(VLOOKUP(B48,Data!$E:$BM,MATCH(yoy!$Q$1,Data!$E$1:$BM$1,),)-VLOOKUP(A48,Data!$E:$BM,MATCH(yoy!$Q$1,Data!$E$1:$BM$1,),))/VLOOKUP(A48,Data!$E:$BM,MATCH(yoy!$Q$1,Data!$E$1:$BM$1,),)</f>
        <v>2.2544798034542596E-2</v>
      </c>
      <c r="R48" s="14">
        <f>(VLOOKUP(B48,Data!$E:$BM,MATCH(yoy!$R$1,Data!$E$1:$BM$1,),)-VLOOKUP(A48,Data!$E:$BM,MATCH(yoy!$R$1,Data!$E$1:$BM$1,),))/VLOOKUP(A48,Data!$E:$BM,MATCH(yoy!$R$1,Data!$E$1:$BM$1,),)</f>
        <v>6.1455756565486151E-2</v>
      </c>
      <c r="S48" s="14">
        <f>(VLOOKUP(B48,Data!$E:$BM,MATCH(yoy!$S$1,Data!$E$1:$BM$1,),)-VLOOKUP(A48,Data!$E:$BM,MATCH(yoy!$S$1,Data!$E$1:$BM$1,),))/VLOOKUP(A48,Data!$E:$BM,MATCH(yoy!$S$1,Data!$E$1:$BM$1,),)</f>
        <v>7.0228714927153837E-2</v>
      </c>
      <c r="T48" s="14">
        <f>(VLOOKUP(B48,Data!$E:$BM,MATCH(yoy!$T$1,Data!$E$1:$BM$1,),)-VLOOKUP(A48,Data!$E:$BM,MATCH(yoy!$T$1,Data!$E$1:$BM$1,),))/VLOOKUP(A48,Data!$E:$BM,MATCH(yoy!$T$1,Data!$E$1:$BM$1,),)</f>
        <v>7.0123197437546941E-2</v>
      </c>
      <c r="U48" s="14">
        <f>(VLOOKUP(B48,Data!$E:$BM,MATCH(yoy!$U$1,Data!$E$1:$BM$1,),)-VLOOKUP(A48,Data!$E:$BM,MATCH(yoy!$U$1,Data!$E$1:$BM$1,),))/VLOOKUP(A48,Data!$E:$BM,MATCH(yoy!$U$1,Data!$E$1:$BM$1,),)</f>
        <v>4.8471429386076745E-4</v>
      </c>
      <c r="V48" s="14">
        <f>(VLOOKUP(B48,Data!$E:$BM,MATCH(yoy!$V$1,Data!$E$1:$BM$1,),)-VLOOKUP(A48,Data!$E:$BM,MATCH(yoy!$V$1,Data!$E$1:$BM$1,),))/VLOOKUP(A48,Data!$E:$BM,MATCH(yoy!$V$1,Data!$E$1:$BM$1,),)</f>
        <v>2.5653414787327068E-2</v>
      </c>
      <c r="W48" s="14">
        <f>(VLOOKUP(B48,Data!$E:$BM,MATCH(yoy!$W$1,Data!$E$1:$BM$1,),)-VLOOKUP(A48,Data!$E:$BM,MATCH(yoy!$W$1,Data!$E$1:$BM$1,),))/VLOOKUP(A48,Data!$E:$BM,MATCH(yoy!$W$1,Data!$E$1:$BM$1,),)</f>
        <v>0.23171585200748684</v>
      </c>
      <c r="X48" s="14">
        <f>(VLOOKUP(B48,Data!$E:$BM,MATCH(yoy!$X$1,Data!$E$1:$BM$1,),)-VLOOKUP(A48,Data!$E:$BM,MATCH(yoy!$X$1,Data!$E$1:$BM$1,),))/VLOOKUP(A48,Data!$E:$BM,MATCH(yoy!$X$1,Data!$E$1:$BM$1,),)</f>
        <v>6.4671129057089716E-2</v>
      </c>
      <c r="Y48" s="14">
        <f>(VLOOKUP(B48,Data!$E:$BM,MATCH(yoy!$Y$1,Data!$E$1:$BM$1,),)-VLOOKUP(A48,Data!$E:$BM,MATCH(yoy!$Y$1,Data!$E$1:$BM$1,),))/VLOOKUP(A48,Data!$E:$BM,MATCH(yoy!$Y$1,Data!$E$1:$BM$1,),)</f>
        <v>7.2196581218484435E-2</v>
      </c>
      <c r="Z48" s="14">
        <f>(VLOOKUP(B48,Data!$E:$BM,MATCH(yoy!$Z$1,Data!$E$1:$BM$1,),)-VLOOKUP(A48,Data!$E:$BM,MATCH(yoy!$Z$1,Data!$E$1:$BM$1,),))/VLOOKUP(A48,Data!$E:$BM,MATCH(yoy!$Z$1,Data!$E$1:$BM$1,),)</f>
        <v>4.8119135392215726E-2</v>
      </c>
      <c r="AA48" s="14">
        <f>(VLOOKUP(B48,Data!$E:$BM,MATCH(yoy!$AA$1,Data!$E$1:$BM$1,),)-VLOOKUP(A48,Data!$E:$BM,MATCH(yoy!$AA$1,Data!$E$1:$BM$1,),))/VLOOKUP(A48,Data!$E:$BM,MATCH(yoy!$AA$1,Data!$E$1:$BM$1,),)</f>
        <v>7.4441962099331557E-2</v>
      </c>
    </row>
    <row r="49" spans="1:27" s="78" customFormat="1" x14ac:dyDescent="0.2">
      <c r="A49" s="20">
        <f t="shared" si="3"/>
        <v>42979</v>
      </c>
      <c r="B49" s="12">
        <v>43344</v>
      </c>
      <c r="C49" s="14">
        <f>(VLOOKUP(B49,Data!$E:$BM,MATCH(yoy!$C$1,Data!$E$1:$BM$1,),)-VLOOKUP(A49,Data!$E:$BM,MATCH(yoy!$C$1,Data!$E$1:$BM$1,),))/VLOOKUP(A49,Data!$E:$BM,MATCH(yoy!$C$1,Data!$E$1:$BM$1,),)</f>
        <v>5.2132061500936425E-2</v>
      </c>
      <c r="D49" s="14">
        <f>(VLOOKUP(B49,Data!$E:$BM,MATCH(yoy!$D$1,Data!$E$1:$BM$1,),)-VLOOKUP(A49,Data!$E:$BM,MATCH(yoy!$D$1,Data!$E$1:$BM$1,),))/VLOOKUP(A49,Data!$E:$BM,MATCH(yoy!$D$1,Data!$E$1:$BM$1,),)</f>
        <v>3.7335352298268773E-2</v>
      </c>
      <c r="E49" s="14">
        <f>(VLOOKUP(B49,Data!$E:$BM,MATCH(yoy!$E$1,Data!$E$1:$BM$1,),)-VLOOKUP(A49,Data!$E:$BM,MATCH(yoy!$E$1,Data!$E$1:$BM$1,),))/VLOOKUP(A49,Data!$E:$BM,MATCH(yoy!$E$1,Data!$E$1:$BM$1,),)</f>
        <v>8.7555259434396265E-2</v>
      </c>
      <c r="F49" s="14">
        <f>(VLOOKUP(B49,Data!$E:$BM,MATCH(yoy!$F$1,Data!$E$1:$BM$1,),)-VLOOKUP(A49,Data!$E:$BM,MATCH(yoy!$F$1,Data!$E$1:$BM$1,),))/VLOOKUP(A49,Data!$E:$BM,MATCH(yoy!$F$1,Data!$E$1:$BM$1,),)</f>
        <v>3.5682139178651498E-2</v>
      </c>
      <c r="G49" s="14">
        <f>(VLOOKUP(B49,Data!$E:$BM,MATCH(yoy!$G$1,Data!$E$1:$BM$1,),)-VLOOKUP(A49,Data!$E:$BM,MATCH(yoy!$G$1,Data!$E$1:$BM$1,),))/VLOOKUP(A49,Data!$E:$BM,MATCH(yoy!$G$1,Data!$E$1:$BM$1,),)</f>
        <v>2.4455853749040808E-2</v>
      </c>
      <c r="H49" s="14">
        <f>(VLOOKUP(B49,Data!$E:$BM,MATCH(yoy!$H$1,Data!$E$1:$BM$1,),)-VLOOKUP(A49,Data!$E:$BM,MATCH(yoy!$H$1,Data!$E$1:$BM$1,),))/VLOOKUP(A49,Data!$E:$BM,MATCH(yoy!$H$1,Data!$E$1:$BM$1,),)</f>
        <v>2.2674780326080463E-2</v>
      </c>
      <c r="I49" s="14">
        <f>(VLOOKUP(B49,Data!$E:$BM,MATCH(yoy!$I$1,Data!$E$1:$BM$1,),)-VLOOKUP(A49,Data!$E:$BM,MATCH(yoy!$I$1,Data!$E$1:$BM$1,),))/VLOOKUP(A49,Data!$E:$BM,MATCH(yoy!$I$1,Data!$E$1:$BM$1,),)</f>
        <v>2.3592942843831906E-2</v>
      </c>
      <c r="J49" s="14">
        <f>(VLOOKUP(B49,Data!$E:$BM,MATCH(yoy!$J$1,Data!$E$1:$BM$1,),)-VLOOKUP(A49,Data!$E:$BM,MATCH(yoy!$J$1,Data!$E$1:$BM$1,),))/VLOOKUP(A49,Data!$E:$BM,MATCH(yoy!$J$1,Data!$E$1:$BM$1,),)</f>
        <v>4.5564850515242589E-2</v>
      </c>
      <c r="K49" s="14">
        <f>(VLOOKUP(B49,Data!$E:$BM,MATCH(yoy!$K$1,Data!$E$1:$BM$1,),)-VLOOKUP(A49,Data!$E:$BM,MATCH(yoy!$K$1,Data!$E$1:$BM$1,),))/VLOOKUP(A49,Data!$E:$BM,MATCH(yoy!$K$1,Data!$E$1:$BM$1,),)</f>
        <v>5.6188287017031734E-2</v>
      </c>
      <c r="L49" s="14">
        <f>(VLOOKUP(B49,Data!$E:$BM,MATCH(yoy!$L$1,Data!$E$1:$BM$1,),)-VLOOKUP(A49,Data!$E:$BM,MATCH(yoy!$L$1,Data!$E$1:$BM$1,),))/VLOOKUP(A49,Data!$E:$BM,MATCH(yoy!$L$1,Data!$E$1:$BM$1,),)</f>
        <v>7.5689742396341422E-2</v>
      </c>
      <c r="M49" s="14">
        <f>(VLOOKUP(B49,Data!$E:$BM,MATCH(yoy!$M$1,Data!$E$1:$BM$1,),)-VLOOKUP(A49,Data!$E:$BM,MATCH(yoy!$M$1,Data!$E$1:$BM$1,),))/VLOOKUP(A49,Data!$E:$BM,MATCH(yoy!$M$1,Data!$E$1:$BM$1,),)</f>
        <v>7.1722167367160958E-2</v>
      </c>
      <c r="N49" s="14">
        <f>(VLOOKUP(B49,Data!$E:$BM,MATCH(yoy!$N$1,Data!$E$1:$BM$1,),)-VLOOKUP(A49,Data!$E:$BM,MATCH(yoy!$N$1,Data!$E$1:$BM$1,),))/VLOOKUP(A49,Data!$E:$BM,MATCH(yoy!$N$1,Data!$E$1:$BM$1,),)</f>
        <v>0.11415033884465513</v>
      </c>
      <c r="O49" s="14">
        <f>(VLOOKUP(B49,Data!$E:$BM,MATCH(yoy!$O$1,Data!$E$1:$BM$1,),)-VLOOKUP(A49,Data!$E:$BM,MATCH(yoy!$O$1,Data!$E$1:$BM$1,),))/VLOOKUP(A49,Data!$E:$BM,MATCH(yoy!$O$1,Data!$E$1:$BM$1,),)</f>
        <v>0.10502146016326162</v>
      </c>
      <c r="P49" s="14">
        <f>(VLOOKUP(B49,Data!$E:$BM,MATCH(yoy!$P$1,Data!$E$1:$BM$1,),)-VLOOKUP(A49,Data!$E:$BM,MATCH(yoy!$P$1,Data!$E$1:$BM$1,),))/VLOOKUP(A49,Data!$E:$BM,MATCH(yoy!$P$1,Data!$E$1:$BM$1,),)</f>
        <v>5.7221446653425483E-2</v>
      </c>
      <c r="Q49" s="14">
        <f>(VLOOKUP(B49,Data!$E:$BM,MATCH(yoy!$Q$1,Data!$E$1:$BM$1,),)-VLOOKUP(A49,Data!$E:$BM,MATCH(yoy!$Q$1,Data!$E$1:$BM$1,),))/VLOOKUP(A49,Data!$E:$BM,MATCH(yoy!$Q$1,Data!$E$1:$BM$1,),)</f>
        <v>2.3434225965971008E-2</v>
      </c>
      <c r="R49" s="14">
        <f>(VLOOKUP(B49,Data!$E:$BM,MATCH(yoy!$R$1,Data!$E$1:$BM$1,),)-VLOOKUP(A49,Data!$E:$BM,MATCH(yoy!$R$1,Data!$E$1:$BM$1,),))/VLOOKUP(A49,Data!$E:$BM,MATCH(yoy!$R$1,Data!$E$1:$BM$1,),)</f>
        <v>6.3308682243409714E-2</v>
      </c>
      <c r="S49" s="14">
        <f>(VLOOKUP(B49,Data!$E:$BM,MATCH(yoy!$S$1,Data!$E$1:$BM$1,),)-VLOOKUP(A49,Data!$E:$BM,MATCH(yoy!$S$1,Data!$E$1:$BM$1,),))/VLOOKUP(A49,Data!$E:$BM,MATCH(yoy!$S$1,Data!$E$1:$BM$1,),)</f>
        <v>7.2735572554256278E-2</v>
      </c>
      <c r="T49" s="14">
        <f>(VLOOKUP(B49,Data!$E:$BM,MATCH(yoy!$T$1,Data!$E$1:$BM$1,),)-VLOOKUP(A49,Data!$E:$BM,MATCH(yoy!$T$1,Data!$E$1:$BM$1,),))/VLOOKUP(A49,Data!$E:$BM,MATCH(yoy!$T$1,Data!$E$1:$BM$1,),)</f>
        <v>7.8754847009019857E-2</v>
      </c>
      <c r="U49" s="14">
        <f>(VLOOKUP(B49,Data!$E:$BM,MATCH(yoy!$U$1,Data!$E$1:$BM$1,),)-VLOOKUP(A49,Data!$E:$BM,MATCH(yoy!$U$1,Data!$E$1:$BM$1,),))/VLOOKUP(A49,Data!$E:$BM,MATCH(yoy!$U$1,Data!$E$1:$BM$1,),)</f>
        <v>-6.0873664454054828E-3</v>
      </c>
      <c r="V49" s="14">
        <f>(VLOOKUP(B49,Data!$E:$BM,MATCH(yoy!$V$1,Data!$E$1:$BM$1,),)-VLOOKUP(A49,Data!$E:$BM,MATCH(yoy!$V$1,Data!$E$1:$BM$1,),))/VLOOKUP(A49,Data!$E:$BM,MATCH(yoy!$V$1,Data!$E$1:$BM$1,),)</f>
        <v>2.5966842083045991E-2</v>
      </c>
      <c r="W49" s="14">
        <f>(VLOOKUP(B49,Data!$E:$BM,MATCH(yoy!$W$1,Data!$E$1:$BM$1,),)-VLOOKUP(A49,Data!$E:$BM,MATCH(yoy!$W$1,Data!$E$1:$BM$1,),))/VLOOKUP(A49,Data!$E:$BM,MATCH(yoy!$W$1,Data!$E$1:$BM$1,),)</f>
        <v>0.25910584316819324</v>
      </c>
      <c r="X49" s="14">
        <f>(VLOOKUP(B49,Data!$E:$BM,MATCH(yoy!$X$1,Data!$E$1:$BM$1,),)-VLOOKUP(A49,Data!$E:$BM,MATCH(yoy!$X$1,Data!$E$1:$BM$1,),))/VLOOKUP(A49,Data!$E:$BM,MATCH(yoy!$X$1,Data!$E$1:$BM$1,),)</f>
        <v>6.9416505996422406E-2</v>
      </c>
      <c r="Y49" s="14">
        <f>(VLOOKUP(B49,Data!$E:$BM,MATCH(yoy!$Y$1,Data!$E$1:$BM$1,),)-VLOOKUP(A49,Data!$E:$BM,MATCH(yoy!$Y$1,Data!$E$1:$BM$1,),))/VLOOKUP(A49,Data!$E:$BM,MATCH(yoy!$Y$1,Data!$E$1:$BM$1,),)</f>
        <v>7.641447242507117E-2</v>
      </c>
      <c r="Z49" s="14">
        <f>(VLOOKUP(B49,Data!$E:$BM,MATCH(yoy!$Z$1,Data!$E$1:$BM$1,),)-VLOOKUP(A49,Data!$E:$BM,MATCH(yoy!$Z$1,Data!$E$1:$BM$1,),))/VLOOKUP(A49,Data!$E:$BM,MATCH(yoy!$Z$1,Data!$E$1:$BM$1,),)</f>
        <v>4.5007887784387864E-2</v>
      </c>
      <c r="AA49" s="14">
        <f>(VLOOKUP(B49,Data!$E:$BM,MATCH(yoy!$AA$1,Data!$E$1:$BM$1,),)-VLOOKUP(A49,Data!$E:$BM,MATCH(yoy!$AA$1,Data!$E$1:$BM$1,),))/VLOOKUP(A49,Data!$E:$BM,MATCH(yoy!$AA$1,Data!$E$1:$BM$1,),)</f>
        <v>7.7272758078507864E-2</v>
      </c>
    </row>
    <row r="50" spans="1:27" s="78" customFormat="1" x14ac:dyDescent="0.2">
      <c r="A50" s="20">
        <f t="shared" si="3"/>
        <v>43009</v>
      </c>
      <c r="B50" s="12">
        <v>43374</v>
      </c>
      <c r="C50" s="14">
        <f>(VLOOKUP(B50,Data!$E:$BM,MATCH(yoy!$C$1,Data!$E$1:$BM$1,),)-VLOOKUP(A50,Data!$E:$BM,MATCH(yoy!$C$1,Data!$E$1:$BM$1,),))/VLOOKUP(A50,Data!$E:$BM,MATCH(yoy!$C$1,Data!$E$1:$BM$1,),)</f>
        <v>4.994015847388078E-2</v>
      </c>
      <c r="D50" s="14">
        <f>(VLOOKUP(B50,Data!$E:$BM,MATCH(yoy!$D$1,Data!$E$1:$BM$1,),)-VLOOKUP(A50,Data!$E:$BM,MATCH(yoy!$D$1,Data!$E$1:$BM$1,),))/VLOOKUP(A50,Data!$E:$BM,MATCH(yoy!$D$1,Data!$E$1:$BM$1,),)</f>
        <v>3.3880692628434537E-2</v>
      </c>
      <c r="E50" s="14">
        <f>(VLOOKUP(B50,Data!$E:$BM,MATCH(yoy!$E$1,Data!$E$1:$BM$1,),)-VLOOKUP(A50,Data!$E:$BM,MATCH(yoy!$E$1,Data!$E$1:$BM$1,),))/VLOOKUP(A50,Data!$E:$BM,MATCH(yoy!$E$1,Data!$E$1:$BM$1,),)</f>
        <v>8.6521109722965867E-2</v>
      </c>
      <c r="F50" s="14">
        <f>(VLOOKUP(B50,Data!$E:$BM,MATCH(yoy!$F$1,Data!$E$1:$BM$1,),)-VLOOKUP(A50,Data!$E:$BM,MATCH(yoy!$F$1,Data!$E$1:$BM$1,),))/VLOOKUP(A50,Data!$E:$BM,MATCH(yoy!$F$1,Data!$E$1:$BM$1,),)</f>
        <v>3.6551037278636123E-2</v>
      </c>
      <c r="G50" s="14">
        <f>(VLOOKUP(B50,Data!$E:$BM,MATCH(yoy!$G$1,Data!$E$1:$BM$1,),)-VLOOKUP(A50,Data!$E:$BM,MATCH(yoy!$G$1,Data!$E$1:$BM$1,),))/VLOOKUP(A50,Data!$E:$BM,MATCH(yoy!$G$1,Data!$E$1:$BM$1,),)</f>
        <v>2.3140719204569806E-2</v>
      </c>
      <c r="H50" s="14">
        <f>(VLOOKUP(B50,Data!$E:$BM,MATCH(yoy!$H$1,Data!$E$1:$BM$1,),)-VLOOKUP(A50,Data!$E:$BM,MATCH(yoy!$H$1,Data!$E$1:$BM$1,),))/VLOOKUP(A50,Data!$E:$BM,MATCH(yoy!$H$1,Data!$E$1:$BM$1,),)</f>
        <v>2.6229466499925799E-2</v>
      </c>
      <c r="I50" s="14">
        <f>(VLOOKUP(B50,Data!$E:$BM,MATCH(yoy!$I$1,Data!$E$1:$BM$1,),)-VLOOKUP(A50,Data!$E:$BM,MATCH(yoy!$I$1,Data!$E$1:$BM$1,),))/VLOOKUP(A50,Data!$E:$BM,MATCH(yoy!$I$1,Data!$E$1:$BM$1,),)</f>
        <v>2.4044143326115819E-2</v>
      </c>
      <c r="J50" s="14">
        <f>(VLOOKUP(B50,Data!$E:$BM,MATCH(yoy!$J$1,Data!$E$1:$BM$1,),)-VLOOKUP(A50,Data!$E:$BM,MATCH(yoy!$J$1,Data!$E$1:$BM$1,),))/VLOOKUP(A50,Data!$E:$BM,MATCH(yoy!$J$1,Data!$E$1:$BM$1,),)</f>
        <v>4.5972958533678533E-2</v>
      </c>
      <c r="K50" s="14">
        <f>(VLOOKUP(B50,Data!$E:$BM,MATCH(yoy!$K$1,Data!$E$1:$BM$1,),)-VLOOKUP(A50,Data!$E:$BM,MATCH(yoy!$K$1,Data!$E$1:$BM$1,),))/VLOOKUP(A50,Data!$E:$BM,MATCH(yoy!$K$1,Data!$E$1:$BM$1,),)</f>
        <v>4.7300131900324525E-2</v>
      </c>
      <c r="L50" s="14">
        <f>(VLOOKUP(B50,Data!$E:$BM,MATCH(yoy!$L$1,Data!$E$1:$BM$1,),)-VLOOKUP(A50,Data!$E:$BM,MATCH(yoy!$L$1,Data!$E$1:$BM$1,),))/VLOOKUP(A50,Data!$E:$BM,MATCH(yoy!$L$1,Data!$E$1:$BM$1,),)</f>
        <v>7.5319147227364575E-2</v>
      </c>
      <c r="M50" s="14">
        <f>(VLOOKUP(B50,Data!$E:$BM,MATCH(yoy!$M$1,Data!$E$1:$BM$1,),)-VLOOKUP(A50,Data!$E:$BM,MATCH(yoy!$M$1,Data!$E$1:$BM$1,),))/VLOOKUP(A50,Data!$E:$BM,MATCH(yoy!$M$1,Data!$E$1:$BM$1,),)</f>
        <v>6.1583302971946044E-2</v>
      </c>
      <c r="N50" s="14">
        <f>(VLOOKUP(B50,Data!$E:$BM,MATCH(yoy!$N$1,Data!$E$1:$BM$1,),)-VLOOKUP(A50,Data!$E:$BM,MATCH(yoy!$N$1,Data!$E$1:$BM$1,),))/VLOOKUP(A50,Data!$E:$BM,MATCH(yoy!$N$1,Data!$E$1:$BM$1,),)</f>
        <v>0.11019475281044319</v>
      </c>
      <c r="O50" s="14">
        <f>(VLOOKUP(B50,Data!$E:$BM,MATCH(yoy!$O$1,Data!$E$1:$BM$1,),)-VLOOKUP(A50,Data!$E:$BM,MATCH(yoy!$O$1,Data!$E$1:$BM$1,),))/VLOOKUP(A50,Data!$E:$BM,MATCH(yoy!$O$1,Data!$E$1:$BM$1,),)</f>
        <v>9.5466661819119336E-2</v>
      </c>
      <c r="P50" s="14">
        <f>(VLOOKUP(B50,Data!$E:$BM,MATCH(yoy!$P$1,Data!$E$1:$BM$1,),)-VLOOKUP(A50,Data!$E:$BM,MATCH(yoy!$P$1,Data!$E$1:$BM$1,),))/VLOOKUP(A50,Data!$E:$BM,MATCH(yoy!$P$1,Data!$E$1:$BM$1,),)</f>
        <v>5.5024741340530856E-2</v>
      </c>
      <c r="Q50" s="14">
        <f>(VLOOKUP(B50,Data!$E:$BM,MATCH(yoy!$Q$1,Data!$E$1:$BM$1,),)-VLOOKUP(A50,Data!$E:$BM,MATCH(yoy!$Q$1,Data!$E$1:$BM$1,),))/VLOOKUP(A50,Data!$E:$BM,MATCH(yoy!$Q$1,Data!$E$1:$BM$1,),)</f>
        <v>2.126285631732763E-2</v>
      </c>
      <c r="R50" s="14">
        <f>(VLOOKUP(B50,Data!$E:$BM,MATCH(yoy!$R$1,Data!$E$1:$BM$1,),)-VLOOKUP(A50,Data!$E:$BM,MATCH(yoy!$R$1,Data!$E$1:$BM$1,),))/VLOOKUP(A50,Data!$E:$BM,MATCH(yoy!$R$1,Data!$E$1:$BM$1,),)</f>
        <v>7.0108321409868807E-2</v>
      </c>
      <c r="S50" s="14">
        <f>(VLOOKUP(B50,Data!$E:$BM,MATCH(yoy!$S$1,Data!$E$1:$BM$1,),)-VLOOKUP(A50,Data!$E:$BM,MATCH(yoy!$S$1,Data!$E$1:$BM$1,),))/VLOOKUP(A50,Data!$E:$BM,MATCH(yoy!$S$1,Data!$E$1:$BM$1,),)</f>
        <v>7.4904661232980119E-2</v>
      </c>
      <c r="T50" s="14">
        <f>(VLOOKUP(B50,Data!$E:$BM,MATCH(yoy!$T$1,Data!$E$1:$BM$1,),)-VLOOKUP(A50,Data!$E:$BM,MATCH(yoy!$T$1,Data!$E$1:$BM$1,),))/VLOOKUP(A50,Data!$E:$BM,MATCH(yoy!$T$1,Data!$E$1:$BM$1,),)</f>
        <v>7.9563372144328237E-2</v>
      </c>
      <c r="U50" s="14">
        <f>(VLOOKUP(B50,Data!$E:$BM,MATCH(yoy!$U$1,Data!$E$1:$BM$1,),)-VLOOKUP(A50,Data!$E:$BM,MATCH(yoy!$U$1,Data!$E$1:$BM$1,),))/VLOOKUP(A50,Data!$E:$BM,MATCH(yoy!$U$1,Data!$E$1:$BM$1,),)</f>
        <v>-7.6992056764001336E-3</v>
      </c>
      <c r="V50" s="14">
        <f>(VLOOKUP(B50,Data!$E:$BM,MATCH(yoy!$V$1,Data!$E$1:$BM$1,),)-VLOOKUP(A50,Data!$E:$BM,MATCH(yoy!$V$1,Data!$E$1:$BM$1,),))/VLOOKUP(A50,Data!$E:$BM,MATCH(yoy!$V$1,Data!$E$1:$BM$1,),)</f>
        <v>3.5544381960524951E-2</v>
      </c>
      <c r="W50" s="14">
        <f>(VLOOKUP(B50,Data!$E:$BM,MATCH(yoy!$W$1,Data!$E$1:$BM$1,),)-VLOOKUP(A50,Data!$E:$BM,MATCH(yoy!$W$1,Data!$E$1:$BM$1,),))/VLOOKUP(A50,Data!$E:$BM,MATCH(yoy!$W$1,Data!$E$1:$BM$1,),)</f>
        <v>0.25423944900873574</v>
      </c>
      <c r="X50" s="14">
        <f>(VLOOKUP(B50,Data!$E:$BM,MATCH(yoy!$X$1,Data!$E$1:$BM$1,),)-VLOOKUP(A50,Data!$E:$BM,MATCH(yoy!$X$1,Data!$E$1:$BM$1,),))/VLOOKUP(A50,Data!$E:$BM,MATCH(yoy!$X$1,Data!$E$1:$BM$1,),)</f>
        <v>6.4793271641124153E-2</v>
      </c>
      <c r="Y50" s="14">
        <f>(VLOOKUP(B50,Data!$E:$BM,MATCH(yoy!$Y$1,Data!$E$1:$BM$1,),)-VLOOKUP(A50,Data!$E:$BM,MATCH(yoy!$Y$1,Data!$E$1:$BM$1,),))/VLOOKUP(A50,Data!$E:$BM,MATCH(yoy!$Y$1,Data!$E$1:$BM$1,),)</f>
        <v>7.1345604417387798E-2</v>
      </c>
      <c r="Z50" s="14">
        <f>(VLOOKUP(B50,Data!$E:$BM,MATCH(yoy!$Z$1,Data!$E$1:$BM$1,),)-VLOOKUP(A50,Data!$E:$BM,MATCH(yoy!$Z$1,Data!$E$1:$BM$1,),))/VLOOKUP(A50,Data!$E:$BM,MATCH(yoy!$Z$1,Data!$E$1:$BM$1,),)</f>
        <v>4.8304412813861962E-2</v>
      </c>
      <c r="AA50" s="14">
        <f>(VLOOKUP(B50,Data!$E:$BM,MATCH(yoy!$AA$1,Data!$E$1:$BM$1,),)-VLOOKUP(A50,Data!$E:$BM,MATCH(yoy!$AA$1,Data!$E$1:$BM$1,),))/VLOOKUP(A50,Data!$E:$BM,MATCH(yoy!$AA$1,Data!$E$1:$BM$1,),)</f>
        <v>8.1108756020580666E-2</v>
      </c>
    </row>
    <row r="51" spans="1:27" s="78" customFormat="1" x14ac:dyDescent="0.2">
      <c r="A51" s="20">
        <f t="shared" si="3"/>
        <v>43040</v>
      </c>
      <c r="B51" s="12">
        <v>43405</v>
      </c>
      <c r="C51" s="14">
        <f>(VLOOKUP(B51,Data!$E:$BM,MATCH(yoy!$C$1,Data!$E$1:$BM$1,),)-VLOOKUP(A51,Data!$E:$BM,MATCH(yoy!$C$1,Data!$E$1:$BM$1,),))/VLOOKUP(A51,Data!$E:$BM,MATCH(yoy!$C$1,Data!$E$1:$BM$1,),)</f>
        <v>4.6366530445196438E-2</v>
      </c>
      <c r="D51" s="14">
        <f>(VLOOKUP(B51,Data!$E:$BM,MATCH(yoy!$D$1,Data!$E$1:$BM$1,),)-VLOOKUP(A51,Data!$E:$BM,MATCH(yoy!$D$1,Data!$E$1:$BM$1,),))/VLOOKUP(A51,Data!$E:$BM,MATCH(yoy!$D$1,Data!$E$1:$BM$1,),)</f>
        <v>3.2731425221517209E-2</v>
      </c>
      <c r="E51" s="14">
        <f>(VLOOKUP(B51,Data!$E:$BM,MATCH(yoy!$E$1,Data!$E$1:$BM$1,),)-VLOOKUP(A51,Data!$E:$BM,MATCH(yoy!$E$1,Data!$E$1:$BM$1,),))/VLOOKUP(A51,Data!$E:$BM,MATCH(yoy!$E$1,Data!$E$1:$BM$1,),)</f>
        <v>8.5278767840795786E-2</v>
      </c>
      <c r="F51" s="14">
        <f>(VLOOKUP(B51,Data!$E:$BM,MATCH(yoy!$F$1,Data!$E$1:$BM$1,),)-VLOOKUP(A51,Data!$E:$BM,MATCH(yoy!$F$1,Data!$E$1:$BM$1,),))/VLOOKUP(A51,Data!$E:$BM,MATCH(yoy!$F$1,Data!$E$1:$BM$1,),)</f>
        <v>3.8068103834171058E-2</v>
      </c>
      <c r="G51" s="14">
        <f>(VLOOKUP(B51,Data!$E:$BM,MATCH(yoy!$G$1,Data!$E$1:$BM$1,),)-VLOOKUP(A51,Data!$E:$BM,MATCH(yoy!$G$1,Data!$E$1:$BM$1,),))/VLOOKUP(A51,Data!$E:$BM,MATCH(yoy!$G$1,Data!$E$1:$BM$1,),)</f>
        <v>2.0619083641716572E-2</v>
      </c>
      <c r="H51" s="14">
        <f>(VLOOKUP(B51,Data!$E:$BM,MATCH(yoy!$H$1,Data!$E$1:$BM$1,),)-VLOOKUP(A51,Data!$E:$BM,MATCH(yoy!$H$1,Data!$E$1:$BM$1,),))/VLOOKUP(A51,Data!$E:$BM,MATCH(yoy!$H$1,Data!$E$1:$BM$1,),)</f>
        <v>2.8346040996172536E-2</v>
      </c>
      <c r="I51" s="14">
        <f>(VLOOKUP(B51,Data!$E:$BM,MATCH(yoy!$I$1,Data!$E$1:$BM$1,),)-VLOOKUP(A51,Data!$E:$BM,MATCH(yoy!$I$1,Data!$E$1:$BM$1,),))/VLOOKUP(A51,Data!$E:$BM,MATCH(yoy!$I$1,Data!$E$1:$BM$1,),)</f>
        <v>2.6515140946263761E-2</v>
      </c>
      <c r="J51" s="14">
        <f>(VLOOKUP(B51,Data!$E:$BM,MATCH(yoy!$J$1,Data!$E$1:$BM$1,),)-VLOOKUP(A51,Data!$E:$BM,MATCH(yoy!$J$1,Data!$E$1:$BM$1,),))/VLOOKUP(A51,Data!$E:$BM,MATCH(yoy!$J$1,Data!$E$1:$BM$1,),)</f>
        <v>4.7203660585074421E-2</v>
      </c>
      <c r="K51" s="14">
        <f>(VLOOKUP(B51,Data!$E:$BM,MATCH(yoy!$K$1,Data!$E$1:$BM$1,),)-VLOOKUP(A51,Data!$E:$BM,MATCH(yoy!$K$1,Data!$E$1:$BM$1,),))/VLOOKUP(A51,Data!$E:$BM,MATCH(yoy!$K$1,Data!$E$1:$BM$1,),)</f>
        <v>4.4831994963650861E-2</v>
      </c>
      <c r="L51" s="14">
        <f>(VLOOKUP(B51,Data!$E:$BM,MATCH(yoy!$L$1,Data!$E$1:$BM$1,),)-VLOOKUP(A51,Data!$E:$BM,MATCH(yoy!$L$1,Data!$E$1:$BM$1,),))/VLOOKUP(A51,Data!$E:$BM,MATCH(yoy!$L$1,Data!$E$1:$BM$1,),)</f>
        <v>7.5699892139635877E-2</v>
      </c>
      <c r="M51" s="14">
        <f>(VLOOKUP(B51,Data!$E:$BM,MATCH(yoy!$M$1,Data!$E$1:$BM$1,),)-VLOOKUP(A51,Data!$E:$BM,MATCH(yoy!$M$1,Data!$E$1:$BM$1,),))/VLOOKUP(A51,Data!$E:$BM,MATCH(yoy!$M$1,Data!$E$1:$BM$1,),)</f>
        <v>5.9703334147290538E-2</v>
      </c>
      <c r="N51" s="14">
        <f>(VLOOKUP(B51,Data!$E:$BM,MATCH(yoy!$N$1,Data!$E$1:$BM$1,),)-VLOOKUP(A51,Data!$E:$BM,MATCH(yoy!$N$1,Data!$E$1:$BM$1,),))/VLOOKUP(A51,Data!$E:$BM,MATCH(yoy!$N$1,Data!$E$1:$BM$1,),)</f>
        <v>0.11039484836547139</v>
      </c>
      <c r="O51" s="14">
        <f>(VLOOKUP(B51,Data!$E:$BM,MATCH(yoy!$O$1,Data!$E$1:$BM$1,),)-VLOOKUP(A51,Data!$E:$BM,MATCH(yoy!$O$1,Data!$E$1:$BM$1,),))/VLOOKUP(A51,Data!$E:$BM,MATCH(yoy!$O$1,Data!$E$1:$BM$1,),)</f>
        <v>9.4245535173898276E-2</v>
      </c>
      <c r="P51" s="14">
        <f>(VLOOKUP(B51,Data!$E:$BM,MATCH(yoy!$P$1,Data!$E$1:$BM$1,),)-VLOOKUP(A51,Data!$E:$BM,MATCH(yoy!$P$1,Data!$E$1:$BM$1,),))/VLOOKUP(A51,Data!$E:$BM,MATCH(yoy!$P$1,Data!$E$1:$BM$1,),)</f>
        <v>5.6239375231667832E-2</v>
      </c>
      <c r="Q51" s="14">
        <f>(VLOOKUP(B51,Data!$E:$BM,MATCH(yoy!$Q$1,Data!$E$1:$BM$1,),)-VLOOKUP(A51,Data!$E:$BM,MATCH(yoy!$Q$1,Data!$E$1:$BM$1,),))/VLOOKUP(A51,Data!$E:$BM,MATCH(yoy!$Q$1,Data!$E$1:$BM$1,),)</f>
        <v>1.9841335276213862E-2</v>
      </c>
      <c r="R51" s="14">
        <f>(VLOOKUP(B51,Data!$E:$BM,MATCH(yoy!$R$1,Data!$E$1:$BM$1,),)-VLOOKUP(A51,Data!$E:$BM,MATCH(yoy!$R$1,Data!$E$1:$BM$1,),))/VLOOKUP(A51,Data!$E:$BM,MATCH(yoy!$R$1,Data!$E$1:$BM$1,),)</f>
        <v>6.8994694100664763E-2</v>
      </c>
      <c r="S51" s="14">
        <f>(VLOOKUP(B51,Data!$E:$BM,MATCH(yoy!$S$1,Data!$E$1:$BM$1,),)-VLOOKUP(A51,Data!$E:$BM,MATCH(yoy!$S$1,Data!$E$1:$BM$1,),))/VLOOKUP(A51,Data!$E:$BM,MATCH(yoy!$S$1,Data!$E$1:$BM$1,),)</f>
        <v>7.5450702595009411E-2</v>
      </c>
      <c r="T51" s="14">
        <f>(VLOOKUP(B51,Data!$E:$BM,MATCH(yoy!$T$1,Data!$E$1:$BM$1,),)-VLOOKUP(A51,Data!$E:$BM,MATCH(yoy!$T$1,Data!$E$1:$BM$1,),))/VLOOKUP(A51,Data!$E:$BM,MATCH(yoy!$T$1,Data!$E$1:$BM$1,),)</f>
        <v>8.5993352473919302E-2</v>
      </c>
      <c r="U51" s="14">
        <f>(VLOOKUP(B51,Data!$E:$BM,MATCH(yoy!$U$1,Data!$E$1:$BM$1,),)-VLOOKUP(A51,Data!$E:$BM,MATCH(yoy!$U$1,Data!$E$1:$BM$1,),))/VLOOKUP(A51,Data!$E:$BM,MATCH(yoy!$U$1,Data!$E$1:$BM$1,),)</f>
        <v>1.0415638266363131E-3</v>
      </c>
      <c r="V51" s="14">
        <f>(VLOOKUP(B51,Data!$E:$BM,MATCH(yoy!$V$1,Data!$E$1:$BM$1,),)-VLOOKUP(A51,Data!$E:$BM,MATCH(yoy!$V$1,Data!$E$1:$BM$1,),))/VLOOKUP(A51,Data!$E:$BM,MATCH(yoy!$V$1,Data!$E$1:$BM$1,),)</f>
        <v>4.7527366450220765E-2</v>
      </c>
      <c r="W51" s="14">
        <f>(VLOOKUP(B51,Data!$E:$BM,MATCH(yoy!$W$1,Data!$E$1:$BM$1,),)-VLOOKUP(A51,Data!$E:$BM,MATCH(yoy!$W$1,Data!$E$1:$BM$1,),))/VLOOKUP(A51,Data!$E:$BM,MATCH(yoy!$W$1,Data!$E$1:$BM$1,),)</f>
        <v>0.18798476746138038</v>
      </c>
      <c r="X51" s="14">
        <f>(VLOOKUP(B51,Data!$E:$BM,MATCH(yoy!$X$1,Data!$E$1:$BM$1,),)-VLOOKUP(A51,Data!$E:$BM,MATCH(yoy!$X$1,Data!$E$1:$BM$1,),))/VLOOKUP(A51,Data!$E:$BM,MATCH(yoy!$X$1,Data!$E$1:$BM$1,),)</f>
        <v>5.8446183055383572E-2</v>
      </c>
      <c r="Y51" s="14">
        <f>(VLOOKUP(B51,Data!$E:$BM,MATCH(yoy!$Y$1,Data!$E$1:$BM$1,),)-VLOOKUP(A51,Data!$E:$BM,MATCH(yoy!$Y$1,Data!$E$1:$BM$1,),))/VLOOKUP(A51,Data!$E:$BM,MATCH(yoy!$Y$1,Data!$E$1:$BM$1,),)</f>
        <v>6.4965798672085406E-2</v>
      </c>
      <c r="Z51" s="14">
        <f>(VLOOKUP(B51,Data!$E:$BM,MATCH(yoy!$Z$1,Data!$E$1:$BM$1,),)-VLOOKUP(A51,Data!$E:$BM,MATCH(yoy!$Z$1,Data!$E$1:$BM$1,),))/VLOOKUP(A51,Data!$E:$BM,MATCH(yoy!$Z$1,Data!$E$1:$BM$1,),)</f>
        <v>5.8589279236174324E-2</v>
      </c>
      <c r="AA51" s="14">
        <f>(VLOOKUP(B51,Data!$E:$BM,MATCH(yoy!$AA$1,Data!$E$1:$BM$1,),)-VLOOKUP(A51,Data!$E:$BM,MATCH(yoy!$AA$1,Data!$E$1:$BM$1,),))/VLOOKUP(A51,Data!$E:$BM,MATCH(yoy!$AA$1,Data!$E$1:$BM$1,),)</f>
        <v>8.5443059203134081E-2</v>
      </c>
    </row>
    <row r="52" spans="1:27" s="78" customFormat="1" x14ac:dyDescent="0.2">
      <c r="A52" s="20">
        <f t="shared" si="3"/>
        <v>43070</v>
      </c>
      <c r="B52" s="12">
        <v>43435</v>
      </c>
      <c r="C52" s="14">
        <f>(VLOOKUP(B52,Data!$E:$BM,MATCH(yoy!$C$1,Data!$E$1:$BM$1,),)-VLOOKUP(A52,Data!$E:$BM,MATCH(yoy!$C$1,Data!$E$1:$BM$1,),))/VLOOKUP(A52,Data!$E:$BM,MATCH(yoy!$C$1,Data!$E$1:$BM$1,),)</f>
        <v>4.8277358274525825E-2</v>
      </c>
      <c r="D52" s="14">
        <f>(VLOOKUP(B52,Data!$E:$BM,MATCH(yoy!$D$1,Data!$E$1:$BM$1,),)-VLOOKUP(A52,Data!$E:$BM,MATCH(yoy!$D$1,Data!$E$1:$BM$1,),))/VLOOKUP(A52,Data!$E:$BM,MATCH(yoy!$D$1,Data!$E$1:$BM$1,),)</f>
        <v>3.7302437717653347E-2</v>
      </c>
      <c r="E52" s="14">
        <f>(VLOOKUP(B52,Data!$E:$BM,MATCH(yoy!$E$1,Data!$E$1:$BM$1,),)-VLOOKUP(A52,Data!$E:$BM,MATCH(yoy!$E$1,Data!$E$1:$BM$1,),))/VLOOKUP(A52,Data!$E:$BM,MATCH(yoy!$E$1,Data!$E$1:$BM$1,),)</f>
        <v>8.7334728658291075E-2</v>
      </c>
      <c r="F52" s="14">
        <f>(VLOOKUP(B52,Data!$E:$BM,MATCH(yoy!$F$1,Data!$E$1:$BM$1,),)-VLOOKUP(A52,Data!$E:$BM,MATCH(yoy!$F$1,Data!$E$1:$BM$1,),))/VLOOKUP(A52,Data!$E:$BM,MATCH(yoy!$F$1,Data!$E$1:$BM$1,),)</f>
        <v>4.0088949507390219E-2</v>
      </c>
      <c r="G52" s="14">
        <f>(VLOOKUP(B52,Data!$E:$BM,MATCH(yoy!$G$1,Data!$E$1:$BM$1,),)-VLOOKUP(A52,Data!$E:$BM,MATCH(yoy!$G$1,Data!$E$1:$BM$1,),))/VLOOKUP(A52,Data!$E:$BM,MATCH(yoy!$G$1,Data!$E$1:$BM$1,),)</f>
        <v>2.109347645790818E-2</v>
      </c>
      <c r="H52" s="14">
        <f>(VLOOKUP(B52,Data!$E:$BM,MATCH(yoy!$H$1,Data!$E$1:$BM$1,),)-VLOOKUP(A52,Data!$E:$BM,MATCH(yoy!$H$1,Data!$E$1:$BM$1,),))/VLOOKUP(A52,Data!$E:$BM,MATCH(yoy!$H$1,Data!$E$1:$BM$1,),)</f>
        <v>3.2803013433961824E-2</v>
      </c>
      <c r="I52" s="14">
        <f>(VLOOKUP(B52,Data!$E:$BM,MATCH(yoy!$I$1,Data!$E$1:$BM$1,),)-VLOOKUP(A52,Data!$E:$BM,MATCH(yoy!$I$1,Data!$E$1:$BM$1,),))/VLOOKUP(A52,Data!$E:$BM,MATCH(yoy!$I$1,Data!$E$1:$BM$1,),)</f>
        <v>2.9260176543923336E-2</v>
      </c>
      <c r="J52" s="14">
        <f>(VLOOKUP(B52,Data!$E:$BM,MATCH(yoy!$J$1,Data!$E$1:$BM$1,),)-VLOOKUP(A52,Data!$E:$BM,MATCH(yoy!$J$1,Data!$E$1:$BM$1,),))/VLOOKUP(A52,Data!$E:$BM,MATCH(yoy!$J$1,Data!$E$1:$BM$1,),)</f>
        <v>5.3481952543283459E-2</v>
      </c>
      <c r="K52" s="14">
        <f>(VLOOKUP(B52,Data!$E:$BM,MATCH(yoy!$K$1,Data!$E$1:$BM$1,),)-VLOOKUP(A52,Data!$E:$BM,MATCH(yoy!$K$1,Data!$E$1:$BM$1,),))/VLOOKUP(A52,Data!$E:$BM,MATCH(yoy!$K$1,Data!$E$1:$BM$1,),)</f>
        <v>5.2198521580048125E-2</v>
      </c>
      <c r="L52" s="14">
        <f>(VLOOKUP(B52,Data!$E:$BM,MATCH(yoy!$L$1,Data!$E$1:$BM$1,),)-VLOOKUP(A52,Data!$E:$BM,MATCH(yoy!$L$1,Data!$E$1:$BM$1,),))/VLOOKUP(A52,Data!$E:$BM,MATCH(yoy!$L$1,Data!$E$1:$BM$1,),)</f>
        <v>8.6520647797828726E-2</v>
      </c>
      <c r="M52" s="14">
        <f>(VLOOKUP(B52,Data!$E:$BM,MATCH(yoy!$M$1,Data!$E$1:$BM$1,),)-VLOOKUP(A52,Data!$E:$BM,MATCH(yoy!$M$1,Data!$E$1:$BM$1,),))/VLOOKUP(A52,Data!$E:$BM,MATCH(yoy!$M$1,Data!$E$1:$BM$1,),)</f>
        <v>5.2984043339626266E-2</v>
      </c>
      <c r="N52" s="14">
        <f>(VLOOKUP(B52,Data!$E:$BM,MATCH(yoy!$N$1,Data!$E$1:$BM$1,),)-VLOOKUP(A52,Data!$E:$BM,MATCH(yoy!$N$1,Data!$E$1:$BM$1,),))/VLOOKUP(A52,Data!$E:$BM,MATCH(yoy!$N$1,Data!$E$1:$BM$1,),)</f>
        <v>0.11769154457505085</v>
      </c>
      <c r="O52" s="14">
        <f>(VLOOKUP(B52,Data!$E:$BM,MATCH(yoy!$O$1,Data!$E$1:$BM$1,),)-VLOOKUP(A52,Data!$E:$BM,MATCH(yoy!$O$1,Data!$E$1:$BM$1,),))/VLOOKUP(A52,Data!$E:$BM,MATCH(yoy!$O$1,Data!$E$1:$BM$1,),)</f>
        <v>9.6943006151094357E-2</v>
      </c>
      <c r="P52" s="14">
        <f>(VLOOKUP(B52,Data!$E:$BM,MATCH(yoy!$P$1,Data!$E$1:$BM$1,),)-VLOOKUP(A52,Data!$E:$BM,MATCH(yoy!$P$1,Data!$E$1:$BM$1,),))/VLOOKUP(A52,Data!$E:$BM,MATCH(yoy!$P$1,Data!$E$1:$BM$1,),)</f>
        <v>6.365140398539218E-2</v>
      </c>
      <c r="Q52" s="14">
        <f>(VLOOKUP(B52,Data!$E:$BM,MATCH(yoy!$Q$1,Data!$E$1:$BM$1,),)-VLOOKUP(A52,Data!$E:$BM,MATCH(yoy!$Q$1,Data!$E$1:$BM$1,),))/VLOOKUP(A52,Data!$E:$BM,MATCH(yoy!$Q$1,Data!$E$1:$BM$1,),)</f>
        <v>2.2095915729790548E-2</v>
      </c>
      <c r="R52" s="14">
        <f>(VLOOKUP(B52,Data!$E:$BM,MATCH(yoy!$R$1,Data!$E$1:$BM$1,),)-VLOOKUP(A52,Data!$E:$BM,MATCH(yoy!$R$1,Data!$E$1:$BM$1,),))/VLOOKUP(A52,Data!$E:$BM,MATCH(yoy!$R$1,Data!$E$1:$BM$1,),)</f>
        <v>6.4259251859505248E-2</v>
      </c>
      <c r="S52" s="14">
        <f>(VLOOKUP(B52,Data!$E:$BM,MATCH(yoy!$S$1,Data!$E$1:$BM$1,),)-VLOOKUP(A52,Data!$E:$BM,MATCH(yoy!$S$1,Data!$E$1:$BM$1,),))/VLOOKUP(A52,Data!$E:$BM,MATCH(yoy!$S$1,Data!$E$1:$BM$1,),)</f>
        <v>7.3492060300834008E-2</v>
      </c>
      <c r="T52" s="14">
        <f>(VLOOKUP(B52,Data!$E:$BM,MATCH(yoy!$T$1,Data!$E$1:$BM$1,),)-VLOOKUP(A52,Data!$E:$BM,MATCH(yoy!$T$1,Data!$E$1:$BM$1,),))/VLOOKUP(A52,Data!$E:$BM,MATCH(yoy!$T$1,Data!$E$1:$BM$1,),)</f>
        <v>0.10166363496989704</v>
      </c>
      <c r="U52" s="14">
        <f>(VLOOKUP(B52,Data!$E:$BM,MATCH(yoy!$U$1,Data!$E$1:$BM$1,),)-VLOOKUP(A52,Data!$E:$BM,MATCH(yoy!$U$1,Data!$E$1:$BM$1,),))/VLOOKUP(A52,Data!$E:$BM,MATCH(yoy!$U$1,Data!$E$1:$BM$1,),)</f>
        <v>-1.1421289920071544E-2</v>
      </c>
      <c r="V52" s="14">
        <f>(VLOOKUP(B52,Data!$E:$BM,MATCH(yoy!$V$1,Data!$E$1:$BM$1,),)-VLOOKUP(A52,Data!$E:$BM,MATCH(yoy!$V$1,Data!$E$1:$BM$1,),))/VLOOKUP(A52,Data!$E:$BM,MATCH(yoy!$V$1,Data!$E$1:$BM$1,),)</f>
        <v>4.9364963143925203E-2</v>
      </c>
      <c r="W52" s="14">
        <f>(VLOOKUP(B52,Data!$E:$BM,MATCH(yoy!$W$1,Data!$E$1:$BM$1,),)-VLOOKUP(A52,Data!$E:$BM,MATCH(yoy!$W$1,Data!$E$1:$BM$1,),))/VLOOKUP(A52,Data!$E:$BM,MATCH(yoy!$W$1,Data!$E$1:$BM$1,),)</f>
        <v>0.16999313251739112</v>
      </c>
      <c r="X52" s="14">
        <f>(VLOOKUP(B52,Data!$E:$BM,MATCH(yoy!$X$1,Data!$E$1:$BM$1,),)-VLOOKUP(A52,Data!$E:$BM,MATCH(yoy!$X$1,Data!$E$1:$BM$1,),))/VLOOKUP(A52,Data!$E:$BM,MATCH(yoy!$X$1,Data!$E$1:$BM$1,),)</f>
        <v>5.5947750537117986E-2</v>
      </c>
      <c r="Y52" s="14">
        <f>(VLOOKUP(B52,Data!$E:$BM,MATCH(yoy!$Y$1,Data!$E$1:$BM$1,),)-VLOOKUP(A52,Data!$E:$BM,MATCH(yoy!$Y$1,Data!$E$1:$BM$1,),))/VLOOKUP(A52,Data!$E:$BM,MATCH(yoy!$Y$1,Data!$E$1:$BM$1,),)</f>
        <v>6.4093653403923104E-2</v>
      </c>
      <c r="Z52" s="14">
        <f>(VLOOKUP(B52,Data!$E:$BM,MATCH(yoy!$Z$1,Data!$E$1:$BM$1,),)-VLOOKUP(A52,Data!$E:$BM,MATCH(yoy!$Z$1,Data!$E$1:$BM$1,),))/VLOOKUP(A52,Data!$E:$BM,MATCH(yoy!$Z$1,Data!$E$1:$BM$1,),)</f>
        <v>5.898804711337538E-2</v>
      </c>
      <c r="AA52" s="14">
        <f>(VLOOKUP(B52,Data!$E:$BM,MATCH(yoy!$AA$1,Data!$E$1:$BM$1,),)-VLOOKUP(A52,Data!$E:$BM,MATCH(yoy!$AA$1,Data!$E$1:$BM$1,),))/VLOOKUP(A52,Data!$E:$BM,MATCH(yoy!$AA$1,Data!$E$1:$BM$1,),)</f>
        <v>8.9575354692088022E-2</v>
      </c>
    </row>
    <row r="53" spans="1:27" s="78" customFormat="1" x14ac:dyDescent="0.2">
      <c r="A53" s="20">
        <f t="shared" si="3"/>
        <v>43101</v>
      </c>
      <c r="B53" s="12">
        <v>43466</v>
      </c>
      <c r="C53" s="14">
        <f>(VLOOKUP(B53,Data!$E:$BM,MATCH(yoy!$C$1,Data!$E$1:$BM$1,),)-VLOOKUP(A53,Data!$E:$BM,MATCH(yoy!$C$1,Data!$E$1:$BM$1,),))/VLOOKUP(A53,Data!$E:$BM,MATCH(yoy!$C$1,Data!$E$1:$BM$1,),)</f>
        <v>5.1038676712625623E-2</v>
      </c>
      <c r="D53" s="14">
        <f>(VLOOKUP(B53,Data!$E:$BM,MATCH(yoy!$D$1,Data!$E$1:$BM$1,),)-VLOOKUP(A53,Data!$E:$BM,MATCH(yoy!$D$1,Data!$E$1:$BM$1,),))/VLOOKUP(A53,Data!$E:$BM,MATCH(yoy!$D$1,Data!$E$1:$BM$1,),)</f>
        <v>4.1584646737596764E-2</v>
      </c>
      <c r="E53" s="14"/>
      <c r="F53" s="14">
        <f>(VLOOKUP(B53,Data!$E:$BM,MATCH(yoy!$F$1,Data!$E$1:$BM$1,),)-VLOOKUP(A53,Data!$E:$BM,MATCH(yoy!$F$1,Data!$E$1:$BM$1,),))/VLOOKUP(A53,Data!$E:$BM,MATCH(yoy!$F$1,Data!$E$1:$BM$1,),)</f>
        <v>4.0990884760649063E-2</v>
      </c>
      <c r="G53" s="14">
        <f>(VLOOKUP(B53,Data!$E:$BM,MATCH(yoy!$G$1,Data!$E$1:$BM$1,),)-VLOOKUP(A53,Data!$E:$BM,MATCH(yoy!$G$1,Data!$E$1:$BM$1,),))/VLOOKUP(A53,Data!$E:$BM,MATCH(yoy!$G$1,Data!$E$1:$BM$1,),)</f>
        <v>2.0611245379782518E-2</v>
      </c>
      <c r="H53" s="14">
        <f>(VLOOKUP(B53,Data!$E:$BM,MATCH(yoy!$H$1,Data!$E$1:$BM$1,),)-VLOOKUP(A53,Data!$E:$BM,MATCH(yoy!$H$1,Data!$E$1:$BM$1,),))/VLOOKUP(A53,Data!$E:$BM,MATCH(yoy!$H$1,Data!$E$1:$BM$1,),)</f>
        <v>2.6811434756987409E-2</v>
      </c>
      <c r="I53" s="14"/>
      <c r="J53" s="14"/>
      <c r="K53" s="14">
        <f>(VLOOKUP(B53,Data!$E:$BM,MATCH(yoy!$K$1,Data!$E$1:$BM$1,),)-VLOOKUP(A53,Data!$E:$BM,MATCH(yoy!$K$1,Data!$E$1:$BM$1,),))/VLOOKUP(A53,Data!$E:$BM,MATCH(yoy!$K$1,Data!$E$1:$BM$1,),)</f>
        <v>4.9124776333684596E-2</v>
      </c>
      <c r="L53" s="14"/>
      <c r="M53" s="14"/>
      <c r="N53" s="14"/>
      <c r="O53" s="14"/>
      <c r="P53" s="14">
        <f>(VLOOKUP(B53,Data!$E:$BM,MATCH(yoy!$P$1,Data!$E$1:$BM$1,),)-VLOOKUP(A53,Data!$E:$BM,MATCH(yoy!$P$1,Data!$E$1:$BM$1,),))/VLOOKUP(A53,Data!$E:$BM,MATCH(yoy!$P$1,Data!$E$1:$BM$1,),)</f>
        <v>6.3246008107110466E-2</v>
      </c>
      <c r="Q53" s="14">
        <f>(VLOOKUP(B53,Data!$E:$BM,MATCH(yoy!$Q$1,Data!$E$1:$BM$1,),)-VLOOKUP(A53,Data!$E:$BM,MATCH(yoy!$Q$1,Data!$E$1:$BM$1,),))/VLOOKUP(A53,Data!$E:$BM,MATCH(yoy!$Q$1,Data!$E$1:$BM$1,),)</f>
        <v>2.5939094758855953E-2</v>
      </c>
      <c r="R53" s="14"/>
      <c r="S53" s="14">
        <f>(VLOOKUP(B53,Data!$E:$BM,MATCH(yoy!$S$1,Data!$E$1:$BM$1,),)-VLOOKUP(A53,Data!$E:$BM,MATCH(yoy!$S$1,Data!$E$1:$BM$1,),))/VLOOKUP(A53,Data!$E:$BM,MATCH(yoy!$S$1,Data!$E$1:$BM$1,),)</f>
        <v>7.0972605722892115E-2</v>
      </c>
      <c r="T53" s="14"/>
      <c r="U53" s="14"/>
      <c r="V53" s="14">
        <f>(VLOOKUP(B53,Data!$E:$BM,MATCH(yoy!$V$1,Data!$E$1:$BM$1,),)-VLOOKUP(A53,Data!$E:$BM,MATCH(yoy!$V$1,Data!$E$1:$BM$1,),))/VLOOKUP(A53,Data!$E:$BM,MATCH(yoy!$V$1,Data!$E$1:$BM$1,),)</f>
        <v>5.2634673471787602E-2</v>
      </c>
      <c r="W53" s="14"/>
      <c r="X53" s="14">
        <f>(VLOOKUP(B53,Data!$E:$BM,MATCH(yoy!$X$1,Data!$E$1:$BM$1,),)-VLOOKUP(A53,Data!$E:$BM,MATCH(yoy!$X$1,Data!$E$1:$BM$1,),))/VLOOKUP(A53,Data!$E:$BM,MATCH(yoy!$X$1,Data!$E$1:$BM$1,),)</f>
        <v>5.2554646458290423E-2</v>
      </c>
      <c r="Y53" s="14"/>
      <c r="Z53" s="14">
        <f>(VLOOKUP(B53,Data!$E:$BM,MATCH(yoy!$Z$1,Data!$E$1:$BM$1,),)-VLOOKUP(A53,Data!$E:$BM,MATCH(yoy!$Z$1,Data!$E$1:$BM$1,),))/VLOOKUP(A53,Data!$E:$BM,MATCH(yoy!$Z$1,Data!$E$1:$BM$1,),)</f>
        <v>5.7976464869330085E-2</v>
      </c>
      <c r="AA53" s="14"/>
    </row>
    <row r="54" spans="1:27" s="78" customFormat="1" x14ac:dyDescent="0.2">
      <c r="A54" s="20">
        <f t="shared" si="3"/>
        <v>43132</v>
      </c>
      <c r="B54" s="12">
        <v>43497</v>
      </c>
      <c r="C54" s="14">
        <f>(VLOOKUP(B54,Data!$E:$BM,MATCH(yoy!$C$1,Data!$E$1:$BM$1,),)-VLOOKUP(A54,Data!$E:$BM,MATCH(yoy!$C$1,Data!$E$1:$BM$1,),))/VLOOKUP(A54,Data!$E:$BM,MATCH(yoy!$C$1,Data!$E$1:$BM$1,),)</f>
        <v>4.9942083336548537E-2</v>
      </c>
      <c r="D54" s="14">
        <f>(VLOOKUP(B54,Data!$E:$BM,MATCH(yoy!$D$1,Data!$E$1:$BM$1,),)-VLOOKUP(A54,Data!$E:$BM,MATCH(yoy!$D$1,Data!$E$1:$BM$1,),))/VLOOKUP(A54,Data!$E:$BM,MATCH(yoy!$D$1,Data!$E$1:$BM$1,),)</f>
        <v>4.1143576800015146E-2</v>
      </c>
      <c r="E54" s="14"/>
      <c r="F54" s="14">
        <f>(VLOOKUP(B54,Data!$E:$BM,MATCH(yoy!$F$1,Data!$E$1:$BM$1,),)-VLOOKUP(A54,Data!$E:$BM,MATCH(yoy!$F$1,Data!$E$1:$BM$1,),))/VLOOKUP(A54,Data!$E:$BM,MATCH(yoy!$F$1,Data!$E$1:$BM$1,),)</f>
        <v>4.2363605007858844E-2</v>
      </c>
      <c r="G54" s="14">
        <f>(VLOOKUP(B54,Data!$E:$BM,MATCH(yoy!$G$1,Data!$E$1:$BM$1,),)-VLOOKUP(A54,Data!$E:$BM,MATCH(yoy!$G$1,Data!$E$1:$BM$1,),))/VLOOKUP(A54,Data!$E:$BM,MATCH(yoy!$G$1,Data!$E$1:$BM$1,),)</f>
        <v>2.0833391183295507E-2</v>
      </c>
      <c r="H54" s="14">
        <f>(VLOOKUP(B54,Data!$E:$BM,MATCH(yoy!$H$1,Data!$E$1:$BM$1,),)-VLOOKUP(A54,Data!$E:$BM,MATCH(yoy!$H$1,Data!$E$1:$BM$1,),))/VLOOKUP(A54,Data!$E:$BM,MATCH(yoy!$H$1,Data!$E$1:$BM$1,),)</f>
        <v>1.1451666379878375E-2</v>
      </c>
      <c r="I54" s="14"/>
      <c r="J54" s="14"/>
      <c r="K54" s="14">
        <f>(VLOOKUP(B54,Data!$E:$BM,MATCH(yoy!$K$1,Data!$E$1:$BM$1,),)-VLOOKUP(A54,Data!$E:$BM,MATCH(yoy!$K$1,Data!$E$1:$BM$1,),))/VLOOKUP(A54,Data!$E:$BM,MATCH(yoy!$K$1,Data!$E$1:$BM$1,),)</f>
        <v>4.5616140692193746E-2</v>
      </c>
      <c r="L54" s="14"/>
      <c r="M54" s="14"/>
      <c r="N54" s="14"/>
      <c r="O54" s="14"/>
      <c r="P54" s="14">
        <f>(VLOOKUP(B54,Data!$E:$BM,MATCH(yoy!$P$1,Data!$E$1:$BM$1,),)-VLOOKUP(A54,Data!$E:$BM,MATCH(yoy!$P$1,Data!$E$1:$BM$1,),))/VLOOKUP(A54,Data!$E:$BM,MATCH(yoy!$P$1,Data!$E$1:$BM$1,),)</f>
        <v>6.236197286780952E-2</v>
      </c>
      <c r="Q54" s="14">
        <f>(VLOOKUP(B54,Data!$E:$BM,MATCH(yoy!$Q$1,Data!$E$1:$BM$1,),)-VLOOKUP(A54,Data!$E:$BM,MATCH(yoy!$Q$1,Data!$E$1:$BM$1,),))/VLOOKUP(A54,Data!$E:$BM,MATCH(yoy!$Q$1,Data!$E$1:$BM$1,),)</f>
        <v>2.9127046952341841E-2</v>
      </c>
      <c r="R54" s="14"/>
      <c r="S54" s="14">
        <f>(VLOOKUP(B54,Data!$E:$BM,MATCH(yoy!$S$1,Data!$E$1:$BM$1,),)-VLOOKUP(A54,Data!$E:$BM,MATCH(yoy!$S$1,Data!$E$1:$BM$1,),))/VLOOKUP(A54,Data!$E:$BM,MATCH(yoy!$S$1,Data!$E$1:$BM$1,),)</f>
        <v>7.3755993993231711E-2</v>
      </c>
      <c r="T54" s="14"/>
      <c r="U54" s="14"/>
      <c r="V54" s="14">
        <f>(VLOOKUP(B54,Data!$E:$BM,MATCH(yoy!$V$1,Data!$E$1:$BM$1,),)-VLOOKUP(A54,Data!$E:$BM,MATCH(yoy!$V$1,Data!$E$1:$BM$1,),))/VLOOKUP(A54,Data!$E:$BM,MATCH(yoy!$V$1,Data!$E$1:$BM$1,),)</f>
        <v>6.660471070463625E-2</v>
      </c>
      <c r="W54" s="14"/>
      <c r="X54" s="14">
        <f>(VLOOKUP(B54,Data!$E:$BM,MATCH(yoy!$X$1,Data!$E$1:$BM$1,),)-VLOOKUP(A54,Data!$E:$BM,MATCH(yoy!$X$1,Data!$E$1:$BM$1,),))/VLOOKUP(A54,Data!$E:$BM,MATCH(yoy!$X$1,Data!$E$1:$BM$1,),)</f>
        <v>5.1465123753335187E-2</v>
      </c>
      <c r="Y54" s="14"/>
      <c r="Z54" s="14">
        <f>(VLOOKUP(B54,Data!$E:$BM,MATCH(yoy!$Z$1,Data!$E$1:$BM$1,),)-VLOOKUP(A54,Data!$E:$BM,MATCH(yoy!$Z$1,Data!$E$1:$BM$1,),))/VLOOKUP(A54,Data!$E:$BM,MATCH(yoy!$Z$1,Data!$E$1:$BM$1,),)</f>
        <v>5.9953507737710701E-2</v>
      </c>
      <c r="AA54" s="14"/>
    </row>
    <row r="55" spans="1:27" s="78" customFormat="1" x14ac:dyDescent="0.2">
      <c r="A55" s="20">
        <f t="shared" si="3"/>
        <v>43160</v>
      </c>
      <c r="B55" s="12">
        <v>43525</v>
      </c>
      <c r="C55" s="14">
        <f>(VLOOKUP(B55,Data!$E:$BM,MATCH(yoy!$C$1,Data!$E$1:$BM$1,),)-VLOOKUP(A55,Data!$E:$BM,MATCH(yoy!$C$1,Data!$E$1:$BM$1,),))/VLOOKUP(A55,Data!$E:$BM,MATCH(yoy!$C$1,Data!$E$1:$BM$1,),)</f>
        <v>4.8456571618659294E-2</v>
      </c>
      <c r="D55" s="14">
        <f>(VLOOKUP(B55,Data!$E:$BM,MATCH(yoy!$D$1,Data!$E$1:$BM$1,),)-VLOOKUP(A55,Data!$E:$BM,MATCH(yoy!$D$1,Data!$E$1:$BM$1,),))/VLOOKUP(A55,Data!$E:$BM,MATCH(yoy!$D$1,Data!$E$1:$BM$1,),)</f>
        <v>4.0078931458481161E-2</v>
      </c>
      <c r="E55" s="14"/>
      <c r="F55" s="14">
        <f>(VLOOKUP(B55,Data!$E:$BM,MATCH(yoy!$F$1,Data!$E$1:$BM$1,),)-VLOOKUP(A55,Data!$E:$BM,MATCH(yoy!$F$1,Data!$E$1:$BM$1,),))/VLOOKUP(A55,Data!$E:$BM,MATCH(yoy!$F$1,Data!$E$1:$BM$1,),)</f>
        <v>4.6777871949051156E-2</v>
      </c>
      <c r="G55" s="14">
        <f>(VLOOKUP(B55,Data!$E:$BM,MATCH(yoy!$G$1,Data!$E$1:$BM$1,),)-VLOOKUP(A55,Data!$E:$BM,MATCH(yoy!$G$1,Data!$E$1:$BM$1,),))/VLOOKUP(A55,Data!$E:$BM,MATCH(yoy!$G$1,Data!$E$1:$BM$1,),)</f>
        <v>2.0857472857472865E-2</v>
      </c>
      <c r="H55" s="14">
        <f>(VLOOKUP(B55,Data!$E:$BM,MATCH(yoy!$H$1,Data!$E$1:$BM$1,),)-VLOOKUP(A55,Data!$E:$BM,MATCH(yoy!$H$1,Data!$E$1:$BM$1,),))/VLOOKUP(A55,Data!$E:$BM,MATCH(yoy!$H$1,Data!$E$1:$BM$1,),)</f>
        <v>1.5155095812345488E-2</v>
      </c>
      <c r="I55" s="14"/>
      <c r="J55" s="14"/>
      <c r="K55" s="14">
        <f>(VLOOKUP(B55,Data!$E:$BM,MATCH(yoy!$K$1,Data!$E$1:$BM$1,),)-VLOOKUP(A55,Data!$E:$BM,MATCH(yoy!$K$1,Data!$E$1:$BM$1,),))/VLOOKUP(A55,Data!$E:$BM,MATCH(yoy!$K$1,Data!$E$1:$BM$1,),)</f>
        <v>4.6469777659316806E-2</v>
      </c>
      <c r="L55" s="14"/>
      <c r="M55" s="14"/>
      <c r="N55" s="14"/>
      <c r="O55" s="14"/>
      <c r="P55" s="14">
        <f>(VLOOKUP(B55,Data!$E:$BM,MATCH(yoy!$P$1,Data!$E$1:$BM$1,),)-VLOOKUP(A55,Data!$E:$BM,MATCH(yoy!$P$1,Data!$E$1:$BM$1,),))/VLOOKUP(A55,Data!$E:$BM,MATCH(yoy!$P$1,Data!$E$1:$BM$1,),)</f>
        <v>7.3461968774043512E-2</v>
      </c>
      <c r="Q55" s="14">
        <f>(VLOOKUP(B55,Data!$E:$BM,MATCH(yoy!$Q$1,Data!$E$1:$BM$1,),)-VLOOKUP(A55,Data!$E:$BM,MATCH(yoy!$Q$1,Data!$E$1:$BM$1,),))/VLOOKUP(A55,Data!$E:$BM,MATCH(yoy!$Q$1,Data!$E$1:$BM$1,),)</f>
        <v>3.5465063353692622E-2</v>
      </c>
      <c r="R55" s="14"/>
      <c r="S55" s="14">
        <f>(VLOOKUP(B55,Data!$E:$BM,MATCH(yoy!$S$1,Data!$E$1:$BM$1,),)-VLOOKUP(A55,Data!$E:$BM,MATCH(yoy!$S$1,Data!$E$1:$BM$1,),))/VLOOKUP(A55,Data!$E:$BM,MATCH(yoy!$S$1,Data!$E$1:$BM$1,),)</f>
        <v>7.7835455459855873E-2</v>
      </c>
      <c r="T55" s="14"/>
      <c r="U55" s="14"/>
      <c r="V55" s="14">
        <f>(VLOOKUP(B55,Data!$E:$BM,MATCH(yoy!$V$1,Data!$E$1:$BM$1,),)-VLOOKUP(A55,Data!$E:$BM,MATCH(yoy!$V$1,Data!$E$1:$BM$1,),))/VLOOKUP(A55,Data!$E:$BM,MATCH(yoy!$V$1,Data!$E$1:$BM$1,),)</f>
        <v>6.8550307044876913E-2</v>
      </c>
      <c r="W55" s="14"/>
      <c r="X55" s="14">
        <f>(VLOOKUP(B55,Data!$E:$BM,MATCH(yoy!$X$1,Data!$E$1:$BM$1,),)-VLOOKUP(A55,Data!$E:$BM,MATCH(yoy!$X$1,Data!$E$1:$BM$1,),))/VLOOKUP(A55,Data!$E:$BM,MATCH(yoy!$X$1,Data!$E$1:$BM$1,),)</f>
        <v>6.0758372151977671E-2</v>
      </c>
      <c r="Y55" s="14"/>
      <c r="Z55" s="14">
        <f>(VLOOKUP(B55,Data!$E:$BM,MATCH(yoy!$Z$1,Data!$E$1:$BM$1,),)-VLOOKUP(A55,Data!$E:$BM,MATCH(yoy!$Z$1,Data!$E$1:$BM$1,),))/VLOOKUP(A55,Data!$E:$BM,MATCH(yoy!$Z$1,Data!$E$1:$BM$1,),)</f>
        <v>5.9776526359945174E-2</v>
      </c>
      <c r="AA55" s="14"/>
    </row>
    <row r="56" spans="1:27" s="78" customFormat="1" x14ac:dyDescent="0.2">
      <c r="A56" s="20">
        <f t="shared" si="3"/>
        <v>43191</v>
      </c>
      <c r="B56" s="12">
        <v>43556</v>
      </c>
      <c r="C56" s="14">
        <f>(VLOOKUP(B56,Data!$E:$BM,MATCH(yoy!$C$1,Data!$E$1:$BM$1,),)-VLOOKUP(A56,Data!$E:$BM,MATCH(yoy!$C$1,Data!$E$1:$BM$1,),))/VLOOKUP(A56,Data!$E:$BM,MATCH(yoy!$C$1,Data!$E$1:$BM$1,),)</f>
        <v>4.7830102667103663E-2</v>
      </c>
      <c r="D56" s="14">
        <f>(VLOOKUP(B56,Data!$E:$BM,MATCH(yoy!$D$1,Data!$E$1:$BM$1,),)-VLOOKUP(A56,Data!$E:$BM,MATCH(yoy!$D$1,Data!$E$1:$BM$1,),))/VLOOKUP(A56,Data!$E:$BM,MATCH(yoy!$D$1,Data!$E$1:$BM$1,),)</f>
        <v>4.0689192444001057E-2</v>
      </c>
      <c r="E56" s="14"/>
      <c r="F56" s="14">
        <f>(VLOOKUP(B56,Data!$E:$BM,MATCH(yoy!$F$1,Data!$E$1:$BM$1,),)-VLOOKUP(A56,Data!$E:$BM,MATCH(yoy!$F$1,Data!$E$1:$BM$1,),))/VLOOKUP(A56,Data!$E:$BM,MATCH(yoy!$F$1,Data!$E$1:$BM$1,),)</f>
        <v>4.9852376603686542E-2</v>
      </c>
      <c r="G56" s="14">
        <f>(VLOOKUP(B56,Data!$E:$BM,MATCH(yoy!$G$1,Data!$E$1:$BM$1,),)-VLOOKUP(A56,Data!$E:$BM,MATCH(yoy!$G$1,Data!$E$1:$BM$1,),))/VLOOKUP(A56,Data!$E:$BM,MATCH(yoy!$G$1,Data!$E$1:$BM$1,),)</f>
        <v>2.1394771703367919E-2</v>
      </c>
      <c r="H56" s="14">
        <f>(VLOOKUP(B56,Data!$E:$BM,MATCH(yoy!$H$1,Data!$E$1:$BM$1,),)-VLOOKUP(A56,Data!$E:$BM,MATCH(yoy!$H$1,Data!$E$1:$BM$1,),))/VLOOKUP(A56,Data!$E:$BM,MATCH(yoy!$H$1,Data!$E$1:$BM$1,),)</f>
        <v>2.4774759483185919E-2</v>
      </c>
      <c r="I56" s="14"/>
      <c r="J56" s="14"/>
      <c r="K56" s="14">
        <f>(VLOOKUP(B56,Data!$E:$BM,MATCH(yoy!$K$1,Data!$E$1:$BM$1,),)-VLOOKUP(A56,Data!$E:$BM,MATCH(yoy!$K$1,Data!$E$1:$BM$1,),))/VLOOKUP(A56,Data!$E:$BM,MATCH(yoy!$K$1,Data!$E$1:$BM$1,),)</f>
        <v>3.6294551296953532E-2</v>
      </c>
      <c r="L56" s="14"/>
      <c r="M56" s="14"/>
      <c r="N56" s="14"/>
      <c r="O56" s="14"/>
      <c r="P56" s="14">
        <f>(VLOOKUP(B56,Data!$E:$BM,MATCH(yoy!$P$1,Data!$E$1:$BM$1,),)-VLOOKUP(A56,Data!$E:$BM,MATCH(yoy!$P$1,Data!$E$1:$BM$1,),))/VLOOKUP(A56,Data!$E:$BM,MATCH(yoy!$P$1,Data!$E$1:$BM$1,),)</f>
        <v>7.9794271877059481E-2</v>
      </c>
      <c r="Q56" s="14">
        <f>(VLOOKUP(B56,Data!$E:$BM,MATCH(yoy!$Q$1,Data!$E$1:$BM$1,),)-VLOOKUP(A56,Data!$E:$BM,MATCH(yoy!$Q$1,Data!$E$1:$BM$1,),))/VLOOKUP(A56,Data!$E:$BM,MATCH(yoy!$Q$1,Data!$E$1:$BM$1,),)</f>
        <v>4.1291331015034828E-2</v>
      </c>
      <c r="R56" s="14"/>
      <c r="S56" s="14">
        <f>(VLOOKUP(B56,Data!$E:$BM,MATCH(yoy!$S$1,Data!$E$1:$BM$1,),)-VLOOKUP(A56,Data!$E:$BM,MATCH(yoy!$S$1,Data!$E$1:$BM$1,),))/VLOOKUP(A56,Data!$E:$BM,MATCH(yoy!$S$1,Data!$E$1:$BM$1,),)</f>
        <v>7.833656806426556E-2</v>
      </c>
      <c r="T56" s="14"/>
      <c r="U56" s="14"/>
      <c r="V56" s="14">
        <f>(VLOOKUP(B56,Data!$E:$BM,MATCH(yoy!$V$1,Data!$E$1:$BM$1,),)-VLOOKUP(A56,Data!$E:$BM,MATCH(yoy!$V$1,Data!$E$1:$BM$1,),))/VLOOKUP(A56,Data!$E:$BM,MATCH(yoy!$V$1,Data!$E$1:$BM$1,),)</f>
        <v>6.8350304649752697E-2</v>
      </c>
      <c r="W56" s="14"/>
      <c r="X56" s="14">
        <f>(VLOOKUP(B56,Data!$E:$BM,MATCH(yoy!$X$1,Data!$E$1:$BM$1,),)-VLOOKUP(A56,Data!$E:$BM,MATCH(yoy!$X$1,Data!$E$1:$BM$1,),))/VLOOKUP(A56,Data!$E:$BM,MATCH(yoy!$X$1,Data!$E$1:$BM$1,),)</f>
        <v>7.8260613182712269E-2</v>
      </c>
      <c r="Y56" s="14"/>
      <c r="Z56" s="14">
        <f>(VLOOKUP(B56,Data!$E:$BM,MATCH(yoy!$Z$1,Data!$E$1:$BM$1,),)-VLOOKUP(A56,Data!$E:$BM,MATCH(yoy!$Z$1,Data!$E$1:$BM$1,),))/VLOOKUP(A56,Data!$E:$BM,MATCH(yoy!$Z$1,Data!$E$1:$BM$1,),)</f>
        <v>6.1695746121843462E-2</v>
      </c>
      <c r="AA56" s="14"/>
    </row>
    <row r="57" spans="1:27" s="78" customFormat="1" x14ac:dyDescent="0.2">
      <c r="A57" s="20">
        <f t="shared" si="3"/>
        <v>43221</v>
      </c>
      <c r="B57" s="12">
        <v>43586</v>
      </c>
      <c r="C57" s="14">
        <f>(VLOOKUP(B57,Data!$E:$BM,MATCH(yoy!$C$1,Data!$E$1:$BM$1,),)-VLOOKUP(A57,Data!$E:$BM,MATCH(yoy!$C$1,Data!$E$1:$BM$1,),))/VLOOKUP(A57,Data!$E:$BM,MATCH(yoy!$C$1,Data!$E$1:$BM$1,),)</f>
        <v>4.6862780992359611E-2</v>
      </c>
      <c r="D57" s="14">
        <f>(VLOOKUP(B57,Data!$E:$BM,MATCH(yoy!$D$1,Data!$E$1:$BM$1,),)-VLOOKUP(A57,Data!$E:$BM,MATCH(yoy!$D$1,Data!$E$1:$BM$1,),))/VLOOKUP(A57,Data!$E:$BM,MATCH(yoy!$D$1,Data!$E$1:$BM$1,),)</f>
        <v>4.2568930502710593E-2</v>
      </c>
      <c r="E57" s="14"/>
      <c r="F57" s="14">
        <f>(VLOOKUP(B57,Data!$E:$BM,MATCH(yoy!$F$1,Data!$E$1:$BM$1,),)-VLOOKUP(A57,Data!$E:$BM,MATCH(yoy!$F$1,Data!$E$1:$BM$1,),))/VLOOKUP(A57,Data!$E:$BM,MATCH(yoy!$F$1,Data!$E$1:$BM$1,),)</f>
        <v>5.033071599152647E-2</v>
      </c>
      <c r="G57" s="14">
        <f>(VLOOKUP(B57,Data!$E:$BM,MATCH(yoy!$G$1,Data!$E$1:$BM$1,),)-VLOOKUP(A57,Data!$E:$BM,MATCH(yoy!$G$1,Data!$E$1:$BM$1,),))/VLOOKUP(A57,Data!$E:$BM,MATCH(yoy!$G$1,Data!$E$1:$BM$1,),)</f>
        <v>2.2425053474065492E-2</v>
      </c>
      <c r="H57" s="14">
        <f>(VLOOKUP(B57,Data!$E:$BM,MATCH(yoy!$H$1,Data!$E$1:$BM$1,),)-VLOOKUP(A57,Data!$E:$BM,MATCH(yoy!$H$1,Data!$E$1:$BM$1,),))/VLOOKUP(A57,Data!$E:$BM,MATCH(yoy!$H$1,Data!$E$1:$BM$1,),)</f>
        <v>2.0115186940876346E-2</v>
      </c>
      <c r="I57" s="14"/>
      <c r="J57" s="14"/>
      <c r="K57" s="14">
        <f>(VLOOKUP(B57,Data!$E:$BM,MATCH(yoy!$K$1,Data!$E$1:$BM$1,),)-VLOOKUP(A57,Data!$E:$BM,MATCH(yoy!$K$1,Data!$E$1:$BM$1,),))/VLOOKUP(A57,Data!$E:$BM,MATCH(yoy!$K$1,Data!$E$1:$BM$1,),)</f>
        <v>3.3986535974859927E-2</v>
      </c>
      <c r="L57" s="14"/>
      <c r="M57" s="14"/>
      <c r="N57" s="14"/>
      <c r="O57" s="14"/>
      <c r="P57" s="14">
        <f>(VLOOKUP(B57,Data!$E:$BM,MATCH(yoy!$P$1,Data!$E$1:$BM$1,),)-VLOOKUP(A57,Data!$E:$BM,MATCH(yoy!$P$1,Data!$E$1:$BM$1,),))/VLOOKUP(A57,Data!$E:$BM,MATCH(yoy!$P$1,Data!$E$1:$BM$1,),)</f>
        <v>7.8096077052504709E-2</v>
      </c>
      <c r="Q57" s="14">
        <f>(VLOOKUP(B57,Data!$E:$BM,MATCH(yoy!$Q$1,Data!$E$1:$BM$1,),)-VLOOKUP(A57,Data!$E:$BM,MATCH(yoy!$Q$1,Data!$E$1:$BM$1,),))/VLOOKUP(A57,Data!$E:$BM,MATCH(yoy!$Q$1,Data!$E$1:$BM$1,),)</f>
        <v>4.145551253064441E-2</v>
      </c>
      <c r="R57" s="14"/>
      <c r="S57" s="14">
        <f>(VLOOKUP(B57,Data!$E:$BM,MATCH(yoy!$S$1,Data!$E$1:$BM$1,),)-VLOOKUP(A57,Data!$E:$BM,MATCH(yoy!$S$1,Data!$E$1:$BM$1,),))/VLOOKUP(A57,Data!$E:$BM,MATCH(yoy!$S$1,Data!$E$1:$BM$1,),)</f>
        <v>7.8603600682261854E-2</v>
      </c>
      <c r="T57" s="14"/>
      <c r="U57" s="14"/>
      <c r="V57" s="14">
        <f>(VLOOKUP(B57,Data!$E:$BM,MATCH(yoy!$V$1,Data!$E$1:$BM$1,),)-VLOOKUP(A57,Data!$E:$BM,MATCH(yoy!$V$1,Data!$E$1:$BM$1,),))/VLOOKUP(A57,Data!$E:$BM,MATCH(yoy!$V$1,Data!$E$1:$BM$1,),)</f>
        <v>7.5522832030318413E-2</v>
      </c>
      <c r="W57" s="14"/>
      <c r="X57" s="14">
        <f>(VLOOKUP(B57,Data!$E:$BM,MATCH(yoy!$X$1,Data!$E$1:$BM$1,),)-VLOOKUP(A57,Data!$E:$BM,MATCH(yoy!$X$1,Data!$E$1:$BM$1,),))/VLOOKUP(A57,Data!$E:$BM,MATCH(yoy!$X$1,Data!$E$1:$BM$1,),)</f>
        <v>8.9166413636543373E-2</v>
      </c>
      <c r="Y57" s="14"/>
      <c r="Z57" s="14">
        <f>(VLOOKUP(B57,Data!$E:$BM,MATCH(yoy!$Z$1,Data!$E$1:$BM$1,),)-VLOOKUP(A57,Data!$E:$BM,MATCH(yoy!$Z$1,Data!$E$1:$BM$1,),))/VLOOKUP(A57,Data!$E:$BM,MATCH(yoy!$Z$1,Data!$E$1:$BM$1,),)</f>
        <v>6.4494367670187416E-2</v>
      </c>
      <c r="AA57" s="14"/>
    </row>
    <row r="58" spans="1:27" s="78" customFormat="1" x14ac:dyDescent="0.2">
      <c r="A58" s="20">
        <f t="shared" si="3"/>
        <v>43252</v>
      </c>
      <c r="B58" s="12">
        <v>43617</v>
      </c>
      <c r="C58" s="14">
        <f>(VLOOKUP(B58,Data!$E:$BM,MATCH(yoy!$C$1,Data!$E$1:$BM$1,),)-VLOOKUP(A58,Data!$E:$BM,MATCH(yoy!$C$1,Data!$E$1:$BM$1,),))/VLOOKUP(A58,Data!$E:$BM,MATCH(yoy!$C$1,Data!$E$1:$BM$1,),)</f>
        <v>4.6682521287175947E-2</v>
      </c>
      <c r="D58" s="14">
        <f>(VLOOKUP(B58,Data!$E:$BM,MATCH(yoy!$D$1,Data!$E$1:$BM$1,),)-VLOOKUP(A58,Data!$E:$BM,MATCH(yoy!$D$1,Data!$E$1:$BM$1,),))/VLOOKUP(A58,Data!$E:$BM,MATCH(yoy!$D$1,Data!$E$1:$BM$1,),)</f>
        <v>4.6792307469417885E-2</v>
      </c>
      <c r="E58" s="14"/>
      <c r="F58" s="14">
        <f>(VLOOKUP(B58,Data!$E:$BM,MATCH(yoy!$F$1,Data!$E$1:$BM$1,),)-VLOOKUP(A58,Data!$E:$BM,MATCH(yoy!$F$1,Data!$E$1:$BM$1,),))/VLOOKUP(A58,Data!$E:$BM,MATCH(yoy!$F$1,Data!$E$1:$BM$1,),)</f>
        <v>4.8675895933627603E-2</v>
      </c>
      <c r="G58" s="14">
        <f>(VLOOKUP(B58,Data!$E:$BM,MATCH(yoy!$G$1,Data!$E$1:$BM$1,),)-VLOOKUP(A58,Data!$E:$BM,MATCH(yoy!$G$1,Data!$E$1:$BM$1,),))/VLOOKUP(A58,Data!$E:$BM,MATCH(yoy!$G$1,Data!$E$1:$BM$1,),)</f>
        <v>1.9844233730150727E-2</v>
      </c>
      <c r="H58" s="14">
        <f>(VLOOKUP(B58,Data!$E:$BM,MATCH(yoy!$H$1,Data!$E$1:$BM$1,),)-VLOOKUP(A58,Data!$E:$BM,MATCH(yoy!$H$1,Data!$E$1:$BM$1,),))/VLOOKUP(A58,Data!$E:$BM,MATCH(yoy!$H$1,Data!$E$1:$BM$1,),)</f>
        <v>1.5798706823351414E-2</v>
      </c>
      <c r="I58" s="14"/>
      <c r="J58" s="14"/>
      <c r="K58" s="14">
        <f>(VLOOKUP(B58,Data!$E:$BM,MATCH(yoy!$K$1,Data!$E$1:$BM$1,),)-VLOOKUP(A58,Data!$E:$BM,MATCH(yoy!$K$1,Data!$E$1:$BM$1,),))/VLOOKUP(A58,Data!$E:$BM,MATCH(yoy!$K$1,Data!$E$1:$BM$1,),)</f>
        <v>3.6344950650970757E-2</v>
      </c>
      <c r="L58" s="14"/>
      <c r="M58" s="14"/>
      <c r="N58" s="14"/>
      <c r="O58" s="14"/>
      <c r="P58" s="14">
        <f>(VLOOKUP(B58,Data!$E:$BM,MATCH(yoy!$P$1,Data!$E$1:$BM$1,),)-VLOOKUP(A58,Data!$E:$BM,MATCH(yoy!$P$1,Data!$E$1:$BM$1,),))/VLOOKUP(A58,Data!$E:$BM,MATCH(yoy!$P$1,Data!$E$1:$BM$1,),)</f>
        <v>7.5176512335136253E-2</v>
      </c>
      <c r="Q58" s="14">
        <f>(VLOOKUP(B58,Data!$E:$BM,MATCH(yoy!$Q$1,Data!$E$1:$BM$1,),)-VLOOKUP(A58,Data!$E:$BM,MATCH(yoy!$Q$1,Data!$E$1:$BM$1,),))/VLOOKUP(A58,Data!$E:$BM,MATCH(yoy!$Q$1,Data!$E$1:$BM$1,),)</f>
        <v>3.9499144797083718E-2</v>
      </c>
      <c r="R58" s="14"/>
      <c r="S58" s="14">
        <f>(VLOOKUP(B58,Data!$E:$BM,MATCH(yoy!$S$1,Data!$E$1:$BM$1,),)-VLOOKUP(A58,Data!$E:$BM,MATCH(yoy!$S$1,Data!$E$1:$BM$1,),))/VLOOKUP(A58,Data!$E:$BM,MATCH(yoy!$S$1,Data!$E$1:$BM$1,),)</f>
        <v>8.0942554319623564E-2</v>
      </c>
      <c r="T58" s="14"/>
      <c r="U58" s="14"/>
      <c r="V58" s="14">
        <f>(VLOOKUP(B58,Data!$E:$BM,MATCH(yoy!$V$1,Data!$E$1:$BM$1,),)-VLOOKUP(A58,Data!$E:$BM,MATCH(yoy!$V$1,Data!$E$1:$BM$1,),))/VLOOKUP(A58,Data!$E:$BM,MATCH(yoy!$V$1,Data!$E$1:$BM$1,),)</f>
        <v>8.2020234303823741E-2</v>
      </c>
      <c r="W58" s="14"/>
      <c r="X58" s="14">
        <f>(VLOOKUP(B58,Data!$E:$BM,MATCH(yoy!$X$1,Data!$E$1:$BM$1,),)-VLOOKUP(A58,Data!$E:$BM,MATCH(yoy!$X$1,Data!$E$1:$BM$1,),))/VLOOKUP(A58,Data!$E:$BM,MATCH(yoy!$X$1,Data!$E$1:$BM$1,),)</f>
        <v>9.0536279717653906E-2</v>
      </c>
      <c r="Y58" s="14"/>
      <c r="Z58" s="14">
        <f>(VLOOKUP(B58,Data!$E:$BM,MATCH(yoy!$Z$1,Data!$E$1:$BM$1,),)-VLOOKUP(A58,Data!$E:$BM,MATCH(yoy!$Z$1,Data!$E$1:$BM$1,),))/VLOOKUP(A58,Data!$E:$BM,MATCH(yoy!$Z$1,Data!$E$1:$BM$1,),)</f>
        <v>6.6568007341399005E-2</v>
      </c>
      <c r="AA58" s="14"/>
    </row>
    <row r="59" spans="1:27" s="78" customFormat="1" x14ac:dyDescent="0.2">
      <c r="A59" s="20">
        <f t="shared" si="3"/>
        <v>43282</v>
      </c>
      <c r="B59" s="12">
        <v>43647</v>
      </c>
      <c r="C59" s="14">
        <f>(VLOOKUP(B59,Data!$E:$BM,MATCH(yoy!$C$1,Data!$E$1:$BM$1,),)-VLOOKUP(A59,Data!$E:$BM,MATCH(yoy!$C$1,Data!$E$1:$BM$1,),))/VLOOKUP(A59,Data!$E:$BM,MATCH(yoy!$C$1,Data!$E$1:$BM$1,),)</f>
        <v>4.758383013857069E-2</v>
      </c>
      <c r="D59" s="14">
        <f>(VLOOKUP(B59,Data!$E:$BM,MATCH(yoy!$D$1,Data!$E$1:$BM$1,),)-VLOOKUP(A59,Data!$E:$BM,MATCH(yoy!$D$1,Data!$E$1:$BM$1,),))/VLOOKUP(A59,Data!$E:$BM,MATCH(yoy!$D$1,Data!$E$1:$BM$1,),)</f>
        <v>5.001696225197489E-2</v>
      </c>
      <c r="E59" s="14"/>
      <c r="F59" s="14">
        <f>(VLOOKUP(B59,Data!$E:$BM,MATCH(yoy!$F$1,Data!$E$1:$BM$1,),)-VLOOKUP(A59,Data!$E:$BM,MATCH(yoy!$F$1,Data!$E$1:$BM$1,),))/VLOOKUP(A59,Data!$E:$BM,MATCH(yoy!$F$1,Data!$E$1:$BM$1,),)</f>
        <v>4.9792534737355884E-2</v>
      </c>
      <c r="G59" s="14">
        <f>(VLOOKUP(B59,Data!$E:$BM,MATCH(yoy!$G$1,Data!$E$1:$BM$1,),)-VLOOKUP(A59,Data!$E:$BM,MATCH(yoy!$G$1,Data!$E$1:$BM$1,),))/VLOOKUP(A59,Data!$E:$BM,MATCH(yoy!$G$1,Data!$E$1:$BM$1,),)</f>
        <v>1.9699063960129201E-2</v>
      </c>
      <c r="H59" s="14">
        <f>(VLOOKUP(B59,Data!$E:$BM,MATCH(yoy!$H$1,Data!$E$1:$BM$1,),)-VLOOKUP(A59,Data!$E:$BM,MATCH(yoy!$H$1,Data!$E$1:$BM$1,),))/VLOOKUP(A59,Data!$E:$BM,MATCH(yoy!$H$1,Data!$E$1:$BM$1,),)</f>
        <v>1.9124233013284649E-2</v>
      </c>
      <c r="I59" s="14"/>
      <c r="J59" s="14"/>
      <c r="K59" s="14">
        <f>(VLOOKUP(B59,Data!$E:$BM,MATCH(yoy!$K$1,Data!$E$1:$BM$1,),)-VLOOKUP(A59,Data!$E:$BM,MATCH(yoy!$K$1,Data!$E$1:$BM$1,),))/VLOOKUP(A59,Data!$E:$BM,MATCH(yoy!$K$1,Data!$E$1:$BM$1,),)</f>
        <v>3.8416165192744767E-2</v>
      </c>
      <c r="L59" s="14"/>
      <c r="M59" s="14"/>
      <c r="N59" s="14"/>
      <c r="O59" s="14"/>
      <c r="P59" s="14">
        <f>(VLOOKUP(B59,Data!$E:$BM,MATCH(yoy!$P$1,Data!$E$1:$BM$1,),)-VLOOKUP(A59,Data!$E:$BM,MATCH(yoy!$P$1,Data!$E$1:$BM$1,),))/VLOOKUP(A59,Data!$E:$BM,MATCH(yoy!$P$1,Data!$E$1:$BM$1,),)</f>
        <v>7.9972857536738995E-2</v>
      </c>
      <c r="Q59" s="14">
        <f>(VLOOKUP(B59,Data!$E:$BM,MATCH(yoy!$Q$1,Data!$E$1:$BM$1,),)-VLOOKUP(A59,Data!$E:$BM,MATCH(yoy!$Q$1,Data!$E$1:$BM$1,),))/VLOOKUP(A59,Data!$E:$BM,MATCH(yoy!$Q$1,Data!$E$1:$BM$1,),)</f>
        <v>3.2242448882556944E-2</v>
      </c>
      <c r="R59" s="14"/>
      <c r="S59" s="14">
        <f>(VLOOKUP(B59,Data!$E:$BM,MATCH(yoy!$S$1,Data!$E$1:$BM$1,),)-VLOOKUP(A59,Data!$E:$BM,MATCH(yoy!$S$1,Data!$E$1:$BM$1,),))/VLOOKUP(A59,Data!$E:$BM,MATCH(yoy!$S$1,Data!$E$1:$BM$1,),)</f>
        <v>8.2251762698163311E-2</v>
      </c>
      <c r="T59" s="14"/>
      <c r="U59" s="14"/>
      <c r="V59" s="14">
        <f>(VLOOKUP(B59,Data!$E:$BM,MATCH(yoy!$V$1,Data!$E$1:$BM$1,),)-VLOOKUP(A59,Data!$E:$BM,MATCH(yoy!$V$1,Data!$E$1:$BM$1,),))/VLOOKUP(A59,Data!$E:$BM,MATCH(yoy!$V$1,Data!$E$1:$BM$1,),)</f>
        <v>7.8591217620168907E-2</v>
      </c>
      <c r="W59" s="14"/>
      <c r="X59" s="14">
        <f>(VLOOKUP(B59,Data!$E:$BM,MATCH(yoy!$X$1,Data!$E$1:$BM$1,),)-VLOOKUP(A59,Data!$E:$BM,MATCH(yoy!$X$1,Data!$E$1:$BM$1,),))/VLOOKUP(A59,Data!$E:$BM,MATCH(yoy!$X$1,Data!$E$1:$BM$1,),)</f>
        <v>8.6528667584073779E-2</v>
      </c>
      <c r="Y59" s="14"/>
      <c r="Z59" s="14">
        <f>(VLOOKUP(B59,Data!$E:$BM,MATCH(yoy!$Z$1,Data!$E$1:$BM$1,),)-VLOOKUP(A59,Data!$E:$BM,MATCH(yoy!$Z$1,Data!$E$1:$BM$1,),))/VLOOKUP(A59,Data!$E:$BM,MATCH(yoy!$Z$1,Data!$E$1:$BM$1,),)</f>
        <v>6.9474927775402748E-2</v>
      </c>
      <c r="AA59" s="14"/>
    </row>
    <row r="60" spans="1:27" s="78" customFormat="1" x14ac:dyDescent="0.2">
      <c r="A60" s="20">
        <f t="shared" si="3"/>
        <v>43313</v>
      </c>
      <c r="B60" s="12">
        <v>43678</v>
      </c>
      <c r="C60" s="14">
        <f>(VLOOKUP(B60,Data!$E:$BM,MATCH(yoy!$C$1,Data!$E$1:$BM$1,),)-VLOOKUP(A60,Data!$E:$BM,MATCH(yoy!$C$1,Data!$E$1:$BM$1,),))/VLOOKUP(A60,Data!$E:$BM,MATCH(yoy!$C$1,Data!$E$1:$BM$1,),)</f>
        <v>4.7847100980126227E-2</v>
      </c>
      <c r="D60" s="14">
        <f>(VLOOKUP(B60,Data!$E:$BM,MATCH(yoy!$D$1,Data!$E$1:$BM$1,),)-VLOOKUP(A60,Data!$E:$BM,MATCH(yoy!$D$1,Data!$E$1:$BM$1,),))/VLOOKUP(A60,Data!$E:$BM,MATCH(yoy!$D$1,Data!$E$1:$BM$1,),)</f>
        <v>5.1898758854277513E-2</v>
      </c>
      <c r="E60" s="14"/>
      <c r="F60" s="14">
        <f>(VLOOKUP(B60,Data!$E:$BM,MATCH(yoy!$F$1,Data!$E$1:$BM$1,),)-VLOOKUP(A60,Data!$E:$BM,MATCH(yoy!$F$1,Data!$E$1:$BM$1,),))/VLOOKUP(A60,Data!$E:$BM,MATCH(yoy!$F$1,Data!$E$1:$BM$1,),)</f>
        <v>5.6973385860132106E-2</v>
      </c>
      <c r="G60" s="14">
        <f>(VLOOKUP(B60,Data!$E:$BM,MATCH(yoy!$G$1,Data!$E$1:$BM$1,),)-VLOOKUP(A60,Data!$E:$BM,MATCH(yoy!$G$1,Data!$E$1:$BM$1,),))/VLOOKUP(A60,Data!$E:$BM,MATCH(yoy!$G$1,Data!$E$1:$BM$1,),)</f>
        <v>1.9999926847378065E-2</v>
      </c>
      <c r="H60" s="14">
        <f>(VLOOKUP(B60,Data!$E:$BM,MATCH(yoy!$H$1,Data!$E$1:$BM$1,),)-VLOOKUP(A60,Data!$E:$BM,MATCH(yoy!$H$1,Data!$E$1:$BM$1,),))/VLOOKUP(A60,Data!$E:$BM,MATCH(yoy!$H$1,Data!$E$1:$BM$1,),)</f>
        <v>2.1392834646788917E-2</v>
      </c>
      <c r="I60" s="14"/>
      <c r="J60" s="14"/>
      <c r="K60" s="14">
        <f>(VLOOKUP(B60,Data!$E:$BM,MATCH(yoy!$K$1,Data!$E$1:$BM$1,),)-VLOOKUP(A60,Data!$E:$BM,MATCH(yoy!$K$1,Data!$E$1:$BM$1,),))/VLOOKUP(A60,Data!$E:$BM,MATCH(yoy!$K$1,Data!$E$1:$BM$1,),)</f>
        <v>4.9711698516346818E-2</v>
      </c>
      <c r="L60" s="14"/>
      <c r="M60" s="14"/>
      <c r="N60" s="14"/>
      <c r="O60" s="14"/>
      <c r="P60" s="14">
        <f>(VLOOKUP(B60,Data!$E:$BM,MATCH(yoy!$P$1,Data!$E$1:$BM$1,),)-VLOOKUP(A60,Data!$E:$BM,MATCH(yoy!$P$1,Data!$E$1:$BM$1,),))/VLOOKUP(A60,Data!$E:$BM,MATCH(yoy!$P$1,Data!$E$1:$BM$1,),)</f>
        <v>8.261557449155113E-2</v>
      </c>
      <c r="Q60" s="14">
        <f>(VLOOKUP(B60,Data!$E:$BM,MATCH(yoy!$Q$1,Data!$E$1:$BM$1,),)-VLOOKUP(A60,Data!$E:$BM,MATCH(yoy!$Q$1,Data!$E$1:$BM$1,),))/VLOOKUP(A60,Data!$E:$BM,MATCH(yoy!$Q$1,Data!$E$1:$BM$1,),)</f>
        <v>2.2262656534303833E-2</v>
      </c>
      <c r="R60" s="14"/>
      <c r="S60" s="14">
        <f>(VLOOKUP(B60,Data!$E:$BM,MATCH(yoy!$S$1,Data!$E$1:$BM$1,),)-VLOOKUP(A60,Data!$E:$BM,MATCH(yoy!$S$1,Data!$E$1:$BM$1,),))/VLOOKUP(A60,Data!$E:$BM,MATCH(yoy!$S$1,Data!$E$1:$BM$1,),)</f>
        <v>8.3954331633085535E-2</v>
      </c>
      <c r="T60" s="14"/>
      <c r="U60" s="14"/>
      <c r="V60" s="14">
        <f>(VLOOKUP(B60,Data!$E:$BM,MATCH(yoy!$V$1,Data!$E$1:$BM$1,),)-VLOOKUP(A60,Data!$E:$BM,MATCH(yoy!$V$1,Data!$E$1:$BM$1,),))/VLOOKUP(A60,Data!$E:$BM,MATCH(yoy!$V$1,Data!$E$1:$BM$1,),)</f>
        <v>7.5308341077206575E-2</v>
      </c>
      <c r="W60" s="14"/>
      <c r="X60" s="14">
        <f>(VLOOKUP(B60,Data!$E:$BM,MATCH(yoy!$X$1,Data!$E$1:$BM$1,),)-VLOOKUP(A60,Data!$E:$BM,MATCH(yoy!$X$1,Data!$E$1:$BM$1,),))/VLOOKUP(A60,Data!$E:$BM,MATCH(yoy!$X$1,Data!$E$1:$BM$1,),)</f>
        <v>7.8324562592688343E-2</v>
      </c>
      <c r="Y60" s="14"/>
      <c r="Z60" s="14">
        <f>(VLOOKUP(B60,Data!$E:$BM,MATCH(yoy!$Z$1,Data!$E$1:$BM$1,),)-VLOOKUP(A60,Data!$E:$BM,MATCH(yoy!$Z$1,Data!$E$1:$BM$1,),))/VLOOKUP(A60,Data!$E:$BM,MATCH(yoy!$Z$1,Data!$E$1:$BM$1,),)</f>
        <v>7.2032304975178305E-2</v>
      </c>
      <c r="AA60" s="14"/>
    </row>
    <row r="61" spans="1:27" s="78" customFormat="1" x14ac:dyDescent="0.2">
      <c r="A61" s="20">
        <f t="shared" si="3"/>
        <v>43344</v>
      </c>
      <c r="B61" s="12">
        <v>43709</v>
      </c>
      <c r="C61" s="14">
        <f>(VLOOKUP(B61,Data!$E:$BM,MATCH(yoy!$C$1,Data!$E$1:$BM$1,),)-VLOOKUP(A61,Data!$E:$BM,MATCH(yoy!$C$1,Data!$E$1:$BM$1,),))/VLOOKUP(A61,Data!$E:$BM,MATCH(yoy!$C$1,Data!$E$1:$BM$1,),)</f>
        <v>4.7391320546947127E-2</v>
      </c>
      <c r="D61" s="14">
        <f>(VLOOKUP(B61,Data!$E:$BM,MATCH(yoy!$D$1,Data!$E$1:$BM$1,),)-VLOOKUP(A61,Data!$E:$BM,MATCH(yoy!$D$1,Data!$E$1:$BM$1,),))/VLOOKUP(A61,Data!$E:$BM,MATCH(yoy!$D$1,Data!$E$1:$BM$1,),)</f>
        <v>5.5986265397512724E-2</v>
      </c>
      <c r="E61" s="14"/>
      <c r="F61" s="14">
        <f>(VLOOKUP(B61,Data!$E:$BM,MATCH(yoy!$F$1,Data!$E$1:$BM$1,),)-VLOOKUP(A61,Data!$E:$BM,MATCH(yoy!$F$1,Data!$E$1:$BM$1,),))/VLOOKUP(A61,Data!$E:$BM,MATCH(yoy!$F$1,Data!$E$1:$BM$1,),)</f>
        <v>5.9334247708619121E-2</v>
      </c>
      <c r="G61" s="14">
        <f>(VLOOKUP(B61,Data!$E:$BM,MATCH(yoy!$G$1,Data!$E$1:$BM$1,),)-VLOOKUP(A61,Data!$E:$BM,MATCH(yoy!$G$1,Data!$E$1:$BM$1,),))/VLOOKUP(A61,Data!$E:$BM,MATCH(yoy!$G$1,Data!$E$1:$BM$1,),)</f>
        <v>1.987861889764363E-2</v>
      </c>
      <c r="H61" s="14">
        <f>(VLOOKUP(B61,Data!$E:$BM,MATCH(yoy!$H$1,Data!$E$1:$BM$1,),)-VLOOKUP(A61,Data!$E:$BM,MATCH(yoy!$H$1,Data!$E$1:$BM$1,),))/VLOOKUP(A61,Data!$E:$BM,MATCH(yoy!$H$1,Data!$E$1:$BM$1,),)</f>
        <v>1.6535062315875426E-2</v>
      </c>
      <c r="I61" s="14"/>
      <c r="J61" s="14"/>
      <c r="K61" s="14">
        <f>(VLOOKUP(B61,Data!$E:$BM,MATCH(yoy!$K$1,Data!$E$1:$BM$1,),)-VLOOKUP(A61,Data!$E:$BM,MATCH(yoy!$K$1,Data!$E$1:$BM$1,),))/VLOOKUP(A61,Data!$E:$BM,MATCH(yoy!$K$1,Data!$E$1:$BM$1,),)</f>
        <v>5.0324202692253135E-2</v>
      </c>
      <c r="L61" s="14"/>
      <c r="M61" s="14"/>
      <c r="N61" s="14"/>
      <c r="O61" s="14"/>
      <c r="P61" s="14">
        <f>(VLOOKUP(B61,Data!$E:$BM,MATCH(yoy!$P$1,Data!$E$1:$BM$1,),)-VLOOKUP(A61,Data!$E:$BM,MATCH(yoy!$P$1,Data!$E$1:$BM$1,),))/VLOOKUP(A61,Data!$E:$BM,MATCH(yoy!$P$1,Data!$E$1:$BM$1,),)</f>
        <v>8.353287206833121E-2</v>
      </c>
      <c r="Q61" s="14">
        <f>(VLOOKUP(B61,Data!$E:$BM,MATCH(yoy!$Q$1,Data!$E$1:$BM$1,),)-VLOOKUP(A61,Data!$E:$BM,MATCH(yoy!$Q$1,Data!$E$1:$BM$1,),))/VLOOKUP(A61,Data!$E:$BM,MATCH(yoy!$Q$1,Data!$E$1:$BM$1,),)</f>
        <v>2.0770898221063129E-2</v>
      </c>
      <c r="R61" s="14"/>
      <c r="S61" s="14">
        <f>(VLOOKUP(B61,Data!$E:$BM,MATCH(yoy!$S$1,Data!$E$1:$BM$1,),)-VLOOKUP(A61,Data!$E:$BM,MATCH(yoy!$S$1,Data!$E$1:$BM$1,),))/VLOOKUP(A61,Data!$E:$BM,MATCH(yoy!$S$1,Data!$E$1:$BM$1,),)</f>
        <v>8.1655703411468106E-2</v>
      </c>
      <c r="T61" s="14"/>
      <c r="U61" s="14"/>
      <c r="V61" s="14">
        <f>(VLOOKUP(B61,Data!$E:$BM,MATCH(yoy!$V$1,Data!$E$1:$BM$1,),)-VLOOKUP(A61,Data!$E:$BM,MATCH(yoy!$V$1,Data!$E$1:$BM$1,),))/VLOOKUP(A61,Data!$E:$BM,MATCH(yoy!$V$1,Data!$E$1:$BM$1,),)</f>
        <v>7.6010323744182998E-2</v>
      </c>
      <c r="W61" s="14"/>
      <c r="X61" s="14">
        <f>(VLOOKUP(B61,Data!$E:$BM,MATCH(yoy!$X$1,Data!$E$1:$BM$1,),)-VLOOKUP(A61,Data!$E:$BM,MATCH(yoy!$X$1,Data!$E$1:$BM$1,),))/VLOOKUP(A61,Data!$E:$BM,MATCH(yoy!$X$1,Data!$E$1:$BM$1,),)</f>
        <v>6.7374155504354147E-2</v>
      </c>
      <c r="Y61" s="14"/>
      <c r="Z61" s="14">
        <f>(VLOOKUP(B61,Data!$E:$BM,MATCH(yoy!$Z$1,Data!$E$1:$BM$1,),)-VLOOKUP(A61,Data!$E:$BM,MATCH(yoy!$Z$1,Data!$E$1:$BM$1,),))/VLOOKUP(A61,Data!$E:$BM,MATCH(yoy!$Z$1,Data!$E$1:$BM$1,),)</f>
        <v>7.6581396102843466E-2</v>
      </c>
      <c r="AA61" s="14"/>
    </row>
    <row r="62" spans="1:27" s="78" customFormat="1" x14ac:dyDescent="0.2">
      <c r="A62" s="20">
        <f t="shared" si="3"/>
        <v>43374</v>
      </c>
      <c r="B62" s="12">
        <v>43739</v>
      </c>
      <c r="C62" s="14">
        <f>(VLOOKUP(B62,Data!$E:$BM,MATCH(yoy!$C$1,Data!$E$1:$BM$1,),)-VLOOKUP(A62,Data!$E:$BM,MATCH(yoy!$C$1,Data!$E$1:$BM$1,),))/VLOOKUP(A62,Data!$E:$BM,MATCH(yoy!$C$1,Data!$E$1:$BM$1,),)</f>
        <v>5.0069912984335219E-2</v>
      </c>
      <c r="D62" s="14">
        <f>(VLOOKUP(B62,Data!$E:$BM,MATCH(yoy!$D$1,Data!$E$1:$BM$1,),)-VLOOKUP(A62,Data!$E:$BM,MATCH(yoy!$D$1,Data!$E$1:$BM$1,),))/VLOOKUP(A62,Data!$E:$BM,MATCH(yoy!$D$1,Data!$E$1:$BM$1,),)</f>
        <v>6.4585608645227166E-2</v>
      </c>
      <c r="E62" s="14"/>
      <c r="F62" s="14">
        <f>(VLOOKUP(B62,Data!$E:$BM,MATCH(yoy!$F$1,Data!$E$1:$BM$1,),)-VLOOKUP(A62,Data!$E:$BM,MATCH(yoy!$F$1,Data!$E$1:$BM$1,),))/VLOOKUP(A62,Data!$E:$BM,MATCH(yoy!$F$1,Data!$E$1:$BM$1,),)</f>
        <v>5.7699992702581575E-2</v>
      </c>
      <c r="G62" s="14">
        <f>(VLOOKUP(B62,Data!$E:$BM,MATCH(yoy!$G$1,Data!$E$1:$BM$1,),)-VLOOKUP(A62,Data!$E:$BM,MATCH(yoy!$G$1,Data!$E$1:$BM$1,),))/VLOOKUP(A62,Data!$E:$BM,MATCH(yoy!$G$1,Data!$E$1:$BM$1,),)</f>
        <v>1.9842198689755512E-2</v>
      </c>
      <c r="H62" s="14">
        <f>(VLOOKUP(B62,Data!$E:$BM,MATCH(yoy!$H$1,Data!$E$1:$BM$1,),)-VLOOKUP(A62,Data!$E:$BM,MATCH(yoy!$H$1,Data!$E$1:$BM$1,),))/VLOOKUP(A62,Data!$E:$BM,MATCH(yoy!$H$1,Data!$E$1:$BM$1,),)</f>
        <v>3.0658982230843583E-3</v>
      </c>
      <c r="I62" s="14"/>
      <c r="J62" s="14"/>
      <c r="K62" s="14">
        <f>(VLOOKUP(B62,Data!$E:$BM,MATCH(yoy!$K$1,Data!$E$1:$BM$1,),)-VLOOKUP(A62,Data!$E:$BM,MATCH(yoy!$K$1,Data!$E$1:$BM$1,),))/VLOOKUP(A62,Data!$E:$BM,MATCH(yoy!$K$1,Data!$E$1:$BM$1,),)</f>
        <v>4.6539574933230604E-2</v>
      </c>
      <c r="L62" s="14"/>
      <c r="M62" s="14"/>
      <c r="N62" s="14"/>
      <c r="O62" s="14"/>
      <c r="P62" s="14">
        <f>(VLOOKUP(B62,Data!$E:$BM,MATCH(yoy!$P$1,Data!$E$1:$BM$1,),)-VLOOKUP(A62,Data!$E:$BM,MATCH(yoy!$P$1,Data!$E$1:$BM$1,),))/VLOOKUP(A62,Data!$E:$BM,MATCH(yoy!$P$1,Data!$E$1:$BM$1,),)</f>
        <v>8.5173878191462216E-2</v>
      </c>
      <c r="Q62" s="14">
        <f>(VLOOKUP(B62,Data!$E:$BM,MATCH(yoy!$Q$1,Data!$E$1:$BM$1,),)-VLOOKUP(A62,Data!$E:$BM,MATCH(yoy!$Q$1,Data!$E$1:$BM$1,),))/VLOOKUP(A62,Data!$E:$BM,MATCH(yoy!$Q$1,Data!$E$1:$BM$1,),)</f>
        <v>2.2777589354039857E-2</v>
      </c>
      <c r="R62" s="14"/>
      <c r="S62" s="14">
        <f>(VLOOKUP(B62,Data!$E:$BM,MATCH(yoy!$S$1,Data!$E$1:$BM$1,),)-VLOOKUP(A62,Data!$E:$BM,MATCH(yoy!$S$1,Data!$E$1:$BM$1,),))/VLOOKUP(A62,Data!$E:$BM,MATCH(yoy!$S$1,Data!$E$1:$BM$1,),)</f>
        <v>8.4978118715454715E-2</v>
      </c>
      <c r="T62" s="14"/>
      <c r="U62" s="14"/>
      <c r="V62" s="14">
        <f>(VLOOKUP(B62,Data!$E:$BM,MATCH(yoy!$V$1,Data!$E$1:$BM$1,),)-VLOOKUP(A62,Data!$E:$BM,MATCH(yoy!$V$1,Data!$E$1:$BM$1,),))/VLOOKUP(A62,Data!$E:$BM,MATCH(yoy!$V$1,Data!$E$1:$BM$1,),)</f>
        <v>7.5825504144664088E-2</v>
      </c>
      <c r="W62" s="14"/>
      <c r="X62" s="14">
        <f>(VLOOKUP(B62,Data!$E:$BM,MATCH(yoy!$X$1,Data!$E$1:$BM$1,),)-VLOOKUP(A62,Data!$E:$BM,MATCH(yoy!$X$1,Data!$E$1:$BM$1,),))/VLOOKUP(A62,Data!$E:$BM,MATCH(yoy!$X$1,Data!$E$1:$BM$1,),)</f>
        <v>6.6587731489199387E-2</v>
      </c>
      <c r="Y62" s="14"/>
      <c r="Z62" s="14">
        <f>(VLOOKUP(B62,Data!$E:$BM,MATCH(yoy!$Z$1,Data!$E$1:$BM$1,),)-VLOOKUP(A62,Data!$E:$BM,MATCH(yoy!$Z$1,Data!$E$1:$BM$1,),))/VLOOKUP(A62,Data!$E:$BM,MATCH(yoy!$Z$1,Data!$E$1:$BM$1,),)</f>
        <v>7.9606479617374784E-2</v>
      </c>
      <c r="AA62" s="14"/>
    </row>
    <row r="63" spans="1:27" s="78" customFormat="1" x14ac:dyDescent="0.2">
      <c r="A63" s="20">
        <f t="shared" si="3"/>
        <v>43405</v>
      </c>
      <c r="B63" s="12">
        <v>43770</v>
      </c>
      <c r="C63" s="14">
        <f>(VLOOKUP(B63,Data!$E:$BM,MATCH(yoy!$C$1,Data!$E$1:$BM$1,),)-VLOOKUP(A63,Data!$E:$BM,MATCH(yoy!$C$1,Data!$E$1:$BM$1,),))/VLOOKUP(A63,Data!$E:$BM,MATCH(yoy!$C$1,Data!$E$1:$BM$1,),)</f>
        <v>5.5533505024907934E-2</v>
      </c>
      <c r="D63" s="14">
        <f>(VLOOKUP(B63,Data!$E:$BM,MATCH(yoy!$D$1,Data!$E$1:$BM$1,),)-VLOOKUP(A63,Data!$E:$BM,MATCH(yoy!$D$1,Data!$E$1:$BM$1,),))/VLOOKUP(A63,Data!$E:$BM,MATCH(yoy!$D$1,Data!$E$1:$BM$1,),)</f>
        <v>7.1167129434482751E-2</v>
      </c>
      <c r="E63" s="14"/>
      <c r="F63" s="14">
        <f>(VLOOKUP(B63,Data!$E:$BM,MATCH(yoy!$F$1,Data!$E$1:$BM$1,),)-VLOOKUP(A63,Data!$E:$BM,MATCH(yoy!$F$1,Data!$E$1:$BM$1,),))/VLOOKUP(A63,Data!$E:$BM,MATCH(yoy!$F$1,Data!$E$1:$BM$1,),)</f>
        <v>5.8608248536306057E-2</v>
      </c>
      <c r="G63" s="14">
        <f>(VLOOKUP(B63,Data!$E:$BM,MATCH(yoy!$G$1,Data!$E$1:$BM$1,),)-VLOOKUP(A63,Data!$E:$BM,MATCH(yoy!$G$1,Data!$E$1:$BM$1,),))/VLOOKUP(A63,Data!$E:$BM,MATCH(yoy!$G$1,Data!$E$1:$BM$1,),)</f>
        <v>2.2016355423140243E-2</v>
      </c>
      <c r="H63" s="14">
        <f>(VLOOKUP(B63,Data!$E:$BM,MATCH(yoy!$H$1,Data!$E$1:$BM$1,),)-VLOOKUP(A63,Data!$E:$BM,MATCH(yoy!$H$1,Data!$E$1:$BM$1,),))/VLOOKUP(A63,Data!$E:$BM,MATCH(yoy!$H$1,Data!$E$1:$BM$1,),)</f>
        <v>-2.8811947332221081E-3</v>
      </c>
      <c r="I63" s="14"/>
      <c r="J63" s="14"/>
      <c r="K63" s="14">
        <f>(VLOOKUP(B63,Data!$E:$BM,MATCH(yoy!$K$1,Data!$E$1:$BM$1,),)-VLOOKUP(A63,Data!$E:$BM,MATCH(yoy!$K$1,Data!$E$1:$BM$1,),))/VLOOKUP(A63,Data!$E:$BM,MATCH(yoy!$K$1,Data!$E$1:$BM$1,),)</f>
        <v>4.7359611130574915E-2</v>
      </c>
      <c r="L63" s="14"/>
      <c r="M63" s="14"/>
      <c r="N63" s="14"/>
      <c r="O63" s="14"/>
      <c r="P63" s="14">
        <f>(VLOOKUP(B63,Data!$E:$BM,MATCH(yoy!$P$1,Data!$E$1:$BM$1,),)-VLOOKUP(A63,Data!$E:$BM,MATCH(yoy!$P$1,Data!$E$1:$BM$1,),))/VLOOKUP(A63,Data!$E:$BM,MATCH(yoy!$P$1,Data!$E$1:$BM$1,),)</f>
        <v>8.4314935601889421E-2</v>
      </c>
      <c r="Q63" s="14">
        <f>(VLOOKUP(B63,Data!$E:$BM,MATCH(yoy!$Q$1,Data!$E$1:$BM$1,),)-VLOOKUP(A63,Data!$E:$BM,MATCH(yoy!$Q$1,Data!$E$1:$BM$1,),))/VLOOKUP(A63,Data!$E:$BM,MATCH(yoy!$Q$1,Data!$E$1:$BM$1,),)</f>
        <v>2.5059079927461654E-2</v>
      </c>
      <c r="R63" s="14"/>
      <c r="S63" s="14">
        <f>(VLOOKUP(B63,Data!$E:$BM,MATCH(yoy!$S$1,Data!$E$1:$BM$1,),)-VLOOKUP(A63,Data!$E:$BM,MATCH(yoy!$S$1,Data!$E$1:$BM$1,),))/VLOOKUP(A63,Data!$E:$BM,MATCH(yoy!$S$1,Data!$E$1:$BM$1,),)</f>
        <v>8.7483894283649055E-2</v>
      </c>
      <c r="T63" s="14"/>
      <c r="U63" s="14"/>
      <c r="V63" s="14">
        <f>(VLOOKUP(B63,Data!$E:$BM,MATCH(yoy!$V$1,Data!$E$1:$BM$1,),)-VLOOKUP(A63,Data!$E:$BM,MATCH(yoy!$V$1,Data!$E$1:$BM$1,),))/VLOOKUP(A63,Data!$E:$BM,MATCH(yoy!$V$1,Data!$E$1:$BM$1,),)</f>
        <v>7.0801200108978155E-2</v>
      </c>
      <c r="W63" s="14"/>
      <c r="X63" s="14">
        <f>(VLOOKUP(B63,Data!$E:$BM,MATCH(yoy!$X$1,Data!$E$1:$BM$1,),)-VLOOKUP(A63,Data!$E:$BM,MATCH(yoy!$X$1,Data!$E$1:$BM$1,),))/VLOOKUP(A63,Data!$E:$BM,MATCH(yoy!$X$1,Data!$E$1:$BM$1,),)</f>
        <v>7.2741831950133201E-2</v>
      </c>
      <c r="Y63" s="14"/>
      <c r="Z63" s="14">
        <f>(VLOOKUP(B63,Data!$E:$BM,MATCH(yoy!$Z$1,Data!$E$1:$BM$1,),)-VLOOKUP(A63,Data!$E:$BM,MATCH(yoy!$Z$1,Data!$E$1:$BM$1,),))/VLOOKUP(A63,Data!$E:$BM,MATCH(yoy!$Z$1,Data!$E$1:$BM$1,),)</f>
        <v>7.7099559022934055E-2</v>
      </c>
      <c r="AA63" s="14"/>
    </row>
    <row r="64" spans="1:27" s="78" customFormat="1" x14ac:dyDescent="0.2">
      <c r="A64" s="20">
        <f t="shared" si="3"/>
        <v>43435</v>
      </c>
      <c r="B64" s="12">
        <v>43800</v>
      </c>
      <c r="C64" s="14">
        <f>(VLOOKUP(B64,Data!$E:$BM,MATCH(yoy!$C$1,Data!$E$1:$BM$1,),)-VLOOKUP(A64,Data!$E:$BM,MATCH(yoy!$C$1,Data!$E$1:$BM$1,),))/VLOOKUP(A64,Data!$E:$BM,MATCH(yoy!$C$1,Data!$E$1:$BM$1,),)</f>
        <v>5.4641124276877506E-2</v>
      </c>
      <c r="D64" s="14">
        <f>(VLOOKUP(B64,Data!$E:$BM,MATCH(yoy!$D$1,Data!$E$1:$BM$1,),)-VLOOKUP(A64,Data!$E:$BM,MATCH(yoy!$D$1,Data!$E$1:$BM$1,),))/VLOOKUP(A64,Data!$E:$BM,MATCH(yoy!$D$1,Data!$E$1:$BM$1,),)</f>
        <v>6.7358234121743743E-2</v>
      </c>
      <c r="E64" s="14"/>
      <c r="F64" s="14">
        <f>(VLOOKUP(B64,Data!$E:$BM,MATCH(yoy!$F$1,Data!$E$1:$BM$1,),)-VLOOKUP(A64,Data!$E:$BM,MATCH(yoy!$F$1,Data!$E$1:$BM$1,),))/VLOOKUP(A64,Data!$E:$BM,MATCH(yoy!$F$1,Data!$E$1:$BM$1,),)</f>
        <v>5.5222610832781877E-2</v>
      </c>
      <c r="G64" s="14">
        <f>(VLOOKUP(B64,Data!$E:$BM,MATCH(yoy!$G$1,Data!$E$1:$BM$1,),)-VLOOKUP(A64,Data!$E:$BM,MATCH(yoy!$G$1,Data!$E$1:$BM$1,),))/VLOOKUP(A64,Data!$E:$BM,MATCH(yoy!$G$1,Data!$E$1:$BM$1,),)</f>
        <v>2.2626911990889967E-2</v>
      </c>
      <c r="H64" s="14">
        <f>(VLOOKUP(B64,Data!$E:$BM,MATCH(yoy!$H$1,Data!$E$1:$BM$1,),)-VLOOKUP(A64,Data!$E:$BM,MATCH(yoy!$H$1,Data!$E$1:$BM$1,),))/VLOOKUP(A64,Data!$E:$BM,MATCH(yoy!$H$1,Data!$E$1:$BM$1,),)</f>
        <v>-2.6167044443806439E-3</v>
      </c>
      <c r="I64" s="14"/>
      <c r="J64" s="14"/>
      <c r="K64" s="14">
        <f>(VLOOKUP(B64,Data!$E:$BM,MATCH(yoy!$K$1,Data!$E$1:$BM$1,),)-VLOOKUP(A64,Data!$E:$BM,MATCH(yoy!$K$1,Data!$E$1:$BM$1,),))/VLOOKUP(A64,Data!$E:$BM,MATCH(yoy!$K$1,Data!$E$1:$BM$1,),)</f>
        <v>4.303847062512979E-2</v>
      </c>
      <c r="L64" s="14"/>
      <c r="M64" s="14"/>
      <c r="N64" s="14"/>
      <c r="O64" s="14"/>
      <c r="P64" s="14">
        <f>(VLOOKUP(B64,Data!$E:$BM,MATCH(yoy!$P$1,Data!$E$1:$BM$1,),)-VLOOKUP(A64,Data!$E:$BM,MATCH(yoy!$P$1,Data!$E$1:$BM$1,),))/VLOOKUP(A64,Data!$E:$BM,MATCH(yoy!$P$1,Data!$E$1:$BM$1,),)</f>
        <v>7.7907835224462693E-2</v>
      </c>
      <c r="Q64" s="14">
        <f>(VLOOKUP(B64,Data!$E:$BM,MATCH(yoy!$Q$1,Data!$E$1:$BM$1,),)-VLOOKUP(A64,Data!$E:$BM,MATCH(yoy!$Q$1,Data!$E$1:$BM$1,),))/VLOOKUP(A64,Data!$E:$BM,MATCH(yoy!$Q$1,Data!$E$1:$BM$1,),)</f>
        <v>2.5547594120926179E-2</v>
      </c>
      <c r="R64" s="14"/>
      <c r="S64" s="14">
        <f>(VLOOKUP(B64,Data!$E:$BM,MATCH(yoy!$S$1,Data!$E$1:$BM$1,),)-VLOOKUP(A64,Data!$E:$BM,MATCH(yoy!$S$1,Data!$E$1:$BM$1,),))/VLOOKUP(A64,Data!$E:$BM,MATCH(yoy!$S$1,Data!$E$1:$BM$1,),)</f>
        <v>8.3225710292560387E-2</v>
      </c>
      <c r="T64" s="14"/>
      <c r="U64" s="14"/>
      <c r="V64" s="14">
        <f>(VLOOKUP(B64,Data!$E:$BM,MATCH(yoy!$V$1,Data!$E$1:$BM$1,),)-VLOOKUP(A64,Data!$E:$BM,MATCH(yoy!$V$1,Data!$E$1:$BM$1,),))/VLOOKUP(A64,Data!$E:$BM,MATCH(yoy!$V$1,Data!$E$1:$BM$1,),)</f>
        <v>7.0480188794756149E-2</v>
      </c>
      <c r="W64" s="14"/>
      <c r="X64" s="14">
        <f>(VLOOKUP(B64,Data!$E:$BM,MATCH(yoy!$X$1,Data!$E$1:$BM$1,),)-VLOOKUP(A64,Data!$E:$BM,MATCH(yoy!$X$1,Data!$E$1:$BM$1,),))/VLOOKUP(A64,Data!$E:$BM,MATCH(yoy!$X$1,Data!$E$1:$BM$1,),)</f>
        <v>6.6463229901143381E-2</v>
      </c>
      <c r="Y64" s="14"/>
      <c r="Z64" s="14">
        <f>(VLOOKUP(B64,Data!$E:$BM,MATCH(yoy!$Z$1,Data!$E$1:$BM$1,),)-VLOOKUP(A64,Data!$E:$BM,MATCH(yoy!$Z$1,Data!$E$1:$BM$1,),))/VLOOKUP(A64,Data!$E:$BM,MATCH(yoy!$Z$1,Data!$E$1:$BM$1,),)</f>
        <v>7.2628239166755482E-2</v>
      </c>
      <c r="AA64" s="14"/>
    </row>
    <row r="65" spans="1:27" s="78" customFormat="1" x14ac:dyDescent="0.2">
      <c r="A65" s="20">
        <f t="shared" si="3"/>
        <v>43466</v>
      </c>
      <c r="B65" s="12">
        <v>43831</v>
      </c>
      <c r="C65" s="14">
        <f>(VLOOKUP(B65,Data!$E:$BM,MATCH(yoy!$C$1,Data!$E$1:$BM$1,),)-VLOOKUP(A65,Data!$E:$BM,MATCH(yoy!$C$1,Data!$E$1:$BM$1,),))/VLOOKUP(A65,Data!$E:$BM,MATCH(yoy!$C$1,Data!$E$1:$BM$1,),)</f>
        <v>5.6514240646138865E-2</v>
      </c>
      <c r="D65" s="14">
        <f>(VLOOKUP(B65,Data!$E:$BM,MATCH(yoy!$D$1,Data!$E$1:$BM$1,),)-VLOOKUP(A65,Data!$E:$BM,MATCH(yoy!$D$1,Data!$E$1:$BM$1,),))/VLOOKUP(A65,Data!$E:$BM,MATCH(yoy!$D$1,Data!$E$1:$BM$1,),)</f>
        <v>6.9562382976169151E-2</v>
      </c>
      <c r="E65" s="14"/>
      <c r="F65" s="14">
        <f>(VLOOKUP(B65,Data!$E:$BM,MATCH(yoy!$F$1,Data!$E$1:$BM$1,),)-VLOOKUP(A65,Data!$E:$BM,MATCH(yoy!$F$1,Data!$E$1:$BM$1,),))/VLOOKUP(A65,Data!$E:$BM,MATCH(yoy!$F$1,Data!$E$1:$BM$1,),)</f>
        <v>5.2421157593851034E-2</v>
      </c>
      <c r="G65" s="14">
        <f>(VLOOKUP(B65,Data!$E:$BM,MATCH(yoy!$G$1,Data!$E$1:$BM$1,),)-VLOOKUP(A65,Data!$E:$BM,MATCH(yoy!$G$1,Data!$E$1:$BM$1,),))/VLOOKUP(A65,Data!$E:$BM,MATCH(yoy!$G$1,Data!$E$1:$BM$1,),)</f>
        <v>2.3145271755519996E-2</v>
      </c>
      <c r="H65" s="14">
        <f>(VLOOKUP(B65,Data!$E:$BM,MATCH(yoy!$H$1,Data!$E$1:$BM$1,),)-VLOOKUP(A65,Data!$E:$BM,MATCH(yoy!$H$1,Data!$E$1:$BM$1,),))/VLOOKUP(A65,Data!$E:$BM,MATCH(yoy!$H$1,Data!$E$1:$BM$1,),)</f>
        <v>1.867031862696826E-3</v>
      </c>
      <c r="I65" s="14"/>
      <c r="J65" s="14"/>
      <c r="K65" s="14">
        <f>(VLOOKUP(B65,Data!$E:$BM,MATCH(yoy!$K$1,Data!$E$1:$BM$1,),)-VLOOKUP(A65,Data!$E:$BM,MATCH(yoy!$K$1,Data!$E$1:$BM$1,),))/VLOOKUP(A65,Data!$E:$BM,MATCH(yoy!$K$1,Data!$E$1:$BM$1,),)</f>
        <v>4.1025340019118228E-2</v>
      </c>
      <c r="L65" s="14"/>
      <c r="M65" s="14"/>
      <c r="N65" s="14"/>
      <c r="O65" s="14"/>
      <c r="P65" s="14">
        <f>(VLOOKUP(B65,Data!$E:$BM,MATCH(yoy!$P$1,Data!$E$1:$BM$1,),)-VLOOKUP(A65,Data!$E:$BM,MATCH(yoy!$P$1,Data!$E$1:$BM$1,),))/VLOOKUP(A65,Data!$E:$BM,MATCH(yoy!$P$1,Data!$E$1:$BM$1,),)</f>
        <v>8.4905449076888712E-2</v>
      </c>
      <c r="Q65" s="14">
        <f>(VLOOKUP(B65,Data!$E:$BM,MATCH(yoy!$Q$1,Data!$E$1:$BM$1,),)-VLOOKUP(A65,Data!$E:$BM,MATCH(yoy!$Q$1,Data!$E$1:$BM$1,),))/VLOOKUP(A65,Data!$E:$BM,MATCH(yoy!$Q$1,Data!$E$1:$BM$1,),)</f>
        <v>2.404987746498553E-2</v>
      </c>
      <c r="R65" s="14"/>
      <c r="S65" s="14">
        <f>(VLOOKUP(B65,Data!$E:$BM,MATCH(yoy!$S$1,Data!$E$1:$BM$1,),)-VLOOKUP(A65,Data!$E:$BM,MATCH(yoy!$S$1,Data!$E$1:$BM$1,),))/VLOOKUP(A65,Data!$E:$BM,MATCH(yoy!$S$1,Data!$E$1:$BM$1,),)</f>
        <v>-1</v>
      </c>
      <c r="T65" s="14"/>
      <c r="U65" s="14"/>
      <c r="V65" s="14">
        <f>(VLOOKUP(B65,Data!$E:$BM,MATCH(yoy!$V$1,Data!$E$1:$BM$1,),)-VLOOKUP(A65,Data!$E:$BM,MATCH(yoy!$V$1,Data!$E$1:$BM$1,),))/VLOOKUP(A65,Data!$E:$BM,MATCH(yoy!$V$1,Data!$E$1:$BM$1,),)</f>
        <v>-1</v>
      </c>
      <c r="W65" s="14"/>
      <c r="X65" s="14">
        <f>(VLOOKUP(B65,Data!$E:$BM,MATCH(yoy!$X$1,Data!$E$1:$BM$1,),)-VLOOKUP(A65,Data!$E:$BM,MATCH(yoy!$X$1,Data!$E$1:$BM$1,),))/VLOOKUP(A65,Data!$E:$BM,MATCH(yoy!$X$1,Data!$E$1:$BM$1,),)</f>
        <v>6.4952145669116432E-2</v>
      </c>
      <c r="Y65" s="14"/>
      <c r="Z65" s="14">
        <f>(VLOOKUP(B65,Data!$E:$BM,MATCH(yoy!$Z$1,Data!$E$1:$BM$1,),)-VLOOKUP(A65,Data!$E:$BM,MATCH(yoy!$Z$1,Data!$E$1:$BM$1,),))/VLOOKUP(A65,Data!$E:$BM,MATCH(yoy!$Z$1,Data!$E$1:$BM$1,),)</f>
        <v>7.4625614597440965E-2</v>
      </c>
      <c r="AA65" s="14"/>
    </row>
    <row r="66" spans="1:27" s="78" customFormat="1" x14ac:dyDescent="0.2">
      <c r="A66" s="20">
        <f t="shared" si="3"/>
        <v>43497</v>
      </c>
      <c r="B66" s="12">
        <v>43862</v>
      </c>
      <c r="C66" s="14">
        <f>(VLOOKUP(B66,Data!$E:$BM,MATCH(yoy!$C$1,Data!$E$1:$BM$1,),)-VLOOKUP(A66,Data!$E:$BM,MATCH(yoy!$C$1,Data!$E$1:$BM$1,),))/VLOOKUP(A66,Data!$E:$BM,MATCH(yoy!$C$1,Data!$E$1:$BM$1,),)</f>
        <v>6.0846167665648605E-2</v>
      </c>
      <c r="D66" s="14">
        <f>(VLOOKUP(B66,Data!$E:$BM,MATCH(yoy!$D$1,Data!$E$1:$BM$1,),)-VLOOKUP(A66,Data!$E:$BM,MATCH(yoy!$D$1,Data!$E$1:$BM$1,),))/VLOOKUP(A66,Data!$E:$BM,MATCH(yoy!$D$1,Data!$E$1:$BM$1,),)</f>
        <v>7.4077863993830442E-2</v>
      </c>
      <c r="E66" s="14"/>
      <c r="F66" s="14">
        <f>(VLOOKUP(B66,Data!$E:$BM,MATCH(yoy!$F$1,Data!$E$1:$BM$1,),)-VLOOKUP(A66,Data!$E:$BM,MATCH(yoy!$F$1,Data!$E$1:$BM$1,),))/VLOOKUP(A66,Data!$E:$BM,MATCH(yoy!$F$1,Data!$E$1:$BM$1,),)</f>
        <v>5.5488452514335325E-2</v>
      </c>
      <c r="G66" s="14">
        <f>(VLOOKUP(B66,Data!$E:$BM,MATCH(yoy!$G$1,Data!$E$1:$BM$1,),)-VLOOKUP(A66,Data!$E:$BM,MATCH(yoy!$G$1,Data!$E$1:$BM$1,),))/VLOOKUP(A66,Data!$E:$BM,MATCH(yoy!$G$1,Data!$E$1:$BM$1,),)</f>
        <v>2.4765864923850068E-2</v>
      </c>
      <c r="H66" s="14">
        <f>(VLOOKUP(B66,Data!$E:$BM,MATCH(yoy!$H$1,Data!$E$1:$BM$1,),)-VLOOKUP(A66,Data!$E:$BM,MATCH(yoy!$H$1,Data!$E$1:$BM$1,),))/VLOOKUP(A66,Data!$E:$BM,MATCH(yoy!$H$1,Data!$E$1:$BM$1,),)</f>
        <v>1.7680527270584782E-2</v>
      </c>
      <c r="I66" s="14"/>
      <c r="J66" s="14"/>
      <c r="K66" s="14">
        <f>(VLOOKUP(B66,Data!$E:$BM,MATCH(yoy!$K$1,Data!$E$1:$BM$1,),)-VLOOKUP(A66,Data!$E:$BM,MATCH(yoy!$K$1,Data!$E$1:$BM$1,),))/VLOOKUP(A66,Data!$E:$BM,MATCH(yoy!$K$1,Data!$E$1:$BM$1,),)</f>
        <v>4.2796165629543928E-2</v>
      </c>
      <c r="L66" s="14"/>
      <c r="M66" s="14"/>
      <c r="N66" s="14"/>
      <c r="O66" s="14"/>
      <c r="P66" s="14">
        <f>(VLOOKUP(B66,Data!$E:$BM,MATCH(yoy!$P$1,Data!$E$1:$BM$1,),)-VLOOKUP(A66,Data!$E:$BM,MATCH(yoy!$P$1,Data!$E$1:$BM$1,),))/VLOOKUP(A66,Data!$E:$BM,MATCH(yoy!$P$1,Data!$E$1:$BM$1,),)</f>
        <v>8.6253019204117862E-2</v>
      </c>
      <c r="Q66" s="14">
        <f>(VLOOKUP(B66,Data!$E:$BM,MATCH(yoy!$Q$1,Data!$E$1:$BM$1,),)-VLOOKUP(A66,Data!$E:$BM,MATCH(yoy!$Q$1,Data!$E$1:$BM$1,),))/VLOOKUP(A66,Data!$E:$BM,MATCH(yoy!$Q$1,Data!$E$1:$BM$1,),)</f>
        <v>2.2707684790072104E-2</v>
      </c>
      <c r="R66" s="14"/>
      <c r="S66" s="14">
        <f>(VLOOKUP(B66,Data!$E:$BM,MATCH(yoy!$S$1,Data!$E$1:$BM$1,),)-VLOOKUP(A66,Data!$E:$BM,MATCH(yoy!$S$1,Data!$E$1:$BM$1,),))/VLOOKUP(A66,Data!$E:$BM,MATCH(yoy!$S$1,Data!$E$1:$BM$1,),)</f>
        <v>-1</v>
      </c>
      <c r="T66" s="14"/>
      <c r="U66" s="14"/>
      <c r="V66" s="14">
        <f>(VLOOKUP(B66,Data!$E:$BM,MATCH(yoy!$V$1,Data!$E$1:$BM$1,),)-VLOOKUP(A66,Data!$E:$BM,MATCH(yoy!$V$1,Data!$E$1:$BM$1,),))/VLOOKUP(A66,Data!$E:$BM,MATCH(yoy!$V$1,Data!$E$1:$BM$1,),)</f>
        <v>-1</v>
      </c>
      <c r="W66" s="14"/>
      <c r="X66" s="14">
        <f>(VLOOKUP(B66,Data!$E:$BM,MATCH(yoy!$X$1,Data!$E$1:$BM$1,),)-VLOOKUP(A66,Data!$E:$BM,MATCH(yoy!$X$1,Data!$E$1:$BM$1,),))/VLOOKUP(A66,Data!$E:$BM,MATCH(yoy!$X$1,Data!$E$1:$BM$1,),)</f>
        <v>7.3737658176310353E-2</v>
      </c>
      <c r="Y66" s="14"/>
      <c r="Z66" s="14">
        <f>(VLOOKUP(B66,Data!$E:$BM,MATCH(yoy!$Z$1,Data!$E$1:$BM$1,),)-VLOOKUP(A66,Data!$E:$BM,MATCH(yoy!$Z$1,Data!$E$1:$BM$1,),))/VLOOKUP(A66,Data!$E:$BM,MATCH(yoy!$Z$1,Data!$E$1:$BM$1,),)</f>
        <v>7.8851886643062169E-2</v>
      </c>
      <c r="AA66" s="14"/>
    </row>
    <row r="67" spans="1:27" s="78" customFormat="1" x14ac:dyDescent="0.2"/>
    <row r="68" spans="1:27" s="78" customFormat="1" x14ac:dyDescent="0.2"/>
    <row r="69" spans="1:27" s="78" customFormat="1" x14ac:dyDescent="0.2"/>
    <row r="70" spans="1:27" s="78" customFormat="1" x14ac:dyDescent="0.2"/>
    <row r="71" spans="1:27" s="78" customFormat="1" x14ac:dyDescent="0.2"/>
    <row r="72" spans="1:27" s="78" customFormat="1" x14ac:dyDescent="0.2"/>
    <row r="73" spans="1:27" s="78" customFormat="1" x14ac:dyDescent="0.2"/>
    <row r="74" spans="1:27" s="78" customFormat="1" x14ac:dyDescent="0.2"/>
    <row r="75" spans="1:27" s="78" customFormat="1" x14ac:dyDescent="0.2"/>
    <row r="76" spans="1:27" s="78" customFormat="1" x14ac:dyDescent="0.2"/>
    <row r="77" spans="1:27" s="78" customFormat="1" x14ac:dyDescent="0.2"/>
    <row r="78" spans="1:27" s="78" customFormat="1" x14ac:dyDescent="0.2"/>
    <row r="79" spans="1:27" s="78" customFormat="1" x14ac:dyDescent="0.2"/>
    <row r="80" spans="1:27" s="78" customFormat="1" x14ac:dyDescent="0.2"/>
    <row r="81" s="78" customFormat="1" x14ac:dyDescent="0.2"/>
    <row r="82" s="78" customFormat="1" x14ac:dyDescent="0.2"/>
    <row r="83" s="78" customFormat="1" x14ac:dyDescent="0.2"/>
    <row r="84" s="78" customFormat="1" x14ac:dyDescent="0.2"/>
    <row r="85" s="78" customFormat="1" x14ac:dyDescent="0.2"/>
    <row r="86" s="78" customFormat="1" x14ac:dyDescent="0.2"/>
    <row r="87" s="78" customFormat="1" x14ac:dyDescent="0.2"/>
    <row r="88" s="78" customFormat="1" x14ac:dyDescent="0.2"/>
    <row r="89" s="78" customFormat="1" x14ac:dyDescent="0.2"/>
    <row r="90" s="78" customFormat="1" x14ac:dyDescent="0.2"/>
    <row r="91" s="78" customFormat="1" x14ac:dyDescent="0.2"/>
    <row r="92" s="78" customFormat="1" x14ac:dyDescent="0.2"/>
    <row r="93" s="78" customFormat="1" x14ac:dyDescent="0.2"/>
    <row r="94" s="78" customFormat="1" x14ac:dyDescent="0.2"/>
    <row r="95" s="78" customFormat="1" x14ac:dyDescent="0.2"/>
    <row r="96" s="78" customFormat="1" x14ac:dyDescent="0.2"/>
    <row r="97" s="78" customFormat="1" x14ac:dyDescent="0.2"/>
    <row r="98" s="78" customFormat="1" x14ac:dyDescent="0.2"/>
    <row r="99" s="78" customFormat="1" x14ac:dyDescent="0.2"/>
    <row r="100" s="78" customFormat="1" x14ac:dyDescent="0.2"/>
    <row r="101" s="78" customFormat="1" x14ac:dyDescent="0.2"/>
    <row r="102" s="78" customFormat="1" x14ac:dyDescent="0.2"/>
    <row r="103" s="78" customFormat="1" x14ac:dyDescent="0.2"/>
    <row r="104" s="78" customFormat="1" x14ac:dyDescent="0.2"/>
    <row r="105" s="78" customFormat="1" x14ac:dyDescent="0.2"/>
    <row r="106" s="78" customFormat="1" x14ac:dyDescent="0.2"/>
    <row r="107" s="78" customFormat="1" x14ac:dyDescent="0.2"/>
    <row r="108" s="78" customFormat="1" x14ac:dyDescent="0.2"/>
    <row r="109" s="78" customFormat="1" x14ac:dyDescent="0.2"/>
    <row r="110" s="78" customFormat="1" x14ac:dyDescent="0.2"/>
    <row r="111" s="78" customFormat="1" x14ac:dyDescent="0.2"/>
    <row r="112" s="78" customFormat="1" x14ac:dyDescent="0.2"/>
    <row r="113" s="78" customFormat="1" x14ac:dyDescent="0.2"/>
    <row r="114" s="78" customFormat="1" x14ac:dyDescent="0.2"/>
    <row r="115" s="78" customFormat="1" x14ac:dyDescent="0.2"/>
    <row r="116" s="78" customFormat="1" x14ac:dyDescent="0.2"/>
    <row r="117" s="78" customFormat="1" x14ac:dyDescent="0.2"/>
    <row r="118" s="78" customFormat="1" x14ac:dyDescent="0.2"/>
    <row r="119" s="78" customFormat="1" x14ac:dyDescent="0.2"/>
    <row r="120" s="78" customFormat="1" x14ac:dyDescent="0.2"/>
    <row r="121" s="78" customFormat="1" x14ac:dyDescent="0.2"/>
    <row r="122" s="78" customFormat="1" x14ac:dyDescent="0.2"/>
    <row r="123" s="78" customFormat="1" x14ac:dyDescent="0.2"/>
    <row r="124" s="78" customFormat="1" x14ac:dyDescent="0.2"/>
    <row r="125" s="78" customFormat="1" x14ac:dyDescent="0.2"/>
    <row r="126" s="78" customFormat="1" x14ac:dyDescent="0.2"/>
    <row r="127" s="78" customFormat="1" x14ac:dyDescent="0.2"/>
    <row r="128" s="78" customFormat="1" x14ac:dyDescent="0.2"/>
    <row r="129" s="78" customFormat="1" x14ac:dyDescent="0.2"/>
    <row r="130" s="78" customFormat="1" x14ac:dyDescent="0.2"/>
    <row r="131" s="78" customFormat="1" x14ac:dyDescent="0.2"/>
    <row r="132" s="78" customFormat="1" x14ac:dyDescent="0.2"/>
    <row r="133" s="78" customFormat="1" x14ac:dyDescent="0.2"/>
    <row r="134" s="78" customFormat="1" x14ac:dyDescent="0.2"/>
    <row r="135" s="78" customFormat="1" x14ac:dyDescent="0.2"/>
    <row r="136" s="78" customFormat="1" x14ac:dyDescent="0.2"/>
    <row r="137" s="78" customFormat="1" x14ac:dyDescent="0.2"/>
    <row r="138" s="78" customFormat="1" x14ac:dyDescent="0.2"/>
    <row r="139" s="78" customFormat="1" x14ac:dyDescent="0.2"/>
    <row r="140" s="78" customFormat="1" x14ac:dyDescent="0.2"/>
    <row r="141" s="78" customFormat="1" x14ac:dyDescent="0.2"/>
    <row r="142" s="78" customFormat="1" x14ac:dyDescent="0.2"/>
    <row r="143" s="78" customFormat="1" x14ac:dyDescent="0.2"/>
    <row r="144" s="78" customFormat="1" x14ac:dyDescent="0.2"/>
    <row r="145" s="78" customFormat="1" x14ac:dyDescent="0.2"/>
    <row r="146" s="78" customFormat="1" x14ac:dyDescent="0.2"/>
    <row r="147" s="78" customFormat="1" x14ac:dyDescent="0.2"/>
    <row r="148" s="78" customFormat="1" x14ac:dyDescent="0.2"/>
    <row r="149" s="78" customFormat="1" x14ac:dyDescent="0.2"/>
    <row r="150" s="78" customFormat="1" x14ac:dyDescent="0.2"/>
    <row r="151" s="78" customFormat="1" x14ac:dyDescent="0.2"/>
    <row r="152" s="78" customFormat="1" x14ac:dyDescent="0.2"/>
    <row r="153" s="78" customFormat="1" x14ac:dyDescent="0.2"/>
    <row r="154" s="78" customFormat="1" x14ac:dyDescent="0.2"/>
    <row r="155" s="78" customFormat="1" x14ac:dyDescent="0.2"/>
    <row r="156" s="78" customFormat="1" x14ac:dyDescent="0.2"/>
    <row r="157" s="78" customFormat="1" x14ac:dyDescent="0.2"/>
    <row r="158" s="78" customFormat="1" x14ac:dyDescent="0.2"/>
    <row r="159" s="78" customFormat="1" x14ac:dyDescent="0.2"/>
    <row r="160" s="78" customFormat="1" x14ac:dyDescent="0.2"/>
    <row r="161" s="78" customFormat="1" x14ac:dyDescent="0.2"/>
    <row r="162" s="78" customFormat="1" x14ac:dyDescent="0.2"/>
    <row r="163" s="78" customFormat="1" x14ac:dyDescent="0.2"/>
    <row r="164" s="78" customFormat="1" x14ac:dyDescent="0.2"/>
    <row r="165" s="78" customFormat="1" x14ac:dyDescent="0.2"/>
    <row r="166" s="78" customFormat="1" x14ac:dyDescent="0.2"/>
    <row r="167" s="78" customFormat="1" x14ac:dyDescent="0.2"/>
    <row r="168" s="78" customFormat="1" x14ac:dyDescent="0.2"/>
    <row r="169" s="78" customFormat="1" x14ac:dyDescent="0.2"/>
    <row r="170" s="78" customFormat="1" x14ac:dyDescent="0.2"/>
    <row r="171" s="78" customFormat="1" x14ac:dyDescent="0.2"/>
    <row r="172" s="78" customFormat="1" x14ac:dyDescent="0.2"/>
    <row r="173" s="78" customFormat="1" x14ac:dyDescent="0.2"/>
    <row r="174" s="78" customFormat="1" x14ac:dyDescent="0.2"/>
    <row r="175" s="78" customFormat="1" x14ac:dyDescent="0.2"/>
    <row r="176" s="78" customFormat="1" x14ac:dyDescent="0.2"/>
    <row r="177" s="78" customFormat="1" x14ac:dyDescent="0.2"/>
    <row r="178" s="78" customFormat="1" x14ac:dyDescent="0.2"/>
    <row r="179" s="78" customFormat="1" x14ac:dyDescent="0.2"/>
    <row r="180" s="78" customFormat="1" x14ac:dyDescent="0.2"/>
    <row r="181" s="78" customFormat="1" x14ac:dyDescent="0.2"/>
    <row r="182" s="78" customFormat="1" x14ac:dyDescent="0.2"/>
    <row r="183" s="78" customFormat="1" x14ac:dyDescent="0.2"/>
    <row r="184" s="78" customFormat="1" x14ac:dyDescent="0.2"/>
    <row r="185" s="78" customFormat="1" x14ac:dyDescent="0.2"/>
    <row r="186" s="78" customFormat="1" x14ac:dyDescent="0.2"/>
    <row r="187" s="78" customFormat="1" x14ac:dyDescent="0.2"/>
    <row r="188" s="78" customFormat="1" x14ac:dyDescent="0.2"/>
    <row r="189" s="78" customFormat="1" x14ac:dyDescent="0.2"/>
    <row r="190" s="78" customFormat="1" x14ac:dyDescent="0.2"/>
    <row r="191" s="78" customFormat="1" x14ac:dyDescent="0.2"/>
    <row r="192" s="78" customFormat="1" x14ac:dyDescent="0.2"/>
    <row r="193" s="78" customFormat="1" x14ac:dyDescent="0.2"/>
    <row r="194" s="78" customFormat="1" x14ac:dyDescent="0.2"/>
    <row r="195" s="78" customFormat="1" x14ac:dyDescent="0.2"/>
    <row r="196" s="78" customFormat="1" x14ac:dyDescent="0.2"/>
    <row r="197" s="78" customFormat="1" x14ac:dyDescent="0.2"/>
    <row r="198" s="78" customFormat="1" x14ac:dyDescent="0.2"/>
    <row r="199" s="78" customFormat="1" x14ac:dyDescent="0.2"/>
    <row r="200" s="78" customFormat="1" x14ac:dyDescent="0.2"/>
    <row r="201" s="78" customFormat="1" x14ac:dyDescent="0.2"/>
    <row r="202" s="78" customFormat="1" x14ac:dyDescent="0.2"/>
    <row r="203" s="78" customFormat="1" x14ac:dyDescent="0.2"/>
    <row r="204" s="78" customFormat="1" x14ac:dyDescent="0.2"/>
    <row r="205" s="78" customFormat="1" x14ac:dyDescent="0.2"/>
    <row r="206" s="78" customFormat="1" x14ac:dyDescent="0.2"/>
    <row r="207" s="78" customFormat="1" x14ac:dyDescent="0.2"/>
    <row r="208" s="78" customFormat="1" x14ac:dyDescent="0.2"/>
    <row r="209" s="78" customFormat="1" x14ac:dyDescent="0.2"/>
    <row r="210" s="78" customFormat="1" x14ac:dyDescent="0.2"/>
    <row r="211" s="78" customFormat="1" x14ac:dyDescent="0.2"/>
    <row r="212" s="78" customFormat="1" x14ac:dyDescent="0.2"/>
    <row r="213" s="78" customFormat="1" x14ac:dyDescent="0.2"/>
    <row r="214" s="78" customFormat="1" x14ac:dyDescent="0.2"/>
    <row r="215" s="78" customFormat="1" x14ac:dyDescent="0.2"/>
    <row r="216" s="78" customFormat="1" x14ac:dyDescent="0.2"/>
    <row r="217" s="78" customFormat="1" x14ac:dyDescent="0.2"/>
    <row r="218" s="78" customFormat="1" x14ac:dyDescent="0.2"/>
    <row r="219" s="78" customFormat="1" x14ac:dyDescent="0.2"/>
    <row r="220" s="78" customFormat="1" x14ac:dyDescent="0.2"/>
    <row r="221" s="78" customFormat="1" x14ac:dyDescent="0.2"/>
    <row r="222" s="78" customFormat="1" x14ac:dyDescent="0.2"/>
    <row r="223" s="78" customFormat="1" x14ac:dyDescent="0.2"/>
    <row r="224" s="78" customFormat="1" x14ac:dyDescent="0.2"/>
    <row r="225" s="78" customFormat="1" x14ac:dyDescent="0.2"/>
    <row r="226" s="78" customFormat="1" x14ac:dyDescent="0.2"/>
    <row r="227" s="78" customFormat="1" x14ac:dyDescent="0.2"/>
    <row r="228" s="78" customFormat="1" x14ac:dyDescent="0.2"/>
    <row r="229" s="78" customFormat="1" x14ac:dyDescent="0.2"/>
    <row r="230" s="78" customFormat="1" x14ac:dyDescent="0.2"/>
    <row r="231" s="78" customFormat="1" x14ac:dyDescent="0.2"/>
    <row r="232" s="78" customFormat="1" x14ac:dyDescent="0.2"/>
    <row r="233" s="78" customFormat="1" x14ac:dyDescent="0.2"/>
    <row r="234" s="78" customFormat="1" x14ac:dyDescent="0.2"/>
    <row r="235" s="78" customFormat="1" x14ac:dyDescent="0.2"/>
    <row r="236" s="78" customFormat="1" x14ac:dyDescent="0.2"/>
    <row r="237" s="78" customFormat="1" x14ac:dyDescent="0.2"/>
    <row r="238" s="78" customFormat="1" x14ac:dyDescent="0.2"/>
    <row r="239" s="78" customFormat="1" x14ac:dyDescent="0.2"/>
    <row r="240" s="78" customFormat="1" x14ac:dyDescent="0.2"/>
    <row r="241" s="78" customFormat="1" x14ac:dyDescent="0.2"/>
    <row r="242" s="78" customFormat="1" x14ac:dyDescent="0.2"/>
    <row r="243" s="78" customFormat="1" x14ac:dyDescent="0.2"/>
    <row r="244" s="78" customFormat="1" x14ac:dyDescent="0.2"/>
    <row r="245" s="78" customFormat="1" x14ac:dyDescent="0.2"/>
    <row r="246" s="78" customFormat="1" x14ac:dyDescent="0.2"/>
    <row r="247" s="78" customFormat="1" x14ac:dyDescent="0.2"/>
    <row r="248" s="78" customFormat="1" x14ac:dyDescent="0.2"/>
    <row r="249" s="78" customFormat="1" x14ac:dyDescent="0.2"/>
    <row r="250" s="78" customFormat="1" x14ac:dyDescent="0.2"/>
    <row r="251" s="78" customFormat="1" x14ac:dyDescent="0.2"/>
    <row r="252" s="78" customFormat="1" x14ac:dyDescent="0.2"/>
    <row r="253" s="78" customFormat="1" x14ac:dyDescent="0.2"/>
    <row r="254" s="78" customFormat="1" x14ac:dyDescent="0.2"/>
    <row r="255" s="78" customFormat="1" x14ac:dyDescent="0.2"/>
    <row r="256" s="78" customFormat="1" x14ac:dyDescent="0.2"/>
    <row r="257" s="78" customFormat="1" x14ac:dyDescent="0.2"/>
    <row r="258" s="78" customFormat="1" x14ac:dyDescent="0.2"/>
    <row r="259" s="78" customFormat="1" x14ac:dyDescent="0.2"/>
    <row r="260" s="78" customFormat="1" x14ac:dyDescent="0.2"/>
    <row r="261" s="78" customFormat="1" x14ac:dyDescent="0.2"/>
    <row r="262" s="78" customFormat="1" x14ac:dyDescent="0.2"/>
    <row r="263" s="78" customFormat="1" x14ac:dyDescent="0.2"/>
    <row r="264" s="78" customFormat="1" x14ac:dyDescent="0.2"/>
    <row r="265" s="78" customFormat="1" x14ac:dyDescent="0.2"/>
    <row r="266" s="78" customFormat="1" x14ac:dyDescent="0.2"/>
    <row r="267" s="78" customFormat="1" x14ac:dyDescent="0.2"/>
    <row r="268" s="78" customFormat="1" x14ac:dyDescent="0.2"/>
    <row r="269" s="78" customFormat="1" x14ac:dyDescent="0.2"/>
    <row r="270" s="78" customFormat="1" x14ac:dyDescent="0.2"/>
    <row r="271" s="78" customFormat="1" x14ac:dyDescent="0.2"/>
    <row r="272" s="78" customFormat="1" x14ac:dyDescent="0.2"/>
    <row r="273" s="78" customFormat="1" x14ac:dyDescent="0.2"/>
    <row r="274" s="78" customFormat="1" x14ac:dyDescent="0.2"/>
    <row r="275" s="78" customFormat="1" x14ac:dyDescent="0.2"/>
    <row r="276" s="78" customFormat="1" x14ac:dyDescent="0.2"/>
    <row r="277" s="78" customFormat="1" x14ac:dyDescent="0.2"/>
    <row r="278" s="78" customFormat="1" x14ac:dyDescent="0.2"/>
    <row r="279" s="78" customFormat="1" x14ac:dyDescent="0.2"/>
    <row r="280" s="78" customFormat="1" x14ac:dyDescent="0.2"/>
    <row r="281" s="78" customFormat="1" x14ac:dyDescent="0.2"/>
    <row r="282" s="78" customFormat="1" x14ac:dyDescent="0.2"/>
    <row r="283" s="78" customFormat="1" x14ac:dyDescent="0.2"/>
    <row r="284" s="78" customFormat="1" x14ac:dyDescent="0.2"/>
    <row r="285" s="78" customFormat="1" x14ac:dyDescent="0.2"/>
    <row r="286" s="78" customFormat="1" x14ac:dyDescent="0.2"/>
    <row r="287" s="78" customFormat="1" x14ac:dyDescent="0.2"/>
    <row r="288" s="78" customFormat="1" x14ac:dyDescent="0.2"/>
    <row r="289" s="78" customFormat="1" x14ac:dyDescent="0.2"/>
    <row r="290" s="78" customFormat="1" x14ac:dyDescent="0.2"/>
    <row r="291" s="78" customFormat="1" x14ac:dyDescent="0.2"/>
    <row r="292" s="78" customFormat="1" x14ac:dyDescent="0.2"/>
    <row r="293" s="78" customFormat="1" x14ac:dyDescent="0.2"/>
    <row r="294" s="78" customFormat="1" x14ac:dyDescent="0.2"/>
    <row r="295" s="78" customFormat="1" x14ac:dyDescent="0.2"/>
    <row r="296" s="78" customFormat="1" x14ac:dyDescent="0.2"/>
    <row r="297" s="78" customFormat="1" x14ac:dyDescent="0.2"/>
    <row r="298" s="78" customFormat="1" x14ac:dyDescent="0.2"/>
    <row r="299" s="78" customFormat="1" x14ac:dyDescent="0.2"/>
    <row r="300" s="78" customFormat="1" x14ac:dyDescent="0.2"/>
    <row r="301" s="78" customFormat="1" x14ac:dyDescent="0.2"/>
    <row r="302" s="78" customFormat="1" x14ac:dyDescent="0.2"/>
    <row r="303" s="78" customFormat="1" x14ac:dyDescent="0.2"/>
    <row r="304" s="78" customFormat="1" x14ac:dyDescent="0.2"/>
    <row r="305" s="78" customFormat="1" x14ac:dyDescent="0.2"/>
    <row r="306" s="78" customFormat="1" x14ac:dyDescent="0.2"/>
    <row r="307" s="78" customFormat="1" x14ac:dyDescent="0.2"/>
    <row r="308" s="78" customFormat="1" x14ac:dyDescent="0.2"/>
    <row r="309" s="78" customFormat="1" x14ac:dyDescent="0.2"/>
    <row r="310" s="78" customFormat="1" x14ac:dyDescent="0.2"/>
    <row r="311" s="78" customFormat="1" x14ac:dyDescent="0.2"/>
    <row r="312" s="78" customFormat="1" x14ac:dyDescent="0.2"/>
    <row r="313" s="78" customFormat="1" x14ac:dyDescent="0.2"/>
    <row r="314" s="78" customFormat="1" x14ac:dyDescent="0.2"/>
    <row r="315" s="78" customFormat="1" x14ac:dyDescent="0.2"/>
    <row r="316" s="78" customFormat="1" x14ac:dyDescent="0.2"/>
    <row r="317" s="78" customFormat="1" x14ac:dyDescent="0.2"/>
    <row r="318" s="78" customFormat="1" x14ac:dyDescent="0.2"/>
    <row r="319" s="78" customFormat="1" x14ac:dyDescent="0.2"/>
    <row r="320" s="78" customFormat="1" x14ac:dyDescent="0.2"/>
    <row r="321" s="78" customFormat="1" x14ac:dyDescent="0.2"/>
    <row r="322" s="78" customFormat="1" x14ac:dyDescent="0.2"/>
    <row r="323" s="78" customFormat="1" x14ac:dyDescent="0.2"/>
    <row r="324" s="78" customFormat="1" x14ac:dyDescent="0.2"/>
    <row r="325" s="78" customFormat="1" x14ac:dyDescent="0.2"/>
    <row r="326" s="78" customFormat="1" x14ac:dyDescent="0.2"/>
    <row r="327" s="78" customFormat="1" x14ac:dyDescent="0.2"/>
    <row r="328" s="78" customFormat="1" x14ac:dyDescent="0.2"/>
    <row r="329" s="78" customFormat="1" x14ac:dyDescent="0.2"/>
    <row r="330" s="78" customFormat="1" x14ac:dyDescent="0.2"/>
    <row r="331" s="78" customFormat="1" x14ac:dyDescent="0.2"/>
    <row r="332" s="78" customFormat="1" x14ac:dyDescent="0.2"/>
    <row r="333" s="78" customFormat="1" x14ac:dyDescent="0.2"/>
    <row r="334" s="78" customFormat="1" x14ac:dyDescent="0.2"/>
    <row r="335" s="78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40" zoomScaleNormal="14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W49" sqref="W49"/>
    </sheetView>
  </sheetViews>
  <sheetFormatPr baseColWidth="10" defaultColWidth="8.83203125" defaultRowHeight="15" x14ac:dyDescent="0.2"/>
  <cols>
    <col min="1" max="1" width="10.6640625" style="78" bestFit="1" customWidth="1"/>
    <col min="2" max="2" width="13.6640625" style="77" customWidth="1"/>
    <col min="3" max="22" width="6.1640625" style="77" customWidth="1"/>
    <col min="23" max="23" width="5.6640625" style="77" customWidth="1"/>
    <col min="24" max="27" width="6.1640625" style="77" customWidth="1"/>
    <col min="28" max="28" width="9.1640625" style="78" customWidth="1"/>
    <col min="29" max="29" width="12.33203125" style="78" customWidth="1"/>
    <col min="30" max="30" width="9.1640625" style="78" customWidth="1"/>
    <col min="31" max="31" width="10.6640625" style="78" customWidth="1"/>
    <col min="32" max="32" width="10.6640625" style="78" bestFit="1" customWidth="1"/>
    <col min="33" max="73" width="9.1640625" style="78" customWidth="1"/>
  </cols>
  <sheetData>
    <row r="1" spans="2:35" s="78" customFormat="1" x14ac:dyDescent="0.2">
      <c r="C1" s="78" t="s">
        <v>121</v>
      </c>
      <c r="D1" s="78" t="s">
        <v>131</v>
      </c>
      <c r="E1" s="78" t="s">
        <v>90</v>
      </c>
      <c r="F1" s="78" t="s">
        <v>96</v>
      </c>
      <c r="G1" s="78" t="s">
        <v>113</v>
      </c>
      <c r="H1" s="78" t="s">
        <v>104</v>
      </c>
      <c r="I1" s="78" t="s">
        <v>88</v>
      </c>
      <c r="J1" s="78" t="s">
        <v>129</v>
      </c>
      <c r="K1" s="78" t="s">
        <v>120</v>
      </c>
      <c r="L1" s="78" t="s">
        <v>86</v>
      </c>
      <c r="M1" s="78" t="s">
        <v>118</v>
      </c>
      <c r="N1" s="78" t="s">
        <v>125</v>
      </c>
      <c r="O1" s="78" t="s">
        <v>108</v>
      </c>
      <c r="P1" s="78" t="s">
        <v>87</v>
      </c>
      <c r="Q1" s="78" t="s">
        <v>84</v>
      </c>
      <c r="R1" s="78" t="s">
        <v>107</v>
      </c>
      <c r="S1" s="78" t="s">
        <v>114</v>
      </c>
      <c r="T1" s="78" t="s">
        <v>89</v>
      </c>
      <c r="U1" s="78" t="s">
        <v>95</v>
      </c>
      <c r="V1" s="78" t="s">
        <v>111</v>
      </c>
      <c r="W1" s="78" t="s">
        <v>130</v>
      </c>
      <c r="X1" s="78" t="s">
        <v>132</v>
      </c>
      <c r="Y1" s="78" t="s">
        <v>133</v>
      </c>
      <c r="Z1" s="78" t="s">
        <v>93</v>
      </c>
      <c r="AA1" s="78" t="s">
        <v>123</v>
      </c>
      <c r="AI1" s="78" t="s">
        <v>1013</v>
      </c>
    </row>
    <row r="2" spans="2:35" ht="90" customHeight="1" x14ac:dyDescent="0.2">
      <c r="B2" s="2"/>
      <c r="C2" s="3" t="s">
        <v>1014</v>
      </c>
      <c r="D2" s="4" t="s">
        <v>1015</v>
      </c>
      <c r="E2" s="5" t="s">
        <v>1016</v>
      </c>
      <c r="F2" s="6" t="s">
        <v>1017</v>
      </c>
      <c r="G2" s="7" t="s">
        <v>1018</v>
      </c>
      <c r="H2" s="8" t="s">
        <v>1019</v>
      </c>
      <c r="I2" s="8" t="s">
        <v>65</v>
      </c>
      <c r="J2" s="8" t="s">
        <v>1020</v>
      </c>
      <c r="K2" s="8" t="s">
        <v>1021</v>
      </c>
      <c r="L2" s="8" t="s">
        <v>13</v>
      </c>
      <c r="M2" s="8" t="s">
        <v>53</v>
      </c>
      <c r="N2" s="8" t="s">
        <v>59</v>
      </c>
      <c r="O2" s="8" t="s">
        <v>37</v>
      </c>
      <c r="P2" s="8" t="s">
        <v>15</v>
      </c>
      <c r="Q2" s="8" t="s">
        <v>1022</v>
      </c>
      <c r="R2" s="9" t="s">
        <v>41</v>
      </c>
      <c r="S2" s="8" t="s">
        <v>1023</v>
      </c>
      <c r="T2" s="8" t="s">
        <v>1024</v>
      </c>
      <c r="U2" s="8" t="s">
        <v>1025</v>
      </c>
      <c r="V2" s="8" t="s">
        <v>1026</v>
      </c>
      <c r="W2" s="8" t="s">
        <v>66</v>
      </c>
      <c r="X2" s="8" t="s">
        <v>62</v>
      </c>
      <c r="Y2" s="8" t="s">
        <v>1027</v>
      </c>
      <c r="Z2" s="8" t="s">
        <v>1028</v>
      </c>
      <c r="AA2" s="8" t="s">
        <v>1029</v>
      </c>
    </row>
    <row r="3" spans="2:35" x14ac:dyDescent="0.2">
      <c r="B3" s="2" t="s">
        <v>1030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1031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1032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8" t="s">
        <v>1033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66" si="3">DATE(YEAR(B20),MONTH(B20)-1,DAY(B20))</f>
        <v>42430</v>
      </c>
      <c r="B20" s="12">
        <v>42461</v>
      </c>
      <c r="C20" s="14">
        <f>(((VLOOKUP(B20,Data!$E:$BM,MATCH(yoy!$C$1,Data!$E$1:$BM$1,),)-VLOOKUP(A20,Data!$E:$BM,MATCH(yoy!$C$1,Data!$E$1:$BM$1,),))/VLOOKUP(A20,Data!$E:$BM,MATCH(yoy!$C$1,Data!$E$1:$BM$1,),))+1)^12-1</f>
        <v>7.3624522760010747E-2</v>
      </c>
      <c r="D20" s="14">
        <f>(((VLOOKUP(B20,Data!$E:$BM,MATCH(yoy!$D$1,Data!$E$1:$BM$1,),)-VLOOKUP(A20,Data!$E:$BM,MATCH(yoy!$D$1,Data!$E$1:$BM$1,),))/VLOOKUP(A20,Data!$E:$BM,MATCH(yoy!$D$1,Data!$E$1:$BM$1,),))+1)^12-1</f>
        <v>8.8457734426966361E-2</v>
      </c>
      <c r="E20" s="14">
        <f>(((VLOOKUP(B20,Data!$E:$BM,MATCH(yoy!$E$1,Data!$E$1:$BM$1,),)-VLOOKUP(A20,Data!$E:$BM,MATCH(yoy!$E$1,Data!$E$1:$BM$1,),))/VLOOKUP(A20,Data!$E:$BM,MATCH(yoy!$E$1,Data!$E$1:$BM$1,),))+1)^12-1</f>
        <v>0.10391852075605423</v>
      </c>
      <c r="F20" s="14">
        <f>(((VLOOKUP(B20,Data!$E:$BM,MATCH(yoy!$F$1,Data!$E$1:$BM$1,),)-VLOOKUP(A20,Data!$E:$BM,MATCH(yoy!$F$1,Data!$E$1:$BM$1,),))/VLOOKUP(A20,Data!$E:$BM,MATCH(yoy!$F$1,Data!$E$1:$BM$1,),))+1)^12-1</f>
        <v>7.1964722232323863E-2</v>
      </c>
      <c r="G20" s="14">
        <f>(((VLOOKUP(B20,Data!$E:$BM,MATCH(yoy!$G$1,Data!$E$1:$BM$1,),)-VLOOKUP(A20,Data!$E:$BM,MATCH(yoy!$G$1,Data!$E$1:$BM$1,),))/VLOOKUP(A20,Data!$E:$BM,MATCH(yoy!$G$1,Data!$E$1:$BM$1,),))+1)^12-1</f>
        <v>4.5156880351149731E-2</v>
      </c>
      <c r="H20" s="14">
        <f>(((VLOOKUP(B20,Data!$E:$BM,MATCH(yoy!$H$1,Data!$E$1:$BM$1,),)-VLOOKUP(A20,Data!$E:$BM,MATCH(yoy!$H$1,Data!$E$1:$BM$1,),))/VLOOKUP(A20,Data!$E:$BM,MATCH(yoy!$H$1,Data!$E$1:$BM$1,),))+1)^12-1</f>
        <v>1.2273309790986842E-2</v>
      </c>
      <c r="I20" s="14">
        <f>(((VLOOKUP(B20,Data!$E:$BM,MATCH(yoy!$I$1,Data!$E$1:$BM$1,),)-VLOOKUP(A20,Data!$E:$BM,MATCH(yoy!$I$1,Data!$E$1:$BM$1,),))/VLOOKUP(A20,Data!$E:$BM,MATCH(yoy!$I$1,Data!$E$1:$BM$1,),))+1)^12-1</f>
        <v>4.075307155770358E-2</v>
      </c>
      <c r="J20" s="14">
        <f>(((VLOOKUP(B20,Data!$E:$BM,MATCH(yoy!$J$1,Data!$E$1:$BM$1,),)-VLOOKUP(A20,Data!$E:$BM,MATCH(yoy!$J$1,Data!$E$1:$BM$1,),))/VLOOKUP(A20,Data!$E:$BM,MATCH(yoy!$J$1,Data!$E$1:$BM$1,),))+1)^12-1</f>
        <v>8.1320927785210273E-2</v>
      </c>
      <c r="K20" s="14">
        <f>(((VLOOKUP(B20,Data!$E:$BM,MATCH(yoy!$K$1,Data!$E$1:$BM$1,),)-VLOOKUP(A20,Data!$E:$BM,MATCH(yoy!$K$1,Data!$E$1:$BM$1,),))/VLOOKUP(A20,Data!$E:$BM,MATCH(yoy!$K$1,Data!$E$1:$BM$1,),))+1)^12-1</f>
        <v>6.2501213458282301E-2</v>
      </c>
      <c r="L20" s="14">
        <f>(((VLOOKUP(B20,Data!$E:$BM,MATCH(yoy!$L$1,Data!$E$1:$BM$1,),)-VLOOKUP(A20,Data!$E:$BM,MATCH(yoy!$L$1,Data!$E$1:$BM$1,),))/VLOOKUP(A20,Data!$E:$BM,MATCH(yoy!$L$1,Data!$E$1:$BM$1,),))+1)^12-1</f>
        <v>0.13223066709571185</v>
      </c>
      <c r="M20" s="14">
        <f>(((VLOOKUP(B20,Data!$E:$BM,MATCH(yoy!$M$1,Data!$E$1:$BM$1,),)-VLOOKUP(A20,Data!$E:$BM,MATCH(yoy!$M$1,Data!$E$1:$BM$1,),))/VLOOKUP(A20,Data!$E:$BM,MATCH(yoy!$M$1,Data!$E$1:$BM$1,),))+1)^12-1</f>
        <v>5.3112926018045403E-2</v>
      </c>
      <c r="N20" s="14">
        <f>(((VLOOKUP(B20,Data!$E:$BM,MATCH(yoy!$N$1,Data!$E$1:$BM$1,),)-VLOOKUP(A20,Data!$E:$BM,MATCH(yoy!$N$1,Data!$E$1:$BM$1,),))/VLOOKUP(A20,Data!$E:$BM,MATCH(yoy!$N$1,Data!$E$1:$BM$1,),))+1)^12-1</f>
        <v>-5.4506984232807976E-2</v>
      </c>
      <c r="O20" s="14">
        <f>(((VLOOKUP(B20,Data!$E:$BM,MATCH(yoy!$O$1,Data!$E$1:$BM$1,),)-VLOOKUP(A20,Data!$E:$BM,MATCH(yoy!$O$1,Data!$E$1:$BM$1,),))/VLOOKUP(A20,Data!$E:$BM,MATCH(yoy!$O$1,Data!$E$1:$BM$1,),))+1)^12-1</f>
        <v>0.13394549202514483</v>
      </c>
      <c r="P20" s="14">
        <f>(((VLOOKUP(B20,Data!$E:$BM,MATCH(yoy!$P$1,Data!$E$1:$BM$1,),)-VLOOKUP(A20,Data!$E:$BM,MATCH(yoy!$P$1,Data!$E$1:$BM$1,),))/VLOOKUP(A20,Data!$E:$BM,MATCH(yoy!$P$1,Data!$E$1:$BM$1,),))+1)^12-1</f>
        <v>9.5613959196151344E-2</v>
      </c>
      <c r="Q20" s="14">
        <f>(((VLOOKUP(B20,Data!$E:$BM,MATCH(yoy!$Q$1,Data!$E$1:$BM$1,),)-VLOOKUP(A20,Data!$E:$BM,MATCH(yoy!$Q$1,Data!$E$1:$BM$1,),))/VLOOKUP(A20,Data!$E:$BM,MATCH(yoy!$Q$1,Data!$E$1:$BM$1,),))+1)^12-1</f>
        <v>5.4964252235865985E-2</v>
      </c>
      <c r="R20" s="14">
        <f>(((VLOOKUP(B20,Data!$E:$BM,MATCH(yoy!$R$1,Data!$E$1:$BM$1,),)-VLOOKUP(A20,Data!$E:$BM,MATCH(yoy!$R$1,Data!$E$1:$BM$1,),))/VLOOKUP(A20,Data!$E:$BM,MATCH(yoy!$R$1,Data!$E$1:$BM$1,),))+1)^12-1</f>
        <v>7.1761414594244899E-2</v>
      </c>
      <c r="S20" s="14">
        <f>(((VLOOKUP(B20,Data!$E:$BM,MATCH(yoy!$S$1,Data!$E$1:$BM$1,),)-VLOOKUP(A20,Data!$E:$BM,MATCH(yoy!$S$1,Data!$E$1:$BM$1,),))/VLOOKUP(A20,Data!$E:$BM,MATCH(yoy!$S$1,Data!$E$1:$BM$1,),))+1)^12-1</f>
        <v>5.2997591317816228E-2</v>
      </c>
      <c r="T20" s="14">
        <f>(((VLOOKUP(B20,Data!$E:$BM,MATCH(yoy!$T$1,Data!$E$1:$BM$1,),)-VLOOKUP(A20,Data!$E:$BM,MATCH(yoy!$T$1,Data!$E$1:$BM$1,),))/VLOOKUP(A20,Data!$E:$BM,MATCH(yoy!$T$1,Data!$E$1:$BM$1,),))+1)^12-1</f>
        <v>4.4165932693601029E-2</v>
      </c>
      <c r="U20" s="14">
        <f>(((VLOOKUP(B20,Data!$E:$BM,MATCH(yoy!$U$1,Data!$E$1:$BM$1,),)-VLOOKUP(A20,Data!$E:$BM,MATCH(yoy!$U$1,Data!$E$1:$BM$1,),))/VLOOKUP(A20,Data!$E:$BM,MATCH(yoy!$U$1,Data!$E$1:$BM$1,),))+1)^12-1</f>
        <v>9.9337838379901067E-2</v>
      </c>
      <c r="V20" s="14">
        <f>(((VLOOKUP(B20,Data!$E:$BM,MATCH(yoy!$V$1,Data!$E$1:$BM$1,),)-VLOOKUP(A20,Data!$E:$BM,MATCH(yoy!$V$1,Data!$E$1:$BM$1,),))/VLOOKUP(A20,Data!$E:$BM,MATCH(yoy!$V$1,Data!$E$1:$BM$1,),))+1)^12-1</f>
        <v>5.3156747303093166E-2</v>
      </c>
      <c r="W20" s="14">
        <f>(((VLOOKUP(B20,Data!$E:$BM,MATCH(yoy!$W$1,Data!$E$1:$BM$1,),)-VLOOKUP(A20,Data!$E:$BM,MATCH(yoy!$W$1,Data!$E$1:$BM$1,),))/VLOOKUP(A20,Data!$E:$BM,MATCH(yoy!$W$1,Data!$E$1:$BM$1,),))+1)^12-1</f>
        <v>8.5195704210240475E-2</v>
      </c>
      <c r="X20" s="14">
        <f>(((VLOOKUP(B20,Data!$E:$BM,MATCH(yoy!$X$1,Data!$E$1:$BM$1,),)-VLOOKUP(A20,Data!$E:$BM,MATCH(yoy!$X$1,Data!$E$1:$BM$1,),))/VLOOKUP(A20,Data!$E:$BM,MATCH(yoy!$X$1,Data!$E$1:$BM$1,),))+1)^12-1</f>
        <v>8.5193559194374657E-2</v>
      </c>
      <c r="Y20" s="14">
        <f>(((VLOOKUP(B20,Data!$E:$BM,MATCH(yoy!$Y$1,Data!$E$1:$BM$1,),)-VLOOKUP(A20,Data!$E:$BM,MATCH(yoy!$Y$1,Data!$E$1:$BM$1,),))/VLOOKUP(A20,Data!$E:$BM,MATCH(yoy!$Y$1,Data!$E$1:$BM$1,),))+1)^12-1</f>
        <v>0.10917576848763688</v>
      </c>
      <c r="Z20" s="14">
        <f>(((VLOOKUP(B20,Data!$E:$BM,MATCH(yoy!$Z$1,Data!$E$1:$BM$1,),)-VLOOKUP(A20,Data!$E:$BM,MATCH(yoy!$Z$1,Data!$E$1:$BM$1,),))/VLOOKUP(A20,Data!$E:$BM,MATCH(yoy!$Z$1,Data!$E$1:$BM$1,),))+1)^12-1</f>
        <v>6.6202294023752772E-2</v>
      </c>
      <c r="AA20" s="14">
        <f>(((VLOOKUP(B20,Data!$E:$BM,MATCH(yoy!$AA$1,Data!$E$1:$BM$1,),)-VLOOKUP(A20,Data!$E:$BM,MATCH(yoy!$AA$1,Data!$E$1:$BM$1,),))/VLOOKUP(A20,Data!$E:$BM,MATCH(yoy!$AA$1,Data!$E$1:$BM$1,),))+1)^12-1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(((VLOOKUP(B21,Data!$E:$BM,MATCH(yoy!$C$1,Data!$E$1:$BM$1,),)-VLOOKUP(A21,Data!$E:$BM,MATCH(yoy!$C$1,Data!$E$1:$BM$1,),))/VLOOKUP(A21,Data!$E:$BM,MATCH(yoy!$C$1,Data!$E$1:$BM$1,),))+1)^12-1</f>
        <v>6.9095837121312398E-2</v>
      </c>
      <c r="D21" s="14">
        <f>(((VLOOKUP(B21,Data!$E:$BM,MATCH(yoy!$D$1,Data!$E$1:$BM$1,),)-VLOOKUP(A21,Data!$E:$BM,MATCH(yoy!$D$1,Data!$E$1:$BM$1,),))/VLOOKUP(A21,Data!$E:$BM,MATCH(yoy!$D$1,Data!$E$1:$BM$1,),))+1)^12-1</f>
        <v>6.7044878649123341E-2</v>
      </c>
      <c r="E21" s="14">
        <f>(((VLOOKUP(B21,Data!$E:$BM,MATCH(yoy!$E$1,Data!$E$1:$BM$1,),)-VLOOKUP(A21,Data!$E:$BM,MATCH(yoy!$E$1,Data!$E$1:$BM$1,),))/VLOOKUP(A21,Data!$E:$BM,MATCH(yoy!$E$1,Data!$E$1:$BM$1,),))+1)^12-1</f>
        <v>9.6481866946453554E-2</v>
      </c>
      <c r="F21" s="14">
        <f>(((VLOOKUP(B21,Data!$E:$BM,MATCH(yoy!$F$1,Data!$E$1:$BM$1,),)-VLOOKUP(A21,Data!$E:$BM,MATCH(yoy!$F$1,Data!$E$1:$BM$1,),))/VLOOKUP(A21,Data!$E:$BM,MATCH(yoy!$F$1,Data!$E$1:$BM$1,),))+1)^12-1</f>
        <v>7.9363899671983873E-2</v>
      </c>
      <c r="G21" s="14">
        <f>(((VLOOKUP(B21,Data!$E:$BM,MATCH(yoy!$G$1,Data!$E$1:$BM$1,),)-VLOOKUP(A21,Data!$E:$BM,MATCH(yoy!$G$1,Data!$E$1:$BM$1,),))/VLOOKUP(A21,Data!$E:$BM,MATCH(yoy!$G$1,Data!$E$1:$BM$1,),))+1)^12-1</f>
        <v>4.2861520137041476E-2</v>
      </c>
      <c r="H21" s="14">
        <f>(((VLOOKUP(B21,Data!$E:$BM,MATCH(yoy!$H$1,Data!$E$1:$BM$1,),)-VLOOKUP(A21,Data!$E:$BM,MATCH(yoy!$H$1,Data!$E$1:$BM$1,),))/VLOOKUP(A21,Data!$E:$BM,MATCH(yoy!$H$1,Data!$E$1:$BM$1,),))+1)^12-1</f>
        <v>1.8625902643458536E-2</v>
      </c>
      <c r="I21" s="14">
        <f>(((VLOOKUP(B21,Data!$E:$BM,MATCH(yoy!$I$1,Data!$E$1:$BM$1,),)-VLOOKUP(A21,Data!$E:$BM,MATCH(yoy!$I$1,Data!$E$1:$BM$1,),))/VLOOKUP(A21,Data!$E:$BM,MATCH(yoy!$I$1,Data!$E$1:$BM$1,),))+1)^12-1</f>
        <v>6.2517494780347516E-3</v>
      </c>
      <c r="J21" s="14">
        <f>(((VLOOKUP(B21,Data!$E:$BM,MATCH(yoy!$J$1,Data!$E$1:$BM$1,),)-VLOOKUP(A21,Data!$E:$BM,MATCH(yoy!$J$1,Data!$E$1:$BM$1,),))/VLOOKUP(A21,Data!$E:$BM,MATCH(yoy!$J$1,Data!$E$1:$BM$1,),))+1)^12-1</f>
        <v>6.5287510517619607E-2</v>
      </c>
      <c r="K21" s="14">
        <f>(((VLOOKUP(B21,Data!$E:$BM,MATCH(yoy!$K$1,Data!$E$1:$BM$1,),)-VLOOKUP(A21,Data!$E:$BM,MATCH(yoy!$K$1,Data!$E$1:$BM$1,),))/VLOOKUP(A21,Data!$E:$BM,MATCH(yoy!$K$1,Data!$E$1:$BM$1,),))+1)^12-1</f>
        <v>3.9813242300001939E-2</v>
      </c>
      <c r="L21" s="14">
        <f>(((VLOOKUP(B21,Data!$E:$BM,MATCH(yoy!$L$1,Data!$E$1:$BM$1,),)-VLOOKUP(A21,Data!$E:$BM,MATCH(yoy!$L$1,Data!$E$1:$BM$1,),))/VLOOKUP(A21,Data!$E:$BM,MATCH(yoy!$L$1,Data!$E$1:$BM$1,),))+1)^12-1</f>
        <v>8.125199559012275E-2</v>
      </c>
      <c r="M21" s="14">
        <f>(((VLOOKUP(B21,Data!$E:$BM,MATCH(yoy!$M$1,Data!$E$1:$BM$1,),)-VLOOKUP(A21,Data!$E:$BM,MATCH(yoy!$M$1,Data!$E$1:$BM$1,),))/VLOOKUP(A21,Data!$E:$BM,MATCH(yoy!$M$1,Data!$E$1:$BM$1,),))+1)^12-1</f>
        <v>4.7228260691296375E-2</v>
      </c>
      <c r="N21" s="14">
        <f>(((VLOOKUP(B21,Data!$E:$BM,MATCH(yoy!$N$1,Data!$E$1:$BM$1,),)-VLOOKUP(A21,Data!$E:$BM,MATCH(yoy!$N$1,Data!$E$1:$BM$1,),))/VLOOKUP(A21,Data!$E:$BM,MATCH(yoy!$N$1,Data!$E$1:$BM$1,),))+1)^12-1</f>
        <v>6.5101385290504465E-2</v>
      </c>
      <c r="O21" s="14">
        <f>(((VLOOKUP(B21,Data!$E:$BM,MATCH(yoy!$O$1,Data!$E$1:$BM$1,),)-VLOOKUP(A21,Data!$E:$BM,MATCH(yoy!$O$1,Data!$E$1:$BM$1,),))/VLOOKUP(A21,Data!$E:$BM,MATCH(yoy!$O$1,Data!$E$1:$BM$1,),))+1)^12-1</f>
        <v>0.10429839321495593</v>
      </c>
      <c r="P21" s="14">
        <f>(((VLOOKUP(B21,Data!$E:$BM,MATCH(yoy!$P$1,Data!$E$1:$BM$1,),)-VLOOKUP(A21,Data!$E:$BM,MATCH(yoy!$P$1,Data!$E$1:$BM$1,),))/VLOOKUP(A21,Data!$E:$BM,MATCH(yoy!$P$1,Data!$E$1:$BM$1,),))+1)^12-1</f>
        <v>0.19068499348615897</v>
      </c>
      <c r="Q21" s="14">
        <f>(((VLOOKUP(B21,Data!$E:$BM,MATCH(yoy!$Q$1,Data!$E$1:$BM$1,),)-VLOOKUP(A21,Data!$E:$BM,MATCH(yoy!$Q$1,Data!$E$1:$BM$1,),))/VLOOKUP(A21,Data!$E:$BM,MATCH(yoy!$Q$1,Data!$E$1:$BM$1,),))+1)^12-1</f>
        <v>4.5290753075451828E-2</v>
      </c>
      <c r="R21" s="14">
        <f>(((VLOOKUP(B21,Data!$E:$BM,MATCH(yoy!$R$1,Data!$E$1:$BM$1,),)-VLOOKUP(A21,Data!$E:$BM,MATCH(yoy!$R$1,Data!$E$1:$BM$1,),))/VLOOKUP(A21,Data!$E:$BM,MATCH(yoy!$R$1,Data!$E$1:$BM$1,),))+1)^12-1</f>
        <v>6.8129544780682672E-2</v>
      </c>
      <c r="S21" s="14">
        <f>(((VLOOKUP(B21,Data!$E:$BM,MATCH(yoy!$S$1,Data!$E$1:$BM$1,),)-VLOOKUP(A21,Data!$E:$BM,MATCH(yoy!$S$1,Data!$E$1:$BM$1,),))/VLOOKUP(A21,Data!$E:$BM,MATCH(yoy!$S$1,Data!$E$1:$BM$1,),))+1)^12-1</f>
        <v>7.7892338925520832E-2</v>
      </c>
      <c r="T21" s="14">
        <f>(((VLOOKUP(B21,Data!$E:$BM,MATCH(yoy!$T$1,Data!$E$1:$BM$1,),)-VLOOKUP(A21,Data!$E:$BM,MATCH(yoy!$T$1,Data!$E$1:$BM$1,),))/VLOOKUP(A21,Data!$E:$BM,MATCH(yoy!$T$1,Data!$E$1:$BM$1,),))+1)^12-1</f>
        <v>9.2894891578409577E-2</v>
      </c>
      <c r="U21" s="14">
        <f>(((VLOOKUP(B21,Data!$E:$BM,MATCH(yoy!$U$1,Data!$E$1:$BM$1,),)-VLOOKUP(A21,Data!$E:$BM,MATCH(yoy!$U$1,Data!$E$1:$BM$1,),))/VLOOKUP(A21,Data!$E:$BM,MATCH(yoy!$U$1,Data!$E$1:$BM$1,),))+1)^12-1</f>
        <v>0.16201062509778752</v>
      </c>
      <c r="V21" s="14">
        <f>(((VLOOKUP(B21,Data!$E:$BM,MATCH(yoy!$V$1,Data!$E$1:$BM$1,),)-VLOOKUP(A21,Data!$E:$BM,MATCH(yoy!$V$1,Data!$E$1:$BM$1,),))/VLOOKUP(A21,Data!$E:$BM,MATCH(yoy!$V$1,Data!$E$1:$BM$1,),))+1)^12-1</f>
        <v>0.1276789114732173</v>
      </c>
      <c r="W21" s="14">
        <f>(((VLOOKUP(B21,Data!$E:$BM,MATCH(yoy!$W$1,Data!$E$1:$BM$1,),)-VLOOKUP(A21,Data!$E:$BM,MATCH(yoy!$W$1,Data!$E$1:$BM$1,),))/VLOOKUP(A21,Data!$E:$BM,MATCH(yoy!$W$1,Data!$E$1:$BM$1,),))+1)^12-1</f>
        <v>0.143267347478651</v>
      </c>
      <c r="X21" s="14">
        <f>(((VLOOKUP(B21,Data!$E:$BM,MATCH(yoy!$X$1,Data!$E$1:$BM$1,),)-VLOOKUP(A21,Data!$E:$BM,MATCH(yoy!$X$1,Data!$E$1:$BM$1,),))/VLOOKUP(A21,Data!$E:$BM,MATCH(yoy!$X$1,Data!$E$1:$BM$1,),))+1)^12-1</f>
        <v>1.7574985642510033E-2</v>
      </c>
      <c r="Y21" s="14">
        <f>(((VLOOKUP(B21,Data!$E:$BM,MATCH(yoy!$Y$1,Data!$E$1:$BM$1,),)-VLOOKUP(A21,Data!$E:$BM,MATCH(yoy!$Y$1,Data!$E$1:$BM$1,),))/VLOOKUP(A21,Data!$E:$BM,MATCH(yoy!$Y$1,Data!$E$1:$BM$1,),))+1)^12-1</f>
        <v>8.9341451098092328E-2</v>
      </c>
      <c r="Z21" s="14">
        <f>(((VLOOKUP(B21,Data!$E:$BM,MATCH(yoy!$Z$1,Data!$E$1:$BM$1,),)-VLOOKUP(A21,Data!$E:$BM,MATCH(yoy!$Z$1,Data!$E$1:$BM$1,),))/VLOOKUP(A21,Data!$E:$BM,MATCH(yoy!$Z$1,Data!$E$1:$BM$1,),))+1)^12-1</f>
        <v>0.12246755437068679</v>
      </c>
      <c r="AA21" s="14">
        <f>(((VLOOKUP(B21,Data!$E:$BM,MATCH(yoy!$AA$1,Data!$E$1:$BM$1,),)-VLOOKUP(A21,Data!$E:$BM,MATCH(yoy!$AA$1,Data!$E$1:$BM$1,),))/VLOOKUP(A21,Data!$E:$BM,MATCH(yoy!$AA$1,Data!$E$1:$BM$1,),))+1)^12-1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(((VLOOKUP(B22,Data!$E:$BM,MATCH(yoy!$C$1,Data!$E$1:$BM$1,),)-VLOOKUP(A22,Data!$E:$BM,MATCH(yoy!$C$1,Data!$E$1:$BM$1,),))/VLOOKUP(A22,Data!$E:$BM,MATCH(yoy!$C$1,Data!$E$1:$BM$1,),))+1)^12-1</f>
        <v>8.0104547582573682E-2</v>
      </c>
      <c r="D22" s="14">
        <f>(((VLOOKUP(B22,Data!$E:$BM,MATCH(yoy!$D$1,Data!$E$1:$BM$1,),)-VLOOKUP(A22,Data!$E:$BM,MATCH(yoy!$D$1,Data!$E$1:$BM$1,),))/VLOOKUP(A22,Data!$E:$BM,MATCH(yoy!$D$1,Data!$E$1:$BM$1,),))+1)^12-1</f>
        <v>6.5484098155080384E-2</v>
      </c>
      <c r="E22" s="14">
        <f>(((VLOOKUP(B22,Data!$E:$BM,MATCH(yoy!$E$1,Data!$E$1:$BM$1,),)-VLOOKUP(A22,Data!$E:$BM,MATCH(yoy!$E$1,Data!$E$1:$BM$1,),))/VLOOKUP(A22,Data!$E:$BM,MATCH(yoy!$E$1,Data!$E$1:$BM$1,),))+1)^12-1</f>
        <v>0.12380035865933903</v>
      </c>
      <c r="F22" s="14">
        <f>(((VLOOKUP(B22,Data!$E:$BM,MATCH(yoy!$F$1,Data!$E$1:$BM$1,),)-VLOOKUP(A22,Data!$E:$BM,MATCH(yoy!$F$1,Data!$E$1:$BM$1,),))/VLOOKUP(A22,Data!$E:$BM,MATCH(yoy!$F$1,Data!$E$1:$BM$1,),))+1)^12-1</f>
        <v>3.402169020697543E-2</v>
      </c>
      <c r="G22" s="14">
        <f>(((VLOOKUP(B22,Data!$E:$BM,MATCH(yoy!$G$1,Data!$E$1:$BM$1,),)-VLOOKUP(A22,Data!$E:$BM,MATCH(yoy!$G$1,Data!$E$1:$BM$1,),))/VLOOKUP(A22,Data!$E:$BM,MATCH(yoy!$G$1,Data!$E$1:$BM$1,),))+1)^12-1</f>
        <v>2.6802260132617883E-2</v>
      </c>
      <c r="H22" s="14">
        <f>(((VLOOKUP(B22,Data!$E:$BM,MATCH(yoy!$H$1,Data!$E$1:$BM$1,),)-VLOOKUP(A22,Data!$E:$BM,MATCH(yoy!$H$1,Data!$E$1:$BM$1,),))/VLOOKUP(A22,Data!$E:$BM,MATCH(yoy!$H$1,Data!$E$1:$BM$1,),))+1)^12-1</f>
        <v>0.25909937934436122</v>
      </c>
      <c r="I22" s="14">
        <f>(((VLOOKUP(B22,Data!$E:$BM,MATCH(yoy!$I$1,Data!$E$1:$BM$1,),)-VLOOKUP(A22,Data!$E:$BM,MATCH(yoy!$I$1,Data!$E$1:$BM$1,),))/VLOOKUP(A22,Data!$E:$BM,MATCH(yoy!$I$1,Data!$E$1:$BM$1,),))+1)^12-1</f>
        <v>2.1972566980796193E-2</v>
      </c>
      <c r="J22" s="14">
        <f>(((VLOOKUP(B22,Data!$E:$BM,MATCH(yoy!$J$1,Data!$E$1:$BM$1,),)-VLOOKUP(A22,Data!$E:$BM,MATCH(yoy!$J$1,Data!$E$1:$BM$1,),))/VLOOKUP(A22,Data!$E:$BM,MATCH(yoy!$J$1,Data!$E$1:$BM$1,),))+1)^12-1</f>
        <v>-1.8441441117433843E-3</v>
      </c>
      <c r="K22" s="14">
        <f>(((VLOOKUP(B22,Data!$E:$BM,MATCH(yoy!$K$1,Data!$E$1:$BM$1,),)-VLOOKUP(A22,Data!$E:$BM,MATCH(yoy!$K$1,Data!$E$1:$BM$1,),))/VLOOKUP(A22,Data!$E:$BM,MATCH(yoy!$K$1,Data!$E$1:$BM$1,),))+1)^12-1</f>
        <v>4.7623335312227288E-2</v>
      </c>
      <c r="L22" s="14">
        <f>(((VLOOKUP(B22,Data!$E:$BM,MATCH(yoy!$L$1,Data!$E$1:$BM$1,),)-VLOOKUP(A22,Data!$E:$BM,MATCH(yoy!$L$1,Data!$E$1:$BM$1,),))/VLOOKUP(A22,Data!$E:$BM,MATCH(yoy!$L$1,Data!$E$1:$BM$1,),))+1)^12-1</f>
        <v>8.488120418012679E-2</v>
      </c>
      <c r="M22" s="14">
        <f>(((VLOOKUP(B22,Data!$E:$BM,MATCH(yoy!$M$1,Data!$E$1:$BM$1,),)-VLOOKUP(A22,Data!$E:$BM,MATCH(yoy!$M$1,Data!$E$1:$BM$1,),))/VLOOKUP(A22,Data!$E:$BM,MATCH(yoy!$M$1,Data!$E$1:$BM$1,),))+1)^12-1</f>
        <v>5.1955537919252226E-2</v>
      </c>
      <c r="N22" s="14">
        <f>(((VLOOKUP(B22,Data!$E:$BM,MATCH(yoy!$N$1,Data!$E$1:$BM$1,),)-VLOOKUP(A22,Data!$E:$BM,MATCH(yoy!$N$1,Data!$E$1:$BM$1,),))/VLOOKUP(A22,Data!$E:$BM,MATCH(yoy!$N$1,Data!$E$1:$BM$1,),))+1)^12-1</f>
        <v>2.219091676912055E-2</v>
      </c>
      <c r="O22" s="14">
        <f>(((VLOOKUP(B22,Data!$E:$BM,MATCH(yoy!$O$1,Data!$E$1:$BM$1,),)-VLOOKUP(A22,Data!$E:$BM,MATCH(yoy!$O$1,Data!$E$1:$BM$1,),))/VLOOKUP(A22,Data!$E:$BM,MATCH(yoy!$O$1,Data!$E$1:$BM$1,),))+1)^12-1</f>
        <v>5.160839181510557E-4</v>
      </c>
      <c r="P22" s="14">
        <f>(((VLOOKUP(B22,Data!$E:$BM,MATCH(yoy!$P$1,Data!$E$1:$BM$1,),)-VLOOKUP(A22,Data!$E:$BM,MATCH(yoy!$P$1,Data!$E$1:$BM$1,),))/VLOOKUP(A22,Data!$E:$BM,MATCH(yoy!$P$1,Data!$E$1:$BM$1,),))+1)^12-1</f>
        <v>9.7464620118189016E-2</v>
      </c>
      <c r="Q22" s="14">
        <f>(((VLOOKUP(B22,Data!$E:$BM,MATCH(yoy!$Q$1,Data!$E$1:$BM$1,),)-VLOOKUP(A22,Data!$E:$BM,MATCH(yoy!$Q$1,Data!$E$1:$BM$1,),))/VLOOKUP(A22,Data!$E:$BM,MATCH(yoy!$Q$1,Data!$E$1:$BM$1,),))+1)^12-1</f>
        <v>5.2491827430413807E-2</v>
      </c>
      <c r="R22" s="14">
        <f>(((VLOOKUP(B22,Data!$E:$BM,MATCH(yoy!$R$1,Data!$E$1:$BM$1,),)-VLOOKUP(A22,Data!$E:$BM,MATCH(yoy!$R$1,Data!$E$1:$BM$1,),))/VLOOKUP(A22,Data!$E:$BM,MATCH(yoy!$R$1,Data!$E$1:$BM$1,),))+1)^12-1</f>
        <v>0.11637273326345343</v>
      </c>
      <c r="S22" s="14">
        <f>(((VLOOKUP(B22,Data!$E:$BM,MATCH(yoy!$S$1,Data!$E$1:$BM$1,),)-VLOOKUP(A22,Data!$E:$BM,MATCH(yoy!$S$1,Data!$E$1:$BM$1,),))/VLOOKUP(A22,Data!$E:$BM,MATCH(yoy!$S$1,Data!$E$1:$BM$1,),))+1)^12-1</f>
        <v>8.4540901103698385E-2</v>
      </c>
      <c r="T22" s="14">
        <f>(((VLOOKUP(B22,Data!$E:$BM,MATCH(yoy!$T$1,Data!$E$1:$BM$1,),)-VLOOKUP(A22,Data!$E:$BM,MATCH(yoy!$T$1,Data!$E$1:$BM$1,),))/VLOOKUP(A22,Data!$E:$BM,MATCH(yoy!$T$1,Data!$E$1:$BM$1,),))+1)^12-1</f>
        <v>0.11429450548788367</v>
      </c>
      <c r="U22" s="14">
        <f>(((VLOOKUP(B22,Data!$E:$BM,MATCH(yoy!$U$1,Data!$E$1:$BM$1,),)-VLOOKUP(A22,Data!$E:$BM,MATCH(yoy!$U$1,Data!$E$1:$BM$1,),))/VLOOKUP(A22,Data!$E:$BM,MATCH(yoy!$U$1,Data!$E$1:$BM$1,),))+1)^12-1</f>
        <v>1.7466169202074555E-2</v>
      </c>
      <c r="V22" s="14">
        <f>(((VLOOKUP(B22,Data!$E:$BM,MATCH(yoy!$V$1,Data!$E$1:$BM$1,),)-VLOOKUP(A22,Data!$E:$BM,MATCH(yoy!$V$1,Data!$E$1:$BM$1,),))/VLOOKUP(A22,Data!$E:$BM,MATCH(yoy!$V$1,Data!$E$1:$BM$1,),))+1)^12-1</f>
        <v>9.3484357778417682E-2</v>
      </c>
      <c r="W22" s="14">
        <f>(((VLOOKUP(B22,Data!$E:$BM,MATCH(yoy!$W$1,Data!$E$1:$BM$1,),)-VLOOKUP(A22,Data!$E:$BM,MATCH(yoy!$W$1,Data!$E$1:$BM$1,),))/VLOOKUP(A22,Data!$E:$BM,MATCH(yoy!$W$1,Data!$E$1:$BM$1,),))+1)^12-1</f>
        <v>0.20082716862451222</v>
      </c>
      <c r="X22" s="14">
        <f>(((VLOOKUP(B22,Data!$E:$BM,MATCH(yoy!$X$1,Data!$E$1:$BM$1,),)-VLOOKUP(A22,Data!$E:$BM,MATCH(yoy!$X$1,Data!$E$1:$BM$1,),))/VLOOKUP(A22,Data!$E:$BM,MATCH(yoy!$X$1,Data!$E$1:$BM$1,),))+1)^12-1</f>
        <v>2.5298839165360798E-2</v>
      </c>
      <c r="Y22" s="14">
        <f>(((VLOOKUP(B22,Data!$E:$BM,MATCH(yoy!$Y$1,Data!$E$1:$BM$1,),)-VLOOKUP(A22,Data!$E:$BM,MATCH(yoy!$Y$1,Data!$E$1:$BM$1,),))/VLOOKUP(A22,Data!$E:$BM,MATCH(yoy!$Y$1,Data!$E$1:$BM$1,),))+1)^12-1</f>
        <v>6.0072150853987871E-2</v>
      </c>
      <c r="Z22" s="14">
        <f>(((VLOOKUP(B22,Data!$E:$BM,MATCH(yoy!$Z$1,Data!$E$1:$BM$1,),)-VLOOKUP(A22,Data!$E:$BM,MATCH(yoy!$Z$1,Data!$E$1:$BM$1,),))/VLOOKUP(A22,Data!$E:$BM,MATCH(yoy!$Z$1,Data!$E$1:$BM$1,),))+1)^12-1</f>
        <v>4.7168921061027769E-2</v>
      </c>
      <c r="AA22" s="14">
        <f>(((VLOOKUP(B22,Data!$E:$BM,MATCH(yoy!$AA$1,Data!$E$1:$BM$1,),)-VLOOKUP(A22,Data!$E:$BM,MATCH(yoy!$AA$1,Data!$E$1:$BM$1,),))/VLOOKUP(A22,Data!$E:$BM,MATCH(yoy!$AA$1,Data!$E$1:$BM$1,),))+1)^12-1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(((VLOOKUP(B23,Data!$E:$BM,MATCH(yoy!$C$1,Data!$E$1:$BM$1,),)-VLOOKUP(A23,Data!$E:$BM,MATCH(yoy!$C$1,Data!$E$1:$BM$1,),))/VLOOKUP(A23,Data!$E:$BM,MATCH(yoy!$C$1,Data!$E$1:$BM$1,),))+1)^12-1</f>
        <v>8.2255318328166016E-2</v>
      </c>
      <c r="D23" s="14">
        <f>(((VLOOKUP(B23,Data!$E:$BM,MATCH(yoy!$D$1,Data!$E$1:$BM$1,),)-VLOOKUP(A23,Data!$E:$BM,MATCH(yoy!$D$1,Data!$E$1:$BM$1,),))/VLOOKUP(A23,Data!$E:$BM,MATCH(yoy!$D$1,Data!$E$1:$BM$1,),))+1)^12-1</f>
        <v>5.6333286107614899E-2</v>
      </c>
      <c r="E23" s="14">
        <f>(((VLOOKUP(B23,Data!$E:$BM,MATCH(yoy!$E$1,Data!$E$1:$BM$1,),)-VLOOKUP(A23,Data!$E:$BM,MATCH(yoy!$E$1,Data!$E$1:$BM$1,),))/VLOOKUP(A23,Data!$E:$BM,MATCH(yoy!$E$1,Data!$E$1:$BM$1,),))+1)^12-1</f>
        <v>0.13237842618289086</v>
      </c>
      <c r="F23" s="14">
        <f>(((VLOOKUP(B23,Data!$E:$BM,MATCH(yoy!$F$1,Data!$E$1:$BM$1,),)-VLOOKUP(A23,Data!$E:$BM,MATCH(yoy!$F$1,Data!$E$1:$BM$1,),))/VLOOKUP(A23,Data!$E:$BM,MATCH(yoy!$F$1,Data!$E$1:$BM$1,),))+1)^12-1</f>
        <v>6.3901341456453098E-2</v>
      </c>
      <c r="G23" s="14">
        <f>(((VLOOKUP(B23,Data!$E:$BM,MATCH(yoy!$G$1,Data!$E$1:$BM$1,),)-VLOOKUP(A23,Data!$E:$BM,MATCH(yoy!$G$1,Data!$E$1:$BM$1,),))/VLOOKUP(A23,Data!$E:$BM,MATCH(yoy!$G$1,Data!$E$1:$BM$1,),))+1)^12-1</f>
        <v>3.1779563034094682E-2</v>
      </c>
      <c r="H23" s="14">
        <f>(((VLOOKUP(B23,Data!$E:$BM,MATCH(yoy!$H$1,Data!$E$1:$BM$1,),)-VLOOKUP(A23,Data!$E:$BM,MATCH(yoy!$H$1,Data!$E$1:$BM$1,),))/VLOOKUP(A23,Data!$E:$BM,MATCH(yoy!$H$1,Data!$E$1:$BM$1,),))+1)^12-1</f>
        <v>0.30369914419728272</v>
      </c>
      <c r="I23" s="14">
        <f>(((VLOOKUP(B23,Data!$E:$BM,MATCH(yoy!$I$1,Data!$E$1:$BM$1,),)-VLOOKUP(A23,Data!$E:$BM,MATCH(yoy!$I$1,Data!$E$1:$BM$1,),))/VLOOKUP(A23,Data!$E:$BM,MATCH(yoy!$I$1,Data!$E$1:$BM$1,),))+1)^12-1</f>
        <v>4.4659787254700323E-2</v>
      </c>
      <c r="J23" s="14">
        <f>(((VLOOKUP(B23,Data!$E:$BM,MATCH(yoy!$J$1,Data!$E$1:$BM$1,),)-VLOOKUP(A23,Data!$E:$BM,MATCH(yoy!$J$1,Data!$E$1:$BM$1,),))/VLOOKUP(A23,Data!$E:$BM,MATCH(yoy!$J$1,Data!$E$1:$BM$1,),))+1)^12-1</f>
        <v>0.10564129298029323</v>
      </c>
      <c r="K23" s="14">
        <f>(((VLOOKUP(B23,Data!$E:$BM,MATCH(yoy!$K$1,Data!$E$1:$BM$1,),)-VLOOKUP(A23,Data!$E:$BM,MATCH(yoy!$K$1,Data!$E$1:$BM$1,),))/VLOOKUP(A23,Data!$E:$BM,MATCH(yoy!$K$1,Data!$E$1:$BM$1,),))+1)^12-1</f>
        <v>9.8039434857827068E-2</v>
      </c>
      <c r="L23" s="14">
        <f>(((VLOOKUP(B23,Data!$E:$BM,MATCH(yoy!$L$1,Data!$E$1:$BM$1,),)-VLOOKUP(A23,Data!$E:$BM,MATCH(yoy!$L$1,Data!$E$1:$BM$1,),))/VLOOKUP(A23,Data!$E:$BM,MATCH(yoy!$L$1,Data!$E$1:$BM$1,),))+1)^12-1</f>
        <v>0.11493863353540901</v>
      </c>
      <c r="M23" s="14">
        <f>(((VLOOKUP(B23,Data!$E:$BM,MATCH(yoy!$M$1,Data!$E$1:$BM$1,),)-VLOOKUP(A23,Data!$E:$BM,MATCH(yoy!$M$1,Data!$E$1:$BM$1,),))/VLOOKUP(A23,Data!$E:$BM,MATCH(yoy!$M$1,Data!$E$1:$BM$1,),))+1)^12-1</f>
        <v>6.408696649674317E-2</v>
      </c>
      <c r="N23" s="14">
        <f>(((VLOOKUP(B23,Data!$E:$BM,MATCH(yoy!$N$1,Data!$E$1:$BM$1,),)-VLOOKUP(A23,Data!$E:$BM,MATCH(yoy!$N$1,Data!$E$1:$BM$1,),))/VLOOKUP(A23,Data!$E:$BM,MATCH(yoy!$N$1,Data!$E$1:$BM$1,),))+1)^12-1</f>
        <v>-3.1456090488826138E-2</v>
      </c>
      <c r="O23" s="14">
        <f>(((VLOOKUP(B23,Data!$E:$BM,MATCH(yoy!$O$1,Data!$E$1:$BM$1,),)-VLOOKUP(A23,Data!$E:$BM,MATCH(yoy!$O$1,Data!$E$1:$BM$1,),))/VLOOKUP(A23,Data!$E:$BM,MATCH(yoy!$O$1,Data!$E$1:$BM$1,),))+1)^12-1</f>
        <v>0.10921231412520593</v>
      </c>
      <c r="P23" s="14">
        <f>(((VLOOKUP(B23,Data!$E:$BM,MATCH(yoy!$P$1,Data!$E$1:$BM$1,),)-VLOOKUP(A23,Data!$E:$BM,MATCH(yoy!$P$1,Data!$E$1:$BM$1,),))/VLOOKUP(A23,Data!$E:$BM,MATCH(yoy!$P$1,Data!$E$1:$BM$1,),))+1)^12-1</f>
        <v>0.16072973559007142</v>
      </c>
      <c r="Q23" s="14">
        <f>(((VLOOKUP(B23,Data!$E:$BM,MATCH(yoy!$Q$1,Data!$E$1:$BM$1,),)-VLOOKUP(A23,Data!$E:$BM,MATCH(yoy!$Q$1,Data!$E$1:$BM$1,),))/VLOOKUP(A23,Data!$E:$BM,MATCH(yoy!$Q$1,Data!$E$1:$BM$1,),))+1)^12-1</f>
        <v>8.6188577667362987E-2</v>
      </c>
      <c r="R23" s="14">
        <f>(((VLOOKUP(B23,Data!$E:$BM,MATCH(yoy!$R$1,Data!$E$1:$BM$1,),)-VLOOKUP(A23,Data!$E:$BM,MATCH(yoy!$R$1,Data!$E$1:$BM$1,),))/VLOOKUP(A23,Data!$E:$BM,MATCH(yoy!$R$1,Data!$E$1:$BM$1,),))+1)^12-1</f>
        <v>0.1293401098391771</v>
      </c>
      <c r="S23" s="14">
        <f>(((VLOOKUP(B23,Data!$E:$BM,MATCH(yoy!$S$1,Data!$E$1:$BM$1,),)-VLOOKUP(A23,Data!$E:$BM,MATCH(yoy!$S$1,Data!$E$1:$BM$1,),))/VLOOKUP(A23,Data!$E:$BM,MATCH(yoy!$S$1,Data!$E$1:$BM$1,),))+1)^12-1</f>
        <v>0.11145065482772454</v>
      </c>
      <c r="T23" s="14">
        <f>(((VLOOKUP(B23,Data!$E:$BM,MATCH(yoy!$T$1,Data!$E$1:$BM$1,),)-VLOOKUP(A23,Data!$E:$BM,MATCH(yoy!$T$1,Data!$E$1:$BM$1,),))/VLOOKUP(A23,Data!$E:$BM,MATCH(yoy!$T$1,Data!$E$1:$BM$1,),))+1)^12-1</f>
        <v>0.10600187433034236</v>
      </c>
      <c r="U23" s="14">
        <f>(((VLOOKUP(B23,Data!$E:$BM,MATCH(yoy!$U$1,Data!$E$1:$BM$1,),)-VLOOKUP(A23,Data!$E:$BM,MATCH(yoy!$U$1,Data!$E$1:$BM$1,),))/VLOOKUP(A23,Data!$E:$BM,MATCH(yoy!$U$1,Data!$E$1:$BM$1,),))+1)^12-1</f>
        <v>-1.9304640488099545E-2</v>
      </c>
      <c r="V23" s="14">
        <f>(((VLOOKUP(B23,Data!$E:$BM,MATCH(yoy!$V$1,Data!$E$1:$BM$1,),)-VLOOKUP(A23,Data!$E:$BM,MATCH(yoy!$V$1,Data!$E$1:$BM$1,),))/VLOOKUP(A23,Data!$E:$BM,MATCH(yoy!$V$1,Data!$E$1:$BM$1,),))+1)^12-1</f>
        <v>9.2910110648584787E-2</v>
      </c>
      <c r="W23" s="14">
        <f>(((VLOOKUP(B23,Data!$E:$BM,MATCH(yoy!$W$1,Data!$E$1:$BM$1,),)-VLOOKUP(A23,Data!$E:$BM,MATCH(yoy!$W$1,Data!$E$1:$BM$1,),))/VLOOKUP(A23,Data!$E:$BM,MATCH(yoy!$W$1,Data!$E$1:$BM$1,),))+1)^12-1</f>
        <v>0.14506941461531686</v>
      </c>
      <c r="X23" s="14">
        <f>(((VLOOKUP(B23,Data!$E:$BM,MATCH(yoy!$X$1,Data!$E$1:$BM$1,),)-VLOOKUP(A23,Data!$E:$BM,MATCH(yoy!$X$1,Data!$E$1:$BM$1,),))/VLOOKUP(A23,Data!$E:$BM,MATCH(yoy!$X$1,Data!$E$1:$BM$1,),))+1)^12-1</f>
        <v>2.7920282465578428E-2</v>
      </c>
      <c r="Y23" s="14">
        <f>(((VLOOKUP(B23,Data!$E:$BM,MATCH(yoy!$Y$1,Data!$E$1:$BM$1,),)-VLOOKUP(A23,Data!$E:$BM,MATCH(yoy!$Y$1,Data!$E$1:$BM$1,),))/VLOOKUP(A23,Data!$E:$BM,MATCH(yoy!$Y$1,Data!$E$1:$BM$1,),))+1)^12-1</f>
        <v>7.3064009935570162E-2</v>
      </c>
      <c r="Z23" s="14">
        <f>(((VLOOKUP(B23,Data!$E:$BM,MATCH(yoy!$Z$1,Data!$E$1:$BM$1,),)-VLOOKUP(A23,Data!$E:$BM,MATCH(yoy!$Z$1,Data!$E$1:$BM$1,),))/VLOOKUP(A23,Data!$E:$BM,MATCH(yoy!$Z$1,Data!$E$1:$BM$1,),))+1)^12-1</f>
        <v>3.7730812748635767E-2</v>
      </c>
      <c r="AA23" s="14">
        <f>(((VLOOKUP(B23,Data!$E:$BM,MATCH(yoy!$AA$1,Data!$E$1:$BM$1,),)-VLOOKUP(A23,Data!$E:$BM,MATCH(yoy!$AA$1,Data!$E$1:$BM$1,),))/VLOOKUP(A23,Data!$E:$BM,MATCH(yoy!$AA$1,Data!$E$1:$BM$1,),))+1)^12-1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(((VLOOKUP(B24,Data!$E:$BM,MATCH(yoy!$C$1,Data!$E$1:$BM$1,),)-VLOOKUP(A24,Data!$E:$BM,MATCH(yoy!$C$1,Data!$E$1:$BM$1,),))/VLOOKUP(A24,Data!$E:$BM,MATCH(yoy!$C$1,Data!$E$1:$BM$1,),))+1)^12-1</f>
        <v>7.3988712307059501E-2</v>
      </c>
      <c r="D24" s="14">
        <f>(((VLOOKUP(B24,Data!$E:$BM,MATCH(yoy!$D$1,Data!$E$1:$BM$1,),)-VLOOKUP(A24,Data!$E:$BM,MATCH(yoy!$D$1,Data!$E$1:$BM$1,),))/VLOOKUP(A24,Data!$E:$BM,MATCH(yoy!$D$1,Data!$E$1:$BM$1,),))+1)^12-1</f>
        <v>8.4520511172644586E-2</v>
      </c>
      <c r="E24" s="14">
        <f>(((VLOOKUP(B24,Data!$E:$BM,MATCH(yoy!$E$1,Data!$E$1:$BM$1,),)-VLOOKUP(A24,Data!$E:$BM,MATCH(yoy!$E$1,Data!$E$1:$BM$1,),))/VLOOKUP(A24,Data!$E:$BM,MATCH(yoy!$E$1,Data!$E$1:$BM$1,),))+1)^12-1</f>
        <v>0.12946807100777935</v>
      </c>
      <c r="F24" s="14">
        <f>(((VLOOKUP(B24,Data!$E:$BM,MATCH(yoy!$F$1,Data!$E$1:$BM$1,),)-VLOOKUP(A24,Data!$E:$BM,MATCH(yoy!$F$1,Data!$E$1:$BM$1,),))/VLOOKUP(A24,Data!$E:$BM,MATCH(yoy!$F$1,Data!$E$1:$BM$1,),))+1)^12-1</f>
        <v>4.4836268511760924E-2</v>
      </c>
      <c r="G24" s="14">
        <f>(((VLOOKUP(B24,Data!$E:$BM,MATCH(yoy!$G$1,Data!$E$1:$BM$1,),)-VLOOKUP(A24,Data!$E:$BM,MATCH(yoy!$G$1,Data!$E$1:$BM$1,),))/VLOOKUP(A24,Data!$E:$BM,MATCH(yoy!$G$1,Data!$E$1:$BM$1,),))+1)^12-1</f>
        <v>2.8439707015666338E-2</v>
      </c>
      <c r="H24" s="14">
        <f>(((VLOOKUP(B24,Data!$E:$BM,MATCH(yoy!$H$1,Data!$E$1:$BM$1,),)-VLOOKUP(A24,Data!$E:$BM,MATCH(yoy!$H$1,Data!$E$1:$BM$1,),))/VLOOKUP(A24,Data!$E:$BM,MATCH(yoy!$H$1,Data!$E$1:$BM$1,),))+1)^12-1</f>
        <v>0.11470578735860282</v>
      </c>
      <c r="I24" s="14">
        <f>(((VLOOKUP(B24,Data!$E:$BM,MATCH(yoy!$I$1,Data!$E$1:$BM$1,),)-VLOOKUP(A24,Data!$E:$BM,MATCH(yoy!$I$1,Data!$E$1:$BM$1,),))/VLOOKUP(A24,Data!$E:$BM,MATCH(yoy!$I$1,Data!$E$1:$BM$1,),))+1)^12-1</f>
        <v>2.7037672974431937E-2</v>
      </c>
      <c r="J24" s="14">
        <f>(((VLOOKUP(B24,Data!$E:$BM,MATCH(yoy!$J$1,Data!$E$1:$BM$1,),)-VLOOKUP(A24,Data!$E:$BM,MATCH(yoy!$J$1,Data!$E$1:$BM$1,),))/VLOOKUP(A24,Data!$E:$BM,MATCH(yoy!$J$1,Data!$E$1:$BM$1,),))+1)^12-1</f>
        <v>0.17769251671035735</v>
      </c>
      <c r="K24" s="14">
        <f>(((VLOOKUP(B24,Data!$E:$BM,MATCH(yoy!$K$1,Data!$E$1:$BM$1,),)-VLOOKUP(A24,Data!$E:$BM,MATCH(yoy!$K$1,Data!$E$1:$BM$1,),))/VLOOKUP(A24,Data!$E:$BM,MATCH(yoy!$K$1,Data!$E$1:$BM$1,),))+1)^12-1</f>
        <v>9.0416457253652771E-2</v>
      </c>
      <c r="L24" s="14">
        <f>(((VLOOKUP(B24,Data!$E:$BM,MATCH(yoy!$L$1,Data!$E$1:$BM$1,),)-VLOOKUP(A24,Data!$E:$BM,MATCH(yoy!$L$1,Data!$E$1:$BM$1,),))/VLOOKUP(A24,Data!$E:$BM,MATCH(yoy!$L$1,Data!$E$1:$BM$1,),))+1)^12-1</f>
        <v>0.11579279047007018</v>
      </c>
      <c r="M24" s="14">
        <f>(((VLOOKUP(B24,Data!$E:$BM,MATCH(yoy!$M$1,Data!$E$1:$BM$1,),)-VLOOKUP(A24,Data!$E:$BM,MATCH(yoy!$M$1,Data!$E$1:$BM$1,),))/VLOOKUP(A24,Data!$E:$BM,MATCH(yoy!$M$1,Data!$E$1:$BM$1,),))+1)^12-1</f>
        <v>3.6962424969315677E-2</v>
      </c>
      <c r="N24" s="14">
        <f>(((VLOOKUP(B24,Data!$E:$BM,MATCH(yoy!$N$1,Data!$E$1:$BM$1,),)-VLOOKUP(A24,Data!$E:$BM,MATCH(yoy!$N$1,Data!$E$1:$BM$1,),))/VLOOKUP(A24,Data!$E:$BM,MATCH(yoy!$N$1,Data!$E$1:$BM$1,),))+1)^12-1</f>
        <v>-8.1420753947121227E-3</v>
      </c>
      <c r="O24" s="14">
        <f>(((VLOOKUP(B24,Data!$E:$BM,MATCH(yoy!$O$1,Data!$E$1:$BM$1,),)-VLOOKUP(A24,Data!$E:$BM,MATCH(yoy!$O$1,Data!$E$1:$BM$1,),))/VLOOKUP(A24,Data!$E:$BM,MATCH(yoy!$O$1,Data!$E$1:$BM$1,),))+1)^12-1</f>
        <v>0.16351578155363167</v>
      </c>
      <c r="P24" s="14">
        <f>(((VLOOKUP(B24,Data!$E:$BM,MATCH(yoy!$P$1,Data!$E$1:$BM$1,),)-VLOOKUP(A24,Data!$E:$BM,MATCH(yoy!$P$1,Data!$E$1:$BM$1,),))/VLOOKUP(A24,Data!$E:$BM,MATCH(yoy!$P$1,Data!$E$1:$BM$1,),))+1)^12-1</f>
        <v>4.8452366323517904E-2</v>
      </c>
      <c r="Q24" s="14">
        <f>(((VLOOKUP(B24,Data!$E:$BM,MATCH(yoy!$Q$1,Data!$E$1:$BM$1,),)-VLOOKUP(A24,Data!$E:$BM,MATCH(yoy!$Q$1,Data!$E$1:$BM$1,),))/VLOOKUP(A24,Data!$E:$BM,MATCH(yoy!$Q$1,Data!$E$1:$BM$1,),))+1)^12-1</f>
        <v>8.7624615046128174E-2</v>
      </c>
      <c r="R24" s="14">
        <f>(((VLOOKUP(B24,Data!$E:$BM,MATCH(yoy!$R$1,Data!$E$1:$BM$1,),)-VLOOKUP(A24,Data!$E:$BM,MATCH(yoy!$R$1,Data!$E$1:$BM$1,),))/VLOOKUP(A24,Data!$E:$BM,MATCH(yoy!$R$1,Data!$E$1:$BM$1,),))+1)^12-1</f>
        <v>6.4068933336264733E-2</v>
      </c>
      <c r="S24" s="14">
        <f>(((VLOOKUP(B24,Data!$E:$BM,MATCH(yoy!$S$1,Data!$E$1:$BM$1,),)-VLOOKUP(A24,Data!$E:$BM,MATCH(yoy!$S$1,Data!$E$1:$BM$1,),))/VLOOKUP(A24,Data!$E:$BM,MATCH(yoy!$S$1,Data!$E$1:$BM$1,),))+1)^12-1</f>
        <v>8.1597948766131134E-2</v>
      </c>
      <c r="T24" s="14">
        <f>(((VLOOKUP(B24,Data!$E:$BM,MATCH(yoy!$T$1,Data!$E$1:$BM$1,),)-VLOOKUP(A24,Data!$E:$BM,MATCH(yoy!$T$1,Data!$E$1:$BM$1,),))/VLOOKUP(A24,Data!$E:$BM,MATCH(yoy!$T$1,Data!$E$1:$BM$1,),))+1)^12-1</f>
        <v>0.12686748264078962</v>
      </c>
      <c r="U24" s="14">
        <f>(((VLOOKUP(B24,Data!$E:$BM,MATCH(yoy!$U$1,Data!$E$1:$BM$1,),)-VLOOKUP(A24,Data!$E:$BM,MATCH(yoy!$U$1,Data!$E$1:$BM$1,),))/VLOOKUP(A24,Data!$E:$BM,MATCH(yoy!$U$1,Data!$E$1:$BM$1,),))+1)^12-1</f>
        <v>-5.9157023069451031E-2</v>
      </c>
      <c r="V24" s="14">
        <f>(((VLOOKUP(B24,Data!$E:$BM,MATCH(yoy!$V$1,Data!$E$1:$BM$1,),)-VLOOKUP(A24,Data!$E:$BM,MATCH(yoy!$V$1,Data!$E$1:$BM$1,),))/VLOOKUP(A24,Data!$E:$BM,MATCH(yoy!$V$1,Data!$E$1:$BM$1,),))+1)^12-1</f>
        <v>5.2691628245175259E-2</v>
      </c>
      <c r="W24" s="14">
        <f>(((VLOOKUP(B24,Data!$E:$BM,MATCH(yoy!$W$1,Data!$E$1:$BM$1,),)-VLOOKUP(A24,Data!$E:$BM,MATCH(yoy!$W$1,Data!$E$1:$BM$1,),))/VLOOKUP(A24,Data!$E:$BM,MATCH(yoy!$W$1,Data!$E$1:$BM$1,),))+1)^12-1</f>
        <v>8.1009486885385229E-2</v>
      </c>
      <c r="X24" s="14">
        <f>(((VLOOKUP(B24,Data!$E:$BM,MATCH(yoy!$X$1,Data!$E$1:$BM$1,),)-VLOOKUP(A24,Data!$E:$BM,MATCH(yoy!$X$1,Data!$E$1:$BM$1,),))/VLOOKUP(A24,Data!$E:$BM,MATCH(yoy!$X$1,Data!$E$1:$BM$1,),))+1)^12-1</f>
        <v>5.4773281078035918E-2</v>
      </c>
      <c r="Y24" s="14">
        <f>(((VLOOKUP(B24,Data!$E:$BM,MATCH(yoy!$Y$1,Data!$E$1:$BM$1,),)-VLOOKUP(A24,Data!$E:$BM,MATCH(yoy!$Y$1,Data!$E$1:$BM$1,),))/VLOOKUP(A24,Data!$E:$BM,MATCH(yoy!$Y$1,Data!$E$1:$BM$1,),))+1)^12-1</f>
        <v>5.8084655240615346E-2</v>
      </c>
      <c r="Z24" s="14">
        <f>(((VLOOKUP(B24,Data!$E:$BM,MATCH(yoy!$Z$1,Data!$E$1:$BM$1,),)-VLOOKUP(A24,Data!$E:$BM,MATCH(yoy!$Z$1,Data!$E$1:$BM$1,),))/VLOOKUP(A24,Data!$E:$BM,MATCH(yoy!$Z$1,Data!$E$1:$BM$1,),))+1)^12-1</f>
        <v>9.2250026941164132E-2</v>
      </c>
      <c r="AA24" s="14">
        <f>(((VLOOKUP(B24,Data!$E:$BM,MATCH(yoy!$AA$1,Data!$E$1:$BM$1,),)-VLOOKUP(A24,Data!$E:$BM,MATCH(yoy!$AA$1,Data!$E$1:$BM$1,),))/VLOOKUP(A24,Data!$E:$BM,MATCH(yoy!$AA$1,Data!$E$1:$BM$1,),))+1)^12-1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(((VLOOKUP(B25,Data!$E:$BM,MATCH(yoy!$C$1,Data!$E$1:$BM$1,),)-VLOOKUP(A25,Data!$E:$BM,MATCH(yoy!$C$1,Data!$E$1:$BM$1,),))/VLOOKUP(A25,Data!$E:$BM,MATCH(yoy!$C$1,Data!$E$1:$BM$1,),))+1)^12-1</f>
        <v>6.4461073884278797E-2</v>
      </c>
      <c r="D25" s="14">
        <f>(((VLOOKUP(B25,Data!$E:$BM,MATCH(yoy!$D$1,Data!$E$1:$BM$1,),)-VLOOKUP(A25,Data!$E:$BM,MATCH(yoy!$D$1,Data!$E$1:$BM$1,),))/VLOOKUP(A25,Data!$E:$BM,MATCH(yoy!$D$1,Data!$E$1:$BM$1,),))+1)^12-1</f>
        <v>5.7919849521504974E-2</v>
      </c>
      <c r="E25" s="14">
        <f>(((VLOOKUP(B25,Data!$E:$BM,MATCH(yoy!$E$1,Data!$E$1:$BM$1,),)-VLOOKUP(A25,Data!$E:$BM,MATCH(yoy!$E$1,Data!$E$1:$BM$1,),))/VLOOKUP(A25,Data!$E:$BM,MATCH(yoy!$E$1,Data!$E$1:$BM$1,),))+1)^12-1</f>
        <v>0.12071621259430731</v>
      </c>
      <c r="F25" s="14">
        <f>(((VLOOKUP(B25,Data!$E:$BM,MATCH(yoy!$F$1,Data!$E$1:$BM$1,),)-VLOOKUP(A25,Data!$E:$BM,MATCH(yoy!$F$1,Data!$E$1:$BM$1,),))/VLOOKUP(A25,Data!$E:$BM,MATCH(yoy!$F$1,Data!$E$1:$BM$1,),))+1)^12-1</f>
        <v>-4.0200287265743651E-3</v>
      </c>
      <c r="G25" s="14">
        <f>(((VLOOKUP(B25,Data!$E:$BM,MATCH(yoy!$G$1,Data!$E$1:$BM$1,),)-VLOOKUP(A25,Data!$E:$BM,MATCH(yoy!$G$1,Data!$E$1:$BM$1,),))/VLOOKUP(A25,Data!$E:$BM,MATCH(yoy!$G$1,Data!$E$1:$BM$1,),))+1)^12-1</f>
        <v>2.654952541723854E-2</v>
      </c>
      <c r="H25" s="14">
        <f>(((VLOOKUP(B25,Data!$E:$BM,MATCH(yoy!$H$1,Data!$E$1:$BM$1,),)-VLOOKUP(A25,Data!$E:$BM,MATCH(yoy!$H$1,Data!$E$1:$BM$1,),))/VLOOKUP(A25,Data!$E:$BM,MATCH(yoy!$H$1,Data!$E$1:$BM$1,),))+1)^12-1</f>
        <v>8.91348962066707E-2</v>
      </c>
      <c r="I25" s="14">
        <f>(((VLOOKUP(B25,Data!$E:$BM,MATCH(yoy!$I$1,Data!$E$1:$BM$1,),)-VLOOKUP(A25,Data!$E:$BM,MATCH(yoy!$I$1,Data!$E$1:$BM$1,),))/VLOOKUP(A25,Data!$E:$BM,MATCH(yoy!$I$1,Data!$E$1:$BM$1,),))+1)^12-1</f>
        <v>1.7127568524148984E-2</v>
      </c>
      <c r="J25" s="14">
        <f>(((VLOOKUP(B25,Data!$E:$BM,MATCH(yoy!$J$1,Data!$E$1:$BM$1,),)-VLOOKUP(A25,Data!$E:$BM,MATCH(yoy!$J$1,Data!$E$1:$BM$1,),))/VLOOKUP(A25,Data!$E:$BM,MATCH(yoy!$J$1,Data!$E$1:$BM$1,),))+1)^12-1</f>
        <v>6.5542755917279427E-2</v>
      </c>
      <c r="K25" s="14">
        <f>(((VLOOKUP(B25,Data!$E:$BM,MATCH(yoy!$K$1,Data!$E$1:$BM$1,),)-VLOOKUP(A25,Data!$E:$BM,MATCH(yoy!$K$1,Data!$E$1:$BM$1,),))/VLOOKUP(A25,Data!$E:$BM,MATCH(yoy!$K$1,Data!$E$1:$BM$1,),))+1)^12-1</f>
        <v>0.11463178579804678</v>
      </c>
      <c r="L25" s="14">
        <f>(((VLOOKUP(B25,Data!$E:$BM,MATCH(yoy!$L$1,Data!$E$1:$BM$1,),)-VLOOKUP(A25,Data!$E:$BM,MATCH(yoy!$L$1,Data!$E$1:$BM$1,),))/VLOOKUP(A25,Data!$E:$BM,MATCH(yoy!$L$1,Data!$E$1:$BM$1,),))+1)^12-1</f>
        <v>0.11754958777612967</v>
      </c>
      <c r="M25" s="14">
        <f>(((VLOOKUP(B25,Data!$E:$BM,MATCH(yoy!$M$1,Data!$E$1:$BM$1,),)-VLOOKUP(A25,Data!$E:$BM,MATCH(yoy!$M$1,Data!$E$1:$BM$1,),))/VLOOKUP(A25,Data!$E:$BM,MATCH(yoy!$M$1,Data!$E$1:$BM$1,),))+1)^12-1</f>
        <v>0.18000122963293985</v>
      </c>
      <c r="N25" s="14">
        <f>(((VLOOKUP(B25,Data!$E:$BM,MATCH(yoy!$N$1,Data!$E$1:$BM$1,),)-VLOOKUP(A25,Data!$E:$BM,MATCH(yoy!$N$1,Data!$E$1:$BM$1,),))/VLOOKUP(A25,Data!$E:$BM,MATCH(yoy!$N$1,Data!$E$1:$BM$1,),))+1)^12-1</f>
        <v>-4.5330135777814751E-2</v>
      </c>
      <c r="O25" s="14">
        <f>(((VLOOKUP(B25,Data!$E:$BM,MATCH(yoy!$O$1,Data!$E$1:$BM$1,),)-VLOOKUP(A25,Data!$E:$BM,MATCH(yoy!$O$1,Data!$E$1:$BM$1,),))/VLOOKUP(A25,Data!$E:$BM,MATCH(yoy!$O$1,Data!$E$1:$BM$1,),))+1)^12-1</f>
        <v>0.14528978597962294</v>
      </c>
      <c r="P25" s="14">
        <f>(((VLOOKUP(B25,Data!$E:$BM,MATCH(yoy!$P$1,Data!$E$1:$BM$1,),)-VLOOKUP(A25,Data!$E:$BM,MATCH(yoy!$P$1,Data!$E$1:$BM$1,),))/VLOOKUP(A25,Data!$E:$BM,MATCH(yoy!$P$1,Data!$E$1:$BM$1,),))+1)^12-1</f>
        <v>8.1562340674735001E-2</v>
      </c>
      <c r="Q25" s="14">
        <f>(((VLOOKUP(B25,Data!$E:$BM,MATCH(yoy!$Q$1,Data!$E$1:$BM$1,),)-VLOOKUP(A25,Data!$E:$BM,MATCH(yoy!$Q$1,Data!$E$1:$BM$1,),))/VLOOKUP(A25,Data!$E:$BM,MATCH(yoy!$Q$1,Data!$E$1:$BM$1,),))+1)^12-1</f>
        <v>3.9720925349375769E-2</v>
      </c>
      <c r="R25" s="14">
        <f>(((VLOOKUP(B25,Data!$E:$BM,MATCH(yoy!$R$1,Data!$E$1:$BM$1,),)-VLOOKUP(A25,Data!$E:$BM,MATCH(yoy!$R$1,Data!$E$1:$BM$1,),))/VLOOKUP(A25,Data!$E:$BM,MATCH(yoy!$R$1,Data!$E$1:$BM$1,),))+1)^12-1</f>
        <v>-1.0459709499554548E-2</v>
      </c>
      <c r="S25" s="14">
        <f>(((VLOOKUP(B25,Data!$E:$BM,MATCH(yoy!$S$1,Data!$E$1:$BM$1,),)-VLOOKUP(A25,Data!$E:$BM,MATCH(yoy!$S$1,Data!$E$1:$BM$1,),))/VLOOKUP(A25,Data!$E:$BM,MATCH(yoy!$S$1,Data!$E$1:$BM$1,),))+1)^12-1</f>
        <v>4.5578416711857583E-2</v>
      </c>
      <c r="T25" s="14">
        <f>(((VLOOKUP(B25,Data!$E:$BM,MATCH(yoy!$T$1,Data!$E$1:$BM$1,),)-VLOOKUP(A25,Data!$E:$BM,MATCH(yoy!$T$1,Data!$E$1:$BM$1,),))/VLOOKUP(A25,Data!$E:$BM,MATCH(yoy!$T$1,Data!$E$1:$BM$1,),))+1)^12-1</f>
        <v>0.10827133959001745</v>
      </c>
      <c r="U25" s="14">
        <f>(((VLOOKUP(B25,Data!$E:$BM,MATCH(yoy!$U$1,Data!$E$1:$BM$1,),)-VLOOKUP(A25,Data!$E:$BM,MATCH(yoy!$U$1,Data!$E$1:$BM$1,),))/VLOOKUP(A25,Data!$E:$BM,MATCH(yoy!$U$1,Data!$E$1:$BM$1,),))+1)^12-1</f>
        <v>-7.1693332688838152E-2</v>
      </c>
      <c r="V25" s="14">
        <f>(((VLOOKUP(B25,Data!$E:$BM,MATCH(yoy!$V$1,Data!$E$1:$BM$1,),)-VLOOKUP(A25,Data!$E:$BM,MATCH(yoy!$V$1,Data!$E$1:$BM$1,),))/VLOOKUP(A25,Data!$E:$BM,MATCH(yoy!$V$1,Data!$E$1:$BM$1,),))+1)^12-1</f>
        <v>-5.210420145562944E-3</v>
      </c>
      <c r="W25" s="14">
        <f>(((VLOOKUP(B25,Data!$E:$BM,MATCH(yoy!$W$1,Data!$E$1:$BM$1,),)-VLOOKUP(A25,Data!$E:$BM,MATCH(yoy!$W$1,Data!$E$1:$BM$1,),))/VLOOKUP(A25,Data!$E:$BM,MATCH(yoy!$W$1,Data!$E$1:$BM$1,),))+1)^12-1</f>
        <v>9.3260080163259262E-2</v>
      </c>
      <c r="X25" s="14">
        <f>(((VLOOKUP(B25,Data!$E:$BM,MATCH(yoy!$X$1,Data!$E$1:$BM$1,),)-VLOOKUP(A25,Data!$E:$BM,MATCH(yoy!$X$1,Data!$E$1:$BM$1,),))/VLOOKUP(A25,Data!$E:$BM,MATCH(yoy!$X$1,Data!$E$1:$BM$1,),))+1)^12-1</f>
        <v>6.5884383672323521E-2</v>
      </c>
      <c r="Y25" s="14">
        <f>(((VLOOKUP(B25,Data!$E:$BM,MATCH(yoy!$Y$1,Data!$E$1:$BM$1,),)-VLOOKUP(A25,Data!$E:$BM,MATCH(yoy!$Y$1,Data!$E$1:$BM$1,),))/VLOOKUP(A25,Data!$E:$BM,MATCH(yoy!$Y$1,Data!$E$1:$BM$1,),))+1)^12-1</f>
        <v>1.2612642925201811E-2</v>
      </c>
      <c r="Z25" s="14">
        <f>(((VLOOKUP(B25,Data!$E:$BM,MATCH(yoy!$Z$1,Data!$E$1:$BM$1,),)-VLOOKUP(A25,Data!$E:$BM,MATCH(yoy!$Z$1,Data!$E$1:$BM$1,),))/VLOOKUP(A25,Data!$E:$BM,MATCH(yoy!$Z$1,Data!$E$1:$BM$1,),))+1)^12-1</f>
        <v>5.4483005931657891E-2</v>
      </c>
      <c r="AA25" s="14">
        <f>(((VLOOKUP(B25,Data!$E:$BM,MATCH(yoy!$AA$1,Data!$E$1:$BM$1,),)-VLOOKUP(A25,Data!$E:$BM,MATCH(yoy!$AA$1,Data!$E$1:$BM$1,),))/VLOOKUP(A25,Data!$E:$BM,MATCH(yoy!$AA$1,Data!$E$1:$BM$1,),))+1)^12-1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(((VLOOKUP(B26,Data!$E:$BM,MATCH(yoy!$C$1,Data!$E$1:$BM$1,),)-VLOOKUP(A26,Data!$E:$BM,MATCH(yoy!$C$1,Data!$E$1:$BM$1,),))/VLOOKUP(A26,Data!$E:$BM,MATCH(yoy!$C$1,Data!$E$1:$BM$1,),))+1)^12-1</f>
        <v>7.2478233298297834E-2</v>
      </c>
      <c r="D26" s="14">
        <f>(((VLOOKUP(B26,Data!$E:$BM,MATCH(yoy!$D$1,Data!$E$1:$BM$1,),)-VLOOKUP(A26,Data!$E:$BM,MATCH(yoy!$D$1,Data!$E$1:$BM$1,),))/VLOOKUP(A26,Data!$E:$BM,MATCH(yoy!$D$1,Data!$E$1:$BM$1,),))+1)^12-1</f>
        <v>6.5038071676897458E-2</v>
      </c>
      <c r="E26" s="14">
        <f>(((VLOOKUP(B26,Data!$E:$BM,MATCH(yoy!$E$1,Data!$E$1:$BM$1,),)-VLOOKUP(A26,Data!$E:$BM,MATCH(yoy!$E$1,Data!$E$1:$BM$1,),))/VLOOKUP(A26,Data!$E:$BM,MATCH(yoy!$E$1,Data!$E$1:$BM$1,),))+1)^12-1</f>
        <v>0.1155315143968525</v>
      </c>
      <c r="F26" s="14">
        <f>(((VLOOKUP(B26,Data!$E:$BM,MATCH(yoy!$F$1,Data!$E$1:$BM$1,),)-VLOOKUP(A26,Data!$E:$BM,MATCH(yoy!$F$1,Data!$E$1:$BM$1,),))/VLOOKUP(A26,Data!$E:$BM,MATCH(yoy!$F$1,Data!$E$1:$BM$1,),))+1)^12-1</f>
        <v>1.8794633644628078E-2</v>
      </c>
      <c r="G26" s="14">
        <f>(((VLOOKUP(B26,Data!$E:$BM,MATCH(yoy!$G$1,Data!$E$1:$BM$1,),)-VLOOKUP(A26,Data!$E:$BM,MATCH(yoy!$G$1,Data!$E$1:$BM$1,),))/VLOOKUP(A26,Data!$E:$BM,MATCH(yoy!$G$1,Data!$E$1:$BM$1,),))+1)^12-1</f>
        <v>3.3855873132446312E-2</v>
      </c>
      <c r="H26" s="14">
        <f>(((VLOOKUP(B26,Data!$E:$BM,MATCH(yoy!$H$1,Data!$E$1:$BM$1,),)-VLOOKUP(A26,Data!$E:$BM,MATCH(yoy!$H$1,Data!$E$1:$BM$1,),))/VLOOKUP(A26,Data!$E:$BM,MATCH(yoy!$H$1,Data!$E$1:$BM$1,),))+1)^12-1</f>
        <v>0.120533928802107</v>
      </c>
      <c r="I26" s="14">
        <f>(((VLOOKUP(B26,Data!$E:$BM,MATCH(yoy!$I$1,Data!$E$1:$BM$1,),)-VLOOKUP(A26,Data!$E:$BM,MATCH(yoy!$I$1,Data!$E$1:$BM$1,),))/VLOOKUP(A26,Data!$E:$BM,MATCH(yoy!$I$1,Data!$E$1:$BM$1,),))+1)^12-1</f>
        <v>2.9416632166415768E-2</v>
      </c>
      <c r="J26" s="14">
        <f>(((VLOOKUP(B26,Data!$E:$BM,MATCH(yoy!$J$1,Data!$E$1:$BM$1,),)-VLOOKUP(A26,Data!$E:$BM,MATCH(yoy!$J$1,Data!$E$1:$BM$1,),))/VLOOKUP(A26,Data!$E:$BM,MATCH(yoy!$J$1,Data!$E$1:$BM$1,),))+1)^12-1</f>
        <v>6.9474366138097432E-2</v>
      </c>
      <c r="K26" s="14">
        <f>(((VLOOKUP(B26,Data!$E:$BM,MATCH(yoy!$K$1,Data!$E$1:$BM$1,),)-VLOOKUP(A26,Data!$E:$BM,MATCH(yoy!$K$1,Data!$E$1:$BM$1,),))/VLOOKUP(A26,Data!$E:$BM,MATCH(yoy!$K$1,Data!$E$1:$BM$1,),))+1)^12-1</f>
        <v>5.9965485901641857E-2</v>
      </c>
      <c r="L26" s="14">
        <f>(((VLOOKUP(B26,Data!$E:$BM,MATCH(yoy!$L$1,Data!$E$1:$BM$1,),)-VLOOKUP(A26,Data!$E:$BM,MATCH(yoy!$L$1,Data!$E$1:$BM$1,),))/VLOOKUP(A26,Data!$E:$BM,MATCH(yoy!$L$1,Data!$E$1:$BM$1,),))+1)^12-1</f>
        <v>8.8119877560395965E-2</v>
      </c>
      <c r="M26" s="14">
        <f>(((VLOOKUP(B26,Data!$E:$BM,MATCH(yoy!$M$1,Data!$E$1:$BM$1,),)-VLOOKUP(A26,Data!$E:$BM,MATCH(yoy!$M$1,Data!$E$1:$BM$1,),))/VLOOKUP(A26,Data!$E:$BM,MATCH(yoy!$M$1,Data!$E$1:$BM$1,),))+1)^12-1</f>
        <v>0.11659967701572027</v>
      </c>
      <c r="N26" s="14">
        <f>(((VLOOKUP(B26,Data!$E:$BM,MATCH(yoy!$N$1,Data!$E$1:$BM$1,),)-VLOOKUP(A26,Data!$E:$BM,MATCH(yoy!$N$1,Data!$E$1:$BM$1,),))/VLOOKUP(A26,Data!$E:$BM,MATCH(yoy!$N$1,Data!$E$1:$BM$1,),))+1)^12-1</f>
        <v>-2.7655788696208994E-2</v>
      </c>
      <c r="O26" s="14">
        <f>(((VLOOKUP(B26,Data!$E:$BM,MATCH(yoy!$O$1,Data!$E$1:$BM$1,),)-VLOOKUP(A26,Data!$E:$BM,MATCH(yoy!$O$1,Data!$E$1:$BM$1,),))/VLOOKUP(A26,Data!$E:$BM,MATCH(yoy!$O$1,Data!$E$1:$BM$1,),))+1)^12-1</f>
        <v>0.11690335040163169</v>
      </c>
      <c r="P26" s="14">
        <f>(((VLOOKUP(B26,Data!$E:$BM,MATCH(yoy!$P$1,Data!$E$1:$BM$1,),)-VLOOKUP(A26,Data!$E:$BM,MATCH(yoy!$P$1,Data!$E$1:$BM$1,),))/VLOOKUP(A26,Data!$E:$BM,MATCH(yoy!$P$1,Data!$E$1:$BM$1,),))+1)^12-1</f>
        <v>9.1308607307066803E-2</v>
      </c>
      <c r="Q26" s="14">
        <f>(((VLOOKUP(B26,Data!$E:$BM,MATCH(yoy!$Q$1,Data!$E$1:$BM$1,),)-VLOOKUP(A26,Data!$E:$BM,MATCH(yoy!$Q$1,Data!$E$1:$BM$1,),))/VLOOKUP(A26,Data!$E:$BM,MATCH(yoy!$Q$1,Data!$E$1:$BM$1,),))+1)^12-1</f>
        <v>5.1683039038336487E-2</v>
      </c>
      <c r="R26" s="14">
        <f>(((VLOOKUP(B26,Data!$E:$BM,MATCH(yoy!$R$1,Data!$E$1:$BM$1,),)-VLOOKUP(A26,Data!$E:$BM,MATCH(yoy!$R$1,Data!$E$1:$BM$1,),))/VLOOKUP(A26,Data!$E:$BM,MATCH(yoy!$R$1,Data!$E$1:$BM$1,),))+1)^12-1</f>
        <v>4.729838729435798E-2</v>
      </c>
      <c r="S26" s="14">
        <f>(((VLOOKUP(B26,Data!$E:$BM,MATCH(yoy!$S$1,Data!$E$1:$BM$1,),)-VLOOKUP(A26,Data!$E:$BM,MATCH(yoy!$S$1,Data!$E$1:$BM$1,),))/VLOOKUP(A26,Data!$E:$BM,MATCH(yoy!$S$1,Data!$E$1:$BM$1,),))+1)^12-1</f>
        <v>4.7992524971388173E-2</v>
      </c>
      <c r="T26" s="14">
        <f>(((VLOOKUP(B26,Data!$E:$BM,MATCH(yoy!$T$1,Data!$E$1:$BM$1,),)-VLOOKUP(A26,Data!$E:$BM,MATCH(yoy!$T$1,Data!$E$1:$BM$1,),))/VLOOKUP(A26,Data!$E:$BM,MATCH(yoy!$T$1,Data!$E$1:$BM$1,),))+1)^12-1</f>
        <v>9.1771702190806437E-2</v>
      </c>
      <c r="U26" s="14">
        <f>(((VLOOKUP(B26,Data!$E:$BM,MATCH(yoy!$U$1,Data!$E$1:$BM$1,),)-VLOOKUP(A26,Data!$E:$BM,MATCH(yoy!$U$1,Data!$E$1:$BM$1,),))/VLOOKUP(A26,Data!$E:$BM,MATCH(yoy!$U$1,Data!$E$1:$BM$1,),))+1)^12-1</f>
        <v>-6.3820349228944862E-2</v>
      </c>
      <c r="V26" s="14">
        <f>(((VLOOKUP(B26,Data!$E:$BM,MATCH(yoy!$V$1,Data!$E$1:$BM$1,),)-VLOOKUP(A26,Data!$E:$BM,MATCH(yoy!$V$1,Data!$E$1:$BM$1,),))/VLOOKUP(A26,Data!$E:$BM,MATCH(yoy!$V$1,Data!$E$1:$BM$1,),))+1)^12-1</f>
        <v>4.4340905640820827E-2</v>
      </c>
      <c r="W26" s="14">
        <f>(((VLOOKUP(B26,Data!$E:$BM,MATCH(yoy!$W$1,Data!$E$1:$BM$1,),)-VLOOKUP(A26,Data!$E:$BM,MATCH(yoy!$W$1,Data!$E$1:$BM$1,),))/VLOOKUP(A26,Data!$E:$BM,MATCH(yoy!$W$1,Data!$E$1:$BM$1,),))+1)^12-1</f>
        <v>0.19973849749019457</v>
      </c>
      <c r="X26" s="14">
        <f>(((VLOOKUP(B26,Data!$E:$BM,MATCH(yoy!$X$1,Data!$E$1:$BM$1,),)-VLOOKUP(A26,Data!$E:$BM,MATCH(yoy!$X$1,Data!$E$1:$BM$1,),))/VLOOKUP(A26,Data!$E:$BM,MATCH(yoy!$X$1,Data!$E$1:$BM$1,),))+1)^12-1</f>
        <v>0.17380157996552903</v>
      </c>
      <c r="Y26" s="14">
        <f>(((VLOOKUP(B26,Data!$E:$BM,MATCH(yoy!$Y$1,Data!$E$1:$BM$1,),)-VLOOKUP(A26,Data!$E:$BM,MATCH(yoy!$Y$1,Data!$E$1:$BM$1,),))/VLOOKUP(A26,Data!$E:$BM,MATCH(yoy!$Y$1,Data!$E$1:$BM$1,),))+1)^12-1</f>
        <v>8.075404786847229E-2</v>
      </c>
      <c r="Z26" s="14">
        <f>(((VLOOKUP(B26,Data!$E:$BM,MATCH(yoy!$Z$1,Data!$E$1:$BM$1,),)-VLOOKUP(A26,Data!$E:$BM,MATCH(yoy!$Z$1,Data!$E$1:$BM$1,),))/VLOOKUP(A26,Data!$E:$BM,MATCH(yoy!$Z$1,Data!$E$1:$BM$1,),))+1)^12-1</f>
        <v>6.4501603120485251E-2</v>
      </c>
      <c r="AA26" s="14">
        <f>(((VLOOKUP(B26,Data!$E:$BM,MATCH(yoy!$AA$1,Data!$E$1:$BM$1,),)-VLOOKUP(A26,Data!$E:$BM,MATCH(yoy!$AA$1,Data!$E$1:$BM$1,),))/VLOOKUP(A26,Data!$E:$BM,MATCH(yoy!$AA$1,Data!$E$1:$BM$1,),))+1)^12-1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(((VLOOKUP(B27,Data!$E:$BM,MATCH(yoy!$C$1,Data!$E$1:$BM$1,),)-VLOOKUP(A27,Data!$E:$BM,MATCH(yoy!$C$1,Data!$E$1:$BM$1,),))/VLOOKUP(A27,Data!$E:$BM,MATCH(yoy!$C$1,Data!$E$1:$BM$1,),))+1)^12-1</f>
        <v>7.3090608158716153E-2</v>
      </c>
      <c r="D27" s="14">
        <f>(((VLOOKUP(B27,Data!$E:$BM,MATCH(yoy!$D$1,Data!$E$1:$BM$1,),)-VLOOKUP(A27,Data!$E:$BM,MATCH(yoy!$D$1,Data!$E$1:$BM$1,),))/VLOOKUP(A27,Data!$E:$BM,MATCH(yoy!$D$1,Data!$E$1:$BM$1,),))+1)^12-1</f>
        <v>6.6335005151894721E-2</v>
      </c>
      <c r="E27" s="14">
        <f>(((VLOOKUP(B27,Data!$E:$BM,MATCH(yoy!$E$1,Data!$E$1:$BM$1,),)-VLOOKUP(A27,Data!$E:$BM,MATCH(yoy!$E$1,Data!$E$1:$BM$1,),))/VLOOKUP(A27,Data!$E:$BM,MATCH(yoy!$E$1,Data!$E$1:$BM$1,),))+1)^12-1</f>
        <v>0.11186961111947435</v>
      </c>
      <c r="F27" s="14">
        <f>(((VLOOKUP(B27,Data!$E:$BM,MATCH(yoy!$F$1,Data!$E$1:$BM$1,),)-VLOOKUP(A27,Data!$E:$BM,MATCH(yoy!$F$1,Data!$E$1:$BM$1,),))/VLOOKUP(A27,Data!$E:$BM,MATCH(yoy!$F$1,Data!$E$1:$BM$1,),))+1)^12-1</f>
        <v>7.0049520232962514E-2</v>
      </c>
      <c r="G27" s="14">
        <f>(((VLOOKUP(B27,Data!$E:$BM,MATCH(yoy!$G$1,Data!$E$1:$BM$1,),)-VLOOKUP(A27,Data!$E:$BM,MATCH(yoy!$G$1,Data!$E$1:$BM$1,),))/VLOOKUP(A27,Data!$E:$BM,MATCH(yoy!$G$1,Data!$E$1:$BM$1,),))+1)^12-1</f>
        <v>4.2437542539784934E-2</v>
      </c>
      <c r="H27" s="14">
        <f>(((VLOOKUP(B27,Data!$E:$BM,MATCH(yoy!$H$1,Data!$E$1:$BM$1,),)-VLOOKUP(A27,Data!$E:$BM,MATCH(yoy!$H$1,Data!$E$1:$BM$1,),))/VLOOKUP(A27,Data!$E:$BM,MATCH(yoy!$H$1,Data!$E$1:$BM$1,),))+1)^12-1</f>
        <v>5.7555709930923182E-2</v>
      </c>
      <c r="I27" s="14">
        <f>(((VLOOKUP(B27,Data!$E:$BM,MATCH(yoy!$I$1,Data!$E$1:$BM$1,),)-VLOOKUP(A27,Data!$E:$BM,MATCH(yoy!$I$1,Data!$E$1:$BM$1,),))/VLOOKUP(A27,Data!$E:$BM,MATCH(yoy!$I$1,Data!$E$1:$BM$1,),))+1)^12-1</f>
        <v>1.7842318026068504E-2</v>
      </c>
      <c r="J27" s="14">
        <f>(((VLOOKUP(B27,Data!$E:$BM,MATCH(yoy!$J$1,Data!$E$1:$BM$1,),)-VLOOKUP(A27,Data!$E:$BM,MATCH(yoy!$J$1,Data!$E$1:$BM$1,),))/VLOOKUP(A27,Data!$E:$BM,MATCH(yoy!$J$1,Data!$E$1:$BM$1,),))+1)^12-1</f>
        <v>0.12267044419637263</v>
      </c>
      <c r="K27" s="14">
        <f>(((VLOOKUP(B27,Data!$E:$BM,MATCH(yoy!$K$1,Data!$E$1:$BM$1,),)-VLOOKUP(A27,Data!$E:$BM,MATCH(yoy!$K$1,Data!$E$1:$BM$1,),))/VLOOKUP(A27,Data!$E:$BM,MATCH(yoy!$K$1,Data!$E$1:$BM$1,),))+1)^12-1</f>
        <v>3.5342472880056874E-2</v>
      </c>
      <c r="L27" s="14">
        <f>(((VLOOKUP(B27,Data!$E:$BM,MATCH(yoy!$L$1,Data!$E$1:$BM$1,),)-VLOOKUP(A27,Data!$E:$BM,MATCH(yoy!$L$1,Data!$E$1:$BM$1,),))/VLOOKUP(A27,Data!$E:$BM,MATCH(yoy!$L$1,Data!$E$1:$BM$1,),))+1)^12-1</f>
        <v>7.8129288434261923E-2</v>
      </c>
      <c r="M27" s="14">
        <f>(((VLOOKUP(B27,Data!$E:$BM,MATCH(yoy!$M$1,Data!$E$1:$BM$1,),)-VLOOKUP(A27,Data!$E:$BM,MATCH(yoy!$M$1,Data!$E$1:$BM$1,),))/VLOOKUP(A27,Data!$E:$BM,MATCH(yoy!$M$1,Data!$E$1:$BM$1,),))+1)^12-1</f>
        <v>2.6623422164968602E-3</v>
      </c>
      <c r="N27" s="14">
        <f>(((VLOOKUP(B27,Data!$E:$BM,MATCH(yoy!$N$1,Data!$E$1:$BM$1,),)-VLOOKUP(A27,Data!$E:$BM,MATCH(yoy!$N$1,Data!$E$1:$BM$1,),))/VLOOKUP(A27,Data!$E:$BM,MATCH(yoy!$N$1,Data!$E$1:$BM$1,),))+1)^12-1</f>
        <v>1.432671480970038E-2</v>
      </c>
      <c r="O27" s="14">
        <f>(((VLOOKUP(B27,Data!$E:$BM,MATCH(yoy!$O$1,Data!$E$1:$BM$1,),)-VLOOKUP(A27,Data!$E:$BM,MATCH(yoy!$O$1,Data!$E$1:$BM$1,),))/VLOOKUP(A27,Data!$E:$BM,MATCH(yoy!$O$1,Data!$E$1:$BM$1,),))+1)^12-1</f>
        <v>5.0477605038532269E-2</v>
      </c>
      <c r="P27" s="14">
        <f>(((VLOOKUP(B27,Data!$E:$BM,MATCH(yoy!$P$1,Data!$E$1:$BM$1,),)-VLOOKUP(A27,Data!$E:$BM,MATCH(yoy!$P$1,Data!$E$1:$BM$1,),))/VLOOKUP(A27,Data!$E:$BM,MATCH(yoy!$P$1,Data!$E$1:$BM$1,),))+1)^12-1</f>
        <v>3.7635107486655883E-2</v>
      </c>
      <c r="Q27" s="14">
        <f>(((VLOOKUP(B27,Data!$E:$BM,MATCH(yoy!$Q$1,Data!$E$1:$BM$1,),)-VLOOKUP(A27,Data!$E:$BM,MATCH(yoy!$Q$1,Data!$E$1:$BM$1,),))/VLOOKUP(A27,Data!$E:$BM,MATCH(yoy!$Q$1,Data!$E$1:$BM$1,),))+1)^12-1</f>
        <v>9.2058175829502931E-2</v>
      </c>
      <c r="R27" s="14">
        <f>(((VLOOKUP(B27,Data!$E:$BM,MATCH(yoy!$R$1,Data!$E$1:$BM$1,),)-VLOOKUP(A27,Data!$E:$BM,MATCH(yoy!$R$1,Data!$E$1:$BM$1,),))/VLOOKUP(A27,Data!$E:$BM,MATCH(yoy!$R$1,Data!$E$1:$BM$1,),))+1)^12-1</f>
        <v>0.20364213153639876</v>
      </c>
      <c r="S27" s="14">
        <f>(((VLOOKUP(B27,Data!$E:$BM,MATCH(yoy!$S$1,Data!$E$1:$BM$1,),)-VLOOKUP(A27,Data!$E:$BM,MATCH(yoy!$S$1,Data!$E$1:$BM$1,),))/VLOOKUP(A27,Data!$E:$BM,MATCH(yoy!$S$1,Data!$E$1:$BM$1,),))+1)^12-1</f>
        <v>3.0433951168277629E-2</v>
      </c>
      <c r="T27" s="14">
        <f>(((VLOOKUP(B27,Data!$E:$BM,MATCH(yoy!$T$1,Data!$E$1:$BM$1,),)-VLOOKUP(A27,Data!$E:$BM,MATCH(yoy!$T$1,Data!$E$1:$BM$1,),))/VLOOKUP(A27,Data!$E:$BM,MATCH(yoy!$T$1,Data!$E$1:$BM$1,),))+1)^12-1</f>
        <v>8.5379338902384916E-2</v>
      </c>
      <c r="U27" s="14">
        <f>(((VLOOKUP(B27,Data!$E:$BM,MATCH(yoy!$U$1,Data!$E$1:$BM$1,),)-VLOOKUP(A27,Data!$E:$BM,MATCH(yoy!$U$1,Data!$E$1:$BM$1,),))/VLOOKUP(A27,Data!$E:$BM,MATCH(yoy!$U$1,Data!$E$1:$BM$1,),))+1)^12-1</f>
        <v>6.8459659313453436E-3</v>
      </c>
      <c r="V27" s="14">
        <f>(((VLOOKUP(B27,Data!$E:$BM,MATCH(yoy!$V$1,Data!$E$1:$BM$1,),)-VLOOKUP(A27,Data!$E:$BM,MATCH(yoy!$V$1,Data!$E$1:$BM$1,),))/VLOOKUP(A27,Data!$E:$BM,MATCH(yoy!$V$1,Data!$E$1:$BM$1,),))+1)^12-1</f>
        <v>5.7452716141293214E-2</v>
      </c>
      <c r="W27" s="14">
        <f>(((VLOOKUP(B27,Data!$E:$BM,MATCH(yoy!$W$1,Data!$E$1:$BM$1,),)-VLOOKUP(A27,Data!$E:$BM,MATCH(yoy!$W$1,Data!$E$1:$BM$1,),))/VLOOKUP(A27,Data!$E:$BM,MATCH(yoy!$W$1,Data!$E$1:$BM$1,),))+1)^12-1</f>
        <v>0.36381124531635844</v>
      </c>
      <c r="X27" s="14">
        <f>(((VLOOKUP(B27,Data!$E:$BM,MATCH(yoy!$X$1,Data!$E$1:$BM$1,),)-VLOOKUP(A27,Data!$E:$BM,MATCH(yoy!$X$1,Data!$E$1:$BM$1,),))/VLOOKUP(A27,Data!$E:$BM,MATCH(yoy!$X$1,Data!$E$1:$BM$1,),))+1)^12-1</f>
        <v>7.7103193068949638E-2</v>
      </c>
      <c r="Y27" s="14">
        <f>(((VLOOKUP(B27,Data!$E:$BM,MATCH(yoy!$Y$1,Data!$E$1:$BM$1,),)-VLOOKUP(A27,Data!$E:$BM,MATCH(yoy!$Y$1,Data!$E$1:$BM$1,),))/VLOOKUP(A27,Data!$E:$BM,MATCH(yoy!$Y$1,Data!$E$1:$BM$1,),))+1)^12-1</f>
        <v>9.5061002439009945E-2</v>
      </c>
      <c r="Z27" s="14">
        <f>(((VLOOKUP(B27,Data!$E:$BM,MATCH(yoy!$Z$1,Data!$E$1:$BM$1,),)-VLOOKUP(A27,Data!$E:$BM,MATCH(yoy!$Z$1,Data!$E$1:$BM$1,),))/VLOOKUP(A27,Data!$E:$BM,MATCH(yoy!$Z$1,Data!$E$1:$BM$1,),))+1)^12-1</f>
        <v>0.15359181712170411</v>
      </c>
      <c r="AA27" s="14">
        <f>(((VLOOKUP(B27,Data!$E:$BM,MATCH(yoy!$AA$1,Data!$E$1:$BM$1,),)-VLOOKUP(A27,Data!$E:$BM,MATCH(yoy!$AA$1,Data!$E$1:$BM$1,),))/VLOOKUP(A27,Data!$E:$BM,MATCH(yoy!$AA$1,Data!$E$1:$BM$1,),))+1)^12-1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(((VLOOKUP(B28,Data!$E:$BM,MATCH(yoy!$C$1,Data!$E$1:$BM$1,),)-VLOOKUP(A28,Data!$E:$BM,MATCH(yoy!$C$1,Data!$E$1:$BM$1,),))/VLOOKUP(A28,Data!$E:$BM,MATCH(yoy!$C$1,Data!$E$1:$BM$1,),))+1)^12-1</f>
        <v>5.5506544026620253E-2</v>
      </c>
      <c r="D28" s="14">
        <f>(((VLOOKUP(B28,Data!$E:$BM,MATCH(yoy!$D$1,Data!$E$1:$BM$1,),)-VLOOKUP(A28,Data!$E:$BM,MATCH(yoy!$D$1,Data!$E$1:$BM$1,),))/VLOOKUP(A28,Data!$E:$BM,MATCH(yoy!$D$1,Data!$E$1:$BM$1,),))+1)^12-1</f>
        <v>2.7028277306652582E-2</v>
      </c>
      <c r="E28" s="14">
        <f>(((VLOOKUP(B28,Data!$E:$BM,MATCH(yoy!$E$1,Data!$E$1:$BM$1,),)-VLOOKUP(A28,Data!$E:$BM,MATCH(yoy!$E$1,Data!$E$1:$BM$1,),))/VLOOKUP(A28,Data!$E:$BM,MATCH(yoy!$E$1,Data!$E$1:$BM$1,),))+1)^12-1</f>
        <v>0.10305701002805656</v>
      </c>
      <c r="F28" s="14">
        <f>(((VLOOKUP(B28,Data!$E:$BM,MATCH(yoy!$F$1,Data!$E$1:$BM$1,),)-VLOOKUP(A28,Data!$E:$BM,MATCH(yoy!$F$1,Data!$E$1:$BM$1,),))/VLOOKUP(A28,Data!$E:$BM,MATCH(yoy!$F$1,Data!$E$1:$BM$1,),))+1)^12-1</f>
        <v>8.1362665816951951E-2</v>
      </c>
      <c r="G28" s="14">
        <f>(((VLOOKUP(B28,Data!$E:$BM,MATCH(yoy!$G$1,Data!$E$1:$BM$1,),)-VLOOKUP(A28,Data!$E:$BM,MATCH(yoy!$G$1,Data!$E$1:$BM$1,),))/VLOOKUP(A28,Data!$E:$BM,MATCH(yoy!$G$1,Data!$E$1:$BM$1,),))+1)^12-1</f>
        <v>4.0912188589431908E-2</v>
      </c>
      <c r="H28" s="14">
        <f>(((VLOOKUP(B28,Data!$E:$BM,MATCH(yoy!$H$1,Data!$E$1:$BM$1,),)-VLOOKUP(A28,Data!$E:$BM,MATCH(yoy!$H$1,Data!$E$1:$BM$1,),))/VLOOKUP(A28,Data!$E:$BM,MATCH(yoy!$H$1,Data!$E$1:$BM$1,),))+1)^12-1</f>
        <v>-6.5377636182492038E-3</v>
      </c>
      <c r="I28" s="14">
        <f>(((VLOOKUP(B28,Data!$E:$BM,MATCH(yoy!$I$1,Data!$E$1:$BM$1,),)-VLOOKUP(A28,Data!$E:$BM,MATCH(yoy!$I$1,Data!$E$1:$BM$1,),))/VLOOKUP(A28,Data!$E:$BM,MATCH(yoy!$I$1,Data!$E$1:$BM$1,),))+1)^12-1</f>
        <v>4.8225392167317693E-2</v>
      </c>
      <c r="J28" s="14">
        <f>(((VLOOKUP(B28,Data!$E:$BM,MATCH(yoy!$J$1,Data!$E$1:$BM$1,),)-VLOOKUP(A28,Data!$E:$BM,MATCH(yoy!$J$1,Data!$E$1:$BM$1,),))/VLOOKUP(A28,Data!$E:$BM,MATCH(yoy!$J$1,Data!$E$1:$BM$1,),))+1)^12-1</f>
        <v>5.5735515126345003E-2</v>
      </c>
      <c r="K28" s="14">
        <f>(((VLOOKUP(B28,Data!$E:$BM,MATCH(yoy!$K$1,Data!$E$1:$BM$1,),)-VLOOKUP(A28,Data!$E:$BM,MATCH(yoy!$K$1,Data!$E$1:$BM$1,),))/VLOOKUP(A28,Data!$E:$BM,MATCH(yoy!$K$1,Data!$E$1:$BM$1,),))+1)^12-1</f>
        <v>-1.5416898712684146E-2</v>
      </c>
      <c r="L28" s="14">
        <f>(((VLOOKUP(B28,Data!$E:$BM,MATCH(yoy!$L$1,Data!$E$1:$BM$1,),)-VLOOKUP(A28,Data!$E:$BM,MATCH(yoy!$L$1,Data!$E$1:$BM$1,),))/VLOOKUP(A28,Data!$E:$BM,MATCH(yoy!$L$1,Data!$E$1:$BM$1,),))+1)^12-1</f>
        <v>0.14581715005665941</v>
      </c>
      <c r="M28" s="14">
        <f>(((VLOOKUP(B28,Data!$E:$BM,MATCH(yoy!$M$1,Data!$E$1:$BM$1,),)-VLOOKUP(A28,Data!$E:$BM,MATCH(yoy!$M$1,Data!$E$1:$BM$1,),))/VLOOKUP(A28,Data!$E:$BM,MATCH(yoy!$M$1,Data!$E$1:$BM$1,),))+1)^12-1</f>
        <v>7.9748444277614183E-2</v>
      </c>
      <c r="N28" s="14">
        <f>(((VLOOKUP(B28,Data!$E:$BM,MATCH(yoy!$N$1,Data!$E$1:$BM$1,),)-VLOOKUP(A28,Data!$E:$BM,MATCH(yoy!$N$1,Data!$E$1:$BM$1,),))/VLOOKUP(A28,Data!$E:$BM,MATCH(yoy!$N$1,Data!$E$1:$BM$1,),))+1)^12-1</f>
        <v>-0.1691914340077465</v>
      </c>
      <c r="O28" s="14">
        <f>(((VLOOKUP(B28,Data!$E:$BM,MATCH(yoy!$O$1,Data!$E$1:$BM$1,),)-VLOOKUP(A28,Data!$E:$BM,MATCH(yoy!$O$1,Data!$E$1:$BM$1,),))/VLOOKUP(A28,Data!$E:$BM,MATCH(yoy!$O$1,Data!$E$1:$BM$1,),))+1)^12-1</f>
        <v>-0.12651411813133884</v>
      </c>
      <c r="P28" s="14">
        <f>(((VLOOKUP(B28,Data!$E:$BM,MATCH(yoy!$P$1,Data!$E$1:$BM$1,),)-VLOOKUP(A28,Data!$E:$BM,MATCH(yoy!$P$1,Data!$E$1:$BM$1,),))/VLOOKUP(A28,Data!$E:$BM,MATCH(yoy!$P$1,Data!$E$1:$BM$1,),))+1)^12-1</f>
        <v>7.3594253123911324E-2</v>
      </c>
      <c r="Q28" s="14">
        <f>(((VLOOKUP(B28,Data!$E:$BM,MATCH(yoy!$Q$1,Data!$E$1:$BM$1,),)-VLOOKUP(A28,Data!$E:$BM,MATCH(yoy!$Q$1,Data!$E$1:$BM$1,),))/VLOOKUP(A28,Data!$E:$BM,MATCH(yoy!$Q$1,Data!$E$1:$BM$1,),))+1)^12-1</f>
        <v>0.10963630653125955</v>
      </c>
      <c r="R28" s="14">
        <f>(((VLOOKUP(B28,Data!$E:$BM,MATCH(yoy!$R$1,Data!$E$1:$BM$1,),)-VLOOKUP(A28,Data!$E:$BM,MATCH(yoy!$R$1,Data!$E$1:$BM$1,),))/VLOOKUP(A28,Data!$E:$BM,MATCH(yoy!$R$1,Data!$E$1:$BM$1,),))+1)^12-1</f>
        <v>0.17375667917100501</v>
      </c>
      <c r="S28" s="14">
        <f>(((VLOOKUP(B28,Data!$E:$BM,MATCH(yoy!$S$1,Data!$E$1:$BM$1,),)-VLOOKUP(A28,Data!$E:$BM,MATCH(yoy!$S$1,Data!$E$1:$BM$1,),))/VLOOKUP(A28,Data!$E:$BM,MATCH(yoy!$S$1,Data!$E$1:$BM$1,),))+1)^12-1</f>
        <v>2.9085543943972558E-2</v>
      </c>
      <c r="T28" s="14">
        <f>(((VLOOKUP(B28,Data!$E:$BM,MATCH(yoy!$T$1,Data!$E$1:$BM$1,),)-VLOOKUP(A28,Data!$E:$BM,MATCH(yoy!$T$1,Data!$E$1:$BM$1,),))/VLOOKUP(A28,Data!$E:$BM,MATCH(yoy!$T$1,Data!$E$1:$BM$1,),))+1)^12-1</f>
        <v>5.0597131135712292E-2</v>
      </c>
      <c r="U28" s="14">
        <f>(((VLOOKUP(B28,Data!$E:$BM,MATCH(yoy!$U$1,Data!$E$1:$BM$1,),)-VLOOKUP(A28,Data!$E:$BM,MATCH(yoy!$U$1,Data!$E$1:$BM$1,),))/VLOOKUP(A28,Data!$E:$BM,MATCH(yoy!$U$1,Data!$E$1:$BM$1,),))+1)^12-1</f>
        <v>3.0278210595895638E-2</v>
      </c>
      <c r="V28" s="14">
        <f>(((VLOOKUP(B28,Data!$E:$BM,MATCH(yoy!$V$1,Data!$E$1:$BM$1,),)-VLOOKUP(A28,Data!$E:$BM,MATCH(yoy!$V$1,Data!$E$1:$BM$1,),))/VLOOKUP(A28,Data!$E:$BM,MATCH(yoy!$V$1,Data!$E$1:$BM$1,),))+1)^12-1</f>
        <v>4.1432456850583277E-2</v>
      </c>
      <c r="W28" s="14">
        <f>(((VLOOKUP(B28,Data!$E:$BM,MATCH(yoy!$W$1,Data!$E$1:$BM$1,),)-VLOOKUP(A28,Data!$E:$BM,MATCH(yoy!$W$1,Data!$E$1:$BM$1,),))/VLOOKUP(A28,Data!$E:$BM,MATCH(yoy!$W$1,Data!$E$1:$BM$1,),))+1)^12-1</f>
        <v>0.37823927347016428</v>
      </c>
      <c r="X28" s="14">
        <f>(((VLOOKUP(B28,Data!$E:$BM,MATCH(yoy!$X$1,Data!$E$1:$BM$1,),)-VLOOKUP(A28,Data!$E:$BM,MATCH(yoy!$X$1,Data!$E$1:$BM$1,),))/VLOOKUP(A28,Data!$E:$BM,MATCH(yoy!$X$1,Data!$E$1:$BM$1,),))+1)^12-1</f>
        <v>-7.0520325928354888E-3</v>
      </c>
      <c r="Y28" s="14">
        <f>(((VLOOKUP(B28,Data!$E:$BM,MATCH(yoy!$Y$1,Data!$E$1:$BM$1,),)-VLOOKUP(A28,Data!$E:$BM,MATCH(yoy!$Y$1,Data!$E$1:$BM$1,),))/VLOOKUP(A28,Data!$E:$BM,MATCH(yoy!$Y$1,Data!$E$1:$BM$1,),))+1)^12-1</f>
        <v>5.5380268422953627E-2</v>
      </c>
      <c r="Z28" s="14">
        <f>(((VLOOKUP(B28,Data!$E:$BM,MATCH(yoy!$Z$1,Data!$E$1:$BM$1,),)-VLOOKUP(A28,Data!$E:$BM,MATCH(yoy!$Z$1,Data!$E$1:$BM$1,),))/VLOOKUP(A28,Data!$E:$BM,MATCH(yoy!$Z$1,Data!$E$1:$BM$1,),))+1)^12-1</f>
        <v>4.6424662770639502E-2</v>
      </c>
      <c r="AA28" s="14">
        <f>(((VLOOKUP(B28,Data!$E:$BM,MATCH(yoy!$AA$1,Data!$E$1:$BM$1,),)-VLOOKUP(A28,Data!$E:$BM,MATCH(yoy!$AA$1,Data!$E$1:$BM$1,),))/VLOOKUP(A28,Data!$E:$BM,MATCH(yoy!$AA$1,Data!$E$1:$BM$1,),))+1)^12-1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(((VLOOKUP(B29,Data!$E:$BM,MATCH(yoy!$C$1,Data!$E$1:$BM$1,),)-VLOOKUP(A29,Data!$E:$BM,MATCH(yoy!$C$1,Data!$E$1:$BM$1,),))/VLOOKUP(A29,Data!$E:$BM,MATCH(yoy!$C$1,Data!$E$1:$BM$1,),))+1)^12-1</f>
        <v>7.0054749871745425E-2</v>
      </c>
      <c r="D29" s="14">
        <f>(((VLOOKUP(B29,Data!$E:$BM,MATCH(yoy!$D$1,Data!$E$1:$BM$1,),)-VLOOKUP(A29,Data!$E:$BM,MATCH(yoy!$D$1,Data!$E$1:$BM$1,),))/VLOOKUP(A29,Data!$E:$BM,MATCH(yoy!$D$1,Data!$E$1:$BM$1,),))+1)^12-1</f>
        <v>7.1808381482405759E-2</v>
      </c>
      <c r="E29" s="14">
        <f>(((VLOOKUP(B29,Data!$E:$BM,MATCH(yoy!$E$1,Data!$E$1:$BM$1,),)-VLOOKUP(A29,Data!$E:$BM,MATCH(yoy!$E$1,Data!$E$1:$BM$1,),))/VLOOKUP(A29,Data!$E:$BM,MATCH(yoy!$E$1,Data!$E$1:$BM$1,),))+1)^12-1</f>
        <v>0.10747207243578338</v>
      </c>
      <c r="F29" s="14">
        <f>(((VLOOKUP(B29,Data!$E:$BM,MATCH(yoy!$F$1,Data!$E$1:$BM$1,),)-VLOOKUP(A29,Data!$E:$BM,MATCH(yoy!$F$1,Data!$E$1:$BM$1,),))/VLOOKUP(A29,Data!$E:$BM,MATCH(yoy!$F$1,Data!$E$1:$BM$1,),))+1)^12-1</f>
        <v>4.1493291882491734E-2</v>
      </c>
      <c r="G29" s="14">
        <f>(((VLOOKUP(B29,Data!$E:$BM,MATCH(yoy!$G$1,Data!$E$1:$BM$1,),)-VLOOKUP(A29,Data!$E:$BM,MATCH(yoy!$G$1,Data!$E$1:$BM$1,),))/VLOOKUP(A29,Data!$E:$BM,MATCH(yoy!$G$1,Data!$E$1:$BM$1,),))+1)^12-1</f>
        <v>3.8654286640202207E-2</v>
      </c>
      <c r="H29" s="14">
        <f>(((VLOOKUP(B29,Data!$E:$BM,MATCH(yoy!$H$1,Data!$E$1:$BM$1,),)-VLOOKUP(A29,Data!$E:$BM,MATCH(yoy!$H$1,Data!$E$1:$BM$1,),))/VLOOKUP(A29,Data!$E:$BM,MATCH(yoy!$H$1,Data!$E$1:$BM$1,),))+1)^12-1</f>
        <v>5.2352784773693539E-2</v>
      </c>
      <c r="I29" s="14">
        <f>(((VLOOKUP(B29,Data!$E:$BM,MATCH(yoy!$I$1,Data!$E$1:$BM$1,),)-VLOOKUP(A29,Data!$E:$BM,MATCH(yoy!$I$1,Data!$E$1:$BM$1,),))/VLOOKUP(A29,Data!$E:$BM,MATCH(yoy!$I$1,Data!$E$1:$BM$1,),))+1)^12-1</f>
        <v>5.295134727422246E-2</v>
      </c>
      <c r="J29" s="14">
        <f>(((VLOOKUP(B29,Data!$E:$BM,MATCH(yoy!$J$1,Data!$E$1:$BM$1,),)-VLOOKUP(A29,Data!$E:$BM,MATCH(yoy!$J$1,Data!$E$1:$BM$1,),))/VLOOKUP(A29,Data!$E:$BM,MATCH(yoy!$J$1,Data!$E$1:$BM$1,),))+1)^12-1</f>
        <v>0.18148793919466755</v>
      </c>
      <c r="K29" s="14">
        <f>(((VLOOKUP(B29,Data!$E:$BM,MATCH(yoy!$K$1,Data!$E$1:$BM$1,),)-VLOOKUP(A29,Data!$E:$BM,MATCH(yoy!$K$1,Data!$E$1:$BM$1,),))/VLOOKUP(A29,Data!$E:$BM,MATCH(yoy!$K$1,Data!$E$1:$BM$1,),))+1)^12-1</f>
        <v>3.1645538099941195E-2</v>
      </c>
      <c r="L29" s="14">
        <f>(((VLOOKUP(B29,Data!$E:$BM,MATCH(yoy!$L$1,Data!$E$1:$BM$1,),)-VLOOKUP(A29,Data!$E:$BM,MATCH(yoy!$L$1,Data!$E$1:$BM$1,),))/VLOOKUP(A29,Data!$E:$BM,MATCH(yoy!$L$1,Data!$E$1:$BM$1,),))+1)^12-1</f>
        <v>0.15782851611191062</v>
      </c>
      <c r="M29" s="14">
        <f>(((VLOOKUP(B29,Data!$E:$BM,MATCH(yoy!$M$1,Data!$E$1:$BM$1,),)-VLOOKUP(A29,Data!$E:$BM,MATCH(yoy!$M$1,Data!$E$1:$BM$1,),))/VLOOKUP(A29,Data!$E:$BM,MATCH(yoy!$M$1,Data!$E$1:$BM$1,),))+1)^12-1</f>
        <v>4.5935039812041722E-2</v>
      </c>
      <c r="N29" s="14">
        <f>(((VLOOKUP(B29,Data!$E:$BM,MATCH(yoy!$N$1,Data!$E$1:$BM$1,),)-VLOOKUP(A29,Data!$E:$BM,MATCH(yoy!$N$1,Data!$E$1:$BM$1,),))/VLOOKUP(A29,Data!$E:$BM,MATCH(yoy!$N$1,Data!$E$1:$BM$1,),))+1)^12-1</f>
        <v>4.8086024073392686E-3</v>
      </c>
      <c r="O29" s="14">
        <f>(((VLOOKUP(B29,Data!$E:$BM,MATCH(yoy!$O$1,Data!$E$1:$BM$1,),)-VLOOKUP(A29,Data!$E:$BM,MATCH(yoy!$O$1,Data!$E$1:$BM$1,),))/VLOOKUP(A29,Data!$E:$BM,MATCH(yoy!$O$1,Data!$E$1:$BM$1,),))+1)^12-1</f>
        <v>-9.2583766793034261E-2</v>
      </c>
      <c r="P29" s="14">
        <f>(((VLOOKUP(B29,Data!$E:$BM,MATCH(yoy!$P$1,Data!$E$1:$BM$1,),)-VLOOKUP(A29,Data!$E:$BM,MATCH(yoy!$P$1,Data!$E$1:$BM$1,),))/VLOOKUP(A29,Data!$E:$BM,MATCH(yoy!$P$1,Data!$E$1:$BM$1,),))+1)^12-1</f>
        <v>3.1355223848238634E-2</v>
      </c>
      <c r="Q29" s="14">
        <f>(((VLOOKUP(B29,Data!$E:$BM,MATCH(yoy!$Q$1,Data!$E$1:$BM$1,),)-VLOOKUP(A29,Data!$E:$BM,MATCH(yoy!$Q$1,Data!$E$1:$BM$1,),))/VLOOKUP(A29,Data!$E:$BM,MATCH(yoy!$Q$1,Data!$E$1:$BM$1,),))+1)^12-1</f>
        <v>9.6538853023697468E-2</v>
      </c>
      <c r="R29" s="14">
        <f>(((VLOOKUP(B29,Data!$E:$BM,MATCH(yoy!$R$1,Data!$E$1:$BM$1,),)-VLOOKUP(A29,Data!$E:$BM,MATCH(yoy!$R$1,Data!$E$1:$BM$1,),))/VLOOKUP(A29,Data!$E:$BM,MATCH(yoy!$R$1,Data!$E$1:$BM$1,),))+1)^12-1</f>
        <v>0.11179806012242999</v>
      </c>
      <c r="S29" s="14">
        <f>(((VLOOKUP(B29,Data!$E:$BM,MATCH(yoy!$S$1,Data!$E$1:$BM$1,),)-VLOOKUP(A29,Data!$E:$BM,MATCH(yoy!$S$1,Data!$E$1:$BM$1,),))/VLOOKUP(A29,Data!$E:$BM,MATCH(yoy!$S$1,Data!$E$1:$BM$1,),))+1)^12-1</f>
        <v>8.1214229028067297E-2</v>
      </c>
      <c r="T29" s="14">
        <f>(((VLOOKUP(B29,Data!$E:$BM,MATCH(yoy!$T$1,Data!$E$1:$BM$1,),)-VLOOKUP(A29,Data!$E:$BM,MATCH(yoy!$T$1,Data!$E$1:$BM$1,),))/VLOOKUP(A29,Data!$E:$BM,MATCH(yoy!$T$1,Data!$E$1:$BM$1,),))+1)^12-1</f>
        <v>4.7448123653025753E-2</v>
      </c>
      <c r="U29" s="14">
        <f>(((VLOOKUP(B29,Data!$E:$BM,MATCH(yoy!$U$1,Data!$E$1:$BM$1,),)-VLOOKUP(A29,Data!$E:$BM,MATCH(yoy!$U$1,Data!$E$1:$BM$1,),))/VLOOKUP(A29,Data!$E:$BM,MATCH(yoy!$U$1,Data!$E$1:$BM$1,),))+1)^12-1</f>
        <v>-5.6773460986170532E-2</v>
      </c>
      <c r="V29" s="14">
        <f>(((VLOOKUP(B29,Data!$E:$BM,MATCH(yoy!$V$1,Data!$E$1:$BM$1,),)-VLOOKUP(A29,Data!$E:$BM,MATCH(yoy!$V$1,Data!$E$1:$BM$1,),))/VLOOKUP(A29,Data!$E:$BM,MATCH(yoy!$V$1,Data!$E$1:$BM$1,),))+1)^12-1</f>
        <v>7.1751773728301549E-2</v>
      </c>
      <c r="W29" s="14">
        <f>(((VLOOKUP(B29,Data!$E:$BM,MATCH(yoy!$W$1,Data!$E$1:$BM$1,),)-VLOOKUP(A29,Data!$E:$BM,MATCH(yoy!$W$1,Data!$E$1:$BM$1,),))/VLOOKUP(A29,Data!$E:$BM,MATCH(yoy!$W$1,Data!$E$1:$BM$1,),))+1)^12-1</f>
        <v>0.25245114124462331</v>
      </c>
      <c r="X29" s="14">
        <f>(((VLOOKUP(B29,Data!$E:$BM,MATCH(yoy!$X$1,Data!$E$1:$BM$1,),)-VLOOKUP(A29,Data!$E:$BM,MATCH(yoy!$X$1,Data!$E$1:$BM$1,),))/VLOOKUP(A29,Data!$E:$BM,MATCH(yoy!$X$1,Data!$E$1:$BM$1,),))+1)^12-1</f>
        <v>0.16693575504676006</v>
      </c>
      <c r="Y29" s="14">
        <f>(((VLOOKUP(B29,Data!$E:$BM,MATCH(yoy!$Y$1,Data!$E$1:$BM$1,),)-VLOOKUP(A29,Data!$E:$BM,MATCH(yoy!$Y$1,Data!$E$1:$BM$1,),))/VLOOKUP(A29,Data!$E:$BM,MATCH(yoy!$Y$1,Data!$E$1:$BM$1,),))+1)^12-1</f>
        <v>6.7308957401923664E-2</v>
      </c>
      <c r="Z29" s="14">
        <f>(((VLOOKUP(B29,Data!$E:$BM,MATCH(yoy!$Z$1,Data!$E$1:$BM$1,),)-VLOOKUP(A29,Data!$E:$BM,MATCH(yoy!$Z$1,Data!$E$1:$BM$1,),))/VLOOKUP(A29,Data!$E:$BM,MATCH(yoy!$Z$1,Data!$E$1:$BM$1,),))+1)^12-1</f>
        <v>6.7792306339890418E-2</v>
      </c>
      <c r="AA29" s="14">
        <f>(((VLOOKUP(B29,Data!$E:$BM,MATCH(yoy!$AA$1,Data!$E$1:$BM$1,),)-VLOOKUP(A29,Data!$E:$BM,MATCH(yoy!$AA$1,Data!$E$1:$BM$1,),))/VLOOKUP(A29,Data!$E:$BM,MATCH(yoy!$AA$1,Data!$E$1:$BM$1,),))+1)^12-1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(((VLOOKUP(B30,Data!$E:$BM,MATCH(yoy!$C$1,Data!$E$1:$BM$1,),)-VLOOKUP(A30,Data!$E:$BM,MATCH(yoy!$C$1,Data!$E$1:$BM$1,),))/VLOOKUP(A30,Data!$E:$BM,MATCH(yoy!$C$1,Data!$E$1:$BM$1,),))+1)^12-1</f>
        <v>6.1968628724575092E-2</v>
      </c>
      <c r="D30" s="14">
        <f>(((VLOOKUP(B30,Data!$E:$BM,MATCH(yoy!$D$1,Data!$E$1:$BM$1,),)-VLOOKUP(A30,Data!$E:$BM,MATCH(yoy!$D$1,Data!$E$1:$BM$1,),))/VLOOKUP(A30,Data!$E:$BM,MATCH(yoy!$D$1,Data!$E$1:$BM$1,),))+1)^12-1</f>
        <v>6.1033932357418497E-2</v>
      </c>
      <c r="E30" s="14">
        <f>(((VLOOKUP(B30,Data!$E:$BM,MATCH(yoy!$E$1,Data!$E$1:$BM$1,),)-VLOOKUP(A30,Data!$E:$BM,MATCH(yoy!$E$1,Data!$E$1:$BM$1,),))/VLOOKUP(A30,Data!$E:$BM,MATCH(yoy!$E$1,Data!$E$1:$BM$1,),))+1)^12-1</f>
        <v>8.591189648386921E-2</v>
      </c>
      <c r="F30" s="14">
        <f>(((VLOOKUP(B30,Data!$E:$BM,MATCH(yoy!$F$1,Data!$E$1:$BM$1,),)-VLOOKUP(A30,Data!$E:$BM,MATCH(yoy!$F$1,Data!$E$1:$BM$1,),))/VLOOKUP(A30,Data!$E:$BM,MATCH(yoy!$F$1,Data!$E$1:$BM$1,),))+1)^12-1</f>
        <v>3.211372279810587E-2</v>
      </c>
      <c r="G30" s="14">
        <f>(((VLOOKUP(B30,Data!$E:$BM,MATCH(yoy!$G$1,Data!$E$1:$BM$1,),)-VLOOKUP(A30,Data!$E:$BM,MATCH(yoy!$G$1,Data!$E$1:$BM$1,),))/VLOOKUP(A30,Data!$E:$BM,MATCH(yoy!$G$1,Data!$E$1:$BM$1,),))+1)^12-1</f>
        <v>3.9882356004364405E-2</v>
      </c>
      <c r="H30" s="14">
        <f>(((VLOOKUP(B30,Data!$E:$BM,MATCH(yoy!$H$1,Data!$E$1:$BM$1,),)-VLOOKUP(A30,Data!$E:$BM,MATCH(yoy!$H$1,Data!$E$1:$BM$1,),))/VLOOKUP(A30,Data!$E:$BM,MATCH(yoy!$H$1,Data!$E$1:$BM$1,),))+1)^12-1</f>
        <v>0.12412331913741537</v>
      </c>
      <c r="I30" s="14">
        <f>(((VLOOKUP(B30,Data!$E:$BM,MATCH(yoy!$I$1,Data!$E$1:$BM$1,),)-VLOOKUP(A30,Data!$E:$BM,MATCH(yoy!$I$1,Data!$E$1:$BM$1,),))/VLOOKUP(A30,Data!$E:$BM,MATCH(yoy!$I$1,Data!$E$1:$BM$1,),))+1)^12-1</f>
        <v>2.8466011751442144E-2</v>
      </c>
      <c r="J30" s="14">
        <f>(((VLOOKUP(B30,Data!$E:$BM,MATCH(yoy!$J$1,Data!$E$1:$BM$1,),)-VLOOKUP(A30,Data!$E:$BM,MATCH(yoy!$J$1,Data!$E$1:$BM$1,),))/VLOOKUP(A30,Data!$E:$BM,MATCH(yoy!$J$1,Data!$E$1:$BM$1,),))+1)^12-1</f>
        <v>0.20412703266704946</v>
      </c>
      <c r="K30" s="14">
        <f>(((VLOOKUP(B30,Data!$E:$BM,MATCH(yoy!$K$1,Data!$E$1:$BM$1,),)-VLOOKUP(A30,Data!$E:$BM,MATCH(yoy!$K$1,Data!$E$1:$BM$1,),))/VLOOKUP(A30,Data!$E:$BM,MATCH(yoy!$K$1,Data!$E$1:$BM$1,),))+1)^12-1</f>
        <v>0.13571105623682045</v>
      </c>
      <c r="L30" s="14">
        <f>(((VLOOKUP(B30,Data!$E:$BM,MATCH(yoy!$L$1,Data!$E$1:$BM$1,),)-VLOOKUP(A30,Data!$E:$BM,MATCH(yoy!$L$1,Data!$E$1:$BM$1,),))/VLOOKUP(A30,Data!$E:$BM,MATCH(yoy!$L$1,Data!$E$1:$BM$1,),))+1)^12-1</f>
        <v>9.8501067940774734E-2</v>
      </c>
      <c r="M30" s="14">
        <f>(((VLOOKUP(B30,Data!$E:$BM,MATCH(yoy!$M$1,Data!$E$1:$BM$1,),)-VLOOKUP(A30,Data!$E:$BM,MATCH(yoy!$M$1,Data!$E$1:$BM$1,),))/VLOOKUP(A30,Data!$E:$BM,MATCH(yoy!$M$1,Data!$E$1:$BM$1,),))+1)^12-1</f>
        <v>5.6047734779712144E-2</v>
      </c>
      <c r="N30" s="14">
        <f>(((VLOOKUP(B30,Data!$E:$BM,MATCH(yoy!$N$1,Data!$E$1:$BM$1,),)-VLOOKUP(A30,Data!$E:$BM,MATCH(yoy!$N$1,Data!$E$1:$BM$1,),))/VLOOKUP(A30,Data!$E:$BM,MATCH(yoy!$N$1,Data!$E$1:$BM$1,),))+1)^12-1</f>
        <v>0.29216735616610157</v>
      </c>
      <c r="O30" s="14">
        <f>(((VLOOKUP(B30,Data!$E:$BM,MATCH(yoy!$O$1,Data!$E$1:$BM$1,),)-VLOOKUP(A30,Data!$E:$BM,MATCH(yoy!$O$1,Data!$E$1:$BM$1,),))/VLOOKUP(A30,Data!$E:$BM,MATCH(yoy!$O$1,Data!$E$1:$BM$1,),))+1)^12-1</f>
        <v>0.11653737685558152</v>
      </c>
      <c r="P30" s="14">
        <f>(((VLOOKUP(B30,Data!$E:$BM,MATCH(yoy!$P$1,Data!$E$1:$BM$1,),)-VLOOKUP(A30,Data!$E:$BM,MATCH(yoy!$P$1,Data!$E$1:$BM$1,),))/VLOOKUP(A30,Data!$E:$BM,MATCH(yoy!$P$1,Data!$E$1:$BM$1,),))+1)^12-1</f>
        <v>-4.1458542859806879E-4</v>
      </c>
      <c r="Q30" s="14">
        <f>(((VLOOKUP(B30,Data!$E:$BM,MATCH(yoy!$Q$1,Data!$E$1:$BM$1,),)-VLOOKUP(A30,Data!$E:$BM,MATCH(yoy!$Q$1,Data!$E$1:$BM$1,),))/VLOOKUP(A30,Data!$E:$BM,MATCH(yoy!$Q$1,Data!$E$1:$BM$1,),))+1)^12-1</f>
        <v>6.9207131813884493E-2</v>
      </c>
      <c r="R30" s="14">
        <f>(((VLOOKUP(B30,Data!$E:$BM,MATCH(yoy!$R$1,Data!$E$1:$BM$1,),)-VLOOKUP(A30,Data!$E:$BM,MATCH(yoy!$R$1,Data!$E$1:$BM$1,),))/VLOOKUP(A30,Data!$E:$BM,MATCH(yoy!$R$1,Data!$E$1:$BM$1,),))+1)^12-1</f>
        <v>9.3777415152558996E-2</v>
      </c>
      <c r="S30" s="14">
        <f>(((VLOOKUP(B30,Data!$E:$BM,MATCH(yoy!$S$1,Data!$E$1:$BM$1,),)-VLOOKUP(A30,Data!$E:$BM,MATCH(yoy!$S$1,Data!$E$1:$BM$1,),))/VLOOKUP(A30,Data!$E:$BM,MATCH(yoy!$S$1,Data!$E$1:$BM$1,),))+1)^12-1</f>
        <v>0.13730760796601627</v>
      </c>
      <c r="T30" s="14">
        <f>(((VLOOKUP(B30,Data!$E:$BM,MATCH(yoy!$T$1,Data!$E$1:$BM$1,),)-VLOOKUP(A30,Data!$E:$BM,MATCH(yoy!$T$1,Data!$E$1:$BM$1,),))/VLOOKUP(A30,Data!$E:$BM,MATCH(yoy!$T$1,Data!$E$1:$BM$1,),))+1)^12-1</f>
        <v>7.2045602142382092E-2</v>
      </c>
      <c r="U30" s="14">
        <f>(((VLOOKUP(B30,Data!$E:$BM,MATCH(yoy!$U$1,Data!$E$1:$BM$1,),)-VLOOKUP(A30,Data!$E:$BM,MATCH(yoy!$U$1,Data!$E$1:$BM$1,),))/VLOOKUP(A30,Data!$E:$BM,MATCH(yoy!$U$1,Data!$E$1:$BM$1,),))+1)^12-1</f>
        <v>6.5061526014516424E-2</v>
      </c>
      <c r="V30" s="14">
        <f>(((VLOOKUP(B30,Data!$E:$BM,MATCH(yoy!$V$1,Data!$E$1:$BM$1,),)-VLOOKUP(A30,Data!$E:$BM,MATCH(yoy!$V$1,Data!$E$1:$BM$1,),))/VLOOKUP(A30,Data!$E:$BM,MATCH(yoy!$V$1,Data!$E$1:$BM$1,),))+1)^12-1</f>
        <v>4.7447612598477962E-2</v>
      </c>
      <c r="W30" s="14">
        <f>(((VLOOKUP(B30,Data!$E:$BM,MATCH(yoy!$W$1,Data!$E$1:$BM$1,),)-VLOOKUP(A30,Data!$E:$BM,MATCH(yoy!$W$1,Data!$E$1:$BM$1,),))/VLOOKUP(A30,Data!$E:$BM,MATCH(yoy!$W$1,Data!$E$1:$BM$1,),))+1)^12-1</f>
        <v>4.8369043456966354E-2</v>
      </c>
      <c r="X30" s="14">
        <f>(((VLOOKUP(B30,Data!$E:$BM,MATCH(yoy!$X$1,Data!$E$1:$BM$1,),)-VLOOKUP(A30,Data!$E:$BM,MATCH(yoy!$X$1,Data!$E$1:$BM$1,),))/VLOOKUP(A30,Data!$E:$BM,MATCH(yoy!$X$1,Data!$E$1:$BM$1,),))+1)^12-1</f>
        <v>6.5533698119099482E-2</v>
      </c>
      <c r="Y30" s="14">
        <f>(((VLOOKUP(B30,Data!$E:$BM,MATCH(yoy!$Y$1,Data!$E$1:$BM$1,),)-VLOOKUP(A30,Data!$E:$BM,MATCH(yoy!$Y$1,Data!$E$1:$BM$1,),))/VLOOKUP(A30,Data!$E:$BM,MATCH(yoy!$Y$1,Data!$E$1:$BM$1,),))+1)^12-1</f>
        <v>3.1266066817567051E-2</v>
      </c>
      <c r="Z30" s="14">
        <f>(((VLOOKUP(B30,Data!$E:$BM,MATCH(yoy!$Z$1,Data!$E$1:$BM$1,),)-VLOOKUP(A30,Data!$E:$BM,MATCH(yoy!$Z$1,Data!$E$1:$BM$1,),))/VLOOKUP(A30,Data!$E:$BM,MATCH(yoy!$Z$1,Data!$E$1:$BM$1,),))+1)^12-1</f>
        <v>0.22653253832655795</v>
      </c>
      <c r="AA30" s="14">
        <f>(((VLOOKUP(B30,Data!$E:$BM,MATCH(yoy!$AA$1,Data!$E$1:$BM$1,),)-VLOOKUP(A30,Data!$E:$BM,MATCH(yoy!$AA$1,Data!$E$1:$BM$1,),))/VLOOKUP(A30,Data!$E:$BM,MATCH(yoy!$AA$1,Data!$E$1:$BM$1,),))+1)^12-1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(((VLOOKUP(B31,Data!$E:$BM,MATCH(yoy!$C$1,Data!$E$1:$BM$1,),)-VLOOKUP(A31,Data!$E:$BM,MATCH(yoy!$C$1,Data!$E$1:$BM$1,),))/VLOOKUP(A31,Data!$E:$BM,MATCH(yoy!$C$1,Data!$E$1:$BM$1,),))+1)^12-1</f>
        <v>7.7453163270444492E-2</v>
      </c>
      <c r="D31" s="14">
        <f>(((VLOOKUP(B31,Data!$E:$BM,MATCH(yoy!$D$1,Data!$E$1:$BM$1,),)-VLOOKUP(A31,Data!$E:$BM,MATCH(yoy!$D$1,Data!$E$1:$BM$1,),))/VLOOKUP(A31,Data!$E:$BM,MATCH(yoy!$D$1,Data!$E$1:$BM$1,),))+1)^12-1</f>
        <v>6.5097673113619692E-2</v>
      </c>
      <c r="E31" s="14">
        <f>(((VLOOKUP(B31,Data!$E:$BM,MATCH(yoy!$E$1,Data!$E$1:$BM$1,),)-VLOOKUP(A31,Data!$E:$BM,MATCH(yoy!$E$1,Data!$E$1:$BM$1,),))/VLOOKUP(A31,Data!$E:$BM,MATCH(yoy!$E$1,Data!$E$1:$BM$1,),))+1)^12-1</f>
        <v>7.2425573572370672E-2</v>
      </c>
      <c r="F31" s="14">
        <f>(((VLOOKUP(B31,Data!$E:$BM,MATCH(yoy!$F$1,Data!$E$1:$BM$1,),)-VLOOKUP(A31,Data!$E:$BM,MATCH(yoy!$F$1,Data!$E$1:$BM$1,),))/VLOOKUP(A31,Data!$E:$BM,MATCH(yoy!$F$1,Data!$E$1:$BM$1,),))+1)^12-1</f>
        <v>7.5247362385473693E-2</v>
      </c>
      <c r="G31" s="14">
        <f>(((VLOOKUP(B31,Data!$E:$BM,MATCH(yoy!$G$1,Data!$E$1:$BM$1,),)-VLOOKUP(A31,Data!$E:$BM,MATCH(yoy!$G$1,Data!$E$1:$BM$1,),))/VLOOKUP(A31,Data!$E:$BM,MATCH(yoy!$G$1,Data!$E$1:$BM$1,),))+1)^12-1</f>
        <v>3.3086979265719574E-2</v>
      </c>
      <c r="H31" s="14">
        <f>(((VLOOKUP(B31,Data!$E:$BM,MATCH(yoy!$H$1,Data!$E$1:$BM$1,),)-VLOOKUP(A31,Data!$E:$BM,MATCH(yoy!$H$1,Data!$E$1:$BM$1,),))/VLOOKUP(A31,Data!$E:$BM,MATCH(yoy!$H$1,Data!$E$1:$BM$1,),))+1)^12-1</f>
        <v>0.14388191410435569</v>
      </c>
      <c r="I31" s="14">
        <f>(((VLOOKUP(B31,Data!$E:$BM,MATCH(yoy!$I$1,Data!$E$1:$BM$1,),)-VLOOKUP(A31,Data!$E:$BM,MATCH(yoy!$I$1,Data!$E$1:$BM$1,),))/VLOOKUP(A31,Data!$E:$BM,MATCH(yoy!$I$1,Data!$E$1:$BM$1,),))+1)^12-1</f>
        <v>4.2544745504661696E-2</v>
      </c>
      <c r="J31" s="14">
        <f>(((VLOOKUP(B31,Data!$E:$BM,MATCH(yoy!$J$1,Data!$E$1:$BM$1,),)-VLOOKUP(A31,Data!$E:$BM,MATCH(yoy!$J$1,Data!$E$1:$BM$1,),))/VLOOKUP(A31,Data!$E:$BM,MATCH(yoy!$J$1,Data!$E$1:$BM$1,),))+1)^12-1</f>
        <v>7.7076071332044416E-2</v>
      </c>
      <c r="K31" s="14">
        <f>(((VLOOKUP(B31,Data!$E:$BM,MATCH(yoy!$K$1,Data!$E$1:$BM$1,),)-VLOOKUP(A31,Data!$E:$BM,MATCH(yoy!$K$1,Data!$E$1:$BM$1,),))/VLOOKUP(A31,Data!$E:$BM,MATCH(yoy!$K$1,Data!$E$1:$BM$1,),))+1)^12-1</f>
        <v>0.1261239939735006</v>
      </c>
      <c r="L31" s="14">
        <f>(((VLOOKUP(B31,Data!$E:$BM,MATCH(yoy!$L$1,Data!$E$1:$BM$1,),)-VLOOKUP(A31,Data!$E:$BM,MATCH(yoy!$L$1,Data!$E$1:$BM$1,),))/VLOOKUP(A31,Data!$E:$BM,MATCH(yoy!$L$1,Data!$E$1:$BM$1,),))+1)^12-1</f>
        <v>0.11878739067994193</v>
      </c>
      <c r="M31" s="14">
        <f>(((VLOOKUP(B31,Data!$E:$BM,MATCH(yoy!$M$1,Data!$E$1:$BM$1,),)-VLOOKUP(A31,Data!$E:$BM,MATCH(yoy!$M$1,Data!$E$1:$BM$1,),))/VLOOKUP(A31,Data!$E:$BM,MATCH(yoy!$M$1,Data!$E$1:$BM$1,),))+1)^12-1</f>
        <v>0.1270615777626587</v>
      </c>
      <c r="N31" s="14">
        <f>(((VLOOKUP(B31,Data!$E:$BM,MATCH(yoy!$N$1,Data!$E$1:$BM$1,),)-VLOOKUP(A31,Data!$E:$BM,MATCH(yoy!$N$1,Data!$E$1:$BM$1,),))/VLOOKUP(A31,Data!$E:$BM,MATCH(yoy!$N$1,Data!$E$1:$BM$1,),))+1)^12-1</f>
        <v>8.2807639964823876E-2</v>
      </c>
      <c r="O31" s="14">
        <f>(((VLOOKUP(B31,Data!$E:$BM,MATCH(yoy!$O$1,Data!$E$1:$BM$1,),)-VLOOKUP(A31,Data!$E:$BM,MATCH(yoy!$O$1,Data!$E$1:$BM$1,),))/VLOOKUP(A31,Data!$E:$BM,MATCH(yoy!$O$1,Data!$E$1:$BM$1,),))+1)^12-1</f>
        <v>0.35827830870429622</v>
      </c>
      <c r="P31" s="14">
        <f>(((VLOOKUP(B31,Data!$E:$BM,MATCH(yoy!$P$1,Data!$E$1:$BM$1,),)-VLOOKUP(A31,Data!$E:$BM,MATCH(yoy!$P$1,Data!$E$1:$BM$1,),))/VLOOKUP(A31,Data!$E:$BM,MATCH(yoy!$P$1,Data!$E$1:$BM$1,),))+1)^12-1</f>
        <v>0.10132939522495787</v>
      </c>
      <c r="Q31" s="14">
        <f>(((VLOOKUP(B31,Data!$E:$BM,MATCH(yoy!$Q$1,Data!$E$1:$BM$1,),)-VLOOKUP(A31,Data!$E:$BM,MATCH(yoy!$Q$1,Data!$E$1:$BM$1,),))/VLOOKUP(A31,Data!$E:$BM,MATCH(yoy!$Q$1,Data!$E$1:$BM$1,),))+1)^12-1</f>
        <v>4.0474010949957728E-2</v>
      </c>
      <c r="R31" s="14">
        <f>(((VLOOKUP(B31,Data!$E:$BM,MATCH(yoy!$R$1,Data!$E$1:$BM$1,),)-VLOOKUP(A31,Data!$E:$BM,MATCH(yoy!$R$1,Data!$E$1:$BM$1,),))/VLOOKUP(A31,Data!$E:$BM,MATCH(yoy!$R$1,Data!$E$1:$BM$1,),))+1)^12-1</f>
        <v>0.10376198968505124</v>
      </c>
      <c r="S31" s="14">
        <f>(((VLOOKUP(B31,Data!$E:$BM,MATCH(yoy!$S$1,Data!$E$1:$BM$1,),)-VLOOKUP(A31,Data!$E:$BM,MATCH(yoy!$S$1,Data!$E$1:$BM$1,),))/VLOOKUP(A31,Data!$E:$BM,MATCH(yoy!$S$1,Data!$E$1:$BM$1,),))+1)^12-1</f>
        <v>0.11858439642734253</v>
      </c>
      <c r="T31" s="14">
        <f>(((VLOOKUP(B31,Data!$E:$BM,MATCH(yoy!$T$1,Data!$E$1:$BM$1,),)-VLOOKUP(A31,Data!$E:$BM,MATCH(yoy!$T$1,Data!$E$1:$BM$1,),))/VLOOKUP(A31,Data!$E:$BM,MATCH(yoy!$T$1,Data!$E$1:$BM$1,),))+1)^12-1</f>
        <v>0.11144323408038259</v>
      </c>
      <c r="U31" s="14">
        <f>(((VLOOKUP(B31,Data!$E:$BM,MATCH(yoy!$U$1,Data!$E$1:$BM$1,),)-VLOOKUP(A31,Data!$E:$BM,MATCH(yoy!$U$1,Data!$E$1:$BM$1,),))/VLOOKUP(A31,Data!$E:$BM,MATCH(yoy!$U$1,Data!$E$1:$BM$1,),))+1)^12-1</f>
        <v>0.14370564789761153</v>
      </c>
      <c r="V31" s="14">
        <f>(((VLOOKUP(B31,Data!$E:$BM,MATCH(yoy!$V$1,Data!$E$1:$BM$1,),)-VLOOKUP(A31,Data!$E:$BM,MATCH(yoy!$V$1,Data!$E$1:$BM$1,),))/VLOOKUP(A31,Data!$E:$BM,MATCH(yoy!$V$1,Data!$E$1:$BM$1,),))+1)^12-1</f>
        <v>3.6865346080346972E-2</v>
      </c>
      <c r="W31" s="14">
        <f>(((VLOOKUP(B31,Data!$E:$BM,MATCH(yoy!$W$1,Data!$E$1:$BM$1,),)-VLOOKUP(A31,Data!$E:$BM,MATCH(yoy!$W$1,Data!$E$1:$BM$1,),))/VLOOKUP(A31,Data!$E:$BM,MATCH(yoy!$W$1,Data!$E$1:$BM$1,),))+1)^12-1</f>
        <v>0.11289181866907083</v>
      </c>
      <c r="X31" s="14">
        <f>(((VLOOKUP(B31,Data!$E:$BM,MATCH(yoy!$X$1,Data!$E$1:$BM$1,),)-VLOOKUP(A31,Data!$E:$BM,MATCH(yoy!$X$1,Data!$E$1:$BM$1,),))/VLOOKUP(A31,Data!$E:$BM,MATCH(yoy!$X$1,Data!$E$1:$BM$1,),))+1)^12-1</f>
        <v>-1.635157392290576E-2</v>
      </c>
      <c r="Y31" s="14">
        <f>(((VLOOKUP(B31,Data!$E:$BM,MATCH(yoy!$Y$1,Data!$E$1:$BM$1,),)-VLOOKUP(A31,Data!$E:$BM,MATCH(yoy!$Y$1,Data!$E$1:$BM$1,),))/VLOOKUP(A31,Data!$E:$BM,MATCH(yoy!$Y$1,Data!$E$1:$BM$1,),))+1)^12-1</f>
        <v>4.769635988137888E-2</v>
      </c>
      <c r="Z31" s="14">
        <f>(((VLOOKUP(B31,Data!$E:$BM,MATCH(yoy!$Z$1,Data!$E$1:$BM$1,),)-VLOOKUP(A31,Data!$E:$BM,MATCH(yoy!$Z$1,Data!$E$1:$BM$1,),))/VLOOKUP(A31,Data!$E:$BM,MATCH(yoy!$Z$1,Data!$E$1:$BM$1,),))+1)^12-1</f>
        <v>0.21167487779017335</v>
      </c>
      <c r="AA31" s="14">
        <f>(((VLOOKUP(B31,Data!$E:$BM,MATCH(yoy!$AA$1,Data!$E$1:$BM$1,),)-VLOOKUP(A31,Data!$E:$BM,MATCH(yoy!$AA$1,Data!$E$1:$BM$1,),))/VLOOKUP(A31,Data!$E:$BM,MATCH(yoy!$AA$1,Data!$E$1:$BM$1,),))+1)^12-1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(((VLOOKUP(B32,Data!$E:$BM,MATCH(yoy!$C$1,Data!$E$1:$BM$1,),)-VLOOKUP(A32,Data!$E:$BM,MATCH(yoy!$C$1,Data!$E$1:$BM$1,),))/VLOOKUP(A32,Data!$E:$BM,MATCH(yoy!$C$1,Data!$E$1:$BM$1,),))+1)^12-1</f>
        <v>7.9856834468643889E-2</v>
      </c>
      <c r="D32" s="14">
        <f>(((VLOOKUP(B32,Data!$E:$BM,MATCH(yoy!$D$1,Data!$E$1:$BM$1,),)-VLOOKUP(A32,Data!$E:$BM,MATCH(yoy!$D$1,Data!$E$1:$BM$1,),))/VLOOKUP(A32,Data!$E:$BM,MATCH(yoy!$D$1,Data!$E$1:$BM$1,),))+1)^12-1</f>
        <v>6.011422500079755E-2</v>
      </c>
      <c r="E32" s="14">
        <f>(((VLOOKUP(B32,Data!$E:$BM,MATCH(yoy!$E$1,Data!$E$1:$BM$1,),)-VLOOKUP(A32,Data!$E:$BM,MATCH(yoy!$E$1,Data!$E$1:$BM$1,),))/VLOOKUP(A32,Data!$E:$BM,MATCH(yoy!$E$1,Data!$E$1:$BM$1,),))+1)^12-1</f>
        <v>7.8077909262126655E-2</v>
      </c>
      <c r="F32" s="14">
        <f>(((VLOOKUP(B32,Data!$E:$BM,MATCH(yoy!$F$1,Data!$E$1:$BM$1,),)-VLOOKUP(A32,Data!$E:$BM,MATCH(yoy!$F$1,Data!$E$1:$BM$1,),))/VLOOKUP(A32,Data!$E:$BM,MATCH(yoy!$F$1,Data!$E$1:$BM$1,),))+1)^12-1</f>
        <v>8.2222469057023018E-2</v>
      </c>
      <c r="G32" s="14">
        <f>(((VLOOKUP(B32,Data!$E:$BM,MATCH(yoy!$G$1,Data!$E$1:$BM$1,),)-VLOOKUP(A32,Data!$E:$BM,MATCH(yoy!$G$1,Data!$E$1:$BM$1,),))/VLOOKUP(A32,Data!$E:$BM,MATCH(yoy!$G$1,Data!$E$1:$BM$1,),))+1)^12-1</f>
        <v>1.7184263483122963E-2</v>
      </c>
      <c r="H32" s="14">
        <f>(((VLOOKUP(B32,Data!$E:$BM,MATCH(yoy!$H$1,Data!$E$1:$BM$1,),)-VLOOKUP(A32,Data!$E:$BM,MATCH(yoy!$H$1,Data!$E$1:$BM$1,),))/VLOOKUP(A32,Data!$E:$BM,MATCH(yoy!$H$1,Data!$E$1:$BM$1,),))+1)^12-1</f>
        <v>0.10417325425341528</v>
      </c>
      <c r="I32" s="14">
        <f>(((VLOOKUP(B32,Data!$E:$BM,MATCH(yoy!$I$1,Data!$E$1:$BM$1,),)-VLOOKUP(A32,Data!$E:$BM,MATCH(yoy!$I$1,Data!$E$1:$BM$1,),))/VLOOKUP(A32,Data!$E:$BM,MATCH(yoy!$I$1,Data!$E$1:$BM$1,),))+1)^12-1</f>
        <v>3.7640823577413718E-2</v>
      </c>
      <c r="J32" s="14">
        <f>(((VLOOKUP(B32,Data!$E:$BM,MATCH(yoy!$J$1,Data!$E$1:$BM$1,),)-VLOOKUP(A32,Data!$E:$BM,MATCH(yoy!$J$1,Data!$E$1:$BM$1,),))/VLOOKUP(A32,Data!$E:$BM,MATCH(yoy!$J$1,Data!$E$1:$BM$1,),))+1)^12-1</f>
        <v>0.1087590286950173</v>
      </c>
      <c r="K32" s="14">
        <f>(((VLOOKUP(B32,Data!$E:$BM,MATCH(yoy!$K$1,Data!$E$1:$BM$1,),)-VLOOKUP(A32,Data!$E:$BM,MATCH(yoy!$K$1,Data!$E$1:$BM$1,),))/VLOOKUP(A32,Data!$E:$BM,MATCH(yoy!$K$1,Data!$E$1:$BM$1,),))+1)^12-1</f>
        <v>9.4423526125214208E-2</v>
      </c>
      <c r="L32" s="14">
        <f>(((VLOOKUP(B32,Data!$E:$BM,MATCH(yoy!$L$1,Data!$E$1:$BM$1,),)-VLOOKUP(A32,Data!$E:$BM,MATCH(yoy!$L$1,Data!$E$1:$BM$1,),))/VLOOKUP(A32,Data!$E:$BM,MATCH(yoy!$L$1,Data!$E$1:$BM$1,),))+1)^12-1</f>
        <v>6.9575676851383328E-2</v>
      </c>
      <c r="M32" s="14">
        <f>(((VLOOKUP(B32,Data!$E:$BM,MATCH(yoy!$M$1,Data!$E$1:$BM$1,),)-VLOOKUP(A32,Data!$E:$BM,MATCH(yoy!$M$1,Data!$E$1:$BM$1,),))/VLOOKUP(A32,Data!$E:$BM,MATCH(yoy!$M$1,Data!$E$1:$BM$1,),))+1)^12-1</f>
        <v>0.10577867962774756</v>
      </c>
      <c r="N32" s="14">
        <f>(((VLOOKUP(B32,Data!$E:$BM,MATCH(yoy!$N$1,Data!$E$1:$BM$1,),)-VLOOKUP(A32,Data!$E:$BM,MATCH(yoy!$N$1,Data!$E$1:$BM$1,),))/VLOOKUP(A32,Data!$E:$BM,MATCH(yoy!$N$1,Data!$E$1:$BM$1,),))+1)^12-1</f>
        <v>9.8724805132256899E-2</v>
      </c>
      <c r="O32" s="14">
        <f>(((VLOOKUP(B32,Data!$E:$BM,MATCH(yoy!$O$1,Data!$E$1:$BM$1,),)-VLOOKUP(A32,Data!$E:$BM,MATCH(yoy!$O$1,Data!$E$1:$BM$1,),))/VLOOKUP(A32,Data!$E:$BM,MATCH(yoy!$O$1,Data!$E$1:$BM$1,),))+1)^12-1</f>
        <v>9.8544713397815453E-2</v>
      </c>
      <c r="P32" s="14">
        <f>(((VLOOKUP(B32,Data!$E:$BM,MATCH(yoy!$P$1,Data!$E$1:$BM$1,),)-VLOOKUP(A32,Data!$E:$BM,MATCH(yoy!$P$1,Data!$E$1:$BM$1,),))/VLOOKUP(A32,Data!$E:$BM,MATCH(yoy!$P$1,Data!$E$1:$BM$1,),))+1)^12-1</f>
        <v>0.1385661046172888</v>
      </c>
      <c r="Q32" s="14">
        <f>(((VLOOKUP(B32,Data!$E:$BM,MATCH(yoy!$Q$1,Data!$E$1:$BM$1,),)-VLOOKUP(A32,Data!$E:$BM,MATCH(yoy!$Q$1,Data!$E$1:$BM$1,),))/VLOOKUP(A32,Data!$E:$BM,MATCH(yoy!$Q$1,Data!$E$1:$BM$1,),))+1)^12-1</f>
        <v>7.5015342776292071E-2</v>
      </c>
      <c r="R32" s="14">
        <f>(((VLOOKUP(B32,Data!$E:$BM,MATCH(yoy!$R$1,Data!$E$1:$BM$1,),)-VLOOKUP(A32,Data!$E:$BM,MATCH(yoy!$R$1,Data!$E$1:$BM$1,),))/VLOOKUP(A32,Data!$E:$BM,MATCH(yoy!$R$1,Data!$E$1:$BM$1,),))+1)^12-1</f>
        <v>0.10144165938264393</v>
      </c>
      <c r="S32" s="14">
        <f>(((VLOOKUP(B32,Data!$E:$BM,MATCH(yoy!$S$1,Data!$E$1:$BM$1,),)-VLOOKUP(A32,Data!$E:$BM,MATCH(yoy!$S$1,Data!$E$1:$BM$1,),))/VLOOKUP(A32,Data!$E:$BM,MATCH(yoy!$S$1,Data!$E$1:$BM$1,),))+1)^12-1</f>
        <v>4.7740733860477835E-2</v>
      </c>
      <c r="T32" s="14">
        <f>(((VLOOKUP(B32,Data!$E:$BM,MATCH(yoy!$T$1,Data!$E$1:$BM$1,),)-VLOOKUP(A32,Data!$E:$BM,MATCH(yoy!$T$1,Data!$E$1:$BM$1,),))/VLOOKUP(A32,Data!$E:$BM,MATCH(yoy!$T$1,Data!$E$1:$BM$1,),))+1)^12-1</f>
        <v>0.12683407132273494</v>
      </c>
      <c r="U32" s="14">
        <f>(((VLOOKUP(B32,Data!$E:$BM,MATCH(yoy!$U$1,Data!$E$1:$BM$1,),)-VLOOKUP(A32,Data!$E:$BM,MATCH(yoy!$U$1,Data!$E$1:$BM$1,),))/VLOOKUP(A32,Data!$E:$BM,MATCH(yoy!$U$1,Data!$E$1:$BM$1,),))+1)^12-1</f>
        <v>3.1602933035241865E-3</v>
      </c>
      <c r="V32" s="14">
        <f>(((VLOOKUP(B32,Data!$E:$BM,MATCH(yoy!$V$1,Data!$E$1:$BM$1,),)-VLOOKUP(A32,Data!$E:$BM,MATCH(yoy!$V$1,Data!$E$1:$BM$1,),))/VLOOKUP(A32,Data!$E:$BM,MATCH(yoy!$V$1,Data!$E$1:$BM$1,),))+1)^12-1</f>
        <v>2.2234360695254196E-2</v>
      </c>
      <c r="W32" s="14">
        <f>(((VLOOKUP(B32,Data!$E:$BM,MATCH(yoy!$W$1,Data!$E$1:$BM$1,),)-VLOOKUP(A32,Data!$E:$BM,MATCH(yoy!$W$1,Data!$E$1:$BM$1,),))/VLOOKUP(A32,Data!$E:$BM,MATCH(yoy!$W$1,Data!$E$1:$BM$1,),))+1)^12-1</f>
        <v>0.31489963968101287</v>
      </c>
      <c r="X32" s="14">
        <f>(((VLOOKUP(B32,Data!$E:$BM,MATCH(yoy!$X$1,Data!$E$1:$BM$1,),)-VLOOKUP(A32,Data!$E:$BM,MATCH(yoy!$X$1,Data!$E$1:$BM$1,),))/VLOOKUP(A32,Data!$E:$BM,MATCH(yoy!$X$1,Data!$E$1:$BM$1,),))+1)^12-1</f>
        <v>2.0228531826563145E-2</v>
      </c>
      <c r="Y32" s="14">
        <f>(((VLOOKUP(B32,Data!$E:$BM,MATCH(yoy!$Y$1,Data!$E$1:$BM$1,),)-VLOOKUP(A32,Data!$E:$BM,MATCH(yoy!$Y$1,Data!$E$1:$BM$1,),))/VLOOKUP(A32,Data!$E:$BM,MATCH(yoy!$Y$1,Data!$E$1:$BM$1,),))+1)^12-1</f>
        <v>7.8670488550881323E-2</v>
      </c>
      <c r="Z32" s="14">
        <f>(((VLOOKUP(B32,Data!$E:$BM,MATCH(yoy!$Z$1,Data!$E$1:$BM$1,),)-VLOOKUP(A32,Data!$E:$BM,MATCH(yoy!$Z$1,Data!$E$1:$BM$1,),))/VLOOKUP(A32,Data!$E:$BM,MATCH(yoy!$Z$1,Data!$E$1:$BM$1,),))+1)^12-1</f>
        <v>0.22691701928847618</v>
      </c>
      <c r="AA32" s="14">
        <f>(((VLOOKUP(B32,Data!$E:$BM,MATCH(yoy!$AA$1,Data!$E$1:$BM$1,),)-VLOOKUP(A32,Data!$E:$BM,MATCH(yoy!$AA$1,Data!$E$1:$BM$1,),))/VLOOKUP(A32,Data!$E:$BM,MATCH(yoy!$AA$1,Data!$E$1:$BM$1,),))+1)^12-1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(((VLOOKUP(B33,Data!$E:$BM,MATCH(yoy!$C$1,Data!$E$1:$BM$1,),)-VLOOKUP(A33,Data!$E:$BM,MATCH(yoy!$C$1,Data!$E$1:$BM$1,),))/VLOOKUP(A33,Data!$E:$BM,MATCH(yoy!$C$1,Data!$E$1:$BM$1,),))+1)^12-1</f>
        <v>5.1633788223367949E-2</v>
      </c>
      <c r="D33" s="14">
        <f>(((VLOOKUP(B33,Data!$E:$BM,MATCH(yoy!$D$1,Data!$E$1:$BM$1,),)-VLOOKUP(A33,Data!$E:$BM,MATCH(yoy!$D$1,Data!$E$1:$BM$1,),))/VLOOKUP(A33,Data!$E:$BM,MATCH(yoy!$D$1,Data!$E$1:$BM$1,),))+1)^12-1</f>
        <v>4.8882268100934878E-2</v>
      </c>
      <c r="E33" s="14">
        <f>(((VLOOKUP(B33,Data!$E:$BM,MATCH(yoy!$E$1,Data!$E$1:$BM$1,),)-VLOOKUP(A33,Data!$E:$BM,MATCH(yoy!$E$1,Data!$E$1:$BM$1,),))/VLOOKUP(A33,Data!$E:$BM,MATCH(yoy!$E$1,Data!$E$1:$BM$1,),))+1)^12-1</f>
        <v>4.2336791240063176E-2</v>
      </c>
      <c r="F33" s="14">
        <f>(((VLOOKUP(B33,Data!$E:$BM,MATCH(yoy!$F$1,Data!$E$1:$BM$1,),)-VLOOKUP(A33,Data!$E:$BM,MATCH(yoy!$F$1,Data!$E$1:$BM$1,),))/VLOOKUP(A33,Data!$E:$BM,MATCH(yoy!$F$1,Data!$E$1:$BM$1,),))+1)^12-1</f>
        <v>3.4461500589990424E-2</v>
      </c>
      <c r="G33" s="14">
        <f>(((VLOOKUP(B33,Data!$E:$BM,MATCH(yoy!$G$1,Data!$E$1:$BM$1,),)-VLOOKUP(A33,Data!$E:$BM,MATCH(yoy!$G$1,Data!$E$1:$BM$1,),))/VLOOKUP(A33,Data!$E:$BM,MATCH(yoy!$G$1,Data!$E$1:$BM$1,),))+1)^12-1</f>
        <v>2.5968363158652474E-2</v>
      </c>
      <c r="H33" s="14">
        <f>(((VLOOKUP(B33,Data!$E:$BM,MATCH(yoy!$H$1,Data!$E$1:$BM$1,),)-VLOOKUP(A33,Data!$E:$BM,MATCH(yoy!$H$1,Data!$E$1:$BM$1,),))/VLOOKUP(A33,Data!$E:$BM,MATCH(yoy!$H$1,Data!$E$1:$BM$1,),))+1)^12-1</f>
        <v>3.4906024990588813E-2</v>
      </c>
      <c r="I33" s="14">
        <f>(((VLOOKUP(B33,Data!$E:$BM,MATCH(yoy!$I$1,Data!$E$1:$BM$1,),)-VLOOKUP(A33,Data!$E:$BM,MATCH(yoy!$I$1,Data!$E$1:$BM$1,),))/VLOOKUP(A33,Data!$E:$BM,MATCH(yoy!$I$1,Data!$E$1:$BM$1,),))+1)^12-1</f>
        <v>6.0051498382169166E-2</v>
      </c>
      <c r="J33" s="14">
        <f>(((VLOOKUP(B33,Data!$E:$BM,MATCH(yoy!$J$1,Data!$E$1:$BM$1,),)-VLOOKUP(A33,Data!$E:$BM,MATCH(yoy!$J$1,Data!$E$1:$BM$1,),))/VLOOKUP(A33,Data!$E:$BM,MATCH(yoy!$J$1,Data!$E$1:$BM$1,),))+1)^12-1</f>
        <v>5.7175098134060631E-2</v>
      </c>
      <c r="K33" s="14">
        <f>(((VLOOKUP(B33,Data!$E:$BM,MATCH(yoy!$K$1,Data!$E$1:$BM$1,),)-VLOOKUP(A33,Data!$E:$BM,MATCH(yoy!$K$1,Data!$E$1:$BM$1,),))/VLOOKUP(A33,Data!$E:$BM,MATCH(yoy!$K$1,Data!$E$1:$BM$1,),))+1)^12-1</f>
        <v>1.3918835323669887E-2</v>
      </c>
      <c r="L33" s="14">
        <f>(((VLOOKUP(B33,Data!$E:$BM,MATCH(yoy!$L$1,Data!$E$1:$BM$1,),)-VLOOKUP(A33,Data!$E:$BM,MATCH(yoy!$L$1,Data!$E$1:$BM$1,),))/VLOOKUP(A33,Data!$E:$BM,MATCH(yoy!$L$1,Data!$E$1:$BM$1,),))+1)^12-1</f>
        <v>5.9559111985996172E-3</v>
      </c>
      <c r="M33" s="14">
        <f>(((VLOOKUP(B33,Data!$E:$BM,MATCH(yoy!$M$1,Data!$E$1:$BM$1,),)-VLOOKUP(A33,Data!$E:$BM,MATCH(yoy!$M$1,Data!$E$1:$BM$1,),))/VLOOKUP(A33,Data!$E:$BM,MATCH(yoy!$M$1,Data!$E$1:$BM$1,),))+1)^12-1</f>
        <v>1.0379948472696299E-3</v>
      </c>
      <c r="N33" s="14">
        <f>(((VLOOKUP(B33,Data!$E:$BM,MATCH(yoy!$N$1,Data!$E$1:$BM$1,),)-VLOOKUP(A33,Data!$E:$BM,MATCH(yoy!$N$1,Data!$E$1:$BM$1,),))/VLOOKUP(A33,Data!$E:$BM,MATCH(yoy!$N$1,Data!$E$1:$BM$1,),))+1)^12-1</f>
        <v>0.10820683455990809</v>
      </c>
      <c r="O33" s="14">
        <f>(((VLOOKUP(B33,Data!$E:$BM,MATCH(yoy!$O$1,Data!$E$1:$BM$1,),)-VLOOKUP(A33,Data!$E:$BM,MATCH(yoy!$O$1,Data!$E$1:$BM$1,),))/VLOOKUP(A33,Data!$E:$BM,MATCH(yoy!$O$1,Data!$E$1:$BM$1,),))+1)^12-1</f>
        <v>-5.6684041152744391E-2</v>
      </c>
      <c r="P33" s="14">
        <f>(((VLOOKUP(B33,Data!$E:$BM,MATCH(yoy!$P$1,Data!$E$1:$BM$1,),)-VLOOKUP(A33,Data!$E:$BM,MATCH(yoy!$P$1,Data!$E$1:$BM$1,),))/VLOOKUP(A33,Data!$E:$BM,MATCH(yoy!$P$1,Data!$E$1:$BM$1,),))+1)^12-1</f>
        <v>9.6795361211942321E-2</v>
      </c>
      <c r="Q33" s="14">
        <f>(((VLOOKUP(B33,Data!$E:$BM,MATCH(yoy!$Q$1,Data!$E$1:$BM$1,),)-VLOOKUP(A33,Data!$E:$BM,MATCH(yoy!$Q$1,Data!$E$1:$BM$1,),))/VLOOKUP(A33,Data!$E:$BM,MATCH(yoy!$Q$1,Data!$E$1:$BM$1,),))+1)^12-1</f>
        <v>9.2336886107768246E-2</v>
      </c>
      <c r="R33" s="14">
        <f>(((VLOOKUP(B33,Data!$E:$BM,MATCH(yoy!$R$1,Data!$E$1:$BM$1,),)-VLOOKUP(A33,Data!$E:$BM,MATCH(yoy!$R$1,Data!$E$1:$BM$1,),))/VLOOKUP(A33,Data!$E:$BM,MATCH(yoy!$R$1,Data!$E$1:$BM$1,),))+1)^12-1</f>
        <v>0.13674869737831474</v>
      </c>
      <c r="S33" s="14">
        <f>(((VLOOKUP(B33,Data!$E:$BM,MATCH(yoy!$S$1,Data!$E$1:$BM$1,),)-VLOOKUP(A33,Data!$E:$BM,MATCH(yoy!$S$1,Data!$E$1:$BM$1,),))/VLOOKUP(A33,Data!$E:$BM,MATCH(yoy!$S$1,Data!$E$1:$BM$1,),))+1)^12-1</f>
        <v>2.3113136939885592E-2</v>
      </c>
      <c r="T33" s="14">
        <f>(((VLOOKUP(B33,Data!$E:$BM,MATCH(yoy!$T$1,Data!$E$1:$BM$1,),)-VLOOKUP(A33,Data!$E:$BM,MATCH(yoy!$T$1,Data!$E$1:$BM$1,),))/VLOOKUP(A33,Data!$E:$BM,MATCH(yoy!$T$1,Data!$E$1:$BM$1,),))+1)^12-1</f>
        <v>3.8821569743265005E-2</v>
      </c>
      <c r="U33" s="14">
        <f>(((VLOOKUP(B33,Data!$E:$BM,MATCH(yoy!$U$1,Data!$E$1:$BM$1,),)-VLOOKUP(A33,Data!$E:$BM,MATCH(yoy!$U$1,Data!$E$1:$BM$1,),))/VLOOKUP(A33,Data!$E:$BM,MATCH(yoy!$U$1,Data!$E$1:$BM$1,),))+1)^12-1</f>
        <v>-6.8103023756221903E-3</v>
      </c>
      <c r="V33" s="14">
        <f>(((VLOOKUP(B33,Data!$E:$BM,MATCH(yoy!$V$1,Data!$E$1:$BM$1,),)-VLOOKUP(A33,Data!$E:$BM,MATCH(yoy!$V$1,Data!$E$1:$BM$1,),))/VLOOKUP(A33,Data!$E:$BM,MATCH(yoy!$V$1,Data!$E$1:$BM$1,),))+1)^12-1</f>
        <v>3.3983093440192569E-2</v>
      </c>
      <c r="W33" s="14">
        <f>(((VLOOKUP(B33,Data!$E:$BM,MATCH(yoy!$W$1,Data!$E$1:$BM$1,),)-VLOOKUP(A33,Data!$E:$BM,MATCH(yoy!$W$1,Data!$E$1:$BM$1,),))/VLOOKUP(A33,Data!$E:$BM,MATCH(yoy!$W$1,Data!$E$1:$BM$1,),))+1)^12-1</f>
        <v>0.17444359042210533</v>
      </c>
      <c r="X33" s="14">
        <f>(((VLOOKUP(B33,Data!$E:$BM,MATCH(yoy!$X$1,Data!$E$1:$BM$1,),)-VLOOKUP(A33,Data!$E:$BM,MATCH(yoy!$X$1,Data!$E$1:$BM$1,),))/VLOOKUP(A33,Data!$E:$BM,MATCH(yoy!$X$1,Data!$E$1:$BM$1,),))+1)^12-1</f>
        <v>5.5825881551607059E-2</v>
      </c>
      <c r="Y33" s="14">
        <f>(((VLOOKUP(B33,Data!$E:$BM,MATCH(yoy!$Y$1,Data!$E$1:$BM$1,),)-VLOOKUP(A33,Data!$E:$BM,MATCH(yoy!$Y$1,Data!$E$1:$BM$1,),))/VLOOKUP(A33,Data!$E:$BM,MATCH(yoy!$Y$1,Data!$E$1:$BM$1,),))+1)^12-1</f>
        <v>7.0682884236927812E-2</v>
      </c>
      <c r="Z33" s="14">
        <f>(((VLOOKUP(B33,Data!$E:$BM,MATCH(yoy!$Z$1,Data!$E$1:$BM$1,),)-VLOOKUP(A33,Data!$E:$BM,MATCH(yoy!$Z$1,Data!$E$1:$BM$1,),))/VLOOKUP(A33,Data!$E:$BM,MATCH(yoy!$Z$1,Data!$E$1:$BM$1,),))+1)^12-1</f>
        <v>0.11971966761481911</v>
      </c>
      <c r="AA33" s="14">
        <f>(((VLOOKUP(B33,Data!$E:$BM,MATCH(yoy!$AA$1,Data!$E$1:$BM$1,),)-VLOOKUP(A33,Data!$E:$BM,MATCH(yoy!$AA$1,Data!$E$1:$BM$1,),))/VLOOKUP(A33,Data!$E:$BM,MATCH(yoy!$AA$1,Data!$E$1:$BM$1,),))+1)^12-1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(((VLOOKUP(B34,Data!$E:$BM,MATCH(yoy!$C$1,Data!$E$1:$BM$1,),)-VLOOKUP(A34,Data!$E:$BM,MATCH(yoy!$C$1,Data!$E$1:$BM$1,),))/VLOOKUP(A34,Data!$E:$BM,MATCH(yoy!$C$1,Data!$E$1:$BM$1,),))+1)^12-1</f>
        <v>3.571153042127917E-2</v>
      </c>
      <c r="D34" s="14">
        <f>(((VLOOKUP(B34,Data!$E:$BM,MATCH(yoy!$D$1,Data!$E$1:$BM$1,),)-VLOOKUP(A34,Data!$E:$BM,MATCH(yoy!$D$1,Data!$E$1:$BM$1,),))/VLOOKUP(A34,Data!$E:$BM,MATCH(yoy!$D$1,Data!$E$1:$BM$1,),))+1)^12-1</f>
        <v>2.4747849886296303E-2</v>
      </c>
      <c r="E34" s="14">
        <f>(((VLOOKUP(B34,Data!$E:$BM,MATCH(yoy!$E$1,Data!$E$1:$BM$1,),)-VLOOKUP(A34,Data!$E:$BM,MATCH(yoy!$E$1,Data!$E$1:$BM$1,),))/VLOOKUP(A34,Data!$E:$BM,MATCH(yoy!$E$1,Data!$E$1:$BM$1,),))+1)^12-1</f>
        <v>6.3971781152527107E-2</v>
      </c>
      <c r="F34" s="14">
        <f>(((VLOOKUP(B34,Data!$E:$BM,MATCH(yoy!$F$1,Data!$E$1:$BM$1,),)-VLOOKUP(A34,Data!$E:$BM,MATCH(yoy!$F$1,Data!$E$1:$BM$1,),))/VLOOKUP(A34,Data!$E:$BM,MATCH(yoy!$F$1,Data!$E$1:$BM$1,),))+1)^12-1</f>
        <v>2.8096945908742343E-2</v>
      </c>
      <c r="G34" s="14">
        <f>(((VLOOKUP(B34,Data!$E:$BM,MATCH(yoy!$G$1,Data!$E$1:$BM$1,),)-VLOOKUP(A34,Data!$E:$BM,MATCH(yoy!$G$1,Data!$E$1:$BM$1,),))/VLOOKUP(A34,Data!$E:$BM,MATCH(yoy!$G$1,Data!$E$1:$BM$1,),))+1)^12-1</f>
        <v>4.1026163222358303E-2</v>
      </c>
      <c r="H34" s="14">
        <f>(((VLOOKUP(B34,Data!$E:$BM,MATCH(yoy!$H$1,Data!$E$1:$BM$1,),)-VLOOKUP(A34,Data!$E:$BM,MATCH(yoy!$H$1,Data!$E$1:$BM$1,),))/VLOOKUP(A34,Data!$E:$BM,MATCH(yoy!$H$1,Data!$E$1:$BM$1,),))+1)^12-1</f>
        <v>1.2706531403811061E-2</v>
      </c>
      <c r="I34" s="14">
        <f>(((VLOOKUP(B34,Data!$E:$BM,MATCH(yoy!$I$1,Data!$E$1:$BM$1,),)-VLOOKUP(A34,Data!$E:$BM,MATCH(yoy!$I$1,Data!$E$1:$BM$1,),))/VLOOKUP(A34,Data!$E:$BM,MATCH(yoy!$I$1,Data!$E$1:$BM$1,),))+1)^12-1</f>
        <v>6.7587773085174607E-2</v>
      </c>
      <c r="J34" s="14">
        <f>(((VLOOKUP(B34,Data!$E:$BM,MATCH(yoy!$J$1,Data!$E$1:$BM$1,),)-VLOOKUP(A34,Data!$E:$BM,MATCH(yoy!$J$1,Data!$E$1:$BM$1,),))/VLOOKUP(A34,Data!$E:$BM,MATCH(yoy!$J$1,Data!$E$1:$BM$1,),))+1)^12-1</f>
        <v>6.6536793132733418E-2</v>
      </c>
      <c r="K34" s="14">
        <f>(((VLOOKUP(B34,Data!$E:$BM,MATCH(yoy!$K$1,Data!$E$1:$BM$1,),)-VLOOKUP(A34,Data!$E:$BM,MATCH(yoy!$K$1,Data!$E$1:$BM$1,),))/VLOOKUP(A34,Data!$E:$BM,MATCH(yoy!$K$1,Data!$E$1:$BM$1,),))+1)^12-1</f>
        <v>3.5901729922877434E-2</v>
      </c>
      <c r="L34" s="14">
        <f>(((VLOOKUP(B34,Data!$E:$BM,MATCH(yoy!$L$1,Data!$E$1:$BM$1,),)-VLOOKUP(A34,Data!$E:$BM,MATCH(yoy!$L$1,Data!$E$1:$BM$1,),))/VLOOKUP(A34,Data!$E:$BM,MATCH(yoy!$L$1,Data!$E$1:$BM$1,),))+1)^12-1</f>
        <v>5.3240846460165026E-2</v>
      </c>
      <c r="M34" s="14">
        <f>(((VLOOKUP(B34,Data!$E:$BM,MATCH(yoy!$M$1,Data!$E$1:$BM$1,),)-VLOOKUP(A34,Data!$E:$BM,MATCH(yoy!$M$1,Data!$E$1:$BM$1,),))/VLOOKUP(A34,Data!$E:$BM,MATCH(yoy!$M$1,Data!$E$1:$BM$1,),))+1)^12-1</f>
        <v>7.9400540262564379E-2</v>
      </c>
      <c r="N34" s="14">
        <f>(((VLOOKUP(B34,Data!$E:$BM,MATCH(yoy!$N$1,Data!$E$1:$BM$1,),)-VLOOKUP(A34,Data!$E:$BM,MATCH(yoy!$N$1,Data!$E$1:$BM$1,),))/VLOOKUP(A34,Data!$E:$BM,MATCH(yoy!$N$1,Data!$E$1:$BM$1,),))+1)^12-1</f>
        <v>0.12976912131410101</v>
      </c>
      <c r="O34" s="14">
        <f>(((VLOOKUP(B34,Data!$E:$BM,MATCH(yoy!$O$1,Data!$E$1:$BM$1,),)-VLOOKUP(A34,Data!$E:$BM,MATCH(yoy!$O$1,Data!$E$1:$BM$1,),))/VLOOKUP(A34,Data!$E:$BM,MATCH(yoy!$O$1,Data!$E$1:$BM$1,),))+1)^12-1</f>
        <v>9.4644117478295264E-2</v>
      </c>
      <c r="P34" s="14">
        <f>(((VLOOKUP(B34,Data!$E:$BM,MATCH(yoy!$P$1,Data!$E$1:$BM$1,),)-VLOOKUP(A34,Data!$E:$BM,MATCH(yoy!$P$1,Data!$E$1:$BM$1,),))/VLOOKUP(A34,Data!$E:$BM,MATCH(yoy!$P$1,Data!$E$1:$BM$1,),))+1)^12-1</f>
        <v>-3.3176884922222039E-2</v>
      </c>
      <c r="Q34" s="14">
        <f>(((VLOOKUP(B34,Data!$E:$BM,MATCH(yoy!$Q$1,Data!$E$1:$BM$1,),)-VLOOKUP(A34,Data!$E:$BM,MATCH(yoy!$Q$1,Data!$E$1:$BM$1,),))/VLOOKUP(A34,Data!$E:$BM,MATCH(yoy!$Q$1,Data!$E$1:$BM$1,),))+1)^12-1</f>
        <v>7.3359792542807556E-2</v>
      </c>
      <c r="R34" s="14">
        <f>(((VLOOKUP(B34,Data!$E:$BM,MATCH(yoy!$R$1,Data!$E$1:$BM$1,),)-VLOOKUP(A34,Data!$E:$BM,MATCH(yoy!$R$1,Data!$E$1:$BM$1,),))/VLOOKUP(A34,Data!$E:$BM,MATCH(yoy!$R$1,Data!$E$1:$BM$1,),))+1)^12-1</f>
        <v>0.13581729763750117</v>
      </c>
      <c r="S34" s="14">
        <f>(((VLOOKUP(B34,Data!$E:$BM,MATCH(yoy!$S$1,Data!$E$1:$BM$1,),)-VLOOKUP(A34,Data!$E:$BM,MATCH(yoy!$S$1,Data!$E$1:$BM$1,),))/VLOOKUP(A34,Data!$E:$BM,MATCH(yoy!$S$1,Data!$E$1:$BM$1,),))+1)^12-1</f>
        <v>6.9127747702457887E-2</v>
      </c>
      <c r="T34" s="14">
        <f>(((VLOOKUP(B34,Data!$E:$BM,MATCH(yoy!$T$1,Data!$E$1:$BM$1,),)-VLOOKUP(A34,Data!$E:$BM,MATCH(yoy!$T$1,Data!$E$1:$BM$1,),))/VLOOKUP(A34,Data!$E:$BM,MATCH(yoy!$T$1,Data!$E$1:$BM$1,),))+1)^12-1</f>
        <v>2.483975764541313E-2</v>
      </c>
      <c r="U34" s="14">
        <f>(((VLOOKUP(B34,Data!$E:$BM,MATCH(yoy!$U$1,Data!$E$1:$BM$1,),)-VLOOKUP(A34,Data!$E:$BM,MATCH(yoy!$U$1,Data!$E$1:$BM$1,),))/VLOOKUP(A34,Data!$E:$BM,MATCH(yoy!$U$1,Data!$E$1:$BM$1,),))+1)^12-1</f>
        <v>5.2339289680754852E-2</v>
      </c>
      <c r="V34" s="14">
        <f>(((VLOOKUP(B34,Data!$E:$BM,MATCH(yoy!$V$1,Data!$E$1:$BM$1,),)-VLOOKUP(A34,Data!$E:$BM,MATCH(yoy!$V$1,Data!$E$1:$BM$1,),))/VLOOKUP(A34,Data!$E:$BM,MATCH(yoy!$V$1,Data!$E$1:$BM$1,),))+1)^12-1</f>
        <v>0.13880074779371188</v>
      </c>
      <c r="W34" s="14">
        <f>(((VLOOKUP(B34,Data!$E:$BM,MATCH(yoy!$W$1,Data!$E$1:$BM$1,),)-VLOOKUP(A34,Data!$E:$BM,MATCH(yoy!$W$1,Data!$E$1:$BM$1,),))/VLOOKUP(A34,Data!$E:$BM,MATCH(yoy!$W$1,Data!$E$1:$BM$1,),))+1)^12-1</f>
        <v>0.13470533376331328</v>
      </c>
      <c r="X34" s="14">
        <f>(((VLOOKUP(B34,Data!$E:$BM,MATCH(yoy!$X$1,Data!$E$1:$BM$1,),)-VLOOKUP(A34,Data!$E:$BM,MATCH(yoy!$X$1,Data!$E$1:$BM$1,),))/VLOOKUP(A34,Data!$E:$BM,MATCH(yoy!$X$1,Data!$E$1:$BM$1,),))+1)^12-1</f>
        <v>7.7252314117781218E-2</v>
      </c>
      <c r="Y34" s="14">
        <f>(((VLOOKUP(B34,Data!$E:$BM,MATCH(yoy!$Y$1,Data!$E$1:$BM$1,),)-VLOOKUP(A34,Data!$E:$BM,MATCH(yoy!$Y$1,Data!$E$1:$BM$1,),))/VLOOKUP(A34,Data!$E:$BM,MATCH(yoy!$Y$1,Data!$E$1:$BM$1,),))+1)^12-1</f>
        <v>7.1793739933744938E-2</v>
      </c>
      <c r="Z34" s="14">
        <f>(((VLOOKUP(B34,Data!$E:$BM,MATCH(yoy!$Z$1,Data!$E$1:$BM$1,),)-VLOOKUP(A34,Data!$E:$BM,MATCH(yoy!$Z$1,Data!$E$1:$BM$1,),))/VLOOKUP(A34,Data!$E:$BM,MATCH(yoy!$Z$1,Data!$E$1:$BM$1,),))+1)^12-1</f>
        <v>-3.1699123763558545E-2</v>
      </c>
      <c r="AA34" s="14">
        <f>(((VLOOKUP(B34,Data!$E:$BM,MATCH(yoy!$AA$1,Data!$E$1:$BM$1,),)-VLOOKUP(A34,Data!$E:$BM,MATCH(yoy!$AA$1,Data!$E$1:$BM$1,),))/VLOOKUP(A34,Data!$E:$BM,MATCH(yoy!$AA$1,Data!$E$1:$BM$1,),))+1)^12-1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(((VLOOKUP(B35,Data!$E:$BM,MATCH(yoy!$C$1,Data!$E$1:$BM$1,),)-VLOOKUP(A35,Data!$E:$BM,MATCH(yoy!$C$1,Data!$E$1:$BM$1,),))/VLOOKUP(A35,Data!$E:$BM,MATCH(yoy!$C$1,Data!$E$1:$BM$1,),))+1)^12-1</f>
        <v>5.6796030411527809E-2</v>
      </c>
      <c r="D35" s="14">
        <f>(((VLOOKUP(B35,Data!$E:$BM,MATCH(yoy!$D$1,Data!$E$1:$BM$1,),)-VLOOKUP(A35,Data!$E:$BM,MATCH(yoy!$D$1,Data!$E$1:$BM$1,),))/VLOOKUP(A35,Data!$E:$BM,MATCH(yoy!$D$1,Data!$E$1:$BM$1,),))+1)^12-1</f>
        <v>5.4515996841354664E-2</v>
      </c>
      <c r="E35" s="14">
        <f>(((VLOOKUP(B35,Data!$E:$BM,MATCH(yoy!$E$1,Data!$E$1:$BM$1,),)-VLOOKUP(A35,Data!$E:$BM,MATCH(yoy!$E$1,Data!$E$1:$BM$1,),))/VLOOKUP(A35,Data!$E:$BM,MATCH(yoy!$E$1,Data!$E$1:$BM$1,),))+1)^12-1</f>
        <v>0.10330557466322987</v>
      </c>
      <c r="F35" s="14">
        <f>(((VLOOKUP(B35,Data!$E:$BM,MATCH(yoy!$F$1,Data!$E$1:$BM$1,),)-VLOOKUP(A35,Data!$E:$BM,MATCH(yoy!$F$1,Data!$E$1:$BM$1,),))/VLOOKUP(A35,Data!$E:$BM,MATCH(yoy!$F$1,Data!$E$1:$BM$1,),))+1)^12-1</f>
        <v>3.847279746860699E-2</v>
      </c>
      <c r="G35" s="14">
        <f>(((VLOOKUP(B35,Data!$E:$BM,MATCH(yoy!$G$1,Data!$E$1:$BM$1,),)-VLOOKUP(A35,Data!$E:$BM,MATCH(yoy!$G$1,Data!$E$1:$BM$1,),))/VLOOKUP(A35,Data!$E:$BM,MATCH(yoy!$G$1,Data!$E$1:$BM$1,),))+1)^12-1</f>
        <v>3.546989675455281E-2</v>
      </c>
      <c r="H35" s="14">
        <f>(((VLOOKUP(B35,Data!$E:$BM,MATCH(yoy!$H$1,Data!$E$1:$BM$1,),)-VLOOKUP(A35,Data!$E:$BM,MATCH(yoy!$H$1,Data!$E$1:$BM$1,),))/VLOOKUP(A35,Data!$E:$BM,MATCH(yoy!$H$1,Data!$E$1:$BM$1,),))+1)^12-1</f>
        <v>3.2470785508762701E-2</v>
      </c>
      <c r="I35" s="14">
        <f>(((VLOOKUP(B35,Data!$E:$BM,MATCH(yoy!$I$1,Data!$E$1:$BM$1,),)-VLOOKUP(A35,Data!$E:$BM,MATCH(yoy!$I$1,Data!$E$1:$BM$1,),))/VLOOKUP(A35,Data!$E:$BM,MATCH(yoy!$I$1,Data!$E$1:$BM$1,),))+1)^12-1</f>
        <v>4.2054893793087578E-2</v>
      </c>
      <c r="J35" s="14">
        <f>(((VLOOKUP(B35,Data!$E:$BM,MATCH(yoy!$J$1,Data!$E$1:$BM$1,),)-VLOOKUP(A35,Data!$E:$BM,MATCH(yoy!$J$1,Data!$E$1:$BM$1,),))/VLOOKUP(A35,Data!$E:$BM,MATCH(yoy!$J$1,Data!$E$1:$BM$1,),))+1)^12-1</f>
        <v>6.6888649510034259E-2</v>
      </c>
      <c r="K35" s="14">
        <f>(((VLOOKUP(B35,Data!$E:$BM,MATCH(yoy!$K$1,Data!$E$1:$BM$1,),)-VLOOKUP(A35,Data!$E:$BM,MATCH(yoy!$K$1,Data!$E$1:$BM$1,),))/VLOOKUP(A35,Data!$E:$BM,MATCH(yoy!$K$1,Data!$E$1:$BM$1,),))+1)^12-1</f>
        <v>0.10023858368796446</v>
      </c>
      <c r="L35" s="14">
        <f>(((VLOOKUP(B35,Data!$E:$BM,MATCH(yoy!$L$1,Data!$E$1:$BM$1,),)-VLOOKUP(A35,Data!$E:$BM,MATCH(yoy!$L$1,Data!$E$1:$BM$1,),))/VLOOKUP(A35,Data!$E:$BM,MATCH(yoy!$L$1,Data!$E$1:$BM$1,),))+1)^12-1</f>
        <v>5.91783439863387E-2</v>
      </c>
      <c r="M35" s="14">
        <f>(((VLOOKUP(B35,Data!$E:$BM,MATCH(yoy!$M$1,Data!$E$1:$BM$1,),)-VLOOKUP(A35,Data!$E:$BM,MATCH(yoy!$M$1,Data!$E$1:$BM$1,),))/VLOOKUP(A35,Data!$E:$BM,MATCH(yoy!$M$1,Data!$E$1:$BM$1,),))+1)^12-1</f>
        <v>0.162376019959801</v>
      </c>
      <c r="N35" s="14">
        <f>(((VLOOKUP(B35,Data!$E:$BM,MATCH(yoy!$N$1,Data!$E$1:$BM$1,),)-VLOOKUP(A35,Data!$E:$BM,MATCH(yoy!$N$1,Data!$E$1:$BM$1,),))/VLOOKUP(A35,Data!$E:$BM,MATCH(yoy!$N$1,Data!$E$1:$BM$1,),))+1)^12-1</f>
        <v>4.8221352770797976E-2</v>
      </c>
      <c r="O35" s="14">
        <f>(((VLOOKUP(B35,Data!$E:$BM,MATCH(yoy!$O$1,Data!$E$1:$BM$1,),)-VLOOKUP(A35,Data!$E:$BM,MATCH(yoy!$O$1,Data!$E$1:$BM$1,),))/VLOOKUP(A35,Data!$E:$BM,MATCH(yoy!$O$1,Data!$E$1:$BM$1,),))+1)^12-1</f>
        <v>6.2539866080278506E-2</v>
      </c>
      <c r="P35" s="14">
        <f>(((VLOOKUP(B35,Data!$E:$BM,MATCH(yoy!$P$1,Data!$E$1:$BM$1,),)-VLOOKUP(A35,Data!$E:$BM,MATCH(yoy!$P$1,Data!$E$1:$BM$1,),))/VLOOKUP(A35,Data!$E:$BM,MATCH(yoy!$P$1,Data!$E$1:$BM$1,),))+1)^12-1</f>
        <v>-3.4787754876896115E-2</v>
      </c>
      <c r="Q35" s="14">
        <f>(((VLOOKUP(B35,Data!$E:$BM,MATCH(yoy!$Q$1,Data!$E$1:$BM$1,),)-VLOOKUP(A35,Data!$E:$BM,MATCH(yoy!$Q$1,Data!$E$1:$BM$1,),))/VLOOKUP(A35,Data!$E:$BM,MATCH(yoy!$Q$1,Data!$E$1:$BM$1,),))+1)^12-1</f>
        <v>5.812899127165605E-2</v>
      </c>
      <c r="R35" s="14">
        <f>(((VLOOKUP(B35,Data!$E:$BM,MATCH(yoy!$R$1,Data!$E$1:$BM$1,),)-VLOOKUP(A35,Data!$E:$BM,MATCH(yoy!$R$1,Data!$E$1:$BM$1,),))/VLOOKUP(A35,Data!$E:$BM,MATCH(yoy!$R$1,Data!$E$1:$BM$1,),))+1)^12-1</f>
        <v>4.0210775563530365E-2</v>
      </c>
      <c r="S35" s="14">
        <f>(((VLOOKUP(B35,Data!$E:$BM,MATCH(yoy!$S$1,Data!$E$1:$BM$1,),)-VLOOKUP(A35,Data!$E:$BM,MATCH(yoy!$S$1,Data!$E$1:$BM$1,),))/VLOOKUP(A35,Data!$E:$BM,MATCH(yoy!$S$1,Data!$E$1:$BM$1,),))+1)^12-1</f>
        <v>6.2005314539581802E-2</v>
      </c>
      <c r="T35" s="14">
        <f>(((VLOOKUP(B35,Data!$E:$BM,MATCH(yoy!$T$1,Data!$E$1:$BM$1,),)-VLOOKUP(A35,Data!$E:$BM,MATCH(yoy!$T$1,Data!$E$1:$BM$1,),))/VLOOKUP(A35,Data!$E:$BM,MATCH(yoy!$T$1,Data!$E$1:$BM$1,),))+1)^12-1</f>
        <v>6.8845592421689972E-2</v>
      </c>
      <c r="U35" s="14">
        <f>(((VLOOKUP(B35,Data!$E:$BM,MATCH(yoy!$U$1,Data!$E$1:$BM$1,),)-VLOOKUP(A35,Data!$E:$BM,MATCH(yoy!$U$1,Data!$E$1:$BM$1,),))/VLOOKUP(A35,Data!$E:$BM,MATCH(yoy!$U$1,Data!$E$1:$BM$1,),))+1)^12-1</f>
        <v>-1.3699018961866871E-3</v>
      </c>
      <c r="V35" s="14">
        <f>(((VLOOKUP(B35,Data!$E:$BM,MATCH(yoy!$V$1,Data!$E$1:$BM$1,),)-VLOOKUP(A35,Data!$E:$BM,MATCH(yoy!$V$1,Data!$E$1:$BM$1,),))/VLOOKUP(A35,Data!$E:$BM,MATCH(yoy!$V$1,Data!$E$1:$BM$1,),))+1)^12-1</f>
        <v>0.12823329041550524</v>
      </c>
      <c r="W35" s="14">
        <f>(((VLOOKUP(B35,Data!$E:$BM,MATCH(yoy!$W$1,Data!$E$1:$BM$1,),)-VLOOKUP(A35,Data!$E:$BM,MATCH(yoy!$W$1,Data!$E$1:$BM$1,),))/VLOOKUP(A35,Data!$E:$BM,MATCH(yoy!$W$1,Data!$E$1:$BM$1,),))+1)^12-1</f>
        <v>0.12304312375431303</v>
      </c>
      <c r="X35" s="14">
        <f>(((VLOOKUP(B35,Data!$E:$BM,MATCH(yoy!$X$1,Data!$E$1:$BM$1,),)-VLOOKUP(A35,Data!$E:$BM,MATCH(yoy!$X$1,Data!$E$1:$BM$1,),))/VLOOKUP(A35,Data!$E:$BM,MATCH(yoy!$X$1,Data!$E$1:$BM$1,),))+1)^12-1</f>
        <v>8.4517568396184961E-2</v>
      </c>
      <c r="Y35" s="14">
        <f>(((VLOOKUP(B35,Data!$E:$BM,MATCH(yoy!$Y$1,Data!$E$1:$BM$1,),)-VLOOKUP(A35,Data!$E:$BM,MATCH(yoy!$Y$1,Data!$E$1:$BM$1,),))/VLOOKUP(A35,Data!$E:$BM,MATCH(yoy!$Y$1,Data!$E$1:$BM$1,),))+1)^12-1</f>
        <v>9.1301544868932716E-2</v>
      </c>
      <c r="Z35" s="14">
        <f>(((VLOOKUP(B35,Data!$E:$BM,MATCH(yoy!$Z$1,Data!$E$1:$BM$1,),)-VLOOKUP(A35,Data!$E:$BM,MATCH(yoy!$Z$1,Data!$E$1:$BM$1,),))/VLOOKUP(A35,Data!$E:$BM,MATCH(yoy!$Z$1,Data!$E$1:$BM$1,),))+1)^12-1</f>
        <v>7.4268539283184332E-4</v>
      </c>
      <c r="AA35" s="14">
        <f>(((VLOOKUP(B35,Data!$E:$BM,MATCH(yoy!$AA$1,Data!$E$1:$BM$1,),)-VLOOKUP(A35,Data!$E:$BM,MATCH(yoy!$AA$1,Data!$E$1:$BM$1,),))/VLOOKUP(A35,Data!$E:$BM,MATCH(yoy!$AA$1,Data!$E$1:$BM$1,),))+1)^12-1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(((VLOOKUP(B36,Data!$E:$BM,MATCH(yoy!$C$1,Data!$E$1:$BM$1,),)-VLOOKUP(A36,Data!$E:$BM,MATCH(yoy!$C$1,Data!$E$1:$BM$1,),))/VLOOKUP(A36,Data!$E:$BM,MATCH(yoy!$C$1,Data!$E$1:$BM$1,),))+1)^12-1</f>
        <v>5.4190619309011812E-2</v>
      </c>
      <c r="D36" s="14">
        <f>(((VLOOKUP(B36,Data!$E:$BM,MATCH(yoy!$D$1,Data!$E$1:$BM$1,),)-VLOOKUP(A36,Data!$E:$BM,MATCH(yoy!$D$1,Data!$E$1:$BM$1,),))/VLOOKUP(A36,Data!$E:$BM,MATCH(yoy!$D$1,Data!$E$1:$BM$1,),))+1)^12-1</f>
        <v>5.0014662047245917E-2</v>
      </c>
      <c r="E36" s="14">
        <f>(((VLOOKUP(B36,Data!$E:$BM,MATCH(yoy!$E$1,Data!$E$1:$BM$1,),)-VLOOKUP(A36,Data!$E:$BM,MATCH(yoy!$E$1,Data!$E$1:$BM$1,),))/VLOOKUP(A36,Data!$E:$BM,MATCH(yoy!$E$1,Data!$E$1:$BM$1,),))+1)^12-1</f>
        <v>8.6772586170714483E-2</v>
      </c>
      <c r="F36" s="14">
        <f>(((VLOOKUP(B36,Data!$E:$BM,MATCH(yoy!$F$1,Data!$E$1:$BM$1,),)-VLOOKUP(A36,Data!$E:$BM,MATCH(yoy!$F$1,Data!$E$1:$BM$1,),))/VLOOKUP(A36,Data!$E:$BM,MATCH(yoy!$F$1,Data!$E$1:$BM$1,),))+1)^12-1</f>
        <v>4.6852289341227316E-2</v>
      </c>
      <c r="G36" s="14">
        <f>(((VLOOKUP(B36,Data!$E:$BM,MATCH(yoy!$G$1,Data!$E$1:$BM$1,),)-VLOOKUP(A36,Data!$E:$BM,MATCH(yoy!$G$1,Data!$E$1:$BM$1,),))/VLOOKUP(A36,Data!$E:$BM,MATCH(yoy!$G$1,Data!$E$1:$BM$1,),))+1)^12-1</f>
        <v>2.7318915597621896E-2</v>
      </c>
      <c r="H36" s="14">
        <f>(((VLOOKUP(B36,Data!$E:$BM,MATCH(yoy!$H$1,Data!$E$1:$BM$1,),)-VLOOKUP(A36,Data!$E:$BM,MATCH(yoy!$H$1,Data!$E$1:$BM$1,),))/VLOOKUP(A36,Data!$E:$BM,MATCH(yoy!$H$1,Data!$E$1:$BM$1,),))+1)^12-1</f>
        <v>8.8951035084087193E-2</v>
      </c>
      <c r="I36" s="14">
        <f>(((VLOOKUP(B36,Data!$E:$BM,MATCH(yoy!$I$1,Data!$E$1:$BM$1,),)-VLOOKUP(A36,Data!$E:$BM,MATCH(yoy!$I$1,Data!$E$1:$BM$1,),))/VLOOKUP(A36,Data!$E:$BM,MATCH(yoy!$I$1,Data!$E$1:$BM$1,),))+1)^12-1</f>
        <v>3.5360283857423402E-2</v>
      </c>
      <c r="J36" s="14">
        <f>(((VLOOKUP(B36,Data!$E:$BM,MATCH(yoy!$J$1,Data!$E$1:$BM$1,),)-VLOOKUP(A36,Data!$E:$BM,MATCH(yoy!$J$1,Data!$E$1:$BM$1,),))/VLOOKUP(A36,Data!$E:$BM,MATCH(yoy!$J$1,Data!$E$1:$BM$1,),))+1)^12-1</f>
        <v>7.2035702574670735E-2</v>
      </c>
      <c r="K36" s="14">
        <f>(((VLOOKUP(B36,Data!$E:$BM,MATCH(yoy!$K$1,Data!$E$1:$BM$1,),)-VLOOKUP(A36,Data!$E:$BM,MATCH(yoy!$K$1,Data!$E$1:$BM$1,),))/VLOOKUP(A36,Data!$E:$BM,MATCH(yoy!$K$1,Data!$E$1:$BM$1,),))+1)^12-1</f>
        <v>2.8617852058208548E-2</v>
      </c>
      <c r="L36" s="14">
        <f>(((VLOOKUP(B36,Data!$E:$BM,MATCH(yoy!$L$1,Data!$E$1:$BM$1,),)-VLOOKUP(A36,Data!$E:$BM,MATCH(yoy!$L$1,Data!$E$1:$BM$1,),))/VLOOKUP(A36,Data!$E:$BM,MATCH(yoy!$L$1,Data!$E$1:$BM$1,),))+1)^12-1</f>
        <v>9.1580228084603199E-2</v>
      </c>
      <c r="M36" s="14">
        <f>(((VLOOKUP(B36,Data!$E:$BM,MATCH(yoy!$M$1,Data!$E$1:$BM$1,),)-VLOOKUP(A36,Data!$E:$BM,MATCH(yoy!$M$1,Data!$E$1:$BM$1,),))/VLOOKUP(A36,Data!$E:$BM,MATCH(yoy!$M$1,Data!$E$1:$BM$1,),))+1)^12-1</f>
        <v>4.2258631752332798E-2</v>
      </c>
      <c r="N36" s="14">
        <f>(((VLOOKUP(B36,Data!$E:$BM,MATCH(yoy!$N$1,Data!$E$1:$BM$1,),)-VLOOKUP(A36,Data!$E:$BM,MATCH(yoy!$N$1,Data!$E$1:$BM$1,),))/VLOOKUP(A36,Data!$E:$BM,MATCH(yoy!$N$1,Data!$E$1:$BM$1,),))+1)^12-1</f>
        <v>-2.8809541107189807E-2</v>
      </c>
      <c r="O36" s="14">
        <f>(((VLOOKUP(B36,Data!$E:$BM,MATCH(yoy!$O$1,Data!$E$1:$BM$1,),)-VLOOKUP(A36,Data!$E:$BM,MATCH(yoy!$O$1,Data!$E$1:$BM$1,),))/VLOOKUP(A36,Data!$E:$BM,MATCH(yoy!$O$1,Data!$E$1:$BM$1,),))+1)^12-1</f>
        <v>5.1659295361481838E-2</v>
      </c>
      <c r="P36" s="14">
        <f>(((VLOOKUP(B36,Data!$E:$BM,MATCH(yoy!$P$1,Data!$E$1:$BM$1,),)-VLOOKUP(A36,Data!$E:$BM,MATCH(yoy!$P$1,Data!$E$1:$BM$1,),))/VLOOKUP(A36,Data!$E:$BM,MATCH(yoy!$P$1,Data!$E$1:$BM$1,),))+1)^12-1</f>
        <v>3.039725190860576E-2</v>
      </c>
      <c r="Q36" s="14">
        <f>(((VLOOKUP(B36,Data!$E:$BM,MATCH(yoy!$Q$1,Data!$E$1:$BM$1,),)-VLOOKUP(A36,Data!$E:$BM,MATCH(yoy!$Q$1,Data!$E$1:$BM$1,),))/VLOOKUP(A36,Data!$E:$BM,MATCH(yoy!$Q$1,Data!$E$1:$BM$1,),))+1)^12-1</f>
        <v>3.204324019316851E-2</v>
      </c>
      <c r="R36" s="14">
        <f>(((VLOOKUP(B36,Data!$E:$BM,MATCH(yoy!$R$1,Data!$E$1:$BM$1,),)-VLOOKUP(A36,Data!$E:$BM,MATCH(yoy!$R$1,Data!$E$1:$BM$1,),))/VLOOKUP(A36,Data!$E:$BM,MATCH(yoy!$R$1,Data!$E$1:$BM$1,),))+1)^12-1</f>
        <v>4.4851817225533441E-2</v>
      </c>
      <c r="S36" s="14">
        <f>(((VLOOKUP(B36,Data!$E:$BM,MATCH(yoy!$S$1,Data!$E$1:$BM$1,),)-VLOOKUP(A36,Data!$E:$BM,MATCH(yoy!$S$1,Data!$E$1:$BM$1,),))/VLOOKUP(A36,Data!$E:$BM,MATCH(yoy!$S$1,Data!$E$1:$BM$1,),))+1)^12-1</f>
        <v>1.7804683691702072E-2</v>
      </c>
      <c r="T36" s="14">
        <f>(((VLOOKUP(B36,Data!$E:$BM,MATCH(yoy!$T$1,Data!$E$1:$BM$1,),)-VLOOKUP(A36,Data!$E:$BM,MATCH(yoy!$T$1,Data!$E$1:$BM$1,),))/VLOOKUP(A36,Data!$E:$BM,MATCH(yoy!$T$1,Data!$E$1:$BM$1,),))+1)^12-1</f>
        <v>-4.5521045886047773E-3</v>
      </c>
      <c r="U36" s="14">
        <f>(((VLOOKUP(B36,Data!$E:$BM,MATCH(yoy!$U$1,Data!$E$1:$BM$1,),)-VLOOKUP(A36,Data!$E:$BM,MATCH(yoy!$U$1,Data!$E$1:$BM$1,),))/VLOOKUP(A36,Data!$E:$BM,MATCH(yoy!$U$1,Data!$E$1:$BM$1,),))+1)^12-1</f>
        <v>2.0481763404320841E-2</v>
      </c>
      <c r="V36" s="14">
        <f>(((VLOOKUP(B36,Data!$E:$BM,MATCH(yoy!$V$1,Data!$E$1:$BM$1,),)-VLOOKUP(A36,Data!$E:$BM,MATCH(yoy!$V$1,Data!$E$1:$BM$1,),))/VLOOKUP(A36,Data!$E:$BM,MATCH(yoy!$V$1,Data!$E$1:$BM$1,),))+1)^12-1</f>
        <v>0.10811780082053035</v>
      </c>
      <c r="W36" s="14">
        <f>(((VLOOKUP(B36,Data!$E:$BM,MATCH(yoy!$W$1,Data!$E$1:$BM$1,),)-VLOOKUP(A36,Data!$E:$BM,MATCH(yoy!$W$1,Data!$E$1:$BM$1,),))/VLOOKUP(A36,Data!$E:$BM,MATCH(yoy!$W$1,Data!$E$1:$BM$1,),))+1)^12-1</f>
        <v>0.14941575277997643</v>
      </c>
      <c r="X36" s="14">
        <f>(((VLOOKUP(B36,Data!$E:$BM,MATCH(yoy!$X$1,Data!$E$1:$BM$1,),)-VLOOKUP(A36,Data!$E:$BM,MATCH(yoy!$X$1,Data!$E$1:$BM$1,),))/VLOOKUP(A36,Data!$E:$BM,MATCH(yoy!$X$1,Data!$E$1:$BM$1,),))+1)^12-1</f>
        <v>8.8602644712932888E-2</v>
      </c>
      <c r="Y36" s="14">
        <f>(((VLOOKUP(B36,Data!$E:$BM,MATCH(yoy!$Y$1,Data!$E$1:$BM$1,),)-VLOOKUP(A36,Data!$E:$BM,MATCH(yoy!$Y$1,Data!$E$1:$BM$1,),))/VLOOKUP(A36,Data!$E:$BM,MATCH(yoy!$Y$1,Data!$E$1:$BM$1,),))+1)^12-1</f>
        <v>7.7197807178730038E-2</v>
      </c>
      <c r="Z36" s="14">
        <f>(((VLOOKUP(B36,Data!$E:$BM,MATCH(yoy!$Z$1,Data!$E$1:$BM$1,),)-VLOOKUP(A36,Data!$E:$BM,MATCH(yoy!$Z$1,Data!$E$1:$BM$1,),))/VLOOKUP(A36,Data!$E:$BM,MATCH(yoy!$Z$1,Data!$E$1:$BM$1,),))+1)^12-1</f>
        <v>9.4939459567531026E-2</v>
      </c>
      <c r="AA36" s="14">
        <f>(((VLOOKUP(B36,Data!$E:$BM,MATCH(yoy!$AA$1,Data!$E$1:$BM$1,),)-VLOOKUP(A36,Data!$E:$BM,MATCH(yoy!$AA$1,Data!$E$1:$BM$1,),))/VLOOKUP(A36,Data!$E:$BM,MATCH(yoy!$AA$1,Data!$E$1:$BM$1,),))+1)^12-1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(((VLOOKUP(B37,Data!$E:$BM,MATCH(yoy!$C$1,Data!$E$1:$BM$1,),)-VLOOKUP(A37,Data!$E:$BM,MATCH(yoy!$C$1,Data!$E$1:$BM$1,),))/VLOOKUP(A37,Data!$E:$BM,MATCH(yoy!$C$1,Data!$E$1:$BM$1,),))+1)^12-1</f>
        <v>5.4784735390204453E-2</v>
      </c>
      <c r="D37" s="14">
        <f>(((VLOOKUP(B37,Data!$E:$BM,MATCH(yoy!$D$1,Data!$E$1:$BM$1,),)-VLOOKUP(A37,Data!$E:$BM,MATCH(yoy!$D$1,Data!$E$1:$BM$1,),))/VLOOKUP(A37,Data!$E:$BM,MATCH(yoy!$D$1,Data!$E$1:$BM$1,),))+1)^12-1</f>
        <v>3.8118846840800025E-2</v>
      </c>
      <c r="E37" s="14">
        <f>(((VLOOKUP(B37,Data!$E:$BM,MATCH(yoy!$E$1,Data!$E$1:$BM$1,),)-VLOOKUP(A37,Data!$E:$BM,MATCH(yoy!$E$1,Data!$E$1:$BM$1,),))/VLOOKUP(A37,Data!$E:$BM,MATCH(yoy!$E$1,Data!$E$1:$BM$1,),))+1)^12-1</f>
        <v>0.10815563391877236</v>
      </c>
      <c r="F37" s="14">
        <f>(((VLOOKUP(B37,Data!$E:$BM,MATCH(yoy!$F$1,Data!$E$1:$BM$1,),)-VLOOKUP(A37,Data!$E:$BM,MATCH(yoy!$F$1,Data!$E$1:$BM$1,),))/VLOOKUP(A37,Data!$E:$BM,MATCH(yoy!$F$1,Data!$E$1:$BM$1,),))+1)^12-1</f>
        <v>3.6483668776240874E-2</v>
      </c>
      <c r="G37" s="14">
        <f>(((VLOOKUP(B37,Data!$E:$BM,MATCH(yoy!$G$1,Data!$E$1:$BM$1,),)-VLOOKUP(A37,Data!$E:$BM,MATCH(yoy!$G$1,Data!$E$1:$BM$1,),))/VLOOKUP(A37,Data!$E:$BM,MATCH(yoy!$G$1,Data!$E$1:$BM$1,),))+1)^12-1</f>
        <v>3.2073674727815416E-2</v>
      </c>
      <c r="H37" s="14">
        <f>(((VLOOKUP(B37,Data!$E:$BM,MATCH(yoy!$H$1,Data!$E$1:$BM$1,),)-VLOOKUP(A37,Data!$E:$BM,MATCH(yoy!$H$1,Data!$E$1:$BM$1,),))/VLOOKUP(A37,Data!$E:$BM,MATCH(yoy!$H$1,Data!$E$1:$BM$1,),))+1)^12-1</f>
        <v>0.10305179279325838</v>
      </c>
      <c r="I37" s="14">
        <f>(((VLOOKUP(B37,Data!$E:$BM,MATCH(yoy!$I$1,Data!$E$1:$BM$1,),)-VLOOKUP(A37,Data!$E:$BM,MATCH(yoy!$I$1,Data!$E$1:$BM$1,),))/VLOOKUP(A37,Data!$E:$BM,MATCH(yoy!$I$1,Data!$E$1:$BM$1,),))+1)^12-1</f>
        <v>4.0151918925841912E-2</v>
      </c>
      <c r="J37" s="14">
        <f>(((VLOOKUP(B37,Data!$E:$BM,MATCH(yoy!$J$1,Data!$E$1:$BM$1,),)-VLOOKUP(A37,Data!$E:$BM,MATCH(yoy!$J$1,Data!$E$1:$BM$1,),))/VLOOKUP(A37,Data!$E:$BM,MATCH(yoy!$J$1,Data!$E$1:$BM$1,),))+1)^12-1</f>
        <v>0.11004067311900578</v>
      </c>
      <c r="K37" s="14">
        <f>(((VLOOKUP(B37,Data!$E:$BM,MATCH(yoy!$K$1,Data!$E$1:$BM$1,),)-VLOOKUP(A37,Data!$E:$BM,MATCH(yoy!$K$1,Data!$E$1:$BM$1,),))/VLOOKUP(A37,Data!$E:$BM,MATCH(yoy!$K$1,Data!$E$1:$BM$1,),))+1)^12-1</f>
        <v>3.1231321080570362E-2</v>
      </c>
      <c r="L37" s="14">
        <f>(((VLOOKUP(B37,Data!$E:$BM,MATCH(yoy!$L$1,Data!$E$1:$BM$1,),)-VLOOKUP(A37,Data!$E:$BM,MATCH(yoy!$L$1,Data!$E$1:$BM$1,),))/VLOOKUP(A37,Data!$E:$BM,MATCH(yoy!$L$1,Data!$E$1:$BM$1,),))+1)^12-1</f>
        <v>0.13363551892223358</v>
      </c>
      <c r="M37" s="14">
        <f>(((VLOOKUP(B37,Data!$E:$BM,MATCH(yoy!$M$1,Data!$E$1:$BM$1,),)-VLOOKUP(A37,Data!$E:$BM,MATCH(yoy!$M$1,Data!$E$1:$BM$1,),))/VLOOKUP(A37,Data!$E:$BM,MATCH(yoy!$M$1,Data!$E$1:$BM$1,),))+1)^12-1</f>
        <v>9.7867104505273916E-2</v>
      </c>
      <c r="N37" s="14">
        <f>(((VLOOKUP(B37,Data!$E:$BM,MATCH(yoy!$N$1,Data!$E$1:$BM$1,),)-VLOOKUP(A37,Data!$E:$BM,MATCH(yoy!$N$1,Data!$E$1:$BM$1,),))/VLOOKUP(A37,Data!$E:$BM,MATCH(yoy!$N$1,Data!$E$1:$BM$1,),))+1)^12-1</f>
        <v>2.0218292024298368E-2</v>
      </c>
      <c r="O37" s="14">
        <f>(((VLOOKUP(B37,Data!$E:$BM,MATCH(yoy!$O$1,Data!$E$1:$BM$1,),)-VLOOKUP(A37,Data!$E:$BM,MATCH(yoy!$O$1,Data!$E$1:$BM$1,),))/VLOOKUP(A37,Data!$E:$BM,MATCH(yoy!$O$1,Data!$E$1:$BM$1,),))+1)^12-1</f>
        <v>7.4206863469327145E-2</v>
      </c>
      <c r="P37" s="14">
        <f>(((VLOOKUP(B37,Data!$E:$BM,MATCH(yoy!$P$1,Data!$E$1:$BM$1,),)-VLOOKUP(A37,Data!$E:$BM,MATCH(yoy!$P$1,Data!$E$1:$BM$1,),))/VLOOKUP(A37,Data!$E:$BM,MATCH(yoy!$P$1,Data!$E$1:$BM$1,),))+1)^12-1</f>
        <v>4.0498118729256571E-2</v>
      </c>
      <c r="Q37" s="14">
        <f>(((VLOOKUP(B37,Data!$E:$BM,MATCH(yoy!$Q$1,Data!$E$1:$BM$1,),)-VLOOKUP(A37,Data!$E:$BM,MATCH(yoy!$Q$1,Data!$E$1:$BM$1,),))/VLOOKUP(A37,Data!$E:$BM,MATCH(yoy!$Q$1,Data!$E$1:$BM$1,),))+1)^12-1</f>
        <v>3.4686367045615007E-2</v>
      </c>
      <c r="R37" s="14">
        <f>(((VLOOKUP(B37,Data!$E:$BM,MATCH(yoy!$R$1,Data!$E$1:$BM$1,),)-VLOOKUP(A37,Data!$E:$BM,MATCH(yoy!$R$1,Data!$E$1:$BM$1,),))/VLOOKUP(A37,Data!$E:$BM,MATCH(yoy!$R$1,Data!$E$1:$BM$1,),))+1)^12-1</f>
        <v>7.1128020879561049E-2</v>
      </c>
      <c r="S37" s="14">
        <f>(((VLOOKUP(B37,Data!$E:$BM,MATCH(yoy!$S$1,Data!$E$1:$BM$1,),)-VLOOKUP(A37,Data!$E:$BM,MATCH(yoy!$S$1,Data!$E$1:$BM$1,),))/VLOOKUP(A37,Data!$E:$BM,MATCH(yoy!$S$1,Data!$E$1:$BM$1,),))+1)^12-1</f>
        <v>3.7937593559884908E-2</v>
      </c>
      <c r="T37" s="14">
        <f>(((VLOOKUP(B37,Data!$E:$BM,MATCH(yoy!$T$1,Data!$E$1:$BM$1,),)-VLOOKUP(A37,Data!$E:$BM,MATCH(yoy!$T$1,Data!$E$1:$BM$1,),))/VLOOKUP(A37,Data!$E:$BM,MATCH(yoy!$T$1,Data!$E$1:$BM$1,),))+1)^12-1</f>
        <v>9.6212126088408567E-3</v>
      </c>
      <c r="U37" s="14">
        <f>(((VLOOKUP(B37,Data!$E:$BM,MATCH(yoy!$U$1,Data!$E$1:$BM$1,),)-VLOOKUP(A37,Data!$E:$BM,MATCH(yoy!$U$1,Data!$E$1:$BM$1,),))/VLOOKUP(A37,Data!$E:$BM,MATCH(yoy!$U$1,Data!$E$1:$BM$1,),))+1)^12-1</f>
        <v>9.1999570779921047E-2</v>
      </c>
      <c r="V37" s="14">
        <f>(((VLOOKUP(B37,Data!$E:$BM,MATCH(yoy!$V$1,Data!$E$1:$BM$1,),)-VLOOKUP(A37,Data!$E:$BM,MATCH(yoy!$V$1,Data!$E$1:$BM$1,),))/VLOOKUP(A37,Data!$E:$BM,MATCH(yoy!$V$1,Data!$E$1:$BM$1,),))+1)^12-1</f>
        <v>5.4450490812773422E-2</v>
      </c>
      <c r="W37" s="14">
        <f>(((VLOOKUP(B37,Data!$E:$BM,MATCH(yoy!$W$1,Data!$E$1:$BM$1,),)-VLOOKUP(A37,Data!$E:$BM,MATCH(yoy!$W$1,Data!$E$1:$BM$1,),))/VLOOKUP(A37,Data!$E:$BM,MATCH(yoy!$W$1,Data!$E$1:$BM$1,),))+1)^12-1</f>
        <v>0.19057328979637078</v>
      </c>
      <c r="X37" s="14">
        <f>(((VLOOKUP(B37,Data!$E:$BM,MATCH(yoy!$X$1,Data!$E$1:$BM$1,),)-VLOOKUP(A37,Data!$E:$BM,MATCH(yoy!$X$1,Data!$E$1:$BM$1,),))/VLOOKUP(A37,Data!$E:$BM,MATCH(yoy!$X$1,Data!$E$1:$BM$1,),))+1)^12-1</f>
        <v>6.6701783681660132E-2</v>
      </c>
      <c r="Y37" s="14">
        <f>(((VLOOKUP(B37,Data!$E:$BM,MATCH(yoy!$Y$1,Data!$E$1:$BM$1,),)-VLOOKUP(A37,Data!$E:$BM,MATCH(yoy!$Y$1,Data!$E$1:$BM$1,),))/VLOOKUP(A37,Data!$E:$BM,MATCH(yoy!$Y$1,Data!$E$1:$BM$1,),))+1)^12-1</f>
        <v>5.2088174798093911E-2</v>
      </c>
      <c r="Z37" s="14">
        <f>(((VLOOKUP(B37,Data!$E:$BM,MATCH(yoy!$Z$1,Data!$E$1:$BM$1,),)-VLOOKUP(A37,Data!$E:$BM,MATCH(yoy!$Z$1,Data!$E$1:$BM$1,),))/VLOOKUP(A37,Data!$E:$BM,MATCH(yoy!$Z$1,Data!$E$1:$BM$1,),))+1)^12-1</f>
        <v>4.9706381835138203E-2</v>
      </c>
      <c r="AA37" s="14">
        <f>(((VLOOKUP(B37,Data!$E:$BM,MATCH(yoy!$AA$1,Data!$E$1:$BM$1,),)-VLOOKUP(A37,Data!$E:$BM,MATCH(yoy!$AA$1,Data!$E$1:$BM$1,),))/VLOOKUP(A37,Data!$E:$BM,MATCH(yoy!$AA$1,Data!$E$1:$BM$1,),))+1)^12-1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(((VLOOKUP(B38,Data!$E:$BM,MATCH(yoy!$C$1,Data!$E$1:$BM$1,),)-VLOOKUP(A38,Data!$E:$BM,MATCH(yoy!$C$1,Data!$E$1:$BM$1,),))/VLOOKUP(A38,Data!$E:$BM,MATCH(yoy!$C$1,Data!$E$1:$BM$1,),))+1)^12-1</f>
        <v>6.3791701953054947E-2</v>
      </c>
      <c r="D38" s="14">
        <f>(((VLOOKUP(B38,Data!$E:$BM,MATCH(yoy!$D$1,Data!$E$1:$BM$1,),)-VLOOKUP(A38,Data!$E:$BM,MATCH(yoy!$D$1,Data!$E$1:$BM$1,),))/VLOOKUP(A38,Data!$E:$BM,MATCH(yoy!$D$1,Data!$E$1:$BM$1,),))+1)^12-1</f>
        <v>4.6911451207755084E-2</v>
      </c>
      <c r="E38" s="14">
        <f>(((VLOOKUP(B38,Data!$E:$BM,MATCH(yoy!$E$1,Data!$E$1:$BM$1,),)-VLOOKUP(A38,Data!$E:$BM,MATCH(yoy!$E$1,Data!$E$1:$BM$1,),))/VLOOKUP(A38,Data!$E:$BM,MATCH(yoy!$E$1,Data!$E$1:$BM$1,),))+1)^12-1</f>
        <v>0.10489543906435506</v>
      </c>
      <c r="F38" s="14">
        <f>(((VLOOKUP(B38,Data!$E:$BM,MATCH(yoy!$F$1,Data!$E$1:$BM$1,),)-VLOOKUP(A38,Data!$E:$BM,MATCH(yoy!$F$1,Data!$E$1:$BM$1,),))/VLOOKUP(A38,Data!$E:$BM,MATCH(yoy!$F$1,Data!$E$1:$BM$1,),))+1)^12-1</f>
        <v>1.8995209560963566E-2</v>
      </c>
      <c r="G38" s="14">
        <f>(((VLOOKUP(B38,Data!$E:$BM,MATCH(yoy!$G$1,Data!$E$1:$BM$1,),)-VLOOKUP(A38,Data!$E:$BM,MATCH(yoy!$G$1,Data!$E$1:$BM$1,),))/VLOOKUP(A38,Data!$E:$BM,MATCH(yoy!$G$1,Data!$E$1:$BM$1,),))+1)^12-1</f>
        <v>3.6986507771289423E-2</v>
      </c>
      <c r="H38" s="14">
        <f>(((VLOOKUP(B38,Data!$E:$BM,MATCH(yoy!$H$1,Data!$E$1:$BM$1,),)-VLOOKUP(A38,Data!$E:$BM,MATCH(yoy!$H$1,Data!$E$1:$BM$1,),))/VLOOKUP(A38,Data!$E:$BM,MATCH(yoy!$H$1,Data!$E$1:$BM$1,),))+1)^12-1</f>
        <v>6.4689034654174193E-2</v>
      </c>
      <c r="I38" s="14">
        <f>(((VLOOKUP(B38,Data!$E:$BM,MATCH(yoy!$I$1,Data!$E$1:$BM$1,),)-VLOOKUP(A38,Data!$E:$BM,MATCH(yoy!$I$1,Data!$E$1:$BM$1,),))/VLOOKUP(A38,Data!$E:$BM,MATCH(yoy!$I$1,Data!$E$1:$BM$1,),))+1)^12-1</f>
        <v>3.0580555578795909E-2</v>
      </c>
      <c r="J38" s="14">
        <f>(((VLOOKUP(B38,Data!$E:$BM,MATCH(yoy!$J$1,Data!$E$1:$BM$1,),)-VLOOKUP(A38,Data!$E:$BM,MATCH(yoy!$J$1,Data!$E$1:$BM$1,),))/VLOOKUP(A38,Data!$E:$BM,MATCH(yoy!$J$1,Data!$E$1:$BM$1,),))+1)^12-1</f>
        <v>6.0678713399643369E-2</v>
      </c>
      <c r="K38" s="14">
        <f>(((VLOOKUP(B38,Data!$E:$BM,MATCH(yoy!$K$1,Data!$E$1:$BM$1,),)-VLOOKUP(A38,Data!$E:$BM,MATCH(yoy!$K$1,Data!$E$1:$BM$1,),))/VLOOKUP(A38,Data!$E:$BM,MATCH(yoy!$K$1,Data!$E$1:$BM$1,),))+1)^12-1</f>
        <v>0.10885263868212625</v>
      </c>
      <c r="L38" s="14">
        <f>(((VLOOKUP(B38,Data!$E:$BM,MATCH(yoy!$L$1,Data!$E$1:$BM$1,),)-VLOOKUP(A38,Data!$E:$BM,MATCH(yoy!$L$1,Data!$E$1:$BM$1,),))/VLOOKUP(A38,Data!$E:$BM,MATCH(yoy!$L$1,Data!$E$1:$BM$1,),))+1)^12-1</f>
        <v>9.8289814968798517E-2</v>
      </c>
      <c r="M38" s="14">
        <f>(((VLOOKUP(B38,Data!$E:$BM,MATCH(yoy!$M$1,Data!$E$1:$BM$1,),)-VLOOKUP(A38,Data!$E:$BM,MATCH(yoy!$M$1,Data!$E$1:$BM$1,),))/VLOOKUP(A38,Data!$E:$BM,MATCH(yoy!$M$1,Data!$E$1:$BM$1,),))+1)^12-1</f>
        <v>9.1154860435380902E-2</v>
      </c>
      <c r="N38" s="14">
        <f>(((VLOOKUP(B38,Data!$E:$BM,MATCH(yoy!$N$1,Data!$E$1:$BM$1,),)-VLOOKUP(A38,Data!$E:$BM,MATCH(yoy!$N$1,Data!$E$1:$BM$1,),))/VLOOKUP(A38,Data!$E:$BM,MATCH(yoy!$N$1,Data!$E$1:$BM$1,),))+1)^12-1</f>
        <v>5.779702391789221E-2</v>
      </c>
      <c r="O38" s="14">
        <f>(((VLOOKUP(B38,Data!$E:$BM,MATCH(yoy!$O$1,Data!$E$1:$BM$1,),)-VLOOKUP(A38,Data!$E:$BM,MATCH(yoy!$O$1,Data!$E$1:$BM$1,),))/VLOOKUP(A38,Data!$E:$BM,MATCH(yoy!$O$1,Data!$E$1:$BM$1,),))+1)^12-1</f>
        <v>0.19449689542678383</v>
      </c>
      <c r="P38" s="14">
        <f>(((VLOOKUP(B38,Data!$E:$BM,MATCH(yoy!$P$1,Data!$E$1:$BM$1,),)-VLOOKUP(A38,Data!$E:$BM,MATCH(yoy!$P$1,Data!$E$1:$BM$1,),))/VLOOKUP(A38,Data!$E:$BM,MATCH(yoy!$P$1,Data!$E$1:$BM$1,),))+1)^12-1</f>
        <v>8.6818399547714753E-2</v>
      </c>
      <c r="Q38" s="14">
        <f>(((VLOOKUP(B38,Data!$E:$BM,MATCH(yoy!$Q$1,Data!$E$1:$BM$1,),)-VLOOKUP(A38,Data!$E:$BM,MATCH(yoy!$Q$1,Data!$E$1:$BM$1,),))/VLOOKUP(A38,Data!$E:$BM,MATCH(yoy!$Q$1,Data!$E$1:$BM$1,),))+1)^12-1</f>
        <v>3.91351555388606E-2</v>
      </c>
      <c r="R38" s="14">
        <f>(((VLOOKUP(B38,Data!$E:$BM,MATCH(yoy!$R$1,Data!$E$1:$BM$1,),)-VLOOKUP(A38,Data!$E:$BM,MATCH(yoy!$R$1,Data!$E$1:$BM$1,),))/VLOOKUP(A38,Data!$E:$BM,MATCH(yoy!$R$1,Data!$E$1:$BM$1,),))+1)^12-1</f>
        <v>8.6139369720400705E-2</v>
      </c>
      <c r="S38" s="14">
        <f>(((VLOOKUP(B38,Data!$E:$BM,MATCH(yoy!$S$1,Data!$E$1:$BM$1,),)-VLOOKUP(A38,Data!$E:$BM,MATCH(yoy!$S$1,Data!$E$1:$BM$1,),))/VLOOKUP(A38,Data!$E:$BM,MATCH(yoy!$S$1,Data!$E$1:$BM$1,),))+1)^12-1</f>
        <v>5.1030383831036197E-2</v>
      </c>
      <c r="T38" s="14">
        <f>(((VLOOKUP(B38,Data!$E:$BM,MATCH(yoy!$T$1,Data!$E$1:$BM$1,),)-VLOOKUP(A38,Data!$E:$BM,MATCH(yoy!$T$1,Data!$E$1:$BM$1,),))/VLOOKUP(A38,Data!$E:$BM,MATCH(yoy!$T$1,Data!$E$1:$BM$1,),))+1)^12-1</f>
        <v>6.6174006737702129E-2</v>
      </c>
      <c r="U38" s="14">
        <f>(((VLOOKUP(B38,Data!$E:$BM,MATCH(yoy!$U$1,Data!$E$1:$BM$1,),)-VLOOKUP(A38,Data!$E:$BM,MATCH(yoy!$U$1,Data!$E$1:$BM$1,),))/VLOOKUP(A38,Data!$E:$BM,MATCH(yoy!$U$1,Data!$E$1:$BM$1,),))+1)^12-1</f>
        <v>-4.8275907762192483E-2</v>
      </c>
      <c r="V38" s="14">
        <f>(((VLOOKUP(B38,Data!$E:$BM,MATCH(yoy!$V$1,Data!$E$1:$BM$1,),)-VLOOKUP(A38,Data!$E:$BM,MATCH(yoy!$V$1,Data!$E$1:$BM$1,),))/VLOOKUP(A38,Data!$E:$BM,MATCH(yoy!$V$1,Data!$E$1:$BM$1,),))+1)^12-1</f>
        <v>-3.6102770953170826E-2</v>
      </c>
      <c r="W38" s="14">
        <f>(((VLOOKUP(B38,Data!$E:$BM,MATCH(yoy!$W$1,Data!$E$1:$BM$1,),)-VLOOKUP(A38,Data!$E:$BM,MATCH(yoy!$W$1,Data!$E$1:$BM$1,),))/VLOOKUP(A38,Data!$E:$BM,MATCH(yoy!$W$1,Data!$E$1:$BM$1,),))+1)^12-1</f>
        <v>0.32488940465727212</v>
      </c>
      <c r="X38" s="14">
        <f>(((VLOOKUP(B38,Data!$E:$BM,MATCH(yoy!$X$1,Data!$E$1:$BM$1,),)-VLOOKUP(A38,Data!$E:$BM,MATCH(yoy!$X$1,Data!$E$1:$BM$1,),))/VLOOKUP(A38,Data!$E:$BM,MATCH(yoy!$X$1,Data!$E$1:$BM$1,),))+1)^12-1</f>
        <v>5.919047233525232E-2</v>
      </c>
      <c r="Y38" s="14">
        <f>(((VLOOKUP(B38,Data!$E:$BM,MATCH(yoy!$Y$1,Data!$E$1:$BM$1,),)-VLOOKUP(A38,Data!$E:$BM,MATCH(yoy!$Y$1,Data!$E$1:$BM$1,),))/VLOOKUP(A38,Data!$E:$BM,MATCH(yoy!$Y$1,Data!$E$1:$BM$1,),))+1)^12-1</f>
        <v>0.10566633599756226</v>
      </c>
      <c r="Z38" s="14">
        <f>(((VLOOKUP(B38,Data!$E:$BM,MATCH(yoy!$Z$1,Data!$E$1:$BM$1,),)-VLOOKUP(A38,Data!$E:$BM,MATCH(yoy!$Z$1,Data!$E$1:$BM$1,),))/VLOOKUP(A38,Data!$E:$BM,MATCH(yoy!$Z$1,Data!$E$1:$BM$1,),))+1)^12-1</f>
        <v>-1.8143376229027952E-2</v>
      </c>
      <c r="AA38" s="14">
        <f>(((VLOOKUP(B38,Data!$E:$BM,MATCH(yoy!$AA$1,Data!$E$1:$BM$1,),)-VLOOKUP(A38,Data!$E:$BM,MATCH(yoy!$AA$1,Data!$E$1:$BM$1,),))/VLOOKUP(A38,Data!$E:$BM,MATCH(yoy!$AA$1,Data!$E$1:$BM$1,),))+1)^12-1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(((VLOOKUP(B39,Data!$E:$BM,MATCH(yoy!$C$1,Data!$E$1:$BM$1,),)-VLOOKUP(A39,Data!$E:$BM,MATCH(yoy!$C$1,Data!$E$1:$BM$1,),))/VLOOKUP(A39,Data!$E:$BM,MATCH(yoy!$C$1,Data!$E$1:$BM$1,),))+1)^12-1</f>
        <v>4.5451690661693078E-2</v>
      </c>
      <c r="D39" s="14">
        <f>(((VLOOKUP(B39,Data!$E:$BM,MATCH(yoy!$D$1,Data!$E$1:$BM$1,),)-VLOOKUP(A39,Data!$E:$BM,MATCH(yoy!$D$1,Data!$E$1:$BM$1,),))/VLOOKUP(A39,Data!$E:$BM,MATCH(yoy!$D$1,Data!$E$1:$BM$1,),))+1)^12-1</f>
        <v>2.201199425532252E-2</v>
      </c>
      <c r="E39" s="14">
        <f>(((VLOOKUP(B39,Data!$E:$BM,MATCH(yoy!$E$1,Data!$E$1:$BM$1,),)-VLOOKUP(A39,Data!$E:$BM,MATCH(yoy!$E$1,Data!$E$1:$BM$1,),))/VLOOKUP(A39,Data!$E:$BM,MATCH(yoy!$E$1,Data!$E$1:$BM$1,),))+1)^12-1</f>
        <v>0.1082992918931116</v>
      </c>
      <c r="F39" s="14">
        <f>(((VLOOKUP(B39,Data!$E:$BM,MATCH(yoy!$F$1,Data!$E$1:$BM$1,),)-VLOOKUP(A39,Data!$E:$BM,MATCH(yoy!$F$1,Data!$E$1:$BM$1,),))/VLOOKUP(A39,Data!$E:$BM,MATCH(yoy!$F$1,Data!$E$1:$BM$1,),))+1)^12-1</f>
        <v>4.6757799895874141E-2</v>
      </c>
      <c r="G39" s="14">
        <f>(((VLOOKUP(B39,Data!$E:$BM,MATCH(yoy!$G$1,Data!$E$1:$BM$1,),)-VLOOKUP(A39,Data!$E:$BM,MATCH(yoy!$G$1,Data!$E$1:$BM$1,),))/VLOOKUP(A39,Data!$E:$BM,MATCH(yoy!$G$1,Data!$E$1:$BM$1,),))+1)^12-1</f>
        <v>3.3053097259524877E-2</v>
      </c>
      <c r="H39" s="14">
        <f>(((VLOOKUP(B39,Data!$E:$BM,MATCH(yoy!$H$1,Data!$E$1:$BM$1,),)-VLOOKUP(A39,Data!$E:$BM,MATCH(yoy!$H$1,Data!$E$1:$BM$1,),))/VLOOKUP(A39,Data!$E:$BM,MATCH(yoy!$H$1,Data!$E$1:$BM$1,),))+1)^12-1</f>
        <v>2.5619119611500984E-2</v>
      </c>
      <c r="I39" s="14">
        <f>(((VLOOKUP(B39,Data!$E:$BM,MATCH(yoy!$I$1,Data!$E$1:$BM$1,),)-VLOOKUP(A39,Data!$E:$BM,MATCH(yoy!$I$1,Data!$E$1:$BM$1,),))/VLOOKUP(A39,Data!$E:$BM,MATCH(yoy!$I$1,Data!$E$1:$BM$1,),))+1)^12-1</f>
        <v>1.6007858695652466E-2</v>
      </c>
      <c r="J39" s="14">
        <f>(((VLOOKUP(B39,Data!$E:$BM,MATCH(yoy!$J$1,Data!$E$1:$BM$1,),)-VLOOKUP(A39,Data!$E:$BM,MATCH(yoy!$J$1,Data!$E$1:$BM$1,),))/VLOOKUP(A39,Data!$E:$BM,MATCH(yoy!$J$1,Data!$E$1:$BM$1,),))+1)^12-1</f>
        <v>4.3830348674957831E-2</v>
      </c>
      <c r="K39" s="14">
        <f>(((VLOOKUP(B39,Data!$E:$BM,MATCH(yoy!$K$1,Data!$E$1:$BM$1,),)-VLOOKUP(A39,Data!$E:$BM,MATCH(yoy!$K$1,Data!$E$1:$BM$1,),))/VLOOKUP(A39,Data!$E:$BM,MATCH(yoy!$K$1,Data!$E$1:$BM$1,),))+1)^12-1</f>
        <v>6.4617117568325444E-2</v>
      </c>
      <c r="L39" s="14">
        <f>(((VLOOKUP(B39,Data!$E:$BM,MATCH(yoy!$L$1,Data!$E$1:$BM$1,),)-VLOOKUP(A39,Data!$E:$BM,MATCH(yoy!$L$1,Data!$E$1:$BM$1,),))/VLOOKUP(A39,Data!$E:$BM,MATCH(yoy!$L$1,Data!$E$1:$BM$1,),))+1)^12-1</f>
        <v>4.573716766517566E-2</v>
      </c>
      <c r="M39" s="14">
        <f>(((VLOOKUP(B39,Data!$E:$BM,MATCH(yoy!$M$1,Data!$E$1:$BM$1,),)-VLOOKUP(A39,Data!$E:$BM,MATCH(yoy!$M$1,Data!$E$1:$BM$1,),))/VLOOKUP(A39,Data!$E:$BM,MATCH(yoy!$M$1,Data!$E$1:$BM$1,),))+1)^12-1</f>
        <v>6.6119065209041317E-2</v>
      </c>
      <c r="N39" s="14">
        <f>(((VLOOKUP(B39,Data!$E:$BM,MATCH(yoy!$N$1,Data!$E$1:$BM$1,),)-VLOOKUP(A39,Data!$E:$BM,MATCH(yoy!$N$1,Data!$E$1:$BM$1,),))/VLOOKUP(A39,Data!$E:$BM,MATCH(yoy!$N$1,Data!$E$1:$BM$1,),))+1)^12-1</f>
        <v>6.6783136577091895E-2</v>
      </c>
      <c r="O39" s="14">
        <f>(((VLOOKUP(B39,Data!$E:$BM,MATCH(yoy!$O$1,Data!$E$1:$BM$1,),)-VLOOKUP(A39,Data!$E:$BM,MATCH(yoy!$O$1,Data!$E$1:$BM$1,),))/VLOOKUP(A39,Data!$E:$BM,MATCH(yoy!$O$1,Data!$E$1:$BM$1,),))+1)^12-1</f>
        <v>0.13049944608400321</v>
      </c>
      <c r="P39" s="14">
        <f>(((VLOOKUP(B39,Data!$E:$BM,MATCH(yoy!$P$1,Data!$E$1:$BM$1,),)-VLOOKUP(A39,Data!$E:$BM,MATCH(yoy!$P$1,Data!$E$1:$BM$1,),))/VLOOKUP(A39,Data!$E:$BM,MATCH(yoy!$P$1,Data!$E$1:$BM$1,),))+1)^12-1</f>
        <v>6.870092227927338E-2</v>
      </c>
      <c r="Q39" s="14">
        <f>(((VLOOKUP(B39,Data!$E:$BM,MATCH(yoy!$Q$1,Data!$E$1:$BM$1,),)-VLOOKUP(A39,Data!$E:$BM,MATCH(yoy!$Q$1,Data!$E$1:$BM$1,),))/VLOOKUP(A39,Data!$E:$BM,MATCH(yoy!$Q$1,Data!$E$1:$BM$1,),))+1)^12-1</f>
        <v>3.388185236929786E-2</v>
      </c>
      <c r="R39" s="14">
        <f>(((VLOOKUP(B39,Data!$E:$BM,MATCH(yoy!$R$1,Data!$E$1:$BM$1,),)-VLOOKUP(A39,Data!$E:$BM,MATCH(yoy!$R$1,Data!$E$1:$BM$1,),))/VLOOKUP(A39,Data!$E:$BM,MATCH(yoy!$R$1,Data!$E$1:$BM$1,),))+1)^12-1</f>
        <v>9.7535868347276455E-2</v>
      </c>
      <c r="S39" s="14">
        <f>(((VLOOKUP(B39,Data!$E:$BM,MATCH(yoy!$S$1,Data!$E$1:$BM$1,),)-VLOOKUP(A39,Data!$E:$BM,MATCH(yoy!$S$1,Data!$E$1:$BM$1,),))/VLOOKUP(A39,Data!$E:$BM,MATCH(yoy!$S$1,Data!$E$1:$BM$1,),))+1)^12-1</f>
        <v>7.0335122863529165E-2</v>
      </c>
      <c r="T39" s="14">
        <f>(((VLOOKUP(B39,Data!$E:$BM,MATCH(yoy!$T$1,Data!$E$1:$BM$1,),)-VLOOKUP(A39,Data!$E:$BM,MATCH(yoy!$T$1,Data!$E$1:$BM$1,),))/VLOOKUP(A39,Data!$E:$BM,MATCH(yoy!$T$1,Data!$E$1:$BM$1,),))+1)^12-1</f>
        <v>5.0659786765701043E-2</v>
      </c>
      <c r="U39" s="14">
        <f>(((VLOOKUP(B39,Data!$E:$BM,MATCH(yoy!$U$1,Data!$E$1:$BM$1,),)-VLOOKUP(A39,Data!$E:$BM,MATCH(yoy!$U$1,Data!$E$1:$BM$1,),))/VLOOKUP(A39,Data!$E:$BM,MATCH(yoy!$U$1,Data!$E$1:$BM$1,),))+1)^12-1</f>
        <v>-8.4344276392808504E-2</v>
      </c>
      <c r="V39" s="14">
        <f>(((VLOOKUP(B39,Data!$E:$BM,MATCH(yoy!$V$1,Data!$E$1:$BM$1,),)-VLOOKUP(A39,Data!$E:$BM,MATCH(yoy!$V$1,Data!$E$1:$BM$1,),))/VLOOKUP(A39,Data!$E:$BM,MATCH(yoy!$V$1,Data!$E$1:$BM$1,),))+1)^12-1</f>
        <v>-1.9470756981041171E-2</v>
      </c>
      <c r="W39" s="14">
        <f>(((VLOOKUP(B39,Data!$E:$BM,MATCH(yoy!$W$1,Data!$E$1:$BM$1,),)-VLOOKUP(A39,Data!$E:$BM,MATCH(yoy!$W$1,Data!$E$1:$BM$1,),))/VLOOKUP(A39,Data!$E:$BM,MATCH(yoy!$W$1,Data!$E$1:$BM$1,),))+1)^12-1</f>
        <v>0.306111809121423</v>
      </c>
      <c r="X39" s="14">
        <f>(((VLOOKUP(B39,Data!$E:$BM,MATCH(yoy!$X$1,Data!$E$1:$BM$1,),)-VLOOKUP(A39,Data!$E:$BM,MATCH(yoy!$X$1,Data!$E$1:$BM$1,),))/VLOOKUP(A39,Data!$E:$BM,MATCH(yoy!$X$1,Data!$E$1:$BM$1,),))+1)^12-1</f>
        <v>5.2435535860626992E-2</v>
      </c>
      <c r="Y39" s="14">
        <f>(((VLOOKUP(B39,Data!$E:$BM,MATCH(yoy!$Y$1,Data!$E$1:$BM$1,),)-VLOOKUP(A39,Data!$E:$BM,MATCH(yoy!$Y$1,Data!$E$1:$BM$1,),))/VLOOKUP(A39,Data!$E:$BM,MATCH(yoy!$Y$1,Data!$E$1:$BM$1,),))+1)^12-1</f>
        <v>0.11009095181451722</v>
      </c>
      <c r="Z39" s="14">
        <f>(((VLOOKUP(B39,Data!$E:$BM,MATCH(yoy!$Z$1,Data!$E$1:$BM$1,),)-VLOOKUP(A39,Data!$E:$BM,MATCH(yoy!$Z$1,Data!$E$1:$BM$1,),))/VLOOKUP(A39,Data!$E:$BM,MATCH(yoy!$Z$1,Data!$E$1:$BM$1,),))+1)^12-1</f>
        <v>1.8680655296237303E-2</v>
      </c>
      <c r="AA39" s="14">
        <f>(((VLOOKUP(B39,Data!$E:$BM,MATCH(yoy!$AA$1,Data!$E$1:$BM$1,),)-VLOOKUP(A39,Data!$E:$BM,MATCH(yoy!$AA$1,Data!$E$1:$BM$1,),))/VLOOKUP(A39,Data!$E:$BM,MATCH(yoy!$AA$1,Data!$E$1:$BM$1,),))+1)^12-1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(((VLOOKUP(B40,Data!$E:$BM,MATCH(yoy!$C$1,Data!$E$1:$BM$1,),)-VLOOKUP(A40,Data!$E:$BM,MATCH(yoy!$C$1,Data!$E$1:$BM$1,),))/VLOOKUP(A40,Data!$E:$BM,MATCH(yoy!$C$1,Data!$E$1:$BM$1,),))+1)^12-1</f>
        <v>3.5759806299182184E-2</v>
      </c>
      <c r="D40" s="14">
        <f>(((VLOOKUP(B40,Data!$E:$BM,MATCH(yoy!$D$1,Data!$E$1:$BM$1,),)-VLOOKUP(A40,Data!$E:$BM,MATCH(yoy!$D$1,Data!$E$1:$BM$1,),))/VLOOKUP(A40,Data!$E:$BM,MATCH(yoy!$D$1,Data!$E$1:$BM$1,),))+1)^12-1</f>
        <v>3.6882428122827937E-2</v>
      </c>
      <c r="E40" s="14">
        <f>(((VLOOKUP(B40,Data!$E:$BM,MATCH(yoy!$E$1,Data!$E$1:$BM$1,),)-VLOOKUP(A40,Data!$E:$BM,MATCH(yoy!$E$1,Data!$E$1:$BM$1,),))/VLOOKUP(A40,Data!$E:$BM,MATCH(yoy!$E$1,Data!$E$1:$BM$1,),))+1)^12-1</f>
        <v>7.3213814247766074E-2</v>
      </c>
      <c r="F40" s="14">
        <f>(((VLOOKUP(B40,Data!$E:$BM,MATCH(yoy!$F$1,Data!$E$1:$BM$1,),)-VLOOKUP(A40,Data!$E:$BM,MATCH(yoy!$F$1,Data!$E$1:$BM$1,),))/VLOOKUP(A40,Data!$E:$BM,MATCH(yoy!$F$1,Data!$E$1:$BM$1,),))+1)^12-1</f>
        <v>4.5017335042642159E-2</v>
      </c>
      <c r="G40" s="14">
        <f>(((VLOOKUP(B40,Data!$E:$BM,MATCH(yoy!$G$1,Data!$E$1:$BM$1,),)-VLOOKUP(A40,Data!$E:$BM,MATCH(yoy!$G$1,Data!$E$1:$BM$1,),))/VLOOKUP(A40,Data!$E:$BM,MATCH(yoy!$G$1,Data!$E$1:$BM$1,),))+1)^12-1</f>
        <v>7.7108325461925364E-3</v>
      </c>
      <c r="H40" s="14">
        <f>(((VLOOKUP(B40,Data!$E:$BM,MATCH(yoy!$H$1,Data!$E$1:$BM$1,),)-VLOOKUP(A40,Data!$E:$BM,MATCH(yoy!$H$1,Data!$E$1:$BM$1,),))/VLOOKUP(A40,Data!$E:$BM,MATCH(yoy!$H$1,Data!$E$1:$BM$1,),))+1)^12-1</f>
        <v>-8.6258705238482225E-3</v>
      </c>
      <c r="I40" s="14">
        <f>(((VLOOKUP(B40,Data!$E:$BM,MATCH(yoy!$I$1,Data!$E$1:$BM$1,),)-VLOOKUP(A40,Data!$E:$BM,MATCH(yoy!$I$1,Data!$E$1:$BM$1,),))/VLOOKUP(A40,Data!$E:$BM,MATCH(yoy!$I$1,Data!$E$1:$BM$1,),))+1)^12-1</f>
        <v>1.4029178860362812E-2</v>
      </c>
      <c r="J40" s="14">
        <f>(((VLOOKUP(B40,Data!$E:$BM,MATCH(yoy!$J$1,Data!$E$1:$BM$1,),)-VLOOKUP(A40,Data!$E:$BM,MATCH(yoy!$J$1,Data!$E$1:$BM$1,),))/VLOOKUP(A40,Data!$E:$BM,MATCH(yoy!$J$1,Data!$E$1:$BM$1,),))+1)^12-1</f>
        <v>1.8689101312876488E-3</v>
      </c>
      <c r="K40" s="14">
        <f>(((VLOOKUP(B40,Data!$E:$BM,MATCH(yoy!$K$1,Data!$E$1:$BM$1,),)-VLOOKUP(A40,Data!$E:$BM,MATCH(yoy!$K$1,Data!$E$1:$BM$1,),))/VLOOKUP(A40,Data!$E:$BM,MATCH(yoy!$K$1,Data!$E$1:$BM$1,),))+1)^12-1</f>
        <v>-6.1577387849588439E-3</v>
      </c>
      <c r="L40" s="14">
        <f>(((VLOOKUP(B40,Data!$E:$BM,MATCH(yoy!$L$1,Data!$E$1:$BM$1,),)-VLOOKUP(A40,Data!$E:$BM,MATCH(yoy!$L$1,Data!$E$1:$BM$1,),))/VLOOKUP(A40,Data!$E:$BM,MATCH(yoy!$L$1,Data!$E$1:$BM$1,),))+1)^12-1</f>
        <v>3.5020355467628717E-2</v>
      </c>
      <c r="M40" s="14">
        <f>(((VLOOKUP(B40,Data!$E:$BM,MATCH(yoy!$M$1,Data!$E$1:$BM$1,),)-VLOOKUP(A40,Data!$E:$BM,MATCH(yoy!$M$1,Data!$E$1:$BM$1,),))/VLOOKUP(A40,Data!$E:$BM,MATCH(yoy!$M$1,Data!$E$1:$BM$1,),))+1)^12-1</f>
        <v>0.1218738421329868</v>
      </c>
      <c r="N40" s="14">
        <f>(((VLOOKUP(B40,Data!$E:$BM,MATCH(yoy!$N$1,Data!$E$1:$BM$1,),)-VLOOKUP(A40,Data!$E:$BM,MATCH(yoy!$N$1,Data!$E$1:$BM$1,),))/VLOOKUP(A40,Data!$E:$BM,MATCH(yoy!$N$1,Data!$E$1:$BM$1,),))+1)^12-1</f>
        <v>-6.4375233275288379E-2</v>
      </c>
      <c r="O40" s="14">
        <f>(((VLOOKUP(B40,Data!$E:$BM,MATCH(yoy!$O$1,Data!$E$1:$BM$1,),)-VLOOKUP(A40,Data!$E:$BM,MATCH(yoy!$O$1,Data!$E$1:$BM$1,),))/VLOOKUP(A40,Data!$E:$BM,MATCH(yoy!$O$1,Data!$E$1:$BM$1,),))+1)^12-1</f>
        <v>6.2773824063163008E-2</v>
      </c>
      <c r="P40" s="14">
        <f>(((VLOOKUP(B40,Data!$E:$BM,MATCH(yoy!$P$1,Data!$E$1:$BM$1,),)-VLOOKUP(A40,Data!$E:$BM,MATCH(yoy!$P$1,Data!$E$1:$BM$1,),))/VLOOKUP(A40,Data!$E:$BM,MATCH(yoy!$P$1,Data!$E$1:$BM$1,),))+1)^12-1</f>
        <v>7.2947183411133709E-2</v>
      </c>
      <c r="Q40" s="14">
        <f>(((VLOOKUP(B40,Data!$E:$BM,MATCH(yoy!$Q$1,Data!$E$1:$BM$1,),)-VLOOKUP(A40,Data!$E:$BM,MATCH(yoy!$Q$1,Data!$E$1:$BM$1,),))/VLOOKUP(A40,Data!$E:$BM,MATCH(yoy!$Q$1,Data!$E$1:$BM$1,),))+1)^12-1</f>
        <v>-9.3019009364087024E-3</v>
      </c>
      <c r="R40" s="14">
        <f>(((VLOOKUP(B40,Data!$E:$BM,MATCH(yoy!$R$1,Data!$E$1:$BM$1,),)-VLOOKUP(A40,Data!$E:$BM,MATCH(yoy!$R$1,Data!$E$1:$BM$1,),))/VLOOKUP(A40,Data!$E:$BM,MATCH(yoy!$R$1,Data!$E$1:$BM$1,),))+1)^12-1</f>
        <v>4.2347415411743805E-2</v>
      </c>
      <c r="S40" s="14">
        <f>(((VLOOKUP(B40,Data!$E:$BM,MATCH(yoy!$S$1,Data!$E$1:$BM$1,),)-VLOOKUP(A40,Data!$E:$BM,MATCH(yoy!$S$1,Data!$E$1:$BM$1,),))/VLOOKUP(A40,Data!$E:$BM,MATCH(yoy!$S$1,Data!$E$1:$BM$1,),))+1)^12-1</f>
        <v>0.108542113149519</v>
      </c>
      <c r="T40" s="14">
        <f>(((VLOOKUP(B40,Data!$E:$BM,MATCH(yoy!$T$1,Data!$E$1:$BM$1,),)-VLOOKUP(A40,Data!$E:$BM,MATCH(yoy!$T$1,Data!$E$1:$BM$1,),))/VLOOKUP(A40,Data!$E:$BM,MATCH(yoy!$T$1,Data!$E$1:$BM$1,),))+1)^12-1</f>
        <v>5.3056755796376809E-3</v>
      </c>
      <c r="U40" s="14">
        <f>(((VLOOKUP(B40,Data!$E:$BM,MATCH(yoy!$U$1,Data!$E$1:$BM$1,),)-VLOOKUP(A40,Data!$E:$BM,MATCH(yoy!$U$1,Data!$E$1:$BM$1,),))/VLOOKUP(A40,Data!$E:$BM,MATCH(yoy!$U$1,Data!$E$1:$BM$1,),))+1)^12-1</f>
        <v>7.993606606004966E-2</v>
      </c>
      <c r="V40" s="14">
        <f>(((VLOOKUP(B40,Data!$E:$BM,MATCH(yoy!$V$1,Data!$E$1:$BM$1,),)-VLOOKUP(A40,Data!$E:$BM,MATCH(yoy!$V$1,Data!$E$1:$BM$1,),))/VLOOKUP(A40,Data!$E:$BM,MATCH(yoy!$V$1,Data!$E$1:$BM$1,),))+1)^12-1</f>
        <v>4.9246640582443435E-2</v>
      </c>
      <c r="W40" s="14">
        <f>(((VLOOKUP(B40,Data!$E:$BM,MATCH(yoy!$W$1,Data!$E$1:$BM$1,),)-VLOOKUP(A40,Data!$E:$BM,MATCH(yoy!$W$1,Data!$E$1:$BM$1,),))/VLOOKUP(A40,Data!$E:$BM,MATCH(yoy!$W$1,Data!$E$1:$BM$1,),))+1)^12-1</f>
        <v>2.5820059880324209E-2</v>
      </c>
      <c r="X40" s="14">
        <f>(((VLOOKUP(B40,Data!$E:$BM,MATCH(yoy!$X$1,Data!$E$1:$BM$1,),)-VLOOKUP(A40,Data!$E:$BM,MATCH(yoy!$X$1,Data!$E$1:$BM$1,),))/VLOOKUP(A40,Data!$E:$BM,MATCH(yoy!$X$1,Data!$E$1:$BM$1,),))+1)^12-1</f>
        <v>6.544376521370765E-2</v>
      </c>
      <c r="Y40" s="14">
        <f>(((VLOOKUP(B40,Data!$E:$BM,MATCH(yoy!$Y$1,Data!$E$1:$BM$1,),)-VLOOKUP(A40,Data!$E:$BM,MATCH(yoy!$Y$1,Data!$E$1:$BM$1,),))/VLOOKUP(A40,Data!$E:$BM,MATCH(yoy!$Y$1,Data!$E$1:$BM$1,),))+1)^12-1</f>
        <v>7.209914392208705E-2</v>
      </c>
      <c r="Z40" s="14">
        <f>(((VLOOKUP(B40,Data!$E:$BM,MATCH(yoy!$Z$1,Data!$E$1:$BM$1,),)-VLOOKUP(A40,Data!$E:$BM,MATCH(yoy!$Z$1,Data!$E$1:$BM$1,),))/VLOOKUP(A40,Data!$E:$BM,MATCH(yoy!$Z$1,Data!$E$1:$BM$1,),))+1)^12-1</f>
        <v>4.5372196379026564E-2</v>
      </c>
      <c r="AA40" s="14">
        <f>(((VLOOKUP(B40,Data!$E:$BM,MATCH(yoy!$AA$1,Data!$E$1:$BM$1,),)-VLOOKUP(A40,Data!$E:$BM,MATCH(yoy!$AA$1,Data!$E$1:$BM$1,),))/VLOOKUP(A40,Data!$E:$BM,MATCH(yoy!$AA$1,Data!$E$1:$BM$1,),))+1)^12-1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(((VLOOKUP(B41,Data!$E:$BM,MATCH(yoy!$C$1,Data!$E$1:$BM$1,),)-VLOOKUP(A41,Data!$E:$BM,MATCH(yoy!$C$1,Data!$E$1:$BM$1,),))/VLOOKUP(A41,Data!$E:$BM,MATCH(yoy!$C$1,Data!$E$1:$BM$1,),))+1)^12-1</f>
        <v>1.4172308732008698E-2</v>
      </c>
      <c r="D41" s="14">
        <f>(((VLOOKUP(B41,Data!$E:$BM,MATCH(yoy!$D$1,Data!$E$1:$BM$1,),)-VLOOKUP(A41,Data!$E:$BM,MATCH(yoy!$D$1,Data!$E$1:$BM$1,),))/VLOOKUP(A41,Data!$E:$BM,MATCH(yoy!$D$1,Data!$E$1:$BM$1,),))+1)^12-1</f>
        <v>1.9873227434088259E-2</v>
      </c>
      <c r="E41" s="14">
        <f>(((VLOOKUP(B41,Data!$E:$BM,MATCH(yoy!$E$1,Data!$E$1:$BM$1,),)-VLOOKUP(A41,Data!$E:$BM,MATCH(yoy!$E$1,Data!$E$1:$BM$1,),))/VLOOKUP(A41,Data!$E:$BM,MATCH(yoy!$E$1,Data!$E$1:$BM$1,),))+1)^12-1</f>
        <v>0.11677243971369866</v>
      </c>
      <c r="F41" s="14">
        <f>(((VLOOKUP(B41,Data!$E:$BM,MATCH(yoy!$F$1,Data!$E$1:$BM$1,),)-VLOOKUP(A41,Data!$E:$BM,MATCH(yoy!$F$1,Data!$E$1:$BM$1,),))/VLOOKUP(A41,Data!$E:$BM,MATCH(yoy!$F$1,Data!$E$1:$BM$1,),))+1)^12-1</f>
        <v>6.5297930762908685E-3</v>
      </c>
      <c r="G41" s="14">
        <f>(((VLOOKUP(B41,Data!$E:$BM,MATCH(yoy!$G$1,Data!$E$1:$BM$1,),)-VLOOKUP(A41,Data!$E:$BM,MATCH(yoy!$G$1,Data!$E$1:$BM$1,),))/VLOOKUP(A41,Data!$E:$BM,MATCH(yoy!$G$1,Data!$E$1:$BM$1,),))+1)^12-1</f>
        <v>2.1972968202005561E-2</v>
      </c>
      <c r="H41" s="14">
        <f>(((VLOOKUP(B41,Data!$E:$BM,MATCH(yoy!$H$1,Data!$E$1:$BM$1,),)-VLOOKUP(A41,Data!$E:$BM,MATCH(yoy!$H$1,Data!$E$1:$BM$1,),))/VLOOKUP(A41,Data!$E:$BM,MATCH(yoy!$H$1,Data!$E$1:$BM$1,),))+1)^12-1</f>
        <v>5.2659321544216375E-2</v>
      </c>
      <c r="I41" s="14">
        <f>(((VLOOKUP(B41,Data!$E:$BM,MATCH(yoy!$I$1,Data!$E$1:$BM$1,),)-VLOOKUP(A41,Data!$E:$BM,MATCH(yoy!$I$1,Data!$E$1:$BM$1,),))/VLOOKUP(A41,Data!$E:$BM,MATCH(yoy!$I$1,Data!$E$1:$BM$1,),))+1)^12-1</f>
        <v>3.6780440361971589E-2</v>
      </c>
      <c r="J41" s="14">
        <f>(((VLOOKUP(B41,Data!$E:$BM,MATCH(yoy!$J$1,Data!$E$1:$BM$1,),)-VLOOKUP(A41,Data!$E:$BM,MATCH(yoy!$J$1,Data!$E$1:$BM$1,),))/VLOOKUP(A41,Data!$E:$BM,MATCH(yoy!$J$1,Data!$E$1:$BM$1,),))+1)^12-1</f>
        <v>-2.4896433477802682E-2</v>
      </c>
      <c r="K41" s="14">
        <f>(((VLOOKUP(B41,Data!$E:$BM,MATCH(yoy!$K$1,Data!$E$1:$BM$1,),)-VLOOKUP(A41,Data!$E:$BM,MATCH(yoy!$K$1,Data!$E$1:$BM$1,),))/VLOOKUP(A41,Data!$E:$BM,MATCH(yoy!$K$1,Data!$E$1:$BM$1,),))+1)^12-1</f>
        <v>6.944189756731256E-2</v>
      </c>
      <c r="L41" s="14">
        <f>(((VLOOKUP(B41,Data!$E:$BM,MATCH(yoy!$L$1,Data!$E$1:$BM$1,),)-VLOOKUP(A41,Data!$E:$BM,MATCH(yoy!$L$1,Data!$E$1:$BM$1,),))/VLOOKUP(A41,Data!$E:$BM,MATCH(yoy!$L$1,Data!$E$1:$BM$1,),))+1)^12-1</f>
        <v>5.4149364360932095E-2</v>
      </c>
      <c r="M41" s="14">
        <f>(((VLOOKUP(B41,Data!$E:$BM,MATCH(yoy!$M$1,Data!$E$1:$BM$1,),)-VLOOKUP(A41,Data!$E:$BM,MATCH(yoy!$M$1,Data!$E$1:$BM$1,),))/VLOOKUP(A41,Data!$E:$BM,MATCH(yoy!$M$1,Data!$E$1:$BM$1,),))+1)^12-1</f>
        <v>-9.4934468787324033E-2</v>
      </c>
      <c r="N41" s="14">
        <f>(((VLOOKUP(B41,Data!$E:$BM,MATCH(yoy!$N$1,Data!$E$1:$BM$1,),)-VLOOKUP(A41,Data!$E:$BM,MATCH(yoy!$N$1,Data!$E$1:$BM$1,),))/VLOOKUP(A41,Data!$E:$BM,MATCH(yoy!$N$1,Data!$E$1:$BM$1,),))+1)^12-1</f>
        <v>2.3534616208684245E-2</v>
      </c>
      <c r="O41" s="14">
        <f>(((VLOOKUP(B41,Data!$E:$BM,MATCH(yoy!$O$1,Data!$E$1:$BM$1,),)-VLOOKUP(A41,Data!$E:$BM,MATCH(yoy!$O$1,Data!$E$1:$BM$1,),))/VLOOKUP(A41,Data!$E:$BM,MATCH(yoy!$O$1,Data!$E$1:$BM$1,),))+1)^12-1</f>
        <v>9.4998537664332749E-2</v>
      </c>
      <c r="P41" s="14">
        <f>(((VLOOKUP(B41,Data!$E:$BM,MATCH(yoy!$P$1,Data!$E$1:$BM$1,),)-VLOOKUP(A41,Data!$E:$BM,MATCH(yoy!$P$1,Data!$E$1:$BM$1,),))/VLOOKUP(A41,Data!$E:$BM,MATCH(yoy!$P$1,Data!$E$1:$BM$1,),))+1)^12-1</f>
        <v>-4.6774640901701359E-2</v>
      </c>
      <c r="Q41" s="14">
        <f>(((VLOOKUP(B41,Data!$E:$BM,MATCH(yoy!$Q$1,Data!$E$1:$BM$1,),)-VLOOKUP(A41,Data!$E:$BM,MATCH(yoy!$Q$1,Data!$E$1:$BM$1,),))/VLOOKUP(A41,Data!$E:$BM,MATCH(yoy!$Q$1,Data!$E$1:$BM$1,),))+1)^12-1</f>
        <v>8.7584994468414834E-4</v>
      </c>
      <c r="R41" s="14">
        <f>(((VLOOKUP(B41,Data!$E:$BM,MATCH(yoy!$R$1,Data!$E$1:$BM$1,),)-VLOOKUP(A41,Data!$E:$BM,MATCH(yoy!$R$1,Data!$E$1:$BM$1,),))/VLOOKUP(A41,Data!$E:$BM,MATCH(yoy!$R$1,Data!$E$1:$BM$1,),))+1)^12-1</f>
        <v>5.9588026072166844E-2</v>
      </c>
      <c r="S41" s="14">
        <f>(((VLOOKUP(B41,Data!$E:$BM,MATCH(yoy!$S$1,Data!$E$1:$BM$1,),)-VLOOKUP(A41,Data!$E:$BM,MATCH(yoy!$S$1,Data!$E$1:$BM$1,),))/VLOOKUP(A41,Data!$E:$BM,MATCH(yoy!$S$1,Data!$E$1:$BM$1,),))+1)^12-1</f>
        <v>9.8146228302335548E-2</v>
      </c>
      <c r="T41" s="14">
        <f>(((VLOOKUP(B41,Data!$E:$BM,MATCH(yoy!$T$1,Data!$E$1:$BM$1,),)-VLOOKUP(A41,Data!$E:$BM,MATCH(yoy!$T$1,Data!$E$1:$BM$1,),))/VLOOKUP(A41,Data!$E:$BM,MATCH(yoy!$T$1,Data!$E$1:$BM$1,),))+1)^12-1</f>
        <v>-8.7556197571687644E-3</v>
      </c>
      <c r="U41" s="14">
        <f>(((VLOOKUP(B41,Data!$E:$BM,MATCH(yoy!$U$1,Data!$E$1:$BM$1,),)-VLOOKUP(A41,Data!$E:$BM,MATCH(yoy!$U$1,Data!$E$1:$BM$1,),))/VLOOKUP(A41,Data!$E:$BM,MATCH(yoy!$U$1,Data!$E$1:$BM$1,),))+1)^12-1</f>
        <v>-1.0216586034454966E-2</v>
      </c>
      <c r="V41" s="14">
        <f>(((VLOOKUP(B41,Data!$E:$BM,MATCH(yoy!$V$1,Data!$E$1:$BM$1,),)-VLOOKUP(A41,Data!$E:$BM,MATCH(yoy!$V$1,Data!$E$1:$BM$1,),))/VLOOKUP(A41,Data!$E:$BM,MATCH(yoy!$V$1,Data!$E$1:$BM$1,),))+1)^12-1</f>
        <v>3.4561553490566332E-2</v>
      </c>
      <c r="W41" s="14">
        <f>(((VLOOKUP(B41,Data!$E:$BM,MATCH(yoy!$W$1,Data!$E$1:$BM$1,),)-VLOOKUP(A41,Data!$E:$BM,MATCH(yoy!$W$1,Data!$E$1:$BM$1,),))/VLOOKUP(A41,Data!$E:$BM,MATCH(yoy!$W$1,Data!$E$1:$BM$1,),))+1)^12-1</f>
        <v>-4.9766323339752172E-2</v>
      </c>
      <c r="X41" s="14">
        <f>(((VLOOKUP(B41,Data!$E:$BM,MATCH(yoy!$X$1,Data!$E$1:$BM$1,),)-VLOOKUP(A41,Data!$E:$BM,MATCH(yoy!$X$1,Data!$E$1:$BM$1,),))/VLOOKUP(A41,Data!$E:$BM,MATCH(yoy!$X$1,Data!$E$1:$BM$1,),))+1)^12-1</f>
        <v>0.10869765860566893</v>
      </c>
      <c r="Y41" s="14">
        <f>(((VLOOKUP(B41,Data!$E:$BM,MATCH(yoy!$Y$1,Data!$E$1:$BM$1,),)-VLOOKUP(A41,Data!$E:$BM,MATCH(yoy!$Y$1,Data!$E$1:$BM$1,),))/VLOOKUP(A41,Data!$E:$BM,MATCH(yoy!$Y$1,Data!$E$1:$BM$1,),))+1)^12-1</f>
        <v>6.9725022844920881E-2</v>
      </c>
      <c r="Z41" s="14">
        <f>(((VLOOKUP(B41,Data!$E:$BM,MATCH(yoy!$Z$1,Data!$E$1:$BM$1,),)-VLOOKUP(A41,Data!$E:$BM,MATCH(yoy!$Z$1,Data!$E$1:$BM$1,),))/VLOOKUP(A41,Data!$E:$BM,MATCH(yoy!$Z$1,Data!$E$1:$BM$1,),))+1)^12-1</f>
        <v>3.245380750647664E-2</v>
      </c>
      <c r="AA41" s="14">
        <f>(((VLOOKUP(B41,Data!$E:$BM,MATCH(yoy!$AA$1,Data!$E$1:$BM$1,),)-VLOOKUP(A41,Data!$E:$BM,MATCH(yoy!$AA$1,Data!$E$1:$BM$1,),))/VLOOKUP(A41,Data!$E:$BM,MATCH(yoy!$AA$1,Data!$E$1:$BM$1,),))+1)^12-1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(((VLOOKUP(B42,Data!$E:$BM,MATCH(yoy!$C$1,Data!$E$1:$BM$1,),)-VLOOKUP(A42,Data!$E:$BM,MATCH(yoy!$C$1,Data!$E$1:$BM$1,),))/VLOOKUP(A42,Data!$E:$BM,MATCH(yoy!$C$1,Data!$E$1:$BM$1,),))+1)^12-1</f>
        <v>3.5749634831488963E-2</v>
      </c>
      <c r="D42" s="14">
        <f>(((VLOOKUP(B42,Data!$E:$BM,MATCH(yoy!$D$1,Data!$E$1:$BM$1,),)-VLOOKUP(A42,Data!$E:$BM,MATCH(yoy!$D$1,Data!$E$1:$BM$1,),))/VLOOKUP(A42,Data!$E:$BM,MATCH(yoy!$D$1,Data!$E$1:$BM$1,),))+1)^12-1</f>
        <v>3.0286079167201052E-2</v>
      </c>
      <c r="E42" s="14">
        <f>(((VLOOKUP(B42,Data!$E:$BM,MATCH(yoy!$E$1,Data!$E$1:$BM$1,),)-VLOOKUP(A42,Data!$E:$BM,MATCH(yoy!$E$1,Data!$E$1:$BM$1,),))/VLOOKUP(A42,Data!$E:$BM,MATCH(yoy!$E$1,Data!$E$1:$BM$1,),))+1)^12-1</f>
        <v>0.14697831699028918</v>
      </c>
      <c r="F42" s="14">
        <f>(((VLOOKUP(B42,Data!$E:$BM,MATCH(yoy!$F$1,Data!$E$1:$BM$1,),)-VLOOKUP(A42,Data!$E:$BM,MATCH(yoy!$F$1,Data!$E$1:$BM$1,),))/VLOOKUP(A42,Data!$E:$BM,MATCH(yoy!$F$1,Data!$E$1:$BM$1,),))+1)^12-1</f>
        <v>-3.4569437146106941E-3</v>
      </c>
      <c r="G42" s="14">
        <f>(((VLOOKUP(B42,Data!$E:$BM,MATCH(yoy!$G$1,Data!$E$1:$BM$1,),)-VLOOKUP(A42,Data!$E:$BM,MATCH(yoy!$G$1,Data!$E$1:$BM$1,),))/VLOOKUP(A42,Data!$E:$BM,MATCH(yoy!$G$1,Data!$E$1:$BM$1,),))+1)^12-1</f>
        <v>1.905410566661514E-2</v>
      </c>
      <c r="H42" s="14">
        <f>(((VLOOKUP(B42,Data!$E:$BM,MATCH(yoy!$H$1,Data!$E$1:$BM$1,),)-VLOOKUP(A42,Data!$E:$BM,MATCH(yoy!$H$1,Data!$E$1:$BM$1,),))/VLOOKUP(A42,Data!$E:$BM,MATCH(yoy!$H$1,Data!$E$1:$BM$1,),))+1)^12-1</f>
        <v>5.370220987298735E-2</v>
      </c>
      <c r="I42" s="14">
        <f>(((VLOOKUP(B42,Data!$E:$BM,MATCH(yoy!$I$1,Data!$E$1:$BM$1,),)-VLOOKUP(A42,Data!$E:$BM,MATCH(yoy!$I$1,Data!$E$1:$BM$1,),))/VLOOKUP(A42,Data!$E:$BM,MATCH(yoy!$I$1,Data!$E$1:$BM$1,),))+1)^12-1</f>
        <v>3.5198643875572921E-2</v>
      </c>
      <c r="J42" s="14">
        <f>(((VLOOKUP(B42,Data!$E:$BM,MATCH(yoy!$J$1,Data!$E$1:$BM$1,),)-VLOOKUP(A42,Data!$E:$BM,MATCH(yoy!$J$1,Data!$E$1:$BM$1,),))/VLOOKUP(A42,Data!$E:$BM,MATCH(yoy!$J$1,Data!$E$1:$BM$1,),))+1)^12-1</f>
        <v>7.5783690694624095E-2</v>
      </c>
      <c r="K42" s="14">
        <f>(((VLOOKUP(B42,Data!$E:$BM,MATCH(yoy!$K$1,Data!$E$1:$BM$1,),)-VLOOKUP(A42,Data!$E:$BM,MATCH(yoy!$K$1,Data!$E$1:$BM$1,),))/VLOOKUP(A42,Data!$E:$BM,MATCH(yoy!$K$1,Data!$E$1:$BM$1,),))+1)^12-1</f>
        <v>6.9805906110763649E-2</v>
      </c>
      <c r="L42" s="14">
        <f>(((VLOOKUP(B42,Data!$E:$BM,MATCH(yoy!$L$1,Data!$E$1:$BM$1,),)-VLOOKUP(A42,Data!$E:$BM,MATCH(yoy!$L$1,Data!$E$1:$BM$1,),))/VLOOKUP(A42,Data!$E:$BM,MATCH(yoy!$L$1,Data!$E$1:$BM$1,),))+1)^12-1</f>
        <v>6.3114974258866363E-2</v>
      </c>
      <c r="M42" s="14">
        <f>(((VLOOKUP(B42,Data!$E:$BM,MATCH(yoy!$M$1,Data!$E$1:$BM$1,),)-VLOOKUP(A42,Data!$E:$BM,MATCH(yoy!$M$1,Data!$E$1:$BM$1,),))/VLOOKUP(A42,Data!$E:$BM,MATCH(yoy!$M$1,Data!$E$1:$BM$1,),))+1)^12-1</f>
        <v>-8.8450299566937507E-2</v>
      </c>
      <c r="N42" s="14">
        <f>(((VLOOKUP(B42,Data!$E:$BM,MATCH(yoy!$N$1,Data!$E$1:$BM$1,),)-VLOOKUP(A42,Data!$E:$BM,MATCH(yoy!$N$1,Data!$E$1:$BM$1,),))/VLOOKUP(A42,Data!$E:$BM,MATCH(yoy!$N$1,Data!$E$1:$BM$1,),))+1)^12-1</f>
        <v>0.17137504370976631</v>
      </c>
      <c r="O42" s="14">
        <f>(((VLOOKUP(B42,Data!$E:$BM,MATCH(yoy!$O$1,Data!$E$1:$BM$1,),)-VLOOKUP(A42,Data!$E:$BM,MATCH(yoy!$O$1,Data!$E$1:$BM$1,),))/VLOOKUP(A42,Data!$E:$BM,MATCH(yoy!$O$1,Data!$E$1:$BM$1,),))+1)^12-1</f>
        <v>9.4452886265851355E-2</v>
      </c>
      <c r="P42" s="14">
        <f>(((VLOOKUP(B42,Data!$E:$BM,MATCH(yoy!$P$1,Data!$E$1:$BM$1,),)-VLOOKUP(A42,Data!$E:$BM,MATCH(yoy!$P$1,Data!$E$1:$BM$1,),))/VLOOKUP(A42,Data!$E:$BM,MATCH(yoy!$P$1,Data!$E$1:$BM$1,),))+1)^12-1</f>
        <v>0.13952279134116741</v>
      </c>
      <c r="Q42" s="14">
        <f>(((VLOOKUP(B42,Data!$E:$BM,MATCH(yoy!$Q$1,Data!$E$1:$BM$1,),)-VLOOKUP(A42,Data!$E:$BM,MATCH(yoy!$Q$1,Data!$E$1:$BM$1,),))/VLOOKUP(A42,Data!$E:$BM,MATCH(yoy!$Q$1,Data!$E$1:$BM$1,),))+1)^12-1</f>
        <v>2.0332473315088917E-2</v>
      </c>
      <c r="R42" s="14">
        <f>(((VLOOKUP(B42,Data!$E:$BM,MATCH(yoy!$R$1,Data!$E$1:$BM$1,),)-VLOOKUP(A42,Data!$E:$BM,MATCH(yoy!$R$1,Data!$E$1:$BM$1,),))/VLOOKUP(A42,Data!$E:$BM,MATCH(yoy!$R$1,Data!$E$1:$BM$1,),))+1)^12-1</f>
        <v>8.8590318229858855E-2</v>
      </c>
      <c r="S42" s="14">
        <f>(((VLOOKUP(B42,Data!$E:$BM,MATCH(yoy!$S$1,Data!$E$1:$BM$1,),)-VLOOKUP(A42,Data!$E:$BM,MATCH(yoy!$S$1,Data!$E$1:$BM$1,),))/VLOOKUP(A42,Data!$E:$BM,MATCH(yoy!$S$1,Data!$E$1:$BM$1,),))+1)^12-1</f>
        <v>0.10661798067182082</v>
      </c>
      <c r="T42" s="14">
        <f>(((VLOOKUP(B42,Data!$E:$BM,MATCH(yoy!$T$1,Data!$E$1:$BM$1,),)-VLOOKUP(A42,Data!$E:$BM,MATCH(yoy!$T$1,Data!$E$1:$BM$1,),))/VLOOKUP(A42,Data!$E:$BM,MATCH(yoy!$T$1,Data!$E$1:$BM$1,),))+1)^12-1</f>
        <v>2.3649233482991194E-2</v>
      </c>
      <c r="U42" s="14">
        <f>(((VLOOKUP(B42,Data!$E:$BM,MATCH(yoy!$U$1,Data!$E$1:$BM$1,),)-VLOOKUP(A42,Data!$E:$BM,MATCH(yoy!$U$1,Data!$E$1:$BM$1,),))/VLOOKUP(A42,Data!$E:$BM,MATCH(yoy!$U$1,Data!$E$1:$BM$1,),))+1)^12-1</f>
        <v>-0.11126629617237971</v>
      </c>
      <c r="V42" s="14">
        <f>(((VLOOKUP(B42,Data!$E:$BM,MATCH(yoy!$V$1,Data!$E$1:$BM$1,),)-VLOOKUP(A42,Data!$E:$BM,MATCH(yoy!$V$1,Data!$E$1:$BM$1,),))/VLOOKUP(A42,Data!$E:$BM,MATCH(yoy!$V$1,Data!$E$1:$BM$1,),))+1)^12-1</f>
        <v>-2.25826857652216E-2</v>
      </c>
      <c r="W42" s="14">
        <f>(((VLOOKUP(B42,Data!$E:$BM,MATCH(yoy!$W$1,Data!$E$1:$BM$1,),)-VLOOKUP(A42,Data!$E:$BM,MATCH(yoy!$W$1,Data!$E$1:$BM$1,),))/VLOOKUP(A42,Data!$E:$BM,MATCH(yoy!$W$1,Data!$E$1:$BM$1,),))+1)^12-1</f>
        <v>9.0055285644330185E-2</v>
      </c>
      <c r="X42" s="14">
        <f>(((VLOOKUP(B42,Data!$E:$BM,MATCH(yoy!$X$1,Data!$E$1:$BM$1,),)-VLOOKUP(A42,Data!$E:$BM,MATCH(yoy!$X$1,Data!$E$1:$BM$1,),))/VLOOKUP(A42,Data!$E:$BM,MATCH(yoy!$X$1,Data!$E$1:$BM$1,),))+1)^12-1</f>
        <v>0.10079421939718491</v>
      </c>
      <c r="Y42" s="14">
        <f>(((VLOOKUP(B42,Data!$E:$BM,MATCH(yoy!$Y$1,Data!$E$1:$BM$1,),)-VLOOKUP(A42,Data!$E:$BM,MATCH(yoy!$Y$1,Data!$E$1:$BM$1,),))/VLOOKUP(A42,Data!$E:$BM,MATCH(yoy!$Y$1,Data!$E$1:$BM$1,),))+1)^12-1</f>
        <v>4.6550182763307468E-2</v>
      </c>
      <c r="Z42" s="14">
        <f>(((VLOOKUP(B42,Data!$E:$BM,MATCH(yoy!$Z$1,Data!$E$1:$BM$1,),)-VLOOKUP(A42,Data!$E:$BM,MATCH(yoy!$Z$1,Data!$E$1:$BM$1,),))/VLOOKUP(A42,Data!$E:$BM,MATCH(yoy!$Z$1,Data!$E$1:$BM$1,),))+1)^12-1</f>
        <v>9.7323105306590385E-2</v>
      </c>
      <c r="AA42" s="14">
        <f>(((VLOOKUP(B42,Data!$E:$BM,MATCH(yoy!$AA$1,Data!$E$1:$BM$1,),)-VLOOKUP(A42,Data!$E:$BM,MATCH(yoy!$AA$1,Data!$E$1:$BM$1,),))/VLOOKUP(A42,Data!$E:$BM,MATCH(yoy!$AA$1,Data!$E$1:$BM$1,),))+1)^12-1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(((VLOOKUP(B43,Data!$E:$BM,MATCH(yoy!$C$1,Data!$E$1:$BM$1,),)-VLOOKUP(A43,Data!$E:$BM,MATCH(yoy!$C$1,Data!$E$1:$BM$1,),))/VLOOKUP(A43,Data!$E:$BM,MATCH(yoy!$C$1,Data!$E$1:$BM$1,),))+1)^12-1</f>
        <v>6.4151442478106224E-2</v>
      </c>
      <c r="D43" s="14">
        <f>(((VLOOKUP(B43,Data!$E:$BM,MATCH(yoy!$D$1,Data!$E$1:$BM$1,),)-VLOOKUP(A43,Data!$E:$BM,MATCH(yoy!$D$1,Data!$E$1:$BM$1,),))/VLOOKUP(A43,Data!$E:$BM,MATCH(yoy!$D$1,Data!$E$1:$BM$1,),))+1)^12-1</f>
        <v>5.2887827394203946E-2</v>
      </c>
      <c r="E43" s="14">
        <f>(((VLOOKUP(B43,Data!$E:$BM,MATCH(yoy!$E$1,Data!$E$1:$BM$1,),)-VLOOKUP(A43,Data!$E:$BM,MATCH(yoy!$E$1,Data!$E$1:$BM$1,),))/VLOOKUP(A43,Data!$E:$BM,MATCH(yoy!$E$1,Data!$E$1:$BM$1,),))+1)^12-1</f>
        <v>5.1071507649581793E-2</v>
      </c>
      <c r="F43" s="14">
        <f>(((VLOOKUP(B43,Data!$E:$BM,MATCH(yoy!$F$1,Data!$E$1:$BM$1,),)-VLOOKUP(A43,Data!$E:$BM,MATCH(yoy!$F$1,Data!$E$1:$BM$1,),))/VLOOKUP(A43,Data!$E:$BM,MATCH(yoy!$F$1,Data!$E$1:$BM$1,),))+1)^12-1</f>
        <v>3.2072546403762558E-2</v>
      </c>
      <c r="G43" s="14">
        <f>(((VLOOKUP(B43,Data!$E:$BM,MATCH(yoy!$G$1,Data!$E$1:$BM$1,),)-VLOOKUP(A43,Data!$E:$BM,MATCH(yoy!$G$1,Data!$E$1:$BM$1,),))/VLOOKUP(A43,Data!$E:$BM,MATCH(yoy!$G$1,Data!$E$1:$BM$1,),))+1)^12-1</f>
        <v>2.0958005568896931E-2</v>
      </c>
      <c r="H43" s="14">
        <f>(((VLOOKUP(B43,Data!$E:$BM,MATCH(yoy!$H$1,Data!$E$1:$BM$1,),)-VLOOKUP(A43,Data!$E:$BM,MATCH(yoy!$H$1,Data!$E$1:$BM$1,),))/VLOOKUP(A43,Data!$E:$BM,MATCH(yoy!$H$1,Data!$E$1:$BM$1,),))+1)^12-1</f>
        <v>-6.3912120427621177E-2</v>
      </c>
      <c r="I43" s="14">
        <f>(((VLOOKUP(B43,Data!$E:$BM,MATCH(yoy!$I$1,Data!$E$1:$BM$1,),)-VLOOKUP(A43,Data!$E:$BM,MATCH(yoy!$I$1,Data!$E$1:$BM$1,),))/VLOOKUP(A43,Data!$E:$BM,MATCH(yoy!$I$1,Data!$E$1:$BM$1,),))+1)^12-1</f>
        <v>1.1087927998498781E-3</v>
      </c>
      <c r="J43" s="14">
        <f>(((VLOOKUP(B43,Data!$E:$BM,MATCH(yoy!$J$1,Data!$E$1:$BM$1,),)-VLOOKUP(A43,Data!$E:$BM,MATCH(yoy!$J$1,Data!$E$1:$BM$1,),))/VLOOKUP(A43,Data!$E:$BM,MATCH(yoy!$J$1,Data!$E$1:$BM$1,),))+1)^12-1</f>
        <v>0.13378119218994677</v>
      </c>
      <c r="K43" s="14">
        <f>(((VLOOKUP(B43,Data!$E:$BM,MATCH(yoy!$K$1,Data!$E$1:$BM$1,),)-VLOOKUP(A43,Data!$E:$BM,MATCH(yoy!$K$1,Data!$E$1:$BM$1,),))/VLOOKUP(A43,Data!$E:$BM,MATCH(yoy!$K$1,Data!$E$1:$BM$1,),))+1)^12-1</f>
        <v>5.277707732265613E-2</v>
      </c>
      <c r="L43" s="14">
        <f>(((VLOOKUP(B43,Data!$E:$BM,MATCH(yoy!$L$1,Data!$E$1:$BM$1,),)-VLOOKUP(A43,Data!$E:$BM,MATCH(yoy!$L$1,Data!$E$1:$BM$1,),))/VLOOKUP(A43,Data!$E:$BM,MATCH(yoy!$L$1,Data!$E$1:$BM$1,),))+1)^12-1</f>
        <v>8.4097788317625044E-2</v>
      </c>
      <c r="M43" s="14">
        <f>(((VLOOKUP(B43,Data!$E:$BM,MATCH(yoy!$M$1,Data!$E$1:$BM$1,),)-VLOOKUP(A43,Data!$E:$BM,MATCH(yoy!$M$1,Data!$E$1:$BM$1,),))/VLOOKUP(A43,Data!$E:$BM,MATCH(yoy!$M$1,Data!$E$1:$BM$1,),))+1)^12-1</f>
        <v>0.27004405145291654</v>
      </c>
      <c r="N43" s="14">
        <f>(((VLOOKUP(B43,Data!$E:$BM,MATCH(yoy!$N$1,Data!$E$1:$BM$1,),)-VLOOKUP(A43,Data!$E:$BM,MATCH(yoy!$N$1,Data!$E$1:$BM$1,),))/VLOOKUP(A43,Data!$E:$BM,MATCH(yoy!$N$1,Data!$E$1:$BM$1,),))+1)^12-1</f>
        <v>0.23372701613748759</v>
      </c>
      <c r="O43" s="14">
        <f>(((VLOOKUP(B43,Data!$E:$BM,MATCH(yoy!$O$1,Data!$E$1:$BM$1,),)-VLOOKUP(A43,Data!$E:$BM,MATCH(yoy!$O$1,Data!$E$1:$BM$1,),))/VLOOKUP(A43,Data!$E:$BM,MATCH(yoy!$O$1,Data!$E$1:$BM$1,),))+1)^12-1</f>
        <v>9.3538236498966532E-2</v>
      </c>
      <c r="P43" s="14">
        <f>(((VLOOKUP(B43,Data!$E:$BM,MATCH(yoy!$P$1,Data!$E$1:$BM$1,),)-VLOOKUP(A43,Data!$E:$BM,MATCH(yoy!$P$1,Data!$E$1:$BM$1,),))/VLOOKUP(A43,Data!$E:$BM,MATCH(yoy!$P$1,Data!$E$1:$BM$1,),))+1)^12-1</f>
        <v>1.9587711709780686E-2</v>
      </c>
      <c r="Q43" s="14">
        <f>(((VLOOKUP(B43,Data!$E:$BM,MATCH(yoy!$Q$1,Data!$E$1:$BM$1,),)-VLOOKUP(A43,Data!$E:$BM,MATCH(yoy!$Q$1,Data!$E$1:$BM$1,),))/VLOOKUP(A43,Data!$E:$BM,MATCH(yoy!$Q$1,Data!$E$1:$BM$1,),))+1)^12-1</f>
        <v>8.7431764296996839E-4</v>
      </c>
      <c r="R43" s="14">
        <f>(((VLOOKUP(B43,Data!$E:$BM,MATCH(yoy!$R$1,Data!$E$1:$BM$1,),)-VLOOKUP(A43,Data!$E:$BM,MATCH(yoy!$R$1,Data!$E$1:$BM$1,),))/VLOOKUP(A43,Data!$E:$BM,MATCH(yoy!$R$1,Data!$E$1:$BM$1,),))+1)^12-1</f>
        <v>4.7113977987443878E-2</v>
      </c>
      <c r="S43" s="14">
        <f>(((VLOOKUP(B43,Data!$E:$BM,MATCH(yoy!$S$1,Data!$E$1:$BM$1,),)-VLOOKUP(A43,Data!$E:$BM,MATCH(yoy!$S$1,Data!$E$1:$BM$1,),))/VLOOKUP(A43,Data!$E:$BM,MATCH(yoy!$S$1,Data!$E$1:$BM$1,),))+1)^12-1</f>
        <v>0.10951399346756685</v>
      </c>
      <c r="T43" s="14">
        <f>(((VLOOKUP(B43,Data!$E:$BM,MATCH(yoy!$T$1,Data!$E$1:$BM$1,),)-VLOOKUP(A43,Data!$E:$BM,MATCH(yoy!$T$1,Data!$E$1:$BM$1,),))/VLOOKUP(A43,Data!$E:$BM,MATCH(yoy!$T$1,Data!$E$1:$BM$1,),))+1)^12-1</f>
        <v>7.282374912167433E-2</v>
      </c>
      <c r="U43" s="14">
        <f>(((VLOOKUP(B43,Data!$E:$BM,MATCH(yoy!$U$1,Data!$E$1:$BM$1,),)-VLOOKUP(A43,Data!$E:$BM,MATCH(yoy!$U$1,Data!$E$1:$BM$1,),))/VLOOKUP(A43,Data!$E:$BM,MATCH(yoy!$U$1,Data!$E$1:$BM$1,),))+1)^12-1</f>
        <v>-4.4743443956468343E-2</v>
      </c>
      <c r="V43" s="14">
        <f>(((VLOOKUP(B43,Data!$E:$BM,MATCH(yoy!$V$1,Data!$E$1:$BM$1,),)-VLOOKUP(A43,Data!$E:$BM,MATCH(yoy!$V$1,Data!$E$1:$BM$1,),))/VLOOKUP(A43,Data!$E:$BM,MATCH(yoy!$V$1,Data!$E$1:$BM$1,),))+1)^12-1</f>
        <v>5.5565703778613251E-2</v>
      </c>
      <c r="W43" s="14">
        <f>(((VLOOKUP(B43,Data!$E:$BM,MATCH(yoy!$W$1,Data!$E$1:$BM$1,),)-VLOOKUP(A43,Data!$E:$BM,MATCH(yoy!$W$1,Data!$E$1:$BM$1,),))/VLOOKUP(A43,Data!$E:$BM,MATCH(yoy!$W$1,Data!$E$1:$BM$1,),))+1)^12-1</f>
        <v>0.2941283079117214</v>
      </c>
      <c r="X43" s="14">
        <f>(((VLOOKUP(B43,Data!$E:$BM,MATCH(yoy!$X$1,Data!$E$1:$BM$1,),)-VLOOKUP(A43,Data!$E:$BM,MATCH(yoy!$X$1,Data!$E$1:$BM$1,),))/VLOOKUP(A43,Data!$E:$BM,MATCH(yoy!$X$1,Data!$E$1:$BM$1,),))+1)^12-1</f>
        <v>1.9362232515772737E-2</v>
      </c>
      <c r="Y43" s="14">
        <f>(((VLOOKUP(B43,Data!$E:$BM,MATCH(yoy!$Y$1,Data!$E$1:$BM$1,),)-VLOOKUP(A43,Data!$E:$BM,MATCH(yoy!$Y$1,Data!$E$1:$BM$1,),))/VLOOKUP(A43,Data!$E:$BM,MATCH(yoy!$Y$1,Data!$E$1:$BM$1,),))+1)^12-1</f>
        <v>4.2667473949060009E-2</v>
      </c>
      <c r="Z43" s="14">
        <f>(((VLOOKUP(B43,Data!$E:$BM,MATCH(yoy!$Z$1,Data!$E$1:$BM$1,),)-VLOOKUP(A43,Data!$E:$BM,MATCH(yoy!$Z$1,Data!$E$1:$BM$1,),))/VLOOKUP(A43,Data!$E:$BM,MATCH(yoy!$Z$1,Data!$E$1:$BM$1,),))+1)^12-1</f>
        <v>7.6527036843533569E-2</v>
      </c>
      <c r="AA43" s="14">
        <f>(((VLOOKUP(B43,Data!$E:$BM,MATCH(yoy!$AA$1,Data!$E$1:$BM$1,),)-VLOOKUP(A43,Data!$E:$BM,MATCH(yoy!$AA$1,Data!$E$1:$BM$1,),))/VLOOKUP(A43,Data!$E:$BM,MATCH(yoy!$AA$1,Data!$E$1:$BM$1,),))+1)^12-1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(((VLOOKUP(B44,Data!$E:$BM,MATCH(yoy!$C$1,Data!$E$1:$BM$1,),)-VLOOKUP(A44,Data!$E:$BM,MATCH(yoy!$C$1,Data!$E$1:$BM$1,),))/VLOOKUP(A44,Data!$E:$BM,MATCH(yoy!$C$1,Data!$E$1:$BM$1,),))+1)^12-1</f>
        <v>5.8762587621842277E-2</v>
      </c>
      <c r="D44" s="14">
        <f>(((VLOOKUP(B44,Data!$E:$BM,MATCH(yoy!$D$1,Data!$E$1:$BM$1,),)-VLOOKUP(A44,Data!$E:$BM,MATCH(yoy!$D$1,Data!$E$1:$BM$1,),))/VLOOKUP(A44,Data!$E:$BM,MATCH(yoy!$D$1,Data!$E$1:$BM$1,),))+1)^12-1</f>
        <v>3.1845308059369248E-2</v>
      </c>
      <c r="E44" s="14">
        <f>(((VLOOKUP(B44,Data!$E:$BM,MATCH(yoy!$E$1,Data!$E$1:$BM$1,),)-VLOOKUP(A44,Data!$E:$BM,MATCH(yoy!$E$1,Data!$E$1:$BM$1,),))/VLOOKUP(A44,Data!$E:$BM,MATCH(yoy!$E$1,Data!$E$1:$BM$1,),))+1)^12-1</f>
        <v>5.8620486439609376E-2</v>
      </c>
      <c r="F44" s="14">
        <f>(((VLOOKUP(B44,Data!$E:$BM,MATCH(yoy!$F$1,Data!$E$1:$BM$1,),)-VLOOKUP(A44,Data!$E:$BM,MATCH(yoy!$F$1,Data!$E$1:$BM$1,),))/VLOOKUP(A44,Data!$E:$BM,MATCH(yoy!$F$1,Data!$E$1:$BM$1,),))+1)^12-1</f>
        <v>6.3833770581894322E-2</v>
      </c>
      <c r="G44" s="14">
        <f>(((VLOOKUP(B44,Data!$E:$BM,MATCH(yoy!$G$1,Data!$E$1:$BM$1,),)-VLOOKUP(A44,Data!$E:$BM,MATCH(yoy!$G$1,Data!$E$1:$BM$1,),))/VLOOKUP(A44,Data!$E:$BM,MATCH(yoy!$G$1,Data!$E$1:$BM$1,),))+1)^12-1</f>
        <v>2.8086310077683141E-2</v>
      </c>
      <c r="H44" s="14">
        <f>(((VLOOKUP(B44,Data!$E:$BM,MATCH(yoy!$H$1,Data!$E$1:$BM$1,),)-VLOOKUP(A44,Data!$E:$BM,MATCH(yoy!$H$1,Data!$E$1:$BM$1,),))/VLOOKUP(A44,Data!$E:$BM,MATCH(yoy!$H$1,Data!$E$1:$BM$1,),))+1)^12-1</f>
        <v>-6.4073129259991202E-2</v>
      </c>
      <c r="I44" s="14">
        <f>(((VLOOKUP(B44,Data!$E:$BM,MATCH(yoy!$I$1,Data!$E$1:$BM$1,),)-VLOOKUP(A44,Data!$E:$BM,MATCH(yoy!$I$1,Data!$E$1:$BM$1,),))/VLOOKUP(A44,Data!$E:$BM,MATCH(yoy!$I$1,Data!$E$1:$BM$1,),))+1)^12-1</f>
        <v>1.4433783329995453E-2</v>
      </c>
      <c r="J44" s="14">
        <f>(((VLOOKUP(B44,Data!$E:$BM,MATCH(yoy!$J$1,Data!$E$1:$BM$1,),)-VLOOKUP(A44,Data!$E:$BM,MATCH(yoy!$J$1,Data!$E$1:$BM$1,),))/VLOOKUP(A44,Data!$E:$BM,MATCH(yoy!$J$1,Data!$E$1:$BM$1,),))+1)^12-1</f>
        <v>0.1058303278725885</v>
      </c>
      <c r="K44" s="14">
        <f>(((VLOOKUP(B44,Data!$E:$BM,MATCH(yoy!$K$1,Data!$E$1:$BM$1,),)-VLOOKUP(A44,Data!$E:$BM,MATCH(yoy!$K$1,Data!$E$1:$BM$1,),))/VLOOKUP(A44,Data!$E:$BM,MATCH(yoy!$K$1,Data!$E$1:$BM$1,),))+1)^12-1</f>
        <v>0.14889074621638954</v>
      </c>
      <c r="L44" s="14">
        <f>(((VLOOKUP(B44,Data!$E:$BM,MATCH(yoy!$L$1,Data!$E$1:$BM$1,),)-VLOOKUP(A44,Data!$E:$BM,MATCH(yoy!$L$1,Data!$E$1:$BM$1,),))/VLOOKUP(A44,Data!$E:$BM,MATCH(yoy!$L$1,Data!$E$1:$BM$1,),))+1)^12-1</f>
        <v>8.4466276786632655E-2</v>
      </c>
      <c r="M44" s="14">
        <f>(((VLOOKUP(B44,Data!$E:$BM,MATCH(yoy!$M$1,Data!$E$1:$BM$1,),)-VLOOKUP(A44,Data!$E:$BM,MATCH(yoy!$M$1,Data!$E$1:$BM$1,),))/VLOOKUP(A44,Data!$E:$BM,MATCH(yoy!$M$1,Data!$E$1:$BM$1,),))+1)^12-1</f>
        <v>0.2457865536152728</v>
      </c>
      <c r="N44" s="14">
        <f>(((VLOOKUP(B44,Data!$E:$BM,MATCH(yoy!$N$1,Data!$E$1:$BM$1,),)-VLOOKUP(A44,Data!$E:$BM,MATCH(yoy!$N$1,Data!$E$1:$BM$1,),))/VLOOKUP(A44,Data!$E:$BM,MATCH(yoy!$N$1,Data!$E$1:$BM$1,),))+1)^12-1</f>
        <v>0.44284718600502537</v>
      </c>
      <c r="O44" s="14">
        <f>(((VLOOKUP(B44,Data!$E:$BM,MATCH(yoy!$O$1,Data!$E$1:$BM$1,),)-VLOOKUP(A44,Data!$E:$BM,MATCH(yoy!$O$1,Data!$E$1:$BM$1,),))/VLOOKUP(A44,Data!$E:$BM,MATCH(yoy!$O$1,Data!$E$1:$BM$1,),))+1)^12-1</f>
        <v>0.11261384674881625</v>
      </c>
      <c r="P44" s="14">
        <f>(((VLOOKUP(B44,Data!$E:$BM,MATCH(yoy!$P$1,Data!$E$1:$BM$1,),)-VLOOKUP(A44,Data!$E:$BM,MATCH(yoy!$P$1,Data!$E$1:$BM$1,),))/VLOOKUP(A44,Data!$E:$BM,MATCH(yoy!$P$1,Data!$E$1:$BM$1,),))+1)^12-1</f>
        <v>2.1311624097047233E-2</v>
      </c>
      <c r="Q44" s="14">
        <f>(((VLOOKUP(B44,Data!$E:$BM,MATCH(yoy!$Q$1,Data!$E$1:$BM$1,),)-VLOOKUP(A44,Data!$E:$BM,MATCH(yoy!$Q$1,Data!$E$1:$BM$1,),))/VLOOKUP(A44,Data!$E:$BM,MATCH(yoy!$Q$1,Data!$E$1:$BM$1,),))+1)^12-1</f>
        <v>-6.100204295635403E-3</v>
      </c>
      <c r="R44" s="14">
        <f>(((VLOOKUP(B44,Data!$E:$BM,MATCH(yoy!$R$1,Data!$E$1:$BM$1,),)-VLOOKUP(A44,Data!$E:$BM,MATCH(yoy!$R$1,Data!$E$1:$BM$1,),))/VLOOKUP(A44,Data!$E:$BM,MATCH(yoy!$R$1,Data!$E$1:$BM$1,),))+1)^12-1</f>
        <v>5.3397945406391978E-2</v>
      </c>
      <c r="S44" s="14">
        <f>(((VLOOKUP(B44,Data!$E:$BM,MATCH(yoy!$S$1,Data!$E$1:$BM$1,),)-VLOOKUP(A44,Data!$E:$BM,MATCH(yoy!$S$1,Data!$E$1:$BM$1,),))/VLOOKUP(A44,Data!$E:$BM,MATCH(yoy!$S$1,Data!$E$1:$BM$1,),))+1)^12-1</f>
        <v>6.6096119020485178E-2</v>
      </c>
      <c r="T44" s="14">
        <f>(((VLOOKUP(B44,Data!$E:$BM,MATCH(yoy!$T$1,Data!$E$1:$BM$1,),)-VLOOKUP(A44,Data!$E:$BM,MATCH(yoy!$T$1,Data!$E$1:$BM$1,),))/VLOOKUP(A44,Data!$E:$BM,MATCH(yoy!$T$1,Data!$E$1:$BM$1,),))+1)^12-1</f>
        <v>0.20998139112334457</v>
      </c>
      <c r="U44" s="14">
        <f>(((VLOOKUP(B44,Data!$E:$BM,MATCH(yoy!$U$1,Data!$E$1:$BM$1,),)-VLOOKUP(A44,Data!$E:$BM,MATCH(yoy!$U$1,Data!$E$1:$BM$1,),))/VLOOKUP(A44,Data!$E:$BM,MATCH(yoy!$U$1,Data!$E$1:$BM$1,),))+1)^12-1</f>
        <v>3.0675716490421223E-2</v>
      </c>
      <c r="V44" s="14">
        <f>(((VLOOKUP(B44,Data!$E:$BM,MATCH(yoy!$V$1,Data!$E$1:$BM$1,),)-VLOOKUP(A44,Data!$E:$BM,MATCH(yoy!$V$1,Data!$E$1:$BM$1,),))/VLOOKUP(A44,Data!$E:$BM,MATCH(yoy!$V$1,Data!$E$1:$BM$1,),))+1)^12-1</f>
        <v>9.4779057114799281E-2</v>
      </c>
      <c r="W44" s="14">
        <f>(((VLOOKUP(B44,Data!$E:$BM,MATCH(yoy!$W$1,Data!$E$1:$BM$1,),)-VLOOKUP(A44,Data!$E:$BM,MATCH(yoy!$W$1,Data!$E$1:$BM$1,),))/VLOOKUP(A44,Data!$E:$BM,MATCH(yoy!$W$1,Data!$E$1:$BM$1,),))+1)^12-1</f>
        <v>0.32682699014604388</v>
      </c>
      <c r="X44" s="14">
        <f>(((VLOOKUP(B44,Data!$E:$BM,MATCH(yoy!$X$1,Data!$E$1:$BM$1,),)-VLOOKUP(A44,Data!$E:$BM,MATCH(yoy!$X$1,Data!$E$1:$BM$1,),))/VLOOKUP(A44,Data!$E:$BM,MATCH(yoy!$X$1,Data!$E$1:$BM$1,),))+1)^12-1</f>
        <v>-2.7656589690351341E-3</v>
      </c>
      <c r="Y44" s="14">
        <f>(((VLOOKUP(B44,Data!$E:$BM,MATCH(yoy!$Y$1,Data!$E$1:$BM$1,),)-VLOOKUP(A44,Data!$E:$BM,MATCH(yoy!$Y$1,Data!$E$1:$BM$1,),))/VLOOKUP(A44,Data!$E:$BM,MATCH(yoy!$Y$1,Data!$E$1:$BM$1,),))+1)^12-1</f>
        <v>4.6482995556736073E-2</v>
      </c>
      <c r="Z44" s="14">
        <f>(((VLOOKUP(B44,Data!$E:$BM,MATCH(yoy!$Z$1,Data!$E$1:$BM$1,),)-VLOOKUP(A44,Data!$E:$BM,MATCH(yoy!$Z$1,Data!$E$1:$BM$1,),))/VLOOKUP(A44,Data!$E:$BM,MATCH(yoy!$Z$1,Data!$E$1:$BM$1,),))+1)^12-1</f>
        <v>5.3898747918147416E-2</v>
      </c>
      <c r="AA44" s="14">
        <f>(((VLOOKUP(B44,Data!$E:$BM,MATCH(yoy!$AA$1,Data!$E$1:$BM$1,),)-VLOOKUP(A44,Data!$E:$BM,MATCH(yoy!$AA$1,Data!$E$1:$BM$1,),))/VLOOKUP(A44,Data!$E:$BM,MATCH(yoy!$AA$1,Data!$E$1:$BM$1,),))+1)^12-1</f>
        <v>8.051230266790621E-2</v>
      </c>
    </row>
    <row r="45" spans="1:27" s="78" customFormat="1" x14ac:dyDescent="0.2">
      <c r="A45" s="20">
        <f t="shared" si="3"/>
        <v>43191</v>
      </c>
      <c r="B45" s="12">
        <v>43221</v>
      </c>
      <c r="C45" s="14">
        <f>(((VLOOKUP(B45,Data!$E:$BM,MATCH(yoy!$C$1,Data!$E$1:$BM$1,),)-VLOOKUP(A45,Data!$E:$BM,MATCH(yoy!$C$1,Data!$E$1:$BM$1,),))/VLOOKUP(A45,Data!$E:$BM,MATCH(yoy!$C$1,Data!$E$1:$BM$1,),))+1)^12-1</f>
        <v>7.8206718466130587E-2</v>
      </c>
      <c r="D45" s="14">
        <f>(((VLOOKUP(B45,Data!$E:$BM,MATCH(yoy!$D$1,Data!$E$1:$BM$1,),)-VLOOKUP(A45,Data!$E:$BM,MATCH(yoy!$D$1,Data!$E$1:$BM$1,),))/VLOOKUP(A45,Data!$E:$BM,MATCH(yoy!$D$1,Data!$E$1:$BM$1,),))+1)^12-1</f>
        <v>5.792619601004545E-2</v>
      </c>
      <c r="E45" s="14">
        <f>(((VLOOKUP(B45,Data!$E:$BM,MATCH(yoy!$E$1,Data!$E$1:$BM$1,),)-VLOOKUP(A45,Data!$E:$BM,MATCH(yoy!$E$1,Data!$E$1:$BM$1,),))/VLOOKUP(A45,Data!$E:$BM,MATCH(yoy!$E$1,Data!$E$1:$BM$1,),))+1)^12-1</f>
        <v>5.231606309856307E-2</v>
      </c>
      <c r="F45" s="14">
        <f>(((VLOOKUP(B45,Data!$E:$BM,MATCH(yoy!$F$1,Data!$E$1:$BM$1,),)-VLOOKUP(A45,Data!$E:$BM,MATCH(yoy!$F$1,Data!$E$1:$BM$1,),))/VLOOKUP(A45,Data!$E:$BM,MATCH(yoy!$F$1,Data!$E$1:$BM$1,),))+1)^12-1</f>
        <v>7.1244298288400509E-2</v>
      </c>
      <c r="G45" s="14">
        <f>(((VLOOKUP(B45,Data!$E:$BM,MATCH(yoy!$G$1,Data!$E$1:$BM$1,),)-VLOOKUP(A45,Data!$E:$BM,MATCH(yoy!$G$1,Data!$E$1:$BM$1,),))/VLOOKUP(A45,Data!$E:$BM,MATCH(yoy!$G$1,Data!$E$1:$BM$1,),))+1)^12-1</f>
        <v>1.9610808866946661E-2</v>
      </c>
      <c r="H45" s="14">
        <f>(((VLOOKUP(B45,Data!$E:$BM,MATCH(yoy!$H$1,Data!$E$1:$BM$1,),)-VLOOKUP(A45,Data!$E:$BM,MATCH(yoy!$H$1,Data!$E$1:$BM$1,),))/VLOOKUP(A45,Data!$E:$BM,MATCH(yoy!$H$1,Data!$E$1:$BM$1,),))+1)^12-1</f>
        <v>9.7436545806304453E-2</v>
      </c>
      <c r="I45" s="14">
        <f>(((VLOOKUP(B45,Data!$E:$BM,MATCH(yoy!$I$1,Data!$E$1:$BM$1,),)-VLOOKUP(A45,Data!$E:$BM,MATCH(yoy!$I$1,Data!$E$1:$BM$1,),))/VLOOKUP(A45,Data!$E:$BM,MATCH(yoy!$I$1,Data!$E$1:$BM$1,),))+1)^12-1</f>
        <v>3.3155220802868257E-2</v>
      </c>
      <c r="J45" s="14">
        <f>(((VLOOKUP(B45,Data!$E:$BM,MATCH(yoy!$J$1,Data!$E$1:$BM$1,),)-VLOOKUP(A45,Data!$E:$BM,MATCH(yoy!$J$1,Data!$E$1:$BM$1,),))/VLOOKUP(A45,Data!$E:$BM,MATCH(yoy!$J$1,Data!$E$1:$BM$1,),))+1)^12-1</f>
        <v>2.4798012229902744E-2</v>
      </c>
      <c r="K45" s="14">
        <f>(((VLOOKUP(B45,Data!$E:$BM,MATCH(yoy!$K$1,Data!$E$1:$BM$1,),)-VLOOKUP(A45,Data!$E:$BM,MATCH(yoy!$K$1,Data!$E$1:$BM$1,),))/VLOOKUP(A45,Data!$E:$BM,MATCH(yoy!$K$1,Data!$E$1:$BM$1,),))+1)^12-1</f>
        <v>9.3317865902832864E-2</v>
      </c>
      <c r="L45" s="14">
        <f>(((VLOOKUP(B45,Data!$E:$BM,MATCH(yoy!$L$1,Data!$E$1:$BM$1,),)-VLOOKUP(A45,Data!$E:$BM,MATCH(yoy!$L$1,Data!$E$1:$BM$1,),))/VLOOKUP(A45,Data!$E:$BM,MATCH(yoy!$L$1,Data!$E$1:$BM$1,),))+1)^12-1</f>
        <v>4.259712762582013E-2</v>
      </c>
      <c r="M45" s="14">
        <f>(((VLOOKUP(B45,Data!$E:$BM,MATCH(yoy!$M$1,Data!$E$1:$BM$1,),)-VLOOKUP(A45,Data!$E:$BM,MATCH(yoy!$M$1,Data!$E$1:$BM$1,),))/VLOOKUP(A45,Data!$E:$BM,MATCH(yoy!$M$1,Data!$E$1:$BM$1,),))+1)^12-1</f>
        <v>0.10742122664344311</v>
      </c>
      <c r="N45" s="14">
        <f>(((VLOOKUP(B45,Data!$E:$BM,MATCH(yoy!$N$1,Data!$E$1:$BM$1,),)-VLOOKUP(A45,Data!$E:$BM,MATCH(yoy!$N$1,Data!$E$1:$BM$1,),))/VLOOKUP(A45,Data!$E:$BM,MATCH(yoy!$N$1,Data!$E$1:$BM$1,),))+1)^12-1</f>
        <v>0.23820523369177615</v>
      </c>
      <c r="O45" s="14">
        <f>(((VLOOKUP(B45,Data!$E:$BM,MATCH(yoy!$O$1,Data!$E$1:$BM$1,),)-VLOOKUP(A45,Data!$E:$BM,MATCH(yoy!$O$1,Data!$E$1:$BM$1,),))/VLOOKUP(A45,Data!$E:$BM,MATCH(yoy!$O$1,Data!$E$1:$BM$1,),))+1)^12-1</f>
        <v>0.11733678540628456</v>
      </c>
      <c r="P45" s="14">
        <f>(((VLOOKUP(B45,Data!$E:$BM,MATCH(yoy!$P$1,Data!$E$1:$BM$1,),)-VLOOKUP(A45,Data!$E:$BM,MATCH(yoy!$P$1,Data!$E$1:$BM$1,),))/VLOOKUP(A45,Data!$E:$BM,MATCH(yoy!$P$1,Data!$E$1:$BM$1,),))+1)^12-1</f>
        <v>6.3398776503152288E-2</v>
      </c>
      <c r="Q45" s="14">
        <f>(((VLOOKUP(B45,Data!$E:$BM,MATCH(yoy!$Q$1,Data!$E$1:$BM$1,),)-VLOOKUP(A45,Data!$E:$BM,MATCH(yoy!$Q$1,Data!$E$1:$BM$1,),))/VLOOKUP(A45,Data!$E:$BM,MATCH(yoy!$Q$1,Data!$E$1:$BM$1,),))+1)^12-1</f>
        <v>1.5862876158316386E-2</v>
      </c>
      <c r="R45" s="14">
        <f>(((VLOOKUP(B45,Data!$E:$BM,MATCH(yoy!$R$1,Data!$E$1:$BM$1,),)-VLOOKUP(A45,Data!$E:$BM,MATCH(yoy!$R$1,Data!$E$1:$BM$1,),))/VLOOKUP(A45,Data!$E:$BM,MATCH(yoy!$R$1,Data!$E$1:$BM$1,),))+1)^12-1</f>
        <v>4.591265277893064E-2</v>
      </c>
      <c r="S45" s="14">
        <f>(((VLOOKUP(B45,Data!$E:$BM,MATCH(yoy!$S$1,Data!$E$1:$BM$1,),)-VLOOKUP(A45,Data!$E:$BM,MATCH(yoy!$S$1,Data!$E$1:$BM$1,),))/VLOOKUP(A45,Data!$E:$BM,MATCH(yoy!$S$1,Data!$E$1:$BM$1,),))+1)^12-1</f>
        <v>3.1138055995356684E-2</v>
      </c>
      <c r="T45" s="14">
        <f>(((VLOOKUP(B45,Data!$E:$BM,MATCH(yoy!$T$1,Data!$E$1:$BM$1,),)-VLOOKUP(A45,Data!$E:$BM,MATCH(yoy!$T$1,Data!$E$1:$BM$1,),))/VLOOKUP(A45,Data!$E:$BM,MATCH(yoy!$T$1,Data!$E$1:$BM$1,),))+1)^12-1</f>
        <v>0.15832832922943996</v>
      </c>
      <c r="U45" s="14">
        <f>(((VLOOKUP(B45,Data!$E:$BM,MATCH(yoy!$U$1,Data!$E$1:$BM$1,),)-VLOOKUP(A45,Data!$E:$BM,MATCH(yoy!$U$1,Data!$E$1:$BM$1,),))/VLOOKUP(A45,Data!$E:$BM,MATCH(yoy!$U$1,Data!$E$1:$BM$1,),))+1)^12-1</f>
        <v>-1.2107769058598339E-2</v>
      </c>
      <c r="V45" s="14">
        <f>(((VLOOKUP(B45,Data!$E:$BM,MATCH(yoy!$V$1,Data!$E$1:$BM$1,),)-VLOOKUP(A45,Data!$E:$BM,MATCH(yoy!$V$1,Data!$E$1:$BM$1,),))/VLOOKUP(A45,Data!$E:$BM,MATCH(yoy!$V$1,Data!$E$1:$BM$1,),))+1)^12-1</f>
        <v>2.0379760992541351E-2</v>
      </c>
      <c r="W45" s="14">
        <f>(((VLOOKUP(B45,Data!$E:$BM,MATCH(yoy!$W$1,Data!$E$1:$BM$1,),)-VLOOKUP(A45,Data!$E:$BM,MATCH(yoy!$W$1,Data!$E$1:$BM$1,),))/VLOOKUP(A45,Data!$E:$BM,MATCH(yoy!$W$1,Data!$E$1:$BM$1,),))+1)^12-1</f>
        <v>0.44550268413308425</v>
      </c>
      <c r="X45" s="14">
        <f>(((VLOOKUP(B45,Data!$E:$BM,MATCH(yoy!$X$1,Data!$E$1:$BM$1,),)-VLOOKUP(A45,Data!$E:$BM,MATCH(yoy!$X$1,Data!$E$1:$BM$1,),))/VLOOKUP(A45,Data!$E:$BM,MATCH(yoy!$X$1,Data!$E$1:$BM$1,),))+1)^12-1</f>
        <v>1.8739009973312681E-2</v>
      </c>
      <c r="Y45" s="14">
        <f>(((VLOOKUP(B45,Data!$E:$BM,MATCH(yoy!$Y$1,Data!$E$1:$BM$1,),)-VLOOKUP(A45,Data!$E:$BM,MATCH(yoy!$Y$1,Data!$E$1:$BM$1,),))/VLOOKUP(A45,Data!$E:$BM,MATCH(yoy!$Y$1,Data!$E$1:$BM$1,),))+1)^12-1</f>
        <v>4.1700488262379709E-2</v>
      </c>
      <c r="Z45" s="14">
        <f>(((VLOOKUP(B45,Data!$E:$BM,MATCH(yoy!$Z$1,Data!$E$1:$BM$1,),)-VLOOKUP(A45,Data!$E:$BM,MATCH(yoy!$Z$1,Data!$E$1:$BM$1,),))/VLOOKUP(A45,Data!$E:$BM,MATCH(yoy!$Z$1,Data!$E$1:$BM$1,),))+1)^12-1</f>
        <v>0.12582372221590221</v>
      </c>
      <c r="AA45" s="14">
        <f>(((VLOOKUP(B45,Data!$E:$BM,MATCH(yoy!$AA$1,Data!$E$1:$BM$1,),)-VLOOKUP(A45,Data!$E:$BM,MATCH(yoy!$AA$1,Data!$E$1:$BM$1,),))/VLOOKUP(A45,Data!$E:$BM,MATCH(yoy!$AA$1,Data!$E$1:$BM$1,),))+1)^12-1</f>
        <v>0.10534522491661003</v>
      </c>
    </row>
    <row r="46" spans="1:27" s="78" customFormat="1" x14ac:dyDescent="0.2">
      <c r="A46" s="20">
        <f t="shared" si="3"/>
        <v>43221</v>
      </c>
      <c r="B46" s="12">
        <v>43252</v>
      </c>
      <c r="C46" s="14">
        <f>(((VLOOKUP(B46,Data!$E:$BM,MATCH(yoy!$C$1,Data!$E$1:$BM$1,),)-VLOOKUP(A46,Data!$E:$BM,MATCH(yoy!$C$1,Data!$E$1:$BM$1,),))/VLOOKUP(A46,Data!$E:$BM,MATCH(yoy!$C$1,Data!$E$1:$BM$1,),))+1)^12-1</f>
        <v>7.4344358244935238E-2</v>
      </c>
      <c r="D46" s="14">
        <f>(((VLOOKUP(B46,Data!$E:$BM,MATCH(yoy!$D$1,Data!$E$1:$BM$1,),)-VLOOKUP(A46,Data!$E:$BM,MATCH(yoy!$D$1,Data!$E$1:$BM$1,),))/VLOOKUP(A46,Data!$E:$BM,MATCH(yoy!$D$1,Data!$E$1:$BM$1,),))+1)^12-1</f>
        <v>5.7020849804129803E-2</v>
      </c>
      <c r="E46" s="14">
        <f>(((VLOOKUP(B46,Data!$E:$BM,MATCH(yoy!$E$1,Data!$E$1:$BM$1,),)-VLOOKUP(A46,Data!$E:$BM,MATCH(yoy!$E$1,Data!$E$1:$BM$1,),))/VLOOKUP(A46,Data!$E:$BM,MATCH(yoy!$E$1,Data!$E$1:$BM$1,),))+1)^12-1</f>
        <v>4.6666361690737013E-2</v>
      </c>
      <c r="F46" s="14">
        <f>(((VLOOKUP(B46,Data!$E:$BM,MATCH(yoy!$F$1,Data!$E$1:$BM$1,),)-VLOOKUP(A46,Data!$E:$BM,MATCH(yoy!$F$1,Data!$E$1:$BM$1,),))/VLOOKUP(A46,Data!$E:$BM,MATCH(yoy!$F$1,Data!$E$1:$BM$1,),))+1)^12-1</f>
        <v>9.4051809511367823E-2</v>
      </c>
      <c r="G46" s="14">
        <f>(((VLOOKUP(B46,Data!$E:$BM,MATCH(yoy!$G$1,Data!$E$1:$BM$1,),)-VLOOKUP(A46,Data!$E:$BM,MATCH(yoy!$G$1,Data!$E$1:$BM$1,),))/VLOOKUP(A46,Data!$E:$BM,MATCH(yoy!$G$1,Data!$E$1:$BM$1,),))+1)^12-1</f>
        <v>3.7404717913631202E-2</v>
      </c>
      <c r="H46" s="14">
        <f>(((VLOOKUP(B46,Data!$E:$BM,MATCH(yoy!$H$1,Data!$E$1:$BM$1,),)-VLOOKUP(A46,Data!$E:$BM,MATCH(yoy!$H$1,Data!$E$1:$BM$1,),))/VLOOKUP(A46,Data!$E:$BM,MATCH(yoy!$H$1,Data!$E$1:$BM$1,),))+1)^12-1</f>
        <v>8.2712451699324507E-2</v>
      </c>
      <c r="I46" s="14">
        <f>(((VLOOKUP(B46,Data!$E:$BM,MATCH(yoy!$I$1,Data!$E$1:$BM$1,),)-VLOOKUP(A46,Data!$E:$BM,MATCH(yoy!$I$1,Data!$E$1:$BM$1,),))/VLOOKUP(A46,Data!$E:$BM,MATCH(yoy!$I$1,Data!$E$1:$BM$1,),))+1)^12-1</f>
        <v>6.354245825351823E-3</v>
      </c>
      <c r="J46" s="14">
        <f>(((VLOOKUP(B46,Data!$E:$BM,MATCH(yoy!$J$1,Data!$E$1:$BM$1,),)-VLOOKUP(A46,Data!$E:$BM,MATCH(yoy!$J$1,Data!$E$1:$BM$1,),))/VLOOKUP(A46,Data!$E:$BM,MATCH(yoy!$J$1,Data!$E$1:$BM$1,),))+1)^12-1</f>
        <v>2.0598448182574725E-2</v>
      </c>
      <c r="K46" s="14">
        <f>(((VLOOKUP(B46,Data!$E:$BM,MATCH(yoy!$K$1,Data!$E$1:$BM$1,),)-VLOOKUP(A46,Data!$E:$BM,MATCH(yoy!$K$1,Data!$E$1:$BM$1,),))/VLOOKUP(A46,Data!$E:$BM,MATCH(yoy!$K$1,Data!$E$1:$BM$1,),))+1)^12-1</f>
        <v>3.5400324989166787E-2</v>
      </c>
      <c r="L46" s="14">
        <f>(((VLOOKUP(B46,Data!$E:$BM,MATCH(yoy!$L$1,Data!$E$1:$BM$1,),)-VLOOKUP(A46,Data!$E:$BM,MATCH(yoy!$L$1,Data!$E$1:$BM$1,),))/VLOOKUP(A46,Data!$E:$BM,MATCH(yoy!$L$1,Data!$E$1:$BM$1,),))+1)^12-1</f>
        <v>8.524150001394859E-2</v>
      </c>
      <c r="M46" s="14">
        <f>(((VLOOKUP(B46,Data!$E:$BM,MATCH(yoy!$M$1,Data!$E$1:$BM$1,),)-VLOOKUP(A46,Data!$E:$BM,MATCH(yoy!$M$1,Data!$E$1:$BM$1,),))/VLOOKUP(A46,Data!$E:$BM,MATCH(yoy!$M$1,Data!$E$1:$BM$1,),))+1)^12-1</f>
        <v>0.11230994909375269</v>
      </c>
      <c r="N46" s="14">
        <f>(((VLOOKUP(B46,Data!$E:$BM,MATCH(yoy!$N$1,Data!$E$1:$BM$1,),)-VLOOKUP(A46,Data!$E:$BM,MATCH(yoy!$N$1,Data!$E$1:$BM$1,),))/VLOOKUP(A46,Data!$E:$BM,MATCH(yoy!$N$1,Data!$E$1:$BM$1,),))+1)^12-1</f>
        <v>7.1611668690267472E-2</v>
      </c>
      <c r="O46" s="14">
        <f>(((VLOOKUP(B46,Data!$E:$BM,MATCH(yoy!$O$1,Data!$E$1:$BM$1,),)-VLOOKUP(A46,Data!$E:$BM,MATCH(yoy!$O$1,Data!$E$1:$BM$1,),))/VLOOKUP(A46,Data!$E:$BM,MATCH(yoy!$O$1,Data!$E$1:$BM$1,),))+1)^12-1</f>
        <v>8.5133011271227632E-2</v>
      </c>
      <c r="P46" s="14">
        <f>(((VLOOKUP(B46,Data!$E:$BM,MATCH(yoy!$P$1,Data!$E$1:$BM$1,),)-VLOOKUP(A46,Data!$E:$BM,MATCH(yoy!$P$1,Data!$E$1:$BM$1,),))/VLOOKUP(A46,Data!$E:$BM,MATCH(yoy!$P$1,Data!$E$1:$BM$1,),))+1)^12-1</f>
        <v>7.6440089762286556E-2</v>
      </c>
      <c r="Q46" s="14">
        <f>(((VLOOKUP(B46,Data!$E:$BM,MATCH(yoy!$Q$1,Data!$E$1:$BM$1,),)-VLOOKUP(A46,Data!$E:$BM,MATCH(yoy!$Q$1,Data!$E$1:$BM$1,),))/VLOOKUP(A46,Data!$E:$BM,MATCH(yoy!$Q$1,Data!$E$1:$BM$1,),))+1)^12-1</f>
        <v>3.4312745720018745E-2</v>
      </c>
      <c r="R46" s="14">
        <f>(((VLOOKUP(B46,Data!$E:$BM,MATCH(yoy!$R$1,Data!$E$1:$BM$1,),)-VLOOKUP(A46,Data!$E:$BM,MATCH(yoy!$R$1,Data!$E$1:$BM$1,),))/VLOOKUP(A46,Data!$E:$BM,MATCH(yoy!$R$1,Data!$E$1:$BM$1,),))+1)^12-1</f>
        <v>3.7553956548629808E-2</v>
      </c>
      <c r="S46" s="14">
        <f>(((VLOOKUP(B46,Data!$E:$BM,MATCH(yoy!$S$1,Data!$E$1:$BM$1,),)-VLOOKUP(A46,Data!$E:$BM,MATCH(yoy!$S$1,Data!$E$1:$BM$1,),))/VLOOKUP(A46,Data!$E:$BM,MATCH(yoy!$S$1,Data!$E$1:$BM$1,),))+1)^12-1</f>
        <v>5.5418608620422471E-2</v>
      </c>
      <c r="T46" s="14">
        <f>(((VLOOKUP(B46,Data!$E:$BM,MATCH(yoy!$T$1,Data!$E$1:$BM$1,),)-VLOOKUP(A46,Data!$E:$BM,MATCH(yoy!$T$1,Data!$E$1:$BM$1,),))/VLOOKUP(A46,Data!$E:$BM,MATCH(yoy!$T$1,Data!$E$1:$BM$1,),))+1)^12-1</f>
        <v>7.4048970052396745E-2</v>
      </c>
      <c r="U46" s="14">
        <f>(((VLOOKUP(B46,Data!$E:$BM,MATCH(yoy!$U$1,Data!$E$1:$BM$1,),)-VLOOKUP(A46,Data!$E:$BM,MATCH(yoy!$U$1,Data!$E$1:$BM$1,),))/VLOOKUP(A46,Data!$E:$BM,MATCH(yoy!$U$1,Data!$E$1:$BM$1,),))+1)^12-1</f>
        <v>-3.7869530275918883E-2</v>
      </c>
      <c r="V46" s="14">
        <f>(((VLOOKUP(B46,Data!$E:$BM,MATCH(yoy!$V$1,Data!$E$1:$BM$1,),)-VLOOKUP(A46,Data!$E:$BM,MATCH(yoy!$V$1,Data!$E$1:$BM$1,),))/VLOOKUP(A46,Data!$E:$BM,MATCH(yoy!$V$1,Data!$E$1:$BM$1,),))+1)^12-1</f>
        <v>-1.7384925739046042E-2</v>
      </c>
      <c r="W46" s="14">
        <f>(((VLOOKUP(B46,Data!$E:$BM,MATCH(yoy!$W$1,Data!$E$1:$BM$1,),)-VLOOKUP(A46,Data!$E:$BM,MATCH(yoy!$W$1,Data!$E$1:$BM$1,),))/VLOOKUP(A46,Data!$E:$BM,MATCH(yoy!$W$1,Data!$E$1:$BM$1,),))+1)^12-1</f>
        <v>0.38121139816969474</v>
      </c>
      <c r="X46" s="14">
        <f>(((VLOOKUP(B46,Data!$E:$BM,MATCH(yoy!$X$1,Data!$E$1:$BM$1,),)-VLOOKUP(A46,Data!$E:$BM,MATCH(yoy!$X$1,Data!$E$1:$BM$1,),))/VLOOKUP(A46,Data!$E:$BM,MATCH(yoy!$X$1,Data!$E$1:$BM$1,),))+1)^12-1</f>
        <v>4.3466068991550033E-2</v>
      </c>
      <c r="Y46" s="14">
        <f>(((VLOOKUP(B46,Data!$E:$BM,MATCH(yoy!$Y$1,Data!$E$1:$BM$1,),)-VLOOKUP(A46,Data!$E:$BM,MATCH(yoy!$Y$1,Data!$E$1:$BM$1,),))/VLOOKUP(A46,Data!$E:$BM,MATCH(yoy!$Y$1,Data!$E$1:$BM$1,),))+1)^12-1</f>
        <v>8.0294420417705181E-2</v>
      </c>
      <c r="Z46" s="14">
        <f>(((VLOOKUP(B46,Data!$E:$BM,MATCH(yoy!$Z$1,Data!$E$1:$BM$1,),)-VLOOKUP(A46,Data!$E:$BM,MATCH(yoy!$Z$1,Data!$E$1:$BM$1,),))/VLOOKUP(A46,Data!$E:$BM,MATCH(yoy!$Z$1,Data!$E$1:$BM$1,),))+1)^12-1</f>
        <v>4.8326090413547851E-2</v>
      </c>
      <c r="AA46" s="14">
        <f>(((VLOOKUP(B46,Data!$E:$BM,MATCH(yoy!$AA$1,Data!$E$1:$BM$1,),)-VLOOKUP(A46,Data!$E:$BM,MATCH(yoy!$AA$1,Data!$E$1:$BM$1,),))/VLOOKUP(A46,Data!$E:$BM,MATCH(yoy!$AA$1,Data!$E$1:$BM$1,),))+1)^12-1</f>
        <v>0.11112952591069858</v>
      </c>
    </row>
    <row r="47" spans="1:27" s="78" customFormat="1" x14ac:dyDescent="0.2">
      <c r="A47" s="20">
        <f t="shared" si="3"/>
        <v>43252</v>
      </c>
      <c r="B47" s="12">
        <v>43282</v>
      </c>
      <c r="C47" s="14">
        <f>(((VLOOKUP(B47,Data!$E:$BM,MATCH(yoy!$C$1,Data!$E$1:$BM$1,),)-VLOOKUP(A47,Data!$E:$BM,MATCH(yoy!$C$1,Data!$E$1:$BM$1,),))/VLOOKUP(A47,Data!$E:$BM,MATCH(yoy!$C$1,Data!$E$1:$BM$1,),))+1)^12-1</f>
        <v>4.2506876385103531E-2</v>
      </c>
      <c r="D47" s="14">
        <f>(((VLOOKUP(B47,Data!$E:$BM,MATCH(yoy!$D$1,Data!$E$1:$BM$1,),)-VLOOKUP(A47,Data!$E:$BM,MATCH(yoy!$D$1,Data!$E$1:$BM$1,),))/VLOOKUP(A47,Data!$E:$BM,MATCH(yoy!$D$1,Data!$E$1:$BM$1,),))+1)^12-1</f>
        <v>2.8415353979442282E-2</v>
      </c>
      <c r="E47" s="14">
        <f>(((VLOOKUP(B47,Data!$E:$BM,MATCH(yoy!$E$1,Data!$E$1:$BM$1,),)-VLOOKUP(A47,Data!$E:$BM,MATCH(yoy!$E$1,Data!$E$1:$BM$1,),))/VLOOKUP(A47,Data!$E:$BM,MATCH(yoy!$E$1,Data!$E$1:$BM$1,),))+1)^12-1</f>
        <v>0.10981453279539144</v>
      </c>
      <c r="F47" s="14">
        <f>(((VLOOKUP(B47,Data!$E:$BM,MATCH(yoy!$F$1,Data!$E$1:$BM$1,),)-VLOOKUP(A47,Data!$E:$BM,MATCH(yoy!$F$1,Data!$E$1:$BM$1,),))/VLOOKUP(A47,Data!$E:$BM,MATCH(yoy!$F$1,Data!$E$1:$BM$1,),))+1)^12-1</f>
        <v>4.6029299082023245E-2</v>
      </c>
      <c r="G47" s="14">
        <f>(((VLOOKUP(B47,Data!$E:$BM,MATCH(yoy!$G$1,Data!$E$1:$BM$1,),)-VLOOKUP(A47,Data!$E:$BM,MATCH(yoy!$G$1,Data!$E$1:$BM$1,),))/VLOOKUP(A47,Data!$E:$BM,MATCH(yoy!$G$1,Data!$E$1:$BM$1,),))+1)^12-1</f>
        <v>2.0998853949435459E-2</v>
      </c>
      <c r="H47" s="14">
        <f>(((VLOOKUP(B47,Data!$E:$BM,MATCH(yoy!$H$1,Data!$E$1:$BM$1,),)-VLOOKUP(A47,Data!$E:$BM,MATCH(yoy!$H$1,Data!$E$1:$BM$1,),))/VLOOKUP(A47,Data!$E:$BM,MATCH(yoy!$H$1,Data!$E$1:$BM$1,),))+1)^12-1</f>
        <v>-7.4135092119017587E-3</v>
      </c>
      <c r="I47" s="14">
        <f>(((VLOOKUP(B47,Data!$E:$BM,MATCH(yoy!$I$1,Data!$E$1:$BM$1,),)-VLOOKUP(A47,Data!$E:$BM,MATCH(yoy!$I$1,Data!$E$1:$BM$1,),))/VLOOKUP(A47,Data!$E:$BM,MATCH(yoy!$I$1,Data!$E$1:$BM$1,),))+1)^12-1</f>
        <v>1.4525912580438449E-2</v>
      </c>
      <c r="J47" s="14">
        <f>(((VLOOKUP(B47,Data!$E:$BM,MATCH(yoy!$J$1,Data!$E$1:$BM$1,),)-VLOOKUP(A47,Data!$E:$BM,MATCH(yoy!$J$1,Data!$E$1:$BM$1,),))/VLOOKUP(A47,Data!$E:$BM,MATCH(yoy!$J$1,Data!$E$1:$BM$1,),))+1)^12-1</f>
        <v>3.5055843452447055E-2</v>
      </c>
      <c r="K47" s="14">
        <f>(((VLOOKUP(B47,Data!$E:$BM,MATCH(yoy!$K$1,Data!$E$1:$BM$1,),)-VLOOKUP(A47,Data!$E:$BM,MATCH(yoy!$K$1,Data!$E$1:$BM$1,),))/VLOOKUP(A47,Data!$E:$BM,MATCH(yoy!$K$1,Data!$E$1:$BM$1,),))+1)^12-1</f>
        <v>1.4327846137217382E-2</v>
      </c>
      <c r="L47" s="14">
        <f>(((VLOOKUP(B47,Data!$E:$BM,MATCH(yoy!$L$1,Data!$E$1:$BM$1,),)-VLOOKUP(A47,Data!$E:$BM,MATCH(yoy!$L$1,Data!$E$1:$BM$1,),))/VLOOKUP(A47,Data!$E:$BM,MATCH(yoy!$L$1,Data!$E$1:$BM$1,),))+1)^12-1</f>
        <v>8.5229381942806492E-2</v>
      </c>
      <c r="M47" s="14">
        <f>(((VLOOKUP(B47,Data!$E:$BM,MATCH(yoy!$M$1,Data!$E$1:$BM$1,),)-VLOOKUP(A47,Data!$E:$BM,MATCH(yoy!$M$1,Data!$E$1:$BM$1,),))/VLOOKUP(A47,Data!$E:$BM,MATCH(yoy!$M$1,Data!$E$1:$BM$1,),))+1)^12-1</f>
        <v>-6.3689983811374695E-3</v>
      </c>
      <c r="N47" s="14">
        <f>(((VLOOKUP(B47,Data!$E:$BM,MATCH(yoy!$N$1,Data!$E$1:$BM$1,),)-VLOOKUP(A47,Data!$E:$BM,MATCH(yoy!$N$1,Data!$E$1:$BM$1,),))/VLOOKUP(A47,Data!$E:$BM,MATCH(yoy!$N$1,Data!$E$1:$BM$1,),))+1)^12-1</f>
        <v>4.945318370921159E-3</v>
      </c>
      <c r="O47" s="14">
        <f>(((VLOOKUP(B47,Data!$E:$BM,MATCH(yoy!$O$1,Data!$E$1:$BM$1,),)-VLOOKUP(A47,Data!$E:$BM,MATCH(yoy!$O$1,Data!$E$1:$BM$1,),))/VLOOKUP(A47,Data!$E:$BM,MATCH(yoy!$O$1,Data!$E$1:$BM$1,),))+1)^12-1</f>
        <v>7.5310943616746062E-2</v>
      </c>
      <c r="P47" s="14">
        <f>(((VLOOKUP(B47,Data!$E:$BM,MATCH(yoy!$P$1,Data!$E$1:$BM$1,),)-VLOOKUP(A47,Data!$E:$BM,MATCH(yoy!$P$1,Data!$E$1:$BM$1,),))/VLOOKUP(A47,Data!$E:$BM,MATCH(yoy!$P$1,Data!$E$1:$BM$1,),))+1)^12-1</f>
        <v>5.3375929315461645E-2</v>
      </c>
      <c r="Q47" s="14">
        <f>(((VLOOKUP(B47,Data!$E:$BM,MATCH(yoy!$Q$1,Data!$E$1:$BM$1,),)-VLOOKUP(A47,Data!$E:$BM,MATCH(yoy!$Q$1,Data!$E$1:$BM$1,),))/VLOOKUP(A47,Data!$E:$BM,MATCH(yoy!$Q$1,Data!$E$1:$BM$1,),))+1)^12-1</f>
        <v>3.5113301983948908E-2</v>
      </c>
      <c r="R47" s="14">
        <f>(((VLOOKUP(B47,Data!$E:$BM,MATCH(yoy!$R$1,Data!$E$1:$BM$1,),)-VLOOKUP(A47,Data!$E:$BM,MATCH(yoy!$R$1,Data!$E$1:$BM$1,),))/VLOOKUP(A47,Data!$E:$BM,MATCH(yoy!$R$1,Data!$E$1:$BM$1,),))+1)^12-1</f>
        <v>6.3577441745944041E-2</v>
      </c>
      <c r="S47" s="14">
        <f>(((VLOOKUP(B47,Data!$E:$BM,MATCH(yoy!$S$1,Data!$E$1:$BM$1,),)-VLOOKUP(A47,Data!$E:$BM,MATCH(yoy!$S$1,Data!$E$1:$BM$1,),))/VLOOKUP(A47,Data!$E:$BM,MATCH(yoy!$S$1,Data!$E$1:$BM$1,),))+1)^12-1</f>
        <v>7.8738909816916447E-2</v>
      </c>
      <c r="T47" s="14">
        <f>(((VLOOKUP(B47,Data!$E:$BM,MATCH(yoy!$T$1,Data!$E$1:$BM$1,),)-VLOOKUP(A47,Data!$E:$BM,MATCH(yoy!$T$1,Data!$E$1:$BM$1,),))/VLOOKUP(A47,Data!$E:$BM,MATCH(yoy!$T$1,Data!$E$1:$BM$1,),))+1)^12-1</f>
        <v>0.10793459469793154</v>
      </c>
      <c r="U47" s="14">
        <f>(((VLOOKUP(B47,Data!$E:$BM,MATCH(yoy!$U$1,Data!$E$1:$BM$1,),)-VLOOKUP(A47,Data!$E:$BM,MATCH(yoy!$U$1,Data!$E$1:$BM$1,),))/VLOOKUP(A47,Data!$E:$BM,MATCH(yoy!$U$1,Data!$E$1:$BM$1,),))+1)^12-1</f>
        <v>8.4651079419538311E-2</v>
      </c>
      <c r="V47" s="14">
        <f>(((VLOOKUP(B47,Data!$E:$BM,MATCH(yoy!$V$1,Data!$E$1:$BM$1,),)-VLOOKUP(A47,Data!$E:$BM,MATCH(yoy!$V$1,Data!$E$1:$BM$1,),))/VLOOKUP(A47,Data!$E:$BM,MATCH(yoy!$V$1,Data!$E$1:$BM$1,),))+1)^12-1</f>
        <v>3.848398537348463E-2</v>
      </c>
      <c r="W47" s="14">
        <f>(((VLOOKUP(B47,Data!$E:$BM,MATCH(yoy!$W$1,Data!$E$1:$BM$1,),)-VLOOKUP(A47,Data!$E:$BM,MATCH(yoy!$W$1,Data!$E$1:$BM$1,),))/VLOOKUP(A47,Data!$E:$BM,MATCH(yoy!$W$1,Data!$E$1:$BM$1,),))+1)^12-1</f>
        <v>0.29631204998869398</v>
      </c>
      <c r="X47" s="14">
        <f>(((VLOOKUP(B47,Data!$E:$BM,MATCH(yoy!$X$1,Data!$E$1:$BM$1,),)-VLOOKUP(A47,Data!$E:$BM,MATCH(yoy!$X$1,Data!$E$1:$BM$1,),))/VLOOKUP(A47,Data!$E:$BM,MATCH(yoy!$X$1,Data!$E$1:$BM$1,),))+1)^12-1</f>
        <v>0.10005143575735098</v>
      </c>
      <c r="Y47" s="14">
        <f>(((VLOOKUP(B47,Data!$E:$BM,MATCH(yoy!$Y$1,Data!$E$1:$BM$1,),)-VLOOKUP(A47,Data!$E:$BM,MATCH(yoy!$Y$1,Data!$E$1:$BM$1,),))/VLOOKUP(A47,Data!$E:$BM,MATCH(yoy!$Y$1,Data!$E$1:$BM$1,),))+1)^12-1</f>
        <v>9.681098582063008E-2</v>
      </c>
      <c r="Z47" s="14">
        <f>(((VLOOKUP(B47,Data!$E:$BM,MATCH(yoy!$Z$1,Data!$E$1:$BM$1,),)-VLOOKUP(A47,Data!$E:$BM,MATCH(yoy!$Z$1,Data!$E$1:$BM$1,),))/VLOOKUP(A47,Data!$E:$BM,MATCH(yoy!$Z$1,Data!$E$1:$BM$1,),))+1)^12-1</f>
        <v>-1.304238099103372E-2</v>
      </c>
      <c r="AA47" s="14">
        <f>(((VLOOKUP(B47,Data!$E:$BM,MATCH(yoy!$AA$1,Data!$E$1:$BM$1,),)-VLOOKUP(A47,Data!$E:$BM,MATCH(yoy!$AA$1,Data!$E$1:$BM$1,),))/VLOOKUP(A47,Data!$E:$BM,MATCH(yoy!$AA$1,Data!$E$1:$BM$1,),))+1)^12-1</f>
        <v>6.7630521151477163E-2</v>
      </c>
    </row>
    <row r="48" spans="1:27" s="78" customFormat="1" x14ac:dyDescent="0.2">
      <c r="A48" s="20">
        <f t="shared" si="3"/>
        <v>43282</v>
      </c>
      <c r="B48" s="12">
        <v>43313</v>
      </c>
      <c r="C48" s="14">
        <f>(((VLOOKUP(B48,Data!$E:$BM,MATCH(yoy!$C$1,Data!$E$1:$BM$1,),)-VLOOKUP(A48,Data!$E:$BM,MATCH(yoy!$C$1,Data!$E$1:$BM$1,),))/VLOOKUP(A48,Data!$E:$BM,MATCH(yoy!$C$1,Data!$E$1:$BM$1,),))+1)^12-1</f>
        <v>5.1686622582133079E-2</v>
      </c>
      <c r="D48" s="14">
        <f>(((VLOOKUP(B48,Data!$E:$BM,MATCH(yoy!$D$1,Data!$E$1:$BM$1,),)-VLOOKUP(A48,Data!$E:$BM,MATCH(yoy!$D$1,Data!$E$1:$BM$1,),))/VLOOKUP(A48,Data!$E:$BM,MATCH(yoy!$D$1,Data!$E$1:$BM$1,),))+1)^12-1</f>
        <v>3.7946035400832523E-2</v>
      </c>
      <c r="E48" s="14">
        <f>(((VLOOKUP(B48,Data!$E:$BM,MATCH(yoy!$E$1,Data!$E$1:$BM$1,),)-VLOOKUP(A48,Data!$E:$BM,MATCH(yoy!$E$1,Data!$E$1:$BM$1,),))/VLOOKUP(A48,Data!$E:$BM,MATCH(yoy!$E$1,Data!$E$1:$BM$1,),))+1)^12-1</f>
        <v>9.7264822260388906E-2</v>
      </c>
      <c r="F48" s="14">
        <f>(((VLOOKUP(B48,Data!$E:$BM,MATCH(yoy!$F$1,Data!$E$1:$BM$1,),)-VLOOKUP(A48,Data!$E:$BM,MATCH(yoy!$F$1,Data!$E$1:$BM$1,),))/VLOOKUP(A48,Data!$E:$BM,MATCH(yoy!$F$1,Data!$E$1:$BM$1,),))+1)^12-1</f>
        <v>-8.6787056519377348E-4</v>
      </c>
      <c r="G48" s="14">
        <f>(((VLOOKUP(B48,Data!$E:$BM,MATCH(yoy!$G$1,Data!$E$1:$BM$1,),)-VLOOKUP(A48,Data!$E:$BM,MATCH(yoy!$G$1,Data!$E$1:$BM$1,),))/VLOOKUP(A48,Data!$E:$BM,MATCH(yoy!$G$1,Data!$E$1:$BM$1,),))+1)^12-1</f>
        <v>2.0827748136596602E-2</v>
      </c>
      <c r="H48" s="14">
        <f>(((VLOOKUP(B48,Data!$E:$BM,MATCH(yoy!$H$1,Data!$E$1:$BM$1,),)-VLOOKUP(A48,Data!$E:$BM,MATCH(yoy!$H$1,Data!$E$1:$BM$1,),))/VLOOKUP(A48,Data!$E:$BM,MATCH(yoy!$H$1,Data!$E$1:$BM$1,),))+1)^12-1</f>
        <v>8.4402404833114897E-3</v>
      </c>
      <c r="I48" s="14">
        <f>(((VLOOKUP(B48,Data!$E:$BM,MATCH(yoy!$I$1,Data!$E$1:$BM$1,),)-VLOOKUP(A48,Data!$E:$BM,MATCH(yoy!$I$1,Data!$E$1:$BM$1,),))/VLOOKUP(A48,Data!$E:$BM,MATCH(yoy!$I$1,Data!$E$1:$BM$1,),))+1)^12-1</f>
        <v>4.6664789751981628E-2</v>
      </c>
      <c r="J48" s="14">
        <f>(((VLOOKUP(B48,Data!$E:$BM,MATCH(yoy!$J$1,Data!$E$1:$BM$1,),)-VLOOKUP(A48,Data!$E:$BM,MATCH(yoy!$J$1,Data!$E$1:$BM$1,),))/VLOOKUP(A48,Data!$E:$BM,MATCH(yoy!$J$1,Data!$E$1:$BM$1,),))+1)^12-1</f>
        <v>1.5218565619295576E-2</v>
      </c>
      <c r="K48" s="14">
        <f>(((VLOOKUP(B48,Data!$E:$BM,MATCH(yoy!$K$1,Data!$E$1:$BM$1,),)-VLOOKUP(A48,Data!$E:$BM,MATCH(yoy!$K$1,Data!$E$1:$BM$1,),))/VLOOKUP(A48,Data!$E:$BM,MATCH(yoy!$K$1,Data!$E$1:$BM$1,),))+1)^12-1</f>
        <v>8.2944078282909395E-3</v>
      </c>
      <c r="L48" s="14">
        <f>(((VLOOKUP(B48,Data!$E:$BM,MATCH(yoy!$L$1,Data!$E$1:$BM$1,),)-VLOOKUP(A48,Data!$E:$BM,MATCH(yoy!$L$1,Data!$E$1:$BM$1,),))/VLOOKUP(A48,Data!$E:$BM,MATCH(yoy!$L$1,Data!$E$1:$BM$1,),))+1)^12-1</f>
        <v>8.8320602522846237E-2</v>
      </c>
      <c r="M48" s="14">
        <f>(((VLOOKUP(B48,Data!$E:$BM,MATCH(yoy!$M$1,Data!$E$1:$BM$1,),)-VLOOKUP(A48,Data!$E:$BM,MATCH(yoy!$M$1,Data!$E$1:$BM$1,),))/VLOOKUP(A48,Data!$E:$BM,MATCH(yoy!$M$1,Data!$E$1:$BM$1,),))+1)^12-1</f>
        <v>2.4402930847768234E-2</v>
      </c>
      <c r="N48" s="14">
        <f>(((VLOOKUP(B48,Data!$E:$BM,MATCH(yoy!$N$1,Data!$E$1:$BM$1,),)-VLOOKUP(A48,Data!$E:$BM,MATCH(yoy!$N$1,Data!$E$1:$BM$1,),))/VLOOKUP(A48,Data!$E:$BM,MATCH(yoy!$N$1,Data!$E$1:$BM$1,),))+1)^12-1</f>
        <v>8.7755396114310269E-2</v>
      </c>
      <c r="O48" s="14">
        <f>(((VLOOKUP(B48,Data!$E:$BM,MATCH(yoy!$O$1,Data!$E$1:$BM$1,),)-VLOOKUP(A48,Data!$E:$BM,MATCH(yoy!$O$1,Data!$E$1:$BM$1,),))/VLOOKUP(A48,Data!$E:$BM,MATCH(yoy!$O$1,Data!$E$1:$BM$1,),))+1)^12-1</f>
        <v>0.11609474306149514</v>
      </c>
      <c r="P48" s="14">
        <f>(((VLOOKUP(B48,Data!$E:$BM,MATCH(yoy!$P$1,Data!$E$1:$BM$1,),)-VLOOKUP(A48,Data!$E:$BM,MATCH(yoy!$P$1,Data!$E$1:$BM$1,),))/VLOOKUP(A48,Data!$E:$BM,MATCH(yoy!$P$1,Data!$E$1:$BM$1,),))+1)^12-1</f>
        <v>7.3934257219750332E-2</v>
      </c>
      <c r="Q48" s="14">
        <f>(((VLOOKUP(B48,Data!$E:$BM,MATCH(yoy!$Q$1,Data!$E$1:$BM$1,),)-VLOOKUP(A48,Data!$E:$BM,MATCH(yoy!$Q$1,Data!$E$1:$BM$1,),))/VLOOKUP(A48,Data!$E:$BM,MATCH(yoy!$Q$1,Data!$E$1:$BM$1,),))+1)^12-1</f>
        <v>7.3930547215270925E-2</v>
      </c>
      <c r="R48" s="14">
        <f>(((VLOOKUP(B48,Data!$E:$BM,MATCH(yoy!$R$1,Data!$E$1:$BM$1,),)-VLOOKUP(A48,Data!$E:$BM,MATCH(yoy!$R$1,Data!$E$1:$BM$1,),))/VLOOKUP(A48,Data!$E:$BM,MATCH(yoy!$R$1,Data!$E$1:$BM$1,),))+1)^12-1</f>
        <v>4.6649930424516262E-2</v>
      </c>
      <c r="S48" s="14">
        <f>(((VLOOKUP(B48,Data!$E:$BM,MATCH(yoy!$S$1,Data!$E$1:$BM$1,),)-VLOOKUP(A48,Data!$E:$BM,MATCH(yoy!$S$1,Data!$E$1:$BM$1,),))/VLOOKUP(A48,Data!$E:$BM,MATCH(yoy!$S$1,Data!$E$1:$BM$1,),))+1)^12-1</f>
        <v>3.3750550655563316E-2</v>
      </c>
      <c r="T48" s="14">
        <f>(((VLOOKUP(B48,Data!$E:$BM,MATCH(yoy!$T$1,Data!$E$1:$BM$1,),)-VLOOKUP(A48,Data!$E:$BM,MATCH(yoy!$T$1,Data!$E$1:$BM$1,),))/VLOOKUP(A48,Data!$E:$BM,MATCH(yoy!$T$1,Data!$E$1:$BM$1,),))+1)^12-1</f>
        <v>9.257103425315516E-2</v>
      </c>
      <c r="U48" s="14">
        <f>(((VLOOKUP(B48,Data!$E:$BM,MATCH(yoy!$U$1,Data!$E$1:$BM$1,),)-VLOOKUP(A48,Data!$E:$BM,MATCH(yoy!$U$1,Data!$E$1:$BM$1,),))/VLOOKUP(A48,Data!$E:$BM,MATCH(yoy!$U$1,Data!$E$1:$BM$1,),))+1)^12-1</f>
        <v>9.6160674871265117E-2</v>
      </c>
      <c r="V48" s="14">
        <f>(((VLOOKUP(B48,Data!$E:$BM,MATCH(yoy!$V$1,Data!$E$1:$BM$1,),)-VLOOKUP(A48,Data!$E:$BM,MATCH(yoy!$V$1,Data!$E$1:$BM$1,),))/VLOOKUP(A48,Data!$E:$BM,MATCH(yoy!$V$1,Data!$E$1:$BM$1,),))+1)^12-1</f>
        <v>6.5170974756828315E-2</v>
      </c>
      <c r="W48" s="14">
        <f>(((VLOOKUP(B48,Data!$E:$BM,MATCH(yoy!$W$1,Data!$E$1:$BM$1,),)-VLOOKUP(A48,Data!$E:$BM,MATCH(yoy!$W$1,Data!$E$1:$BM$1,),))/VLOOKUP(A48,Data!$E:$BM,MATCH(yoy!$W$1,Data!$E$1:$BM$1,),))+1)^12-1</f>
        <v>0.2533716640121495</v>
      </c>
      <c r="X48" s="14">
        <f>(((VLOOKUP(B48,Data!$E:$BM,MATCH(yoy!$X$1,Data!$E$1:$BM$1,),)-VLOOKUP(A48,Data!$E:$BM,MATCH(yoy!$X$1,Data!$E$1:$BM$1,),))/VLOOKUP(A48,Data!$E:$BM,MATCH(yoy!$X$1,Data!$E$1:$BM$1,),))+1)^12-1</f>
        <v>0.15409965179933938</v>
      </c>
      <c r="Y48" s="14">
        <f>(((VLOOKUP(B48,Data!$E:$BM,MATCH(yoy!$Y$1,Data!$E$1:$BM$1,),)-VLOOKUP(A48,Data!$E:$BM,MATCH(yoy!$Y$1,Data!$E$1:$BM$1,),))/VLOOKUP(A48,Data!$E:$BM,MATCH(yoy!$Y$1,Data!$E$1:$BM$1,),))+1)^12-1</f>
        <v>0.10585012690033002</v>
      </c>
      <c r="Z48" s="14">
        <f>(((VLOOKUP(B48,Data!$E:$BM,MATCH(yoy!$Z$1,Data!$E$1:$BM$1,),)-VLOOKUP(A48,Data!$E:$BM,MATCH(yoy!$Z$1,Data!$E$1:$BM$1,),))/VLOOKUP(A48,Data!$E:$BM,MATCH(yoy!$Z$1,Data!$E$1:$BM$1,),))+1)^12-1</f>
        <v>6.9568502637821883E-2</v>
      </c>
      <c r="AA48" s="14">
        <f>(((VLOOKUP(B48,Data!$E:$BM,MATCH(yoy!$AA$1,Data!$E$1:$BM$1,),)-VLOOKUP(A48,Data!$E:$BM,MATCH(yoy!$AA$1,Data!$E$1:$BM$1,),))/VLOOKUP(A48,Data!$E:$BM,MATCH(yoy!$AA$1,Data!$E$1:$BM$1,),))+1)^12-1</f>
        <v>8.3444526526216922E-2</v>
      </c>
    </row>
    <row r="49" spans="1:27" s="78" customFormat="1" x14ac:dyDescent="0.2">
      <c r="A49" s="20">
        <f t="shared" si="3"/>
        <v>43313</v>
      </c>
      <c r="B49" s="12">
        <v>43344</v>
      </c>
      <c r="C49" s="14">
        <f>(((VLOOKUP(B49,Data!$E:$BM,MATCH(yoy!$C$1,Data!$E$1:$BM$1,),)-VLOOKUP(A49,Data!$E:$BM,MATCH(yoy!$C$1,Data!$E$1:$BM$1,),))/VLOOKUP(A49,Data!$E:$BM,MATCH(yoy!$C$1,Data!$E$1:$BM$1,),))+1)^12-1</f>
        <v>6.2781675445710894E-2</v>
      </c>
      <c r="D49" s="14">
        <f>(((VLOOKUP(B49,Data!$E:$BM,MATCH(yoy!$D$1,Data!$E$1:$BM$1,),)-VLOOKUP(A49,Data!$E:$BM,MATCH(yoy!$D$1,Data!$E$1:$BM$1,),))/VLOOKUP(A49,Data!$E:$BM,MATCH(yoy!$D$1,Data!$E$1:$BM$1,),))+1)^12-1</f>
        <v>2.6955714681024423E-2</v>
      </c>
      <c r="E49" s="14">
        <f>(((VLOOKUP(B49,Data!$E:$BM,MATCH(yoy!$E$1,Data!$E$1:$BM$1,),)-VLOOKUP(A49,Data!$E:$BM,MATCH(yoy!$E$1,Data!$E$1:$BM$1,),))/VLOOKUP(A49,Data!$E:$BM,MATCH(yoy!$E$1,Data!$E$1:$BM$1,),))+1)^12-1</f>
        <v>8.978975706617276E-2</v>
      </c>
      <c r="F49" s="14">
        <f>(((VLOOKUP(B49,Data!$E:$BM,MATCH(yoy!$F$1,Data!$E$1:$BM$1,),)-VLOOKUP(A49,Data!$E:$BM,MATCH(yoy!$F$1,Data!$E$1:$BM$1,),))/VLOOKUP(A49,Data!$E:$BM,MATCH(yoy!$F$1,Data!$E$1:$BM$1,),))+1)^12-1</f>
        <v>1.2922250298381899E-2</v>
      </c>
      <c r="G49" s="14">
        <f>(((VLOOKUP(B49,Data!$E:$BM,MATCH(yoy!$G$1,Data!$E$1:$BM$1,),)-VLOOKUP(A49,Data!$E:$BM,MATCH(yoy!$G$1,Data!$E$1:$BM$1,),))/VLOOKUP(A49,Data!$E:$BM,MATCH(yoy!$G$1,Data!$E$1:$BM$1,),))+1)^12-1</f>
        <v>2.7194832304819894E-2</v>
      </c>
      <c r="H49" s="14">
        <f>(((VLOOKUP(B49,Data!$E:$BM,MATCH(yoy!$H$1,Data!$E$1:$BM$1,),)-VLOOKUP(A49,Data!$E:$BM,MATCH(yoy!$H$1,Data!$E$1:$BM$1,),))/VLOOKUP(A49,Data!$E:$BM,MATCH(yoy!$H$1,Data!$E$1:$BM$1,),))+1)^12-1</f>
        <v>4.5992897745811057E-2</v>
      </c>
      <c r="I49" s="14">
        <f>(((VLOOKUP(B49,Data!$E:$BM,MATCH(yoy!$I$1,Data!$E$1:$BM$1,),)-VLOOKUP(A49,Data!$E:$BM,MATCH(yoy!$I$1,Data!$E$1:$BM$1,),))/VLOOKUP(A49,Data!$E:$BM,MATCH(yoy!$I$1,Data!$E$1:$BM$1,),))+1)^12-1</f>
        <v>3.5369211683171198E-2</v>
      </c>
      <c r="J49" s="14">
        <f>(((VLOOKUP(B49,Data!$E:$BM,MATCH(yoy!$J$1,Data!$E$1:$BM$1,),)-VLOOKUP(A49,Data!$E:$BM,MATCH(yoy!$J$1,Data!$E$1:$BM$1,),))/VLOOKUP(A49,Data!$E:$BM,MATCH(yoy!$J$1,Data!$E$1:$BM$1,),))+1)^12-1</f>
        <v>6.4576975408730419E-2</v>
      </c>
      <c r="K49" s="14">
        <f>(((VLOOKUP(B49,Data!$E:$BM,MATCH(yoy!$K$1,Data!$E$1:$BM$1,),)-VLOOKUP(A49,Data!$E:$BM,MATCH(yoy!$K$1,Data!$E$1:$BM$1,),))/VLOOKUP(A49,Data!$E:$BM,MATCH(yoy!$K$1,Data!$E$1:$BM$1,),))+1)^12-1</f>
        <v>2.5211897696363339E-2</v>
      </c>
      <c r="L49" s="14">
        <f>(((VLOOKUP(B49,Data!$E:$BM,MATCH(yoy!$L$1,Data!$E$1:$BM$1,),)-VLOOKUP(A49,Data!$E:$BM,MATCH(yoy!$L$1,Data!$E$1:$BM$1,),))/VLOOKUP(A49,Data!$E:$BM,MATCH(yoy!$L$1,Data!$E$1:$BM$1,),))+1)^12-1</f>
        <v>0.14674730570657779</v>
      </c>
      <c r="M49" s="14">
        <f>(((VLOOKUP(B49,Data!$E:$BM,MATCH(yoy!$M$1,Data!$E$1:$BM$1,),)-VLOOKUP(A49,Data!$E:$BM,MATCH(yoy!$M$1,Data!$E$1:$BM$1,),))/VLOOKUP(A49,Data!$E:$BM,MATCH(yoy!$M$1,Data!$E$1:$BM$1,),))+1)^12-1</f>
        <v>7.4961792215713974E-2</v>
      </c>
      <c r="N49" s="14">
        <f>(((VLOOKUP(B49,Data!$E:$BM,MATCH(yoy!$N$1,Data!$E$1:$BM$1,),)-VLOOKUP(A49,Data!$E:$BM,MATCH(yoy!$N$1,Data!$E$1:$BM$1,),))/VLOOKUP(A49,Data!$E:$BM,MATCH(yoy!$N$1,Data!$E$1:$BM$1,),))+1)^12-1</f>
        <v>0.11944743894471133</v>
      </c>
      <c r="O49" s="14">
        <f>(((VLOOKUP(B49,Data!$E:$BM,MATCH(yoy!$O$1,Data!$E$1:$BM$1,),)-VLOOKUP(A49,Data!$E:$BM,MATCH(yoy!$O$1,Data!$E$1:$BM$1,),))/VLOOKUP(A49,Data!$E:$BM,MATCH(yoy!$O$1,Data!$E$1:$BM$1,),))+1)^12-1</f>
        <v>8.8581815387759111E-2</v>
      </c>
      <c r="P49" s="14">
        <f>(((VLOOKUP(B49,Data!$E:$BM,MATCH(yoy!$P$1,Data!$E$1:$BM$1,),)-VLOOKUP(A49,Data!$E:$BM,MATCH(yoy!$P$1,Data!$E$1:$BM$1,),))/VLOOKUP(A49,Data!$E:$BM,MATCH(yoy!$P$1,Data!$E$1:$BM$1,),))+1)^12-1</f>
        <v>6.819732834733383E-2</v>
      </c>
      <c r="Q49" s="14">
        <f>(((VLOOKUP(B49,Data!$E:$BM,MATCH(yoy!$Q$1,Data!$E$1:$BM$1,),)-VLOOKUP(A49,Data!$E:$BM,MATCH(yoy!$Q$1,Data!$E$1:$BM$1,),))/VLOOKUP(A49,Data!$E:$BM,MATCH(yoy!$Q$1,Data!$E$1:$BM$1,),))+1)^12-1</f>
        <v>4.5538050344645198E-2</v>
      </c>
      <c r="R49" s="14">
        <f>(((VLOOKUP(B49,Data!$E:$BM,MATCH(yoy!$R$1,Data!$E$1:$BM$1,),)-VLOOKUP(A49,Data!$E:$BM,MATCH(yoy!$R$1,Data!$E$1:$BM$1,),))/VLOOKUP(A49,Data!$E:$BM,MATCH(yoy!$R$1,Data!$E$1:$BM$1,),))+1)^12-1</f>
        <v>9.3782425339275388E-2</v>
      </c>
      <c r="S49" s="14">
        <f>(((VLOOKUP(B49,Data!$E:$BM,MATCH(yoy!$S$1,Data!$E$1:$BM$1,),)-VLOOKUP(A49,Data!$E:$BM,MATCH(yoy!$S$1,Data!$E$1:$BM$1,),))/VLOOKUP(A49,Data!$E:$BM,MATCH(yoy!$S$1,Data!$E$1:$BM$1,),))+1)^12-1</f>
        <v>6.7491043116179483E-2</v>
      </c>
      <c r="T49" s="14">
        <f>(((VLOOKUP(B49,Data!$E:$BM,MATCH(yoy!$T$1,Data!$E$1:$BM$1,),)-VLOOKUP(A49,Data!$E:$BM,MATCH(yoy!$T$1,Data!$E$1:$BM$1,),))/VLOOKUP(A49,Data!$E:$BM,MATCH(yoy!$T$1,Data!$E$1:$BM$1,),))+1)^12-1</f>
        <v>0.11179891401654585</v>
      </c>
      <c r="U49" s="14">
        <f>(((VLOOKUP(B49,Data!$E:$BM,MATCH(yoy!$U$1,Data!$E$1:$BM$1,),)-VLOOKUP(A49,Data!$E:$BM,MATCH(yoy!$U$1,Data!$E$1:$BM$1,),))/VLOOKUP(A49,Data!$E:$BM,MATCH(yoy!$U$1,Data!$E$1:$BM$1,),))+1)^12-1</f>
        <v>8.9636167597322292E-3</v>
      </c>
      <c r="V49" s="14">
        <f>(((VLOOKUP(B49,Data!$E:$BM,MATCH(yoy!$V$1,Data!$E$1:$BM$1,),)-VLOOKUP(A49,Data!$E:$BM,MATCH(yoy!$V$1,Data!$E$1:$BM$1,),))/VLOOKUP(A49,Data!$E:$BM,MATCH(yoy!$V$1,Data!$E$1:$BM$1,),))+1)^12-1</f>
        <v>5.8323724388992915E-2</v>
      </c>
      <c r="W49" s="14">
        <f>(((VLOOKUP(B49,Data!$E:$BM,MATCH(yoy!$W$1,Data!$E$1:$BM$1,),)-VLOOKUP(A49,Data!$E:$BM,MATCH(yoy!$W$1,Data!$E$1:$BM$1,),))/VLOOKUP(A49,Data!$E:$BM,MATCH(yoy!$W$1,Data!$E$1:$BM$1,),))+1)^12-1</f>
        <v>0.55016040016738099</v>
      </c>
      <c r="X49" s="14">
        <f>(((VLOOKUP(B49,Data!$E:$BM,MATCH(yoy!$X$1,Data!$E$1:$BM$1,),)-VLOOKUP(A49,Data!$E:$BM,MATCH(yoy!$X$1,Data!$E$1:$BM$1,),))/VLOOKUP(A49,Data!$E:$BM,MATCH(yoy!$X$1,Data!$E$1:$BM$1,),))+1)^12-1</f>
        <v>0.12517451943065838</v>
      </c>
      <c r="Y49" s="14">
        <f>(((VLOOKUP(B49,Data!$E:$BM,MATCH(yoy!$Y$1,Data!$E$1:$BM$1,),)-VLOOKUP(A49,Data!$E:$BM,MATCH(yoy!$Y$1,Data!$E$1:$BM$1,),))/VLOOKUP(A49,Data!$E:$BM,MATCH(yoy!$Y$1,Data!$E$1:$BM$1,),))+1)^12-1</f>
        <v>0.10284241539356764</v>
      </c>
      <c r="Z49" s="14">
        <f>(((VLOOKUP(B49,Data!$E:$BM,MATCH(yoy!$Z$1,Data!$E$1:$BM$1,),)-VLOOKUP(A49,Data!$E:$BM,MATCH(yoy!$Z$1,Data!$E$1:$BM$1,),))/VLOOKUP(A49,Data!$E:$BM,MATCH(yoy!$Z$1,Data!$E$1:$BM$1,),))+1)^12-1</f>
        <v>1.2919334547739414E-2</v>
      </c>
      <c r="AA49" s="14">
        <f>(((VLOOKUP(B49,Data!$E:$BM,MATCH(yoy!$AA$1,Data!$E$1:$BM$1,),)-VLOOKUP(A49,Data!$E:$BM,MATCH(yoy!$AA$1,Data!$E$1:$BM$1,),))/VLOOKUP(A49,Data!$E:$BM,MATCH(yoy!$AA$1,Data!$E$1:$BM$1,),))+1)^12-1</f>
        <v>0.10105799003498839</v>
      </c>
    </row>
    <row r="50" spans="1:27" s="78" customFormat="1" x14ac:dyDescent="0.2">
      <c r="A50" s="20">
        <f t="shared" si="3"/>
        <v>43344</v>
      </c>
      <c r="B50" s="12">
        <v>43374</v>
      </c>
      <c r="C50" s="14">
        <f>(((VLOOKUP(B50,Data!$E:$BM,MATCH(yoy!$C$1,Data!$E$1:$BM$1,),)-VLOOKUP(A50,Data!$E:$BM,MATCH(yoy!$C$1,Data!$E$1:$BM$1,),))/VLOOKUP(A50,Data!$E:$BM,MATCH(yoy!$C$1,Data!$E$1:$BM$1,),))+1)^12-1</f>
        <v>3.7499994795138658E-2</v>
      </c>
      <c r="D50" s="14">
        <f>(((VLOOKUP(B50,Data!$E:$BM,MATCH(yoy!$D$1,Data!$E$1:$BM$1,),)-VLOOKUP(A50,Data!$E:$BM,MATCH(yoy!$D$1,Data!$E$1:$BM$1,),))/VLOOKUP(A50,Data!$E:$BM,MATCH(yoy!$D$1,Data!$E$1:$BM$1,),))+1)^12-1</f>
        <v>5.8307415695286746E-3</v>
      </c>
      <c r="E50" s="14">
        <f>(((VLOOKUP(B50,Data!$E:$BM,MATCH(yoy!$E$1,Data!$E$1:$BM$1,),)-VLOOKUP(A50,Data!$E:$BM,MATCH(yoy!$E$1,Data!$E$1:$BM$1,),))/VLOOKUP(A50,Data!$E:$BM,MATCH(yoy!$E$1,Data!$E$1:$BM$1,),))+1)^12-1</f>
        <v>9.2353506929483409E-2</v>
      </c>
      <c r="F50" s="14">
        <f>(((VLOOKUP(B50,Data!$E:$BM,MATCH(yoy!$F$1,Data!$E$1:$BM$1,),)-VLOOKUP(A50,Data!$E:$BM,MATCH(yoy!$F$1,Data!$E$1:$BM$1,),))/VLOOKUP(A50,Data!$E:$BM,MATCH(yoy!$F$1,Data!$E$1:$BM$1,),))+1)^12-1</f>
        <v>2.930145997290734E-2</v>
      </c>
      <c r="G50" s="14">
        <f>(((VLOOKUP(B50,Data!$E:$BM,MATCH(yoy!$G$1,Data!$E$1:$BM$1,),)-VLOOKUP(A50,Data!$E:$BM,MATCH(yoy!$G$1,Data!$E$1:$BM$1,),))/VLOOKUP(A50,Data!$E:$BM,MATCH(yoy!$G$1,Data!$E$1:$BM$1,),))+1)^12-1</f>
        <v>2.1124168907153962E-2</v>
      </c>
      <c r="H50" s="14">
        <f>(((VLOOKUP(B50,Data!$E:$BM,MATCH(yoy!$H$1,Data!$E$1:$BM$1,),)-VLOOKUP(A50,Data!$E:$BM,MATCH(yoy!$H$1,Data!$E$1:$BM$1,),))/VLOOKUP(A50,Data!$E:$BM,MATCH(yoy!$H$1,Data!$E$1:$BM$1,),))+1)^12-1</f>
        <v>0.10995658986261336</v>
      </c>
      <c r="I50" s="14">
        <f>(((VLOOKUP(B50,Data!$E:$BM,MATCH(yoy!$I$1,Data!$E$1:$BM$1,),)-VLOOKUP(A50,Data!$E:$BM,MATCH(yoy!$I$1,Data!$E$1:$BM$1,),))/VLOOKUP(A50,Data!$E:$BM,MATCH(yoy!$I$1,Data!$E$1:$BM$1,),))+1)^12-1</f>
        <v>3.6045158855724457E-2</v>
      </c>
      <c r="J50" s="14">
        <f>(((VLOOKUP(B50,Data!$E:$BM,MATCH(yoy!$J$1,Data!$E$1:$BM$1,),)-VLOOKUP(A50,Data!$E:$BM,MATCH(yoy!$J$1,Data!$E$1:$BM$1,),))/VLOOKUP(A50,Data!$E:$BM,MATCH(yoy!$J$1,Data!$E$1:$BM$1,),))+1)^12-1</f>
        <v>6.5657480344909036E-2</v>
      </c>
      <c r="K50" s="14">
        <f>(((VLOOKUP(B50,Data!$E:$BM,MATCH(yoy!$K$1,Data!$E$1:$BM$1,),)-VLOOKUP(A50,Data!$E:$BM,MATCH(yoy!$K$1,Data!$E$1:$BM$1,),))/VLOOKUP(A50,Data!$E:$BM,MATCH(yoy!$K$1,Data!$E$1:$BM$1,),))+1)^12-1</f>
        <v>1.9165952175710377E-3</v>
      </c>
      <c r="L50" s="14">
        <f>(((VLOOKUP(B50,Data!$E:$BM,MATCH(yoy!$L$1,Data!$E$1:$BM$1,),)-VLOOKUP(A50,Data!$E:$BM,MATCH(yoy!$L$1,Data!$E$1:$BM$1,),))/VLOOKUP(A50,Data!$E:$BM,MATCH(yoy!$L$1,Data!$E$1:$BM$1,),))+1)^12-1</f>
        <v>9.3757833034096016E-2</v>
      </c>
      <c r="M50" s="14">
        <f>(((VLOOKUP(B50,Data!$E:$BM,MATCH(yoy!$M$1,Data!$E$1:$BM$1,),)-VLOOKUP(A50,Data!$E:$BM,MATCH(yoy!$M$1,Data!$E$1:$BM$1,),))/VLOOKUP(A50,Data!$E:$BM,MATCH(yoy!$M$1,Data!$E$1:$BM$1,),))+1)^12-1</f>
        <v>-2.6471260408991393E-2</v>
      </c>
      <c r="N50" s="14">
        <f>(((VLOOKUP(B50,Data!$E:$BM,MATCH(yoy!$N$1,Data!$E$1:$BM$1,),)-VLOOKUP(A50,Data!$E:$BM,MATCH(yoy!$N$1,Data!$E$1:$BM$1,),))/VLOOKUP(A50,Data!$E:$BM,MATCH(yoy!$N$1,Data!$E$1:$BM$1,),))+1)^12-1</f>
        <v>1.3600520387832882E-2</v>
      </c>
      <c r="O50" s="14">
        <f>(((VLOOKUP(B50,Data!$E:$BM,MATCH(yoy!$O$1,Data!$E$1:$BM$1,),)-VLOOKUP(A50,Data!$E:$BM,MATCH(yoy!$O$1,Data!$E$1:$BM$1,),))/VLOOKUP(A50,Data!$E:$BM,MATCH(yoy!$O$1,Data!$E$1:$BM$1,),))+1)^12-1</f>
        <v>7.6282949844612036E-2</v>
      </c>
      <c r="P50" s="14">
        <f>(((VLOOKUP(B50,Data!$E:$BM,MATCH(yoy!$P$1,Data!$E$1:$BM$1,),)-VLOOKUP(A50,Data!$E:$BM,MATCH(yoy!$P$1,Data!$E$1:$BM$1,),))/VLOOKUP(A50,Data!$E:$BM,MATCH(yoy!$P$1,Data!$E$1:$BM$1,),))+1)^12-1</f>
        <v>6.0027518387584466E-2</v>
      </c>
      <c r="Q50" s="14">
        <f>(((VLOOKUP(B50,Data!$E:$BM,MATCH(yoy!$Q$1,Data!$E$1:$BM$1,),)-VLOOKUP(A50,Data!$E:$BM,MATCH(yoy!$Q$1,Data!$E$1:$BM$1,),))/VLOOKUP(A50,Data!$E:$BM,MATCH(yoy!$Q$1,Data!$E$1:$BM$1,),))+1)^12-1</f>
        <v>1.29855234137215E-2</v>
      </c>
      <c r="R50" s="14">
        <f>(((VLOOKUP(B50,Data!$E:$BM,MATCH(yoy!$R$1,Data!$E$1:$BM$1,),)-VLOOKUP(A50,Data!$E:$BM,MATCH(yoy!$R$1,Data!$E$1:$BM$1,),))/VLOOKUP(A50,Data!$E:$BM,MATCH(yoy!$R$1,Data!$E$1:$BM$1,),))+1)^12-1</f>
        <v>0.17248185519091996</v>
      </c>
      <c r="S50" s="14">
        <f>(((VLOOKUP(B50,Data!$E:$BM,MATCH(yoy!$S$1,Data!$E$1:$BM$1,),)-VLOOKUP(A50,Data!$E:$BM,MATCH(yoy!$S$1,Data!$E$1:$BM$1,),))/VLOOKUP(A50,Data!$E:$BM,MATCH(yoy!$S$1,Data!$E$1:$BM$1,),))+1)^12-1</f>
        <v>7.6818323883099726E-2</v>
      </c>
      <c r="T50" s="14">
        <f>(((VLOOKUP(B50,Data!$E:$BM,MATCH(yoy!$T$1,Data!$E$1:$BM$1,),)-VLOOKUP(A50,Data!$E:$BM,MATCH(yoy!$T$1,Data!$E$1:$BM$1,),))/VLOOKUP(A50,Data!$E:$BM,MATCH(yoy!$T$1,Data!$E$1:$BM$1,),))+1)^12-1</f>
        <v>7.5802784227041675E-2</v>
      </c>
      <c r="U50" s="14">
        <f>(((VLOOKUP(B50,Data!$E:$BM,MATCH(yoy!$U$1,Data!$E$1:$BM$1,),)-VLOOKUP(A50,Data!$E:$BM,MATCH(yoy!$U$1,Data!$E$1:$BM$1,),))/VLOOKUP(A50,Data!$E:$BM,MATCH(yoy!$U$1,Data!$E$1:$BM$1,),))+1)^12-1</f>
        <v>-6.6632659791288074E-2</v>
      </c>
      <c r="V50" s="14">
        <f>(((VLOOKUP(B50,Data!$E:$BM,MATCH(yoy!$V$1,Data!$E$1:$BM$1,),)-VLOOKUP(A50,Data!$E:$BM,MATCH(yoy!$V$1,Data!$E$1:$BM$1,),))/VLOOKUP(A50,Data!$E:$BM,MATCH(yoy!$V$1,Data!$E$1:$BM$1,),))+1)^12-1</f>
        <v>7.7594664110959499E-2</v>
      </c>
      <c r="W50" s="14">
        <f>(((VLOOKUP(B50,Data!$E:$BM,MATCH(yoy!$W$1,Data!$E$1:$BM$1,),)-VLOOKUP(A50,Data!$E:$BM,MATCH(yoy!$W$1,Data!$E$1:$BM$1,),))/VLOOKUP(A50,Data!$E:$BM,MATCH(yoy!$W$1,Data!$E$1:$BM$1,),))+1)^12-1</f>
        <v>0.26473119364763575</v>
      </c>
      <c r="X50" s="14">
        <f>(((VLOOKUP(B50,Data!$E:$BM,MATCH(yoy!$X$1,Data!$E$1:$BM$1,),)-VLOOKUP(A50,Data!$E:$BM,MATCH(yoy!$X$1,Data!$E$1:$BM$1,),))/VLOOKUP(A50,Data!$E:$BM,MATCH(yoy!$X$1,Data!$E$1:$BM$1,),))+1)^12-1</f>
        <v>5.5300369353779022E-3</v>
      </c>
      <c r="Y50" s="14">
        <f>(((VLOOKUP(B50,Data!$E:$BM,MATCH(yoy!$Y$1,Data!$E$1:$BM$1,),)-VLOOKUP(A50,Data!$E:$BM,MATCH(yoy!$Y$1,Data!$E$1:$BM$1,),))/VLOOKUP(A50,Data!$E:$BM,MATCH(yoy!$Y$1,Data!$E$1:$BM$1,),))+1)^12-1</f>
        <v>4.4780007037801495E-2</v>
      </c>
      <c r="Z50" s="14">
        <f>(((VLOOKUP(B50,Data!$E:$BM,MATCH(yoy!$Z$1,Data!$E$1:$BM$1,),)-VLOOKUP(A50,Data!$E:$BM,MATCH(yoy!$Z$1,Data!$E$1:$BM$1,),))/VLOOKUP(A50,Data!$E:$BM,MATCH(yoy!$Z$1,Data!$E$1:$BM$1,),))+1)^12-1</f>
        <v>1.9676051080375734E-2</v>
      </c>
      <c r="AA50" s="14">
        <f>(((VLOOKUP(B50,Data!$E:$BM,MATCH(yoy!$AA$1,Data!$E$1:$BM$1,),)-VLOOKUP(A50,Data!$E:$BM,MATCH(yoy!$AA$1,Data!$E$1:$BM$1,),))/VLOOKUP(A50,Data!$E:$BM,MATCH(yoy!$AA$1,Data!$E$1:$BM$1,),))+1)^12-1</f>
        <v>0.11060064218344867</v>
      </c>
    </row>
    <row r="51" spans="1:27" s="78" customFormat="1" x14ac:dyDescent="0.2">
      <c r="A51" s="20">
        <f t="shared" si="3"/>
        <v>43374</v>
      </c>
      <c r="B51" s="12">
        <v>43405</v>
      </c>
      <c r="C51" s="14">
        <f>(((VLOOKUP(B51,Data!$E:$BM,MATCH(yoy!$C$1,Data!$E$1:$BM$1,),)-VLOOKUP(A51,Data!$E:$BM,MATCH(yoy!$C$1,Data!$E$1:$BM$1,),))/VLOOKUP(A51,Data!$E:$BM,MATCH(yoy!$C$1,Data!$E$1:$BM$1,),))+1)^12-1</f>
        <v>3.5418313623105657E-3</v>
      </c>
      <c r="D51" s="14">
        <f>(((VLOOKUP(B51,Data!$E:$BM,MATCH(yoy!$D$1,Data!$E$1:$BM$1,),)-VLOOKUP(A51,Data!$E:$BM,MATCH(yoy!$D$1,Data!$E$1:$BM$1,),))/VLOOKUP(A51,Data!$E:$BM,MATCH(yoy!$D$1,Data!$E$1:$BM$1,),))+1)^12-1</f>
        <v>8.4621461882159466E-3</v>
      </c>
      <c r="E51" s="14">
        <f>(((VLOOKUP(B51,Data!$E:$BM,MATCH(yoy!$E$1,Data!$E$1:$BM$1,),)-VLOOKUP(A51,Data!$E:$BM,MATCH(yoy!$E$1,Data!$E$1:$BM$1,),))/VLOOKUP(A51,Data!$E:$BM,MATCH(yoy!$E$1,Data!$E$1:$BM$1,),))+1)^12-1</f>
        <v>9.3187641194452553E-2</v>
      </c>
      <c r="F51" s="14">
        <f>(((VLOOKUP(B51,Data!$E:$BM,MATCH(yoy!$F$1,Data!$E$1:$BM$1,),)-VLOOKUP(A51,Data!$E:$BM,MATCH(yoy!$F$1,Data!$E$1:$BM$1,),))/VLOOKUP(A51,Data!$E:$BM,MATCH(yoy!$F$1,Data!$E$1:$BM$1,),))+1)^12-1</f>
        <v>6.5290567936690191E-2</v>
      </c>
      <c r="G51" s="14">
        <f>(((VLOOKUP(B51,Data!$E:$BM,MATCH(yoy!$G$1,Data!$E$1:$BM$1,),)-VLOOKUP(A51,Data!$E:$BM,MATCH(yoy!$G$1,Data!$E$1:$BM$1,),))/VLOOKUP(A51,Data!$E:$BM,MATCH(yoy!$G$1,Data!$E$1:$BM$1,),))+1)^12-1</f>
        <v>2.9110786727968296E-3</v>
      </c>
      <c r="H51" s="14">
        <f>(((VLOOKUP(B51,Data!$E:$BM,MATCH(yoy!$H$1,Data!$E$1:$BM$1,),)-VLOOKUP(A51,Data!$E:$BM,MATCH(yoy!$H$1,Data!$E$1:$BM$1,),))/VLOOKUP(A51,Data!$E:$BM,MATCH(yoy!$H$1,Data!$E$1:$BM$1,),))+1)^12-1</f>
        <v>5.1292840571731224E-2</v>
      </c>
      <c r="I51" s="14">
        <f>(((VLOOKUP(B51,Data!$E:$BM,MATCH(yoy!$I$1,Data!$E$1:$BM$1,),)-VLOOKUP(A51,Data!$E:$BM,MATCH(yoy!$I$1,Data!$E$1:$BM$1,),))/VLOOKUP(A51,Data!$E:$BM,MATCH(yoy!$I$1,Data!$E$1:$BM$1,),))+1)^12-1</f>
        <v>4.5820725535332452E-2</v>
      </c>
      <c r="J51" s="14">
        <f>(((VLOOKUP(B51,Data!$E:$BM,MATCH(yoy!$J$1,Data!$E$1:$BM$1,),)-VLOOKUP(A51,Data!$E:$BM,MATCH(yoy!$J$1,Data!$E$1:$BM$1,),))/VLOOKUP(A51,Data!$E:$BM,MATCH(yoy!$J$1,Data!$E$1:$BM$1,),))+1)^12-1</f>
        <v>5.8664272092866732E-2</v>
      </c>
      <c r="K51" s="14">
        <f>(((VLOOKUP(B51,Data!$E:$BM,MATCH(yoy!$K$1,Data!$E$1:$BM$1,),)-VLOOKUP(A51,Data!$E:$BM,MATCH(yoy!$K$1,Data!$E$1:$BM$1,),))/VLOOKUP(A51,Data!$E:$BM,MATCH(yoy!$K$1,Data!$E$1:$BM$1,),))+1)^12-1</f>
        <v>3.4896942280542298E-2</v>
      </c>
      <c r="L51" s="14">
        <f>(((VLOOKUP(B51,Data!$E:$BM,MATCH(yoy!$L$1,Data!$E$1:$BM$1,),)-VLOOKUP(A51,Data!$E:$BM,MATCH(yoy!$L$1,Data!$E$1:$BM$1,),))/VLOOKUP(A51,Data!$E:$BM,MATCH(yoy!$L$1,Data!$E$1:$BM$1,),))+1)^12-1</f>
        <v>5.0189078401135845E-2</v>
      </c>
      <c r="M51" s="14">
        <f>(((VLOOKUP(B51,Data!$E:$BM,MATCH(yoy!$M$1,Data!$E$1:$BM$1,),)-VLOOKUP(A51,Data!$E:$BM,MATCH(yoy!$M$1,Data!$E$1:$BM$1,),))/VLOOKUP(A51,Data!$E:$BM,MATCH(yoy!$M$1,Data!$E$1:$BM$1,),))+1)^12-1</f>
        <v>4.3682422469381921E-2</v>
      </c>
      <c r="N51" s="14">
        <f>(((VLOOKUP(B51,Data!$E:$BM,MATCH(yoy!$N$1,Data!$E$1:$BM$1,),)-VLOOKUP(A51,Data!$E:$BM,MATCH(yoy!$N$1,Data!$E$1:$BM$1,),))/VLOOKUP(A51,Data!$E:$BM,MATCH(yoy!$N$1,Data!$E$1:$BM$1,),))+1)^12-1</f>
        <v>6.9092680446561472E-2</v>
      </c>
      <c r="O51" s="14">
        <f>(((VLOOKUP(B51,Data!$E:$BM,MATCH(yoy!$O$1,Data!$E$1:$BM$1,),)-VLOOKUP(A51,Data!$E:$BM,MATCH(yoy!$O$1,Data!$E$1:$BM$1,),))/VLOOKUP(A51,Data!$E:$BM,MATCH(yoy!$O$1,Data!$E$1:$BM$1,),))+1)^12-1</f>
        <v>0.11546967866047186</v>
      </c>
      <c r="P51" s="14">
        <f>(((VLOOKUP(B51,Data!$E:$BM,MATCH(yoy!$P$1,Data!$E$1:$BM$1,),)-VLOOKUP(A51,Data!$E:$BM,MATCH(yoy!$P$1,Data!$E$1:$BM$1,),))/VLOOKUP(A51,Data!$E:$BM,MATCH(yoy!$P$1,Data!$E$1:$BM$1,),))+1)^12-1</f>
        <v>8.3559320924227798E-2</v>
      </c>
      <c r="Q51" s="14">
        <f>(((VLOOKUP(B51,Data!$E:$BM,MATCH(yoy!$Q$1,Data!$E$1:$BM$1,),)-VLOOKUP(A51,Data!$E:$BM,MATCH(yoy!$Q$1,Data!$E$1:$BM$1,),))/VLOOKUP(A51,Data!$E:$BM,MATCH(yoy!$Q$1,Data!$E$1:$BM$1,),))+1)^12-1</f>
        <v>1.6744416619327351E-2</v>
      </c>
      <c r="R51" s="14">
        <f>(((VLOOKUP(B51,Data!$E:$BM,MATCH(yoy!$R$1,Data!$E$1:$BM$1,),)-VLOOKUP(A51,Data!$E:$BM,MATCH(yoy!$R$1,Data!$E$1:$BM$1,),))/VLOOKUP(A51,Data!$E:$BM,MATCH(yoy!$R$1,Data!$E$1:$BM$1,),))+1)^12-1</f>
        <v>8.3908002462861342E-2</v>
      </c>
      <c r="S51" s="14">
        <f>(((VLOOKUP(B51,Data!$E:$BM,MATCH(yoy!$S$1,Data!$E$1:$BM$1,),)-VLOOKUP(A51,Data!$E:$BM,MATCH(yoy!$S$1,Data!$E$1:$BM$1,),))/VLOOKUP(A51,Data!$E:$BM,MATCH(yoy!$S$1,Data!$E$1:$BM$1,),))+1)^12-1</f>
        <v>7.6878024232097664E-2</v>
      </c>
      <c r="T51" s="14">
        <f>(((VLOOKUP(B51,Data!$E:$BM,MATCH(yoy!$T$1,Data!$E$1:$BM$1,),)-VLOOKUP(A51,Data!$E:$BM,MATCH(yoy!$T$1,Data!$E$1:$BM$1,),))/VLOOKUP(A51,Data!$E:$BM,MATCH(yoy!$T$1,Data!$E$1:$BM$1,),))+1)^12-1</f>
        <v>0.1282631870282287</v>
      </c>
      <c r="U51" s="14">
        <f>(((VLOOKUP(B51,Data!$E:$BM,MATCH(yoy!$U$1,Data!$E$1:$BM$1,),)-VLOOKUP(A51,Data!$E:$BM,MATCH(yoy!$U$1,Data!$E$1:$BM$1,),))/VLOOKUP(A51,Data!$E:$BM,MATCH(yoy!$U$1,Data!$E$1:$BM$1,),))+1)^12-1</f>
        <v>1.7272879997207724E-2</v>
      </c>
      <c r="V51" s="14">
        <f>(((VLOOKUP(B51,Data!$E:$BM,MATCH(yoy!$V$1,Data!$E$1:$BM$1,),)-VLOOKUP(A51,Data!$E:$BM,MATCH(yoy!$V$1,Data!$E$1:$BM$1,),))/VLOOKUP(A51,Data!$E:$BM,MATCH(yoy!$V$1,Data!$E$1:$BM$1,),))+1)^12-1</f>
        <v>0.12569433297980326</v>
      </c>
      <c r="W51" s="14">
        <f>(((VLOOKUP(B51,Data!$E:$BM,MATCH(yoy!$W$1,Data!$E$1:$BM$1,),)-VLOOKUP(A51,Data!$E:$BM,MATCH(yoy!$W$1,Data!$E$1:$BM$1,),))/VLOOKUP(A51,Data!$E:$BM,MATCH(yoy!$W$1,Data!$E$1:$BM$1,),))+1)^12-1</f>
        <v>-0.31900277008701006</v>
      </c>
      <c r="X51" s="14">
        <f>(((VLOOKUP(B51,Data!$E:$BM,MATCH(yoy!$X$1,Data!$E$1:$BM$1,),)-VLOOKUP(A51,Data!$E:$BM,MATCH(yoy!$X$1,Data!$E$1:$BM$1,),))/VLOOKUP(A51,Data!$E:$BM,MATCH(yoy!$X$1,Data!$E$1:$BM$1,),))+1)^12-1</f>
        <v>-2.0425888908294998E-2</v>
      </c>
      <c r="Y51" s="14">
        <f>(((VLOOKUP(B51,Data!$E:$BM,MATCH(yoy!$Y$1,Data!$E$1:$BM$1,),)-VLOOKUP(A51,Data!$E:$BM,MATCH(yoy!$Y$1,Data!$E$1:$BM$1,),))/VLOOKUP(A51,Data!$E:$BM,MATCH(yoy!$Y$1,Data!$E$1:$BM$1,),))+1)^12-1</f>
        <v>3.3311791710887606E-2</v>
      </c>
      <c r="Z51" s="14">
        <f>(((VLOOKUP(B51,Data!$E:$BM,MATCH(yoy!$Z$1,Data!$E$1:$BM$1,),)-VLOOKUP(A51,Data!$E:$BM,MATCH(yoy!$Z$1,Data!$E$1:$BM$1,),))/VLOOKUP(A51,Data!$E:$BM,MATCH(yoy!$Z$1,Data!$E$1:$BM$1,),))+1)^12-1</f>
        <v>0.1452992817829053</v>
      </c>
      <c r="AA51" s="14">
        <f>(((VLOOKUP(B51,Data!$E:$BM,MATCH(yoy!$AA$1,Data!$E$1:$BM$1,),)-VLOOKUP(A51,Data!$E:$BM,MATCH(yoy!$AA$1,Data!$E$1:$BM$1,),))/VLOOKUP(A51,Data!$E:$BM,MATCH(yoy!$AA$1,Data!$E$1:$BM$1,),))+1)^12-1</f>
        <v>0.11484053435167629</v>
      </c>
    </row>
    <row r="52" spans="1:27" s="78" customFormat="1" x14ac:dyDescent="0.2">
      <c r="A52" s="20">
        <f t="shared" si="3"/>
        <v>43405</v>
      </c>
      <c r="B52" s="12">
        <v>43435</v>
      </c>
      <c r="C52" s="14">
        <f>(((VLOOKUP(B52,Data!$E:$BM,MATCH(yoy!$C$1,Data!$E$1:$BM$1,),)-VLOOKUP(A52,Data!$E:$BM,MATCH(yoy!$C$1,Data!$E$1:$BM$1,),))/VLOOKUP(A52,Data!$E:$BM,MATCH(yoy!$C$1,Data!$E$1:$BM$1,),))+1)^12-1</f>
        <v>5.8686669737113117E-2</v>
      </c>
      <c r="D52" s="14">
        <f>(((VLOOKUP(B52,Data!$E:$BM,MATCH(yoy!$D$1,Data!$E$1:$BM$1,),)-VLOOKUP(A52,Data!$E:$BM,MATCH(yoy!$D$1,Data!$E$1:$BM$1,),))/VLOOKUP(A52,Data!$E:$BM,MATCH(yoy!$D$1,Data!$E$1:$BM$1,),))+1)^12-1</f>
        <v>9.3315706392942177E-2</v>
      </c>
      <c r="E52" s="14">
        <f>(((VLOOKUP(B52,Data!$E:$BM,MATCH(yoy!$E$1,Data!$E$1:$BM$1,),)-VLOOKUP(A52,Data!$E:$BM,MATCH(yoy!$E$1,Data!$E$1:$BM$1,),))/VLOOKUP(A52,Data!$E:$BM,MATCH(yoy!$E$1,Data!$E$1:$BM$1,),))+1)^12-1</f>
        <v>9.7866885775168777E-2</v>
      </c>
      <c r="F52" s="14">
        <f>(((VLOOKUP(B52,Data!$E:$BM,MATCH(yoy!$F$1,Data!$E$1:$BM$1,),)-VLOOKUP(A52,Data!$E:$BM,MATCH(yoy!$F$1,Data!$E$1:$BM$1,),))/VLOOKUP(A52,Data!$E:$BM,MATCH(yoy!$F$1,Data!$E$1:$BM$1,),))+1)^12-1</f>
        <v>6.9692912478286129E-2</v>
      </c>
      <c r="G52" s="14">
        <f>(((VLOOKUP(B52,Data!$E:$BM,MATCH(yoy!$G$1,Data!$E$1:$BM$1,),)-VLOOKUP(A52,Data!$E:$BM,MATCH(yoy!$G$1,Data!$E$1:$BM$1,),))/VLOOKUP(A52,Data!$E:$BM,MATCH(yoy!$G$1,Data!$E$1:$BM$1,),))+1)^12-1</f>
        <v>1.3345939260773099E-2</v>
      </c>
      <c r="H52" s="14">
        <f>(((VLOOKUP(B52,Data!$E:$BM,MATCH(yoy!$H$1,Data!$E$1:$BM$1,),)-VLOOKUP(A52,Data!$E:$BM,MATCH(yoy!$H$1,Data!$E$1:$BM$1,),))/VLOOKUP(A52,Data!$E:$BM,MATCH(yoy!$H$1,Data!$E$1:$BM$1,),))+1)^12-1</f>
        <v>4.418193019409089E-2</v>
      </c>
      <c r="I52" s="14">
        <f>(((VLOOKUP(B52,Data!$E:$BM,MATCH(yoy!$I$1,Data!$E$1:$BM$1,),)-VLOOKUP(A52,Data!$E:$BM,MATCH(yoy!$I$1,Data!$E$1:$BM$1,),))/VLOOKUP(A52,Data!$E:$BM,MATCH(yoy!$I$1,Data!$E$1:$BM$1,),))+1)^12-1</f>
        <v>4.7051814288355809E-2</v>
      </c>
      <c r="J52" s="14">
        <f>(((VLOOKUP(B52,Data!$E:$BM,MATCH(yoy!$J$1,Data!$E$1:$BM$1,),)-VLOOKUP(A52,Data!$E:$BM,MATCH(yoy!$J$1,Data!$E$1:$BM$1,),))/VLOOKUP(A52,Data!$E:$BM,MATCH(yoy!$J$1,Data!$E$1:$BM$1,),))+1)^12-1</f>
        <v>7.6371722901033667E-2</v>
      </c>
      <c r="K52" s="14">
        <f>(((VLOOKUP(B52,Data!$E:$BM,MATCH(yoy!$K$1,Data!$E$1:$BM$1,),)-VLOOKUP(A52,Data!$E:$BM,MATCH(yoy!$K$1,Data!$E$1:$BM$1,),))/VLOOKUP(A52,Data!$E:$BM,MATCH(yoy!$K$1,Data!$E$1:$BM$1,),))+1)^12-1</f>
        <v>8.1265010324113041E-2</v>
      </c>
      <c r="L52" s="14">
        <f>(((VLOOKUP(B52,Data!$E:$BM,MATCH(yoy!$L$1,Data!$E$1:$BM$1,),)-VLOOKUP(A52,Data!$E:$BM,MATCH(yoy!$L$1,Data!$E$1:$BM$1,),))/VLOOKUP(A52,Data!$E:$BM,MATCH(yoy!$L$1,Data!$E$1:$BM$1,),))+1)^12-1</f>
        <v>0.16710840530806848</v>
      </c>
      <c r="M52" s="14">
        <f>(((VLOOKUP(B52,Data!$E:$BM,MATCH(yoy!$M$1,Data!$E$1:$BM$1,),)-VLOOKUP(A52,Data!$E:$BM,MATCH(yoy!$M$1,Data!$E$1:$BM$1,),))/VLOOKUP(A52,Data!$E:$BM,MATCH(yoy!$M$1,Data!$E$1:$BM$1,),))+1)^12-1</f>
        <v>3.942675980853716E-2</v>
      </c>
      <c r="N52" s="14">
        <f>(((VLOOKUP(B52,Data!$E:$BM,MATCH(yoy!$N$1,Data!$E$1:$BM$1,),)-VLOOKUP(A52,Data!$E:$BM,MATCH(yoy!$N$1,Data!$E$1:$BM$1,),))/VLOOKUP(A52,Data!$E:$BM,MATCH(yoy!$N$1,Data!$E$1:$BM$1,),))+1)^12-1</f>
        <v>1.2129390928973915E-2</v>
      </c>
      <c r="O52" s="14">
        <f>(((VLOOKUP(B52,Data!$E:$BM,MATCH(yoy!$O$1,Data!$E$1:$BM$1,),)-VLOOKUP(A52,Data!$E:$BM,MATCH(yoy!$O$1,Data!$E$1:$BM$1,),))/VLOOKUP(A52,Data!$E:$BM,MATCH(yoy!$O$1,Data!$E$1:$BM$1,),))+1)^12-1</f>
        <v>9.4642265228658484E-2</v>
      </c>
      <c r="P52" s="14">
        <f>(((VLOOKUP(B52,Data!$E:$BM,MATCH(yoy!$P$1,Data!$E$1:$BM$1,),)-VLOOKUP(A52,Data!$E:$BM,MATCH(yoy!$P$1,Data!$E$1:$BM$1,),))/VLOOKUP(A52,Data!$E:$BM,MATCH(yoy!$P$1,Data!$E$1:$BM$1,),))+1)^12-1</f>
        <v>0.1668684987170761</v>
      </c>
      <c r="Q52" s="14">
        <f>(((VLOOKUP(B52,Data!$E:$BM,MATCH(yoy!$Q$1,Data!$E$1:$BM$1,),)-VLOOKUP(A52,Data!$E:$BM,MATCH(yoy!$Q$1,Data!$E$1:$BM$1,),))/VLOOKUP(A52,Data!$E:$BM,MATCH(yoy!$Q$1,Data!$E$1:$BM$1,),))+1)^12-1</f>
        <v>1.7301861124595419E-2</v>
      </c>
      <c r="R52" s="14">
        <f>(((VLOOKUP(B52,Data!$E:$BM,MATCH(yoy!$R$1,Data!$E$1:$BM$1,),)-VLOOKUP(A52,Data!$E:$BM,MATCH(yoy!$R$1,Data!$E$1:$BM$1,),))/VLOOKUP(A52,Data!$E:$BM,MATCH(yoy!$R$1,Data!$E$1:$BM$1,),))+1)^12-1</f>
        <v>-1.1731142616655532E-2</v>
      </c>
      <c r="S52" s="14">
        <f>(((VLOOKUP(B52,Data!$E:$BM,MATCH(yoy!$S$1,Data!$E$1:$BM$1,),)-VLOOKUP(A52,Data!$E:$BM,MATCH(yoy!$S$1,Data!$E$1:$BM$1,),))/VLOOKUP(A52,Data!$E:$BM,MATCH(yoy!$S$1,Data!$E$1:$BM$1,),))+1)^12-1</f>
        <v>8.4556409057689796E-2</v>
      </c>
      <c r="T52" s="14">
        <f>(((VLOOKUP(B52,Data!$E:$BM,MATCH(yoy!$T$1,Data!$E$1:$BM$1,),)-VLOOKUP(A52,Data!$E:$BM,MATCH(yoy!$T$1,Data!$E$1:$BM$1,),))/VLOOKUP(A52,Data!$E:$BM,MATCH(yoy!$T$1,Data!$E$1:$BM$1,),))+1)^12-1</f>
        <v>0.19387896208274769</v>
      </c>
      <c r="U52" s="14">
        <f>(((VLOOKUP(B52,Data!$E:$BM,MATCH(yoy!$U$1,Data!$E$1:$BM$1,),)-VLOOKUP(A52,Data!$E:$BM,MATCH(yoy!$U$1,Data!$E$1:$BM$1,),))/VLOOKUP(A52,Data!$E:$BM,MATCH(yoy!$U$1,Data!$E$1:$BM$1,),))+1)^12-1</f>
        <v>-7.0803072959994107E-2</v>
      </c>
      <c r="V52" s="14">
        <f>(((VLOOKUP(B52,Data!$E:$BM,MATCH(yoy!$V$1,Data!$E$1:$BM$1,),)-VLOOKUP(A52,Data!$E:$BM,MATCH(yoy!$V$1,Data!$E$1:$BM$1,),))/VLOOKUP(A52,Data!$E:$BM,MATCH(yoy!$V$1,Data!$E$1:$BM$1,),))+1)^12-1</f>
        <v>7.154834761680462E-2</v>
      </c>
      <c r="W52" s="14">
        <f>(((VLOOKUP(B52,Data!$E:$BM,MATCH(yoy!$W$1,Data!$E$1:$BM$1,),)-VLOOKUP(A52,Data!$E:$BM,MATCH(yoy!$W$1,Data!$E$1:$BM$1,),))/VLOOKUP(A52,Data!$E:$BM,MATCH(yoy!$W$1,Data!$E$1:$BM$1,),))+1)^12-1</f>
        <v>-0.14583755388400843</v>
      </c>
      <c r="X52" s="14">
        <f>(((VLOOKUP(B52,Data!$E:$BM,MATCH(yoy!$X$1,Data!$E$1:$BM$1,),)-VLOOKUP(A52,Data!$E:$BM,MATCH(yoy!$X$1,Data!$E$1:$BM$1,),))/VLOOKUP(A52,Data!$E:$BM,MATCH(yoy!$X$1,Data!$E$1:$BM$1,),))+1)^12-1</f>
        <v>3.5653104284664838E-2</v>
      </c>
      <c r="Y52" s="14">
        <f>(((VLOOKUP(B52,Data!$E:$BM,MATCH(yoy!$Y$1,Data!$E$1:$BM$1,),)-VLOOKUP(A52,Data!$E:$BM,MATCH(yoy!$Y$1,Data!$E$1:$BM$1,),))/VLOOKUP(A52,Data!$E:$BM,MATCH(yoy!$Y$1,Data!$E$1:$BM$1,),))+1)^12-1</f>
        <v>6.1610625196897528E-2</v>
      </c>
      <c r="Z52" s="14">
        <f>(((VLOOKUP(B52,Data!$E:$BM,MATCH(yoy!$Z$1,Data!$E$1:$BM$1,),)-VLOOKUP(A52,Data!$E:$BM,MATCH(yoy!$Z$1,Data!$E$1:$BM$1,),))/VLOOKUP(A52,Data!$E:$BM,MATCH(yoy!$Z$1,Data!$E$1:$BM$1,),))+1)^12-1</f>
        <v>5.0107467508453185E-2</v>
      </c>
      <c r="AA52" s="14">
        <f>(((VLOOKUP(B52,Data!$E:$BM,MATCH(yoy!$AA$1,Data!$E$1:$BM$1,),)-VLOOKUP(A52,Data!$E:$BM,MATCH(yoy!$AA$1,Data!$E$1:$BM$1,),))/VLOOKUP(A52,Data!$E:$BM,MATCH(yoy!$AA$1,Data!$E$1:$BM$1,),))+1)^12-1</f>
        <v>0.10227557265437626</v>
      </c>
    </row>
    <row r="53" spans="1:27" s="78" customFormat="1" x14ac:dyDescent="0.2">
      <c r="A53" s="20">
        <f t="shared" si="3"/>
        <v>43435</v>
      </c>
      <c r="B53" s="12">
        <v>43466</v>
      </c>
      <c r="C53" s="14">
        <f>(((VLOOKUP(B53,Data!$E:$BM,MATCH(yoy!$C$1,Data!$E$1:$BM$1,),)-VLOOKUP(A53,Data!$E:$BM,MATCH(yoy!$C$1,Data!$E$1:$BM$1,),))/VLOOKUP(A53,Data!$E:$BM,MATCH(yoy!$C$1,Data!$E$1:$BM$1,),))+1)^12-1</f>
        <v>4.6698626178185654E-2</v>
      </c>
      <c r="D53" s="14">
        <f>(((VLOOKUP(B53,Data!$E:$BM,MATCH(yoy!$D$1,Data!$E$1:$BM$1,),)-VLOOKUP(A53,Data!$E:$BM,MATCH(yoy!$D$1,Data!$E$1:$BM$1,),))/VLOOKUP(A53,Data!$E:$BM,MATCH(yoy!$D$1,Data!$E$1:$BM$1,),))+1)^12-1</f>
        <v>7.1559386437387795E-2</v>
      </c>
      <c r="E53" s="14"/>
      <c r="F53" s="14">
        <f>(((VLOOKUP(B53,Data!$E:$BM,MATCH(yoy!$F$1,Data!$E$1:$BM$1,),)-VLOOKUP(A53,Data!$E:$BM,MATCH(yoy!$F$1,Data!$E$1:$BM$1,),))/VLOOKUP(A53,Data!$E:$BM,MATCH(yoy!$F$1,Data!$E$1:$BM$1,),))+1)^12-1</f>
        <v>1.705389751879971E-2</v>
      </c>
      <c r="G53" s="14">
        <f>(((VLOOKUP(B53,Data!$E:$BM,MATCH(yoy!$G$1,Data!$E$1:$BM$1,),)-VLOOKUP(A53,Data!$E:$BM,MATCH(yoy!$G$1,Data!$E$1:$BM$1,),))/VLOOKUP(A53,Data!$E:$BM,MATCH(yoy!$G$1,Data!$E$1:$BM$1,),))+1)^12-1</f>
        <v>1.6196231303261976E-2</v>
      </c>
      <c r="H53" s="14">
        <f>(((VLOOKUP(B53,Data!$E:$BM,MATCH(yoy!$H$1,Data!$E$1:$BM$1,),)-VLOOKUP(A53,Data!$E:$BM,MATCH(yoy!$H$1,Data!$E$1:$BM$1,),))/VLOOKUP(A53,Data!$E:$BM,MATCH(yoy!$H$1,Data!$E$1:$BM$1,),))+1)^12-1</f>
        <v>-1.8328369215229068E-2</v>
      </c>
      <c r="I53" s="14"/>
      <c r="J53" s="14"/>
      <c r="K53" s="14">
        <f>(((VLOOKUP(B53,Data!$E:$BM,MATCH(yoy!$K$1,Data!$E$1:$BM$1,),)-VLOOKUP(A53,Data!$E:$BM,MATCH(yoy!$K$1,Data!$E$1:$BM$1,),))/VLOOKUP(A53,Data!$E:$BM,MATCH(yoy!$K$1,Data!$E$1:$BM$1,),))+1)^12-1</f>
        <v>3.2548998816922525E-2</v>
      </c>
      <c r="L53" s="14"/>
      <c r="M53" s="14"/>
      <c r="N53" s="14"/>
      <c r="O53" s="14"/>
      <c r="P53" s="14">
        <f>(((VLOOKUP(B53,Data!$E:$BM,MATCH(yoy!$P$1,Data!$E$1:$BM$1,),)-VLOOKUP(A53,Data!$E:$BM,MATCH(yoy!$P$1,Data!$E$1:$BM$1,),))/VLOOKUP(A53,Data!$E:$BM,MATCH(yoy!$P$1,Data!$E$1:$BM$1,),))+1)^12-1</f>
        <v>-5.1125215885219788E-2</v>
      </c>
      <c r="Q53" s="14">
        <f>(((VLOOKUP(B53,Data!$E:$BM,MATCH(yoy!$Q$1,Data!$E$1:$BM$1,),)-VLOOKUP(A53,Data!$E:$BM,MATCH(yoy!$Q$1,Data!$E$1:$BM$1,),))/VLOOKUP(A53,Data!$E:$BM,MATCH(yoy!$Q$1,Data!$E$1:$BM$1,),))+1)^12-1</f>
        <v>4.6982276467128603E-2</v>
      </c>
      <c r="R53" s="14"/>
      <c r="S53" s="14">
        <f>(((VLOOKUP(B53,Data!$E:$BM,MATCH(yoy!$S$1,Data!$E$1:$BM$1,),)-VLOOKUP(A53,Data!$E:$BM,MATCH(yoy!$S$1,Data!$E$1:$BM$1,),))/VLOOKUP(A53,Data!$E:$BM,MATCH(yoy!$S$1,Data!$E$1:$BM$1,),))+1)^12-1</f>
        <v>6.7614541818928009E-2</v>
      </c>
      <c r="T53" s="14"/>
      <c r="U53" s="14"/>
      <c r="V53" s="14">
        <f>(((VLOOKUP(B53,Data!$E:$BM,MATCH(yoy!$V$1,Data!$E$1:$BM$1,),)-VLOOKUP(A53,Data!$E:$BM,MATCH(yoy!$V$1,Data!$E$1:$BM$1,),))/VLOOKUP(A53,Data!$E:$BM,MATCH(yoy!$V$1,Data!$E$1:$BM$1,),))+1)^12-1</f>
        <v>7.3914427988920339E-2</v>
      </c>
      <c r="W53" s="14"/>
      <c r="X53" s="14">
        <f>(((VLOOKUP(B53,Data!$E:$BM,MATCH(yoy!$X$1,Data!$E$1:$BM$1,),)-VLOOKUP(A53,Data!$E:$BM,MATCH(yoy!$X$1,Data!$E$1:$BM$1,),))/VLOOKUP(A53,Data!$E:$BM,MATCH(yoy!$X$1,Data!$E$1:$BM$1,),))+1)^12-1</f>
        <v>6.6693899248891464E-2</v>
      </c>
      <c r="Y53" s="14"/>
      <c r="Z53" s="14">
        <f>(((VLOOKUP(B53,Data!$E:$BM,MATCH(yoy!$Z$1,Data!$E$1:$BM$1,),)-VLOOKUP(A53,Data!$E:$BM,MATCH(yoy!$Z$1,Data!$E$1:$BM$1,),))/VLOOKUP(A53,Data!$E:$BM,MATCH(yoy!$Z$1,Data!$E$1:$BM$1,),))+1)^12-1</f>
        <v>2.0680957900510055E-2</v>
      </c>
      <c r="AA53" s="14"/>
    </row>
    <row r="54" spans="1:27" s="78" customFormat="1" x14ac:dyDescent="0.2">
      <c r="A54" s="20">
        <f t="shared" si="3"/>
        <v>43466</v>
      </c>
      <c r="B54" s="12">
        <v>43497</v>
      </c>
      <c r="C54" s="14">
        <f>(((VLOOKUP(B54,Data!$E:$BM,MATCH(yoy!$C$1,Data!$E$1:$BM$1,),)-VLOOKUP(A54,Data!$E:$BM,MATCH(yoy!$C$1,Data!$E$1:$BM$1,),))/VLOOKUP(A54,Data!$E:$BM,MATCH(yoy!$C$1,Data!$E$1:$BM$1,),))+1)^12-1</f>
        <v>2.285609026733737E-2</v>
      </c>
      <c r="D54" s="14">
        <f>(((VLOOKUP(B54,Data!$E:$BM,MATCH(yoy!$D$1,Data!$E$1:$BM$1,),)-VLOOKUP(A54,Data!$E:$BM,MATCH(yoy!$D$1,Data!$E$1:$BM$1,),))/VLOOKUP(A54,Data!$E:$BM,MATCH(yoy!$D$1,Data!$E$1:$BM$1,),))+1)^12-1</f>
        <v>2.5062830160121896E-2</v>
      </c>
      <c r="E54" s="14"/>
      <c r="F54" s="14">
        <f>(((VLOOKUP(B54,Data!$E:$BM,MATCH(yoy!$F$1,Data!$E$1:$BM$1,),)-VLOOKUP(A54,Data!$E:$BM,MATCH(yoy!$F$1,Data!$E$1:$BM$1,),))/VLOOKUP(A54,Data!$E:$BM,MATCH(yoy!$F$1,Data!$E$1:$BM$1,),))+1)^12-1</f>
        <v>1.2427230391101496E-2</v>
      </c>
      <c r="G54" s="14">
        <f>(((VLOOKUP(B54,Data!$E:$BM,MATCH(yoy!$G$1,Data!$E$1:$BM$1,),)-VLOOKUP(A54,Data!$E:$BM,MATCH(yoy!$G$1,Data!$E$1:$BM$1,),))/VLOOKUP(A54,Data!$E:$BM,MATCH(yoy!$G$1,Data!$E$1:$BM$1,),))+1)^12-1</f>
        <v>2.1718976879107954E-2</v>
      </c>
      <c r="H54" s="14">
        <f>(((VLOOKUP(B54,Data!$E:$BM,MATCH(yoy!$H$1,Data!$E$1:$BM$1,),)-VLOOKUP(A54,Data!$E:$BM,MATCH(yoy!$H$1,Data!$E$1:$BM$1,),))/VLOOKUP(A54,Data!$E:$BM,MATCH(yoy!$H$1,Data!$E$1:$BM$1,),))+1)^12-1</f>
        <v>-0.12063101360731476</v>
      </c>
      <c r="I54" s="14"/>
      <c r="J54" s="14"/>
      <c r="K54" s="14">
        <f>(((VLOOKUP(B54,Data!$E:$BM,MATCH(yoy!$K$1,Data!$E$1:$BM$1,),)-VLOOKUP(A54,Data!$E:$BM,MATCH(yoy!$K$1,Data!$E$1:$BM$1,),))/VLOOKUP(A54,Data!$E:$BM,MATCH(yoy!$K$1,Data!$E$1:$BM$1,),))+1)^12-1</f>
        <v>2.7653279033492462E-2</v>
      </c>
      <c r="L54" s="14"/>
      <c r="M54" s="14"/>
      <c r="N54" s="14"/>
      <c r="O54" s="14"/>
      <c r="P54" s="14">
        <f>(((VLOOKUP(B54,Data!$E:$BM,MATCH(yoy!$P$1,Data!$E$1:$BM$1,),)-VLOOKUP(A54,Data!$E:$BM,MATCH(yoy!$P$1,Data!$E$1:$BM$1,),))/VLOOKUP(A54,Data!$E:$BM,MATCH(yoy!$P$1,Data!$E$1:$BM$1,),))+1)^12-1</f>
        <v>0.12820517347507043</v>
      </c>
      <c r="Q54" s="14">
        <f>(((VLOOKUP(B54,Data!$E:$BM,MATCH(yoy!$Q$1,Data!$E$1:$BM$1,),)-VLOOKUP(A54,Data!$E:$BM,MATCH(yoy!$Q$1,Data!$E$1:$BM$1,),))/VLOOKUP(A54,Data!$E:$BM,MATCH(yoy!$Q$1,Data!$E$1:$BM$1,),))+1)^12-1</f>
        <v>5.9035849702156806E-2</v>
      </c>
      <c r="R54" s="14"/>
      <c r="S54" s="14">
        <f>(((VLOOKUP(B54,Data!$E:$BM,MATCH(yoy!$S$1,Data!$E$1:$BM$1,),)-VLOOKUP(A54,Data!$E:$BM,MATCH(yoy!$S$1,Data!$E$1:$BM$1,),))/VLOOKUP(A54,Data!$E:$BM,MATCH(yoy!$S$1,Data!$E$1:$BM$1,),))+1)^12-1</f>
        <v>0.14162794323255112</v>
      </c>
      <c r="T54" s="14"/>
      <c r="U54" s="14"/>
      <c r="V54" s="14">
        <f>(((VLOOKUP(B54,Data!$E:$BM,MATCH(yoy!$V$1,Data!$E$1:$BM$1,),)-VLOOKUP(A54,Data!$E:$BM,MATCH(yoy!$V$1,Data!$E$1:$BM$1,),))/VLOOKUP(A54,Data!$E:$BM,MATCH(yoy!$V$1,Data!$E$1:$BM$1,),))+1)^12-1</f>
        <v>0.14495901194692284</v>
      </c>
      <c r="W54" s="14"/>
      <c r="X54" s="14">
        <f>(((VLOOKUP(B54,Data!$E:$BM,MATCH(yoy!$X$1,Data!$E$1:$BM$1,),)-VLOOKUP(A54,Data!$E:$BM,MATCH(yoy!$X$1,Data!$E$1:$BM$1,),))/VLOOKUP(A54,Data!$E:$BM,MATCH(yoy!$X$1,Data!$E$1:$BM$1,),))+1)^12-1</f>
        <v>8.7198318185410795E-2</v>
      </c>
      <c r="Y54" s="14"/>
      <c r="Z54" s="14">
        <f>(((VLOOKUP(B54,Data!$E:$BM,MATCH(yoy!$Z$1,Data!$E$1:$BM$1,),)-VLOOKUP(A54,Data!$E:$BM,MATCH(yoy!$Z$1,Data!$E$1:$BM$1,),))/VLOOKUP(A54,Data!$E:$BM,MATCH(yoy!$Z$1,Data!$E$1:$BM$1,),))+1)^12-1</f>
        <v>0.12218443322984585</v>
      </c>
      <c r="AA54" s="14"/>
    </row>
    <row r="55" spans="1:27" s="78" customFormat="1" x14ac:dyDescent="0.2">
      <c r="A55" s="20">
        <f t="shared" si="3"/>
        <v>43497</v>
      </c>
      <c r="B55" s="12">
        <v>43525</v>
      </c>
      <c r="C55" s="14">
        <f>(((VLOOKUP(B55,Data!$E:$BM,MATCH(yoy!$C$1,Data!$E$1:$BM$1,),)-VLOOKUP(A55,Data!$E:$BM,MATCH(yoy!$C$1,Data!$E$1:$BM$1,),))/VLOOKUP(A55,Data!$E:$BM,MATCH(yoy!$C$1,Data!$E$1:$BM$1,),))+1)^12-1</f>
        <v>4.6223986039220177E-2</v>
      </c>
      <c r="D55" s="14">
        <f>(((VLOOKUP(B55,Data!$E:$BM,MATCH(yoy!$D$1,Data!$E$1:$BM$1,),)-VLOOKUP(A55,Data!$E:$BM,MATCH(yoy!$D$1,Data!$E$1:$BM$1,),))/VLOOKUP(A55,Data!$E:$BM,MATCH(yoy!$D$1,Data!$E$1:$BM$1,),))+1)^12-1</f>
        <v>4.0040387171141223E-2</v>
      </c>
      <c r="E55" s="14"/>
      <c r="F55" s="14">
        <f>(((VLOOKUP(B55,Data!$E:$BM,MATCH(yoy!$F$1,Data!$E$1:$BM$1,),)-VLOOKUP(A55,Data!$E:$BM,MATCH(yoy!$F$1,Data!$E$1:$BM$1,),))/VLOOKUP(A55,Data!$E:$BM,MATCH(yoy!$F$1,Data!$E$1:$BM$1,),))+1)^12-1</f>
        <v>8.575979579106896E-2</v>
      </c>
      <c r="G55" s="14">
        <f>(((VLOOKUP(B55,Data!$E:$BM,MATCH(yoy!$G$1,Data!$E$1:$BM$1,),)-VLOOKUP(A55,Data!$E:$BM,MATCH(yoy!$G$1,Data!$E$1:$BM$1,),))/VLOOKUP(A55,Data!$E:$BM,MATCH(yoy!$G$1,Data!$E$1:$BM$1,),))+1)^12-1</f>
        <v>2.1247058436759003E-2</v>
      </c>
      <c r="H55" s="14">
        <f>(((VLOOKUP(B55,Data!$E:$BM,MATCH(yoy!$H$1,Data!$E$1:$BM$1,),)-VLOOKUP(A55,Data!$E:$BM,MATCH(yoy!$H$1,Data!$E$1:$BM$1,),))/VLOOKUP(A55,Data!$E:$BM,MATCH(yoy!$H$1,Data!$E$1:$BM$1,),))+1)^12-1</f>
        <v>-2.1943825184010501E-2</v>
      </c>
      <c r="I55" s="14"/>
      <c r="J55" s="14"/>
      <c r="K55" s="14">
        <f>(((VLOOKUP(B55,Data!$E:$BM,MATCH(yoy!$K$1,Data!$E$1:$BM$1,),)-VLOOKUP(A55,Data!$E:$BM,MATCH(yoy!$K$1,Data!$E$1:$BM$1,),))/VLOOKUP(A55,Data!$E:$BM,MATCH(yoy!$K$1,Data!$E$1:$BM$1,),))+1)^12-1</f>
        <v>6.3137311911549032E-2</v>
      </c>
      <c r="L55" s="14"/>
      <c r="M55" s="14"/>
      <c r="N55" s="14"/>
      <c r="O55" s="14"/>
      <c r="P55" s="14">
        <f>(((VLOOKUP(B55,Data!$E:$BM,MATCH(yoy!$P$1,Data!$E$1:$BM$1,),)-VLOOKUP(A55,Data!$E:$BM,MATCH(yoy!$P$1,Data!$E$1:$BM$1,),))/VLOOKUP(A55,Data!$E:$BM,MATCH(yoy!$P$1,Data!$E$1:$BM$1,),))+1)^12-1</f>
        <v>0.1550328674177277</v>
      </c>
      <c r="Q55" s="14">
        <f>(((VLOOKUP(B55,Data!$E:$BM,MATCH(yoy!$Q$1,Data!$E$1:$BM$1,),)-VLOOKUP(A55,Data!$E:$BM,MATCH(yoy!$Q$1,Data!$E$1:$BM$1,),))/VLOOKUP(A55,Data!$E:$BM,MATCH(yoy!$Q$1,Data!$E$1:$BM$1,),))+1)^12-1</f>
        <v>7.7400177707518392E-2</v>
      </c>
      <c r="R55" s="14"/>
      <c r="S55" s="14">
        <f>(((VLOOKUP(B55,Data!$E:$BM,MATCH(yoy!$S$1,Data!$E$1:$BM$1,),)-VLOOKUP(A55,Data!$E:$BM,MATCH(yoy!$S$1,Data!$E$1:$BM$1,),))/VLOOKUP(A55,Data!$E:$BM,MATCH(yoy!$S$1,Data!$E$1:$BM$1,),))+1)^12-1</f>
        <v>0.16116826339106649</v>
      </c>
      <c r="T55" s="14"/>
      <c r="U55" s="14"/>
      <c r="V55" s="14">
        <f>(((VLOOKUP(B55,Data!$E:$BM,MATCH(yoy!$V$1,Data!$E$1:$BM$1,),)-VLOOKUP(A55,Data!$E:$BM,MATCH(yoy!$V$1,Data!$E$1:$BM$1,),))/VLOOKUP(A55,Data!$E:$BM,MATCH(yoy!$V$1,Data!$E$1:$BM$1,),))+1)^12-1</f>
        <v>7.8904447380611531E-2</v>
      </c>
      <c r="W55" s="14"/>
      <c r="X55" s="14">
        <f>(((VLOOKUP(B55,Data!$E:$BM,MATCH(yoy!$X$1,Data!$E$1:$BM$1,),)-VLOOKUP(A55,Data!$E:$BM,MATCH(yoy!$X$1,Data!$E$1:$BM$1,),))/VLOOKUP(A55,Data!$E:$BM,MATCH(yoy!$X$1,Data!$E$1:$BM$1,),))+1)^12-1</f>
        <v>0.13288986653898793</v>
      </c>
      <c r="Y55" s="14"/>
      <c r="Z55" s="14">
        <f>(((VLOOKUP(B55,Data!$E:$BM,MATCH(yoy!$Z$1,Data!$E$1:$BM$1,),)-VLOOKUP(A55,Data!$E:$BM,MATCH(yoy!$Z$1,Data!$E$1:$BM$1,),))/VLOOKUP(A55,Data!$E:$BM,MATCH(yoy!$Z$1,Data!$E$1:$BM$1,),))+1)^12-1</f>
        <v>7.437203249045754E-2</v>
      </c>
      <c r="AA55" s="14"/>
    </row>
    <row r="56" spans="1:27" s="78" customFormat="1" x14ac:dyDescent="0.2">
      <c r="A56" s="20">
        <f t="shared" si="3"/>
        <v>43525</v>
      </c>
      <c r="B56" s="12">
        <v>43556</v>
      </c>
      <c r="C56" s="14">
        <f>(((VLOOKUP(B56,Data!$E:$BM,MATCH(yoy!$C$1,Data!$E$1:$BM$1,),)-VLOOKUP(A56,Data!$E:$BM,MATCH(yoy!$C$1,Data!$E$1:$BM$1,),))/VLOOKUP(A56,Data!$E:$BM,MATCH(yoy!$C$1,Data!$E$1:$BM$1,),))+1)^12-1</f>
        <v>5.1195962827339958E-2</v>
      </c>
      <c r="D56" s="14">
        <f>(((VLOOKUP(B56,Data!$E:$BM,MATCH(yoy!$D$1,Data!$E$1:$BM$1,),)-VLOOKUP(A56,Data!$E:$BM,MATCH(yoy!$D$1,Data!$E$1:$BM$1,),))/VLOOKUP(A56,Data!$E:$BM,MATCH(yoy!$D$1,Data!$E$1:$BM$1,),))+1)^12-1</f>
        <v>3.9133958737603836E-2</v>
      </c>
      <c r="E56" s="14"/>
      <c r="F56" s="14">
        <f>(((VLOOKUP(B56,Data!$E:$BM,MATCH(yoy!$F$1,Data!$E$1:$BM$1,),)-VLOOKUP(A56,Data!$E:$BM,MATCH(yoy!$F$1,Data!$E$1:$BM$1,),))/VLOOKUP(A56,Data!$E:$BM,MATCH(yoy!$F$1,Data!$E$1:$BM$1,),))+1)^12-1</f>
        <v>0.10194063895355376</v>
      </c>
      <c r="G56" s="14">
        <f>(((VLOOKUP(B56,Data!$E:$BM,MATCH(yoy!$G$1,Data!$E$1:$BM$1,),)-VLOOKUP(A56,Data!$E:$BM,MATCH(yoy!$G$1,Data!$E$1:$BM$1,),))/VLOOKUP(A56,Data!$E:$BM,MATCH(yoy!$G$1,Data!$E$1:$BM$1,),))+1)^12-1</f>
        <v>3.4598381938573786E-2</v>
      </c>
      <c r="H56" s="14">
        <f>(((VLOOKUP(B56,Data!$E:$BM,MATCH(yoy!$H$1,Data!$E$1:$BM$1,),)-VLOOKUP(A56,Data!$E:$BM,MATCH(yoy!$H$1,Data!$E$1:$BM$1,),))/VLOOKUP(A56,Data!$E:$BM,MATCH(yoy!$H$1,Data!$E$1:$BM$1,),))+1)^12-1</f>
        <v>4.8079360957622441E-2</v>
      </c>
      <c r="I56" s="14"/>
      <c r="J56" s="14"/>
      <c r="K56" s="14">
        <f>(((VLOOKUP(B56,Data!$E:$BM,MATCH(yoy!$K$1,Data!$E$1:$BM$1,),)-VLOOKUP(A56,Data!$E:$BM,MATCH(yoy!$K$1,Data!$E$1:$BM$1,),))/VLOOKUP(A56,Data!$E:$BM,MATCH(yoy!$K$1,Data!$E$1:$BM$1,),))+1)^12-1</f>
        <v>2.1779120938504315E-2</v>
      </c>
      <c r="L56" s="14"/>
      <c r="M56" s="14"/>
      <c r="N56" s="14"/>
      <c r="O56" s="14"/>
      <c r="P56" s="14">
        <f>(((VLOOKUP(B56,Data!$E:$BM,MATCH(yoy!$P$1,Data!$E$1:$BM$1,),)-VLOOKUP(A56,Data!$E:$BM,MATCH(yoy!$P$1,Data!$E$1:$BM$1,),))/VLOOKUP(A56,Data!$E:$BM,MATCH(yoy!$P$1,Data!$E$1:$BM$1,),))+1)^12-1</f>
        <v>9.600000201992831E-2</v>
      </c>
      <c r="Q56" s="14">
        <f>(((VLOOKUP(B56,Data!$E:$BM,MATCH(yoy!$Q$1,Data!$E$1:$BM$1,),)-VLOOKUP(A56,Data!$E:$BM,MATCH(yoy!$Q$1,Data!$E$1:$BM$1,),))/VLOOKUP(A56,Data!$E:$BM,MATCH(yoy!$Q$1,Data!$E$1:$BM$1,),))+1)^12-1</f>
        <v>6.3124754627337021E-2</v>
      </c>
      <c r="R56" s="14"/>
      <c r="S56" s="14">
        <f>(((VLOOKUP(B56,Data!$E:$BM,MATCH(yoy!$S$1,Data!$E$1:$BM$1,),)-VLOOKUP(A56,Data!$E:$BM,MATCH(yoy!$S$1,Data!$E$1:$BM$1,),))/VLOOKUP(A56,Data!$E:$BM,MATCH(yoy!$S$1,Data!$E$1:$BM$1,),))+1)^12-1</f>
        <v>7.2059208130135222E-2</v>
      </c>
      <c r="T56" s="14"/>
      <c r="U56" s="14"/>
      <c r="V56" s="14">
        <f>(((VLOOKUP(B56,Data!$E:$BM,MATCH(yoy!$V$1,Data!$E$1:$BM$1,),)-VLOOKUP(A56,Data!$E:$BM,MATCH(yoy!$V$1,Data!$E$1:$BM$1,),))/VLOOKUP(A56,Data!$E:$BM,MATCH(yoy!$V$1,Data!$E$1:$BM$1,),))+1)^12-1</f>
        <v>9.2322646774809503E-2</v>
      </c>
      <c r="W56" s="14"/>
      <c r="X56" s="14">
        <f>(((VLOOKUP(B56,Data!$E:$BM,MATCH(yoy!$X$1,Data!$E$1:$BM$1,),)-VLOOKUP(A56,Data!$E:$BM,MATCH(yoy!$X$1,Data!$E$1:$BM$1,),))/VLOOKUP(A56,Data!$E:$BM,MATCH(yoy!$X$1,Data!$E$1:$BM$1,),))+1)^12-1</f>
        <v>0.21362497759450605</v>
      </c>
      <c r="Y56" s="14"/>
      <c r="Z56" s="14">
        <f>(((VLOOKUP(B56,Data!$E:$BM,MATCH(yoy!$Z$1,Data!$E$1:$BM$1,),)-VLOOKUP(A56,Data!$E:$BM,MATCH(yoy!$Z$1,Data!$E$1:$BM$1,),))/VLOOKUP(A56,Data!$E:$BM,MATCH(yoy!$Z$1,Data!$E$1:$BM$1,),))+1)^12-1</f>
        <v>7.70311543802773E-2</v>
      </c>
      <c r="AA56" s="14"/>
    </row>
    <row r="57" spans="1:27" s="78" customFormat="1" x14ac:dyDescent="0.2">
      <c r="A57" s="20">
        <f t="shared" si="3"/>
        <v>43556</v>
      </c>
      <c r="B57" s="12">
        <v>43586</v>
      </c>
      <c r="C57" s="14">
        <f>(((VLOOKUP(B57,Data!$E:$BM,MATCH(yoy!$C$1,Data!$E$1:$BM$1,),)-VLOOKUP(A57,Data!$E:$BM,MATCH(yoy!$C$1,Data!$E$1:$BM$1,),))/VLOOKUP(A57,Data!$E:$BM,MATCH(yoy!$C$1,Data!$E$1:$BM$1,),))+1)^12-1</f>
        <v>6.6322806580347837E-2</v>
      </c>
      <c r="D57" s="14">
        <f>(((VLOOKUP(B57,Data!$E:$BM,MATCH(yoy!$D$1,Data!$E$1:$BM$1,),)-VLOOKUP(A57,Data!$E:$BM,MATCH(yoy!$D$1,Data!$E$1:$BM$1,),))/VLOOKUP(A57,Data!$E:$BM,MATCH(yoy!$D$1,Data!$E$1:$BM$1,),))+1)^12-1</f>
        <v>8.1085839580145924E-2</v>
      </c>
      <c r="E57" s="14"/>
      <c r="F57" s="14">
        <f>(((VLOOKUP(B57,Data!$E:$BM,MATCH(yoy!$F$1,Data!$E$1:$BM$1,),)-VLOOKUP(A57,Data!$E:$BM,MATCH(yoy!$F$1,Data!$E$1:$BM$1,),))/VLOOKUP(A57,Data!$E:$BM,MATCH(yoy!$F$1,Data!$E$1:$BM$1,),))+1)^12-1</f>
        <v>7.7116031057010925E-2</v>
      </c>
      <c r="G57" s="14">
        <f>(((VLOOKUP(B57,Data!$E:$BM,MATCH(yoy!$G$1,Data!$E$1:$BM$1,),)-VLOOKUP(A57,Data!$E:$BM,MATCH(yoy!$G$1,Data!$E$1:$BM$1,),))/VLOOKUP(A57,Data!$E:$BM,MATCH(yoy!$G$1,Data!$E$1:$BM$1,),))+1)^12-1</f>
        <v>3.2021297484283062E-2</v>
      </c>
      <c r="H57" s="14">
        <f>(((VLOOKUP(B57,Data!$E:$BM,MATCH(yoy!$H$1,Data!$E$1:$BM$1,),)-VLOOKUP(A57,Data!$E:$BM,MATCH(yoy!$H$1,Data!$E$1:$BM$1,),))/VLOOKUP(A57,Data!$E:$BM,MATCH(yoy!$H$1,Data!$E$1:$BM$1,),))+1)^12-1</f>
        <v>3.9032030274180451E-2</v>
      </c>
      <c r="I57" s="14"/>
      <c r="J57" s="14"/>
      <c r="K57" s="14">
        <f>(((VLOOKUP(B57,Data!$E:$BM,MATCH(yoy!$K$1,Data!$E$1:$BM$1,),)-VLOOKUP(A57,Data!$E:$BM,MATCH(yoy!$K$1,Data!$E$1:$BM$1,),))/VLOOKUP(A57,Data!$E:$BM,MATCH(yoy!$K$1,Data!$E$1:$BM$1,),))+1)^12-1</f>
        <v>6.4452955922389643E-2</v>
      </c>
      <c r="L57" s="14"/>
      <c r="M57" s="14"/>
      <c r="N57" s="14"/>
      <c r="O57" s="14"/>
      <c r="P57" s="14">
        <f>(((VLOOKUP(B57,Data!$E:$BM,MATCH(yoy!$P$1,Data!$E$1:$BM$1,),)-VLOOKUP(A57,Data!$E:$BM,MATCH(yoy!$P$1,Data!$E$1:$BM$1,),))/VLOOKUP(A57,Data!$E:$BM,MATCH(yoy!$P$1,Data!$E$1:$BM$1,),))+1)^12-1</f>
        <v>4.3502547912477763E-2</v>
      </c>
      <c r="Q57" s="14">
        <f>(((VLOOKUP(B57,Data!$E:$BM,MATCH(yoy!$Q$1,Data!$E$1:$BM$1,),)-VLOOKUP(A57,Data!$E:$BM,MATCH(yoy!$Q$1,Data!$E$1:$BM$1,),))/VLOOKUP(A57,Data!$E:$BM,MATCH(yoy!$Q$1,Data!$E$1:$BM$1,),))+1)^12-1</f>
        <v>1.7786610040801731E-2</v>
      </c>
      <c r="R57" s="14"/>
      <c r="S57" s="14">
        <f>(((VLOOKUP(B57,Data!$E:$BM,MATCH(yoy!$S$1,Data!$E$1:$BM$1,),)-VLOOKUP(A57,Data!$E:$BM,MATCH(yoy!$S$1,Data!$E$1:$BM$1,),))/VLOOKUP(A57,Data!$E:$BM,MATCH(yoy!$S$1,Data!$E$1:$BM$1,),))+1)^12-1</f>
        <v>3.4206368787044417E-2</v>
      </c>
      <c r="T57" s="14"/>
      <c r="U57" s="14"/>
      <c r="V57" s="14">
        <f>(((VLOOKUP(B57,Data!$E:$BM,MATCH(yoy!$V$1,Data!$E$1:$BM$1,),)-VLOOKUP(A57,Data!$E:$BM,MATCH(yoy!$V$1,Data!$E$1:$BM$1,),))/VLOOKUP(A57,Data!$E:$BM,MATCH(yoy!$V$1,Data!$E$1:$BM$1,),))+1)^12-1</f>
        <v>0.10568981703191782</v>
      </c>
      <c r="W57" s="14"/>
      <c r="X57" s="14">
        <f>(((VLOOKUP(B57,Data!$E:$BM,MATCH(yoy!$X$1,Data!$E$1:$BM$1,),)-VLOOKUP(A57,Data!$E:$BM,MATCH(yoy!$X$1,Data!$E$1:$BM$1,),))/VLOOKUP(A57,Data!$E:$BM,MATCH(yoy!$X$1,Data!$E$1:$BM$1,),))+1)^12-1</f>
        <v>0.14949986817377137</v>
      </c>
      <c r="Y57" s="14"/>
      <c r="Z57" s="14">
        <f>(((VLOOKUP(B57,Data!$E:$BM,MATCH(yoy!$Z$1,Data!$E$1:$BM$1,),)-VLOOKUP(A57,Data!$E:$BM,MATCH(yoy!$Z$1,Data!$E$1:$BM$1,),))/VLOOKUP(A57,Data!$E:$BM,MATCH(yoy!$Z$1,Data!$E$1:$BM$1,),))+1)^12-1</f>
        <v>0.16195653486010553</v>
      </c>
      <c r="AA57" s="14"/>
    </row>
    <row r="58" spans="1:27" s="78" customFormat="1" x14ac:dyDescent="0.2">
      <c r="A58" s="20">
        <f t="shared" si="3"/>
        <v>43586</v>
      </c>
      <c r="B58" s="12">
        <v>43617</v>
      </c>
      <c r="C58" s="14">
        <f>(((VLOOKUP(B58,Data!$E:$BM,MATCH(yoy!$C$1,Data!$E$1:$BM$1,),)-VLOOKUP(A58,Data!$E:$BM,MATCH(yoy!$C$1,Data!$E$1:$BM$1,),))/VLOOKUP(A58,Data!$E:$BM,MATCH(yoy!$C$1,Data!$E$1:$BM$1,),))+1)^12-1</f>
        <v>7.2126558167193489E-2</v>
      </c>
      <c r="D58" s="14">
        <f>(((VLOOKUP(B58,Data!$E:$BM,MATCH(yoy!$D$1,Data!$E$1:$BM$1,),)-VLOOKUP(A58,Data!$E:$BM,MATCH(yoy!$D$1,Data!$E$1:$BM$1,),))/VLOOKUP(A58,Data!$E:$BM,MATCH(yoy!$D$1,Data!$E$1:$BM$1,),))+1)^12-1</f>
        <v>0.10956432006628014</v>
      </c>
      <c r="E58" s="14"/>
      <c r="F58" s="14">
        <f>(((VLOOKUP(B58,Data!$E:$BM,MATCH(yoy!$F$1,Data!$E$1:$BM$1,),)-VLOOKUP(A58,Data!$E:$BM,MATCH(yoy!$F$1,Data!$E$1:$BM$1,),))/VLOOKUP(A58,Data!$E:$BM,MATCH(yoy!$F$1,Data!$E$1:$BM$1,),))+1)^12-1</f>
        <v>7.3545666317635705E-2</v>
      </c>
      <c r="G58" s="14">
        <f>(((VLOOKUP(B58,Data!$E:$BM,MATCH(yoy!$G$1,Data!$E$1:$BM$1,),)-VLOOKUP(A58,Data!$E:$BM,MATCH(yoy!$G$1,Data!$E$1:$BM$1,),))/VLOOKUP(A58,Data!$E:$BM,MATCH(yoy!$G$1,Data!$E$1:$BM$1,),))+1)^12-1</f>
        <v>6.4137476165035956E-3</v>
      </c>
      <c r="H58" s="14">
        <f>(((VLOOKUP(B58,Data!$E:$BM,MATCH(yoy!$H$1,Data!$E$1:$BM$1,),)-VLOOKUP(A58,Data!$E:$BM,MATCH(yoy!$H$1,Data!$E$1:$BM$1,),))/VLOOKUP(A58,Data!$E:$BM,MATCH(yoy!$H$1,Data!$E$1:$BM$1,),))+1)^12-1</f>
        <v>2.8997786989371388E-2</v>
      </c>
      <c r="I58" s="14"/>
      <c r="J58" s="14"/>
      <c r="K58" s="14">
        <f>(((VLOOKUP(B58,Data!$E:$BM,MATCH(yoy!$K$1,Data!$E$1:$BM$1,),)-VLOOKUP(A58,Data!$E:$BM,MATCH(yoy!$K$1,Data!$E$1:$BM$1,),))/VLOOKUP(A58,Data!$E:$BM,MATCH(yoy!$K$1,Data!$E$1:$BM$1,),))+1)^12-1</f>
        <v>6.4098233470201382E-2</v>
      </c>
      <c r="L58" s="14"/>
      <c r="M58" s="14"/>
      <c r="N58" s="14"/>
      <c r="O58" s="14"/>
      <c r="P58" s="14">
        <f>(((VLOOKUP(B58,Data!$E:$BM,MATCH(yoy!$P$1,Data!$E$1:$BM$1,),)-VLOOKUP(A58,Data!$E:$BM,MATCH(yoy!$P$1,Data!$E$1:$BM$1,),))/VLOOKUP(A58,Data!$E:$BM,MATCH(yoy!$P$1,Data!$E$1:$BM$1,),))+1)^12-1</f>
        <v>4.1975473747620784E-2</v>
      </c>
      <c r="Q58" s="14">
        <f>(((VLOOKUP(B58,Data!$E:$BM,MATCH(yoy!$Q$1,Data!$E$1:$BM$1,),)-VLOOKUP(A58,Data!$E:$BM,MATCH(yoy!$Q$1,Data!$E$1:$BM$1,),))/VLOOKUP(A58,Data!$E:$BM,MATCH(yoy!$Q$1,Data!$E$1:$BM$1,),))+1)^12-1</f>
        <v>1.1236730737612444E-2</v>
      </c>
      <c r="R58" s="14"/>
      <c r="S58" s="14">
        <f>(((VLOOKUP(B58,Data!$E:$BM,MATCH(yoy!$S$1,Data!$E$1:$BM$1,),)-VLOOKUP(A58,Data!$E:$BM,MATCH(yoy!$S$1,Data!$E$1:$BM$1,),))/VLOOKUP(A58,Data!$E:$BM,MATCH(yoy!$S$1,Data!$E$1:$BM$1,),))+1)^12-1</f>
        <v>8.3212669226956582E-2</v>
      </c>
      <c r="T58" s="14"/>
      <c r="U58" s="14"/>
      <c r="V58" s="14">
        <f>(((VLOOKUP(B58,Data!$E:$BM,MATCH(yoy!$V$1,Data!$E$1:$BM$1,),)-VLOOKUP(A58,Data!$E:$BM,MATCH(yoy!$V$1,Data!$E$1:$BM$1,),))/VLOOKUP(A58,Data!$E:$BM,MATCH(yoy!$V$1,Data!$E$1:$BM$1,),))+1)^12-1</f>
        <v>5.6263805773842712E-2</v>
      </c>
      <c r="W58" s="14"/>
      <c r="X58" s="14">
        <f>(((VLOOKUP(B58,Data!$E:$BM,MATCH(yoy!$X$1,Data!$E$1:$BM$1,),)-VLOOKUP(A58,Data!$E:$BM,MATCH(yoy!$X$1,Data!$E$1:$BM$1,),))/VLOOKUP(A58,Data!$E:$BM,MATCH(yoy!$X$1,Data!$E$1:$BM$1,),))+1)^12-1</f>
        <v>5.9324121946547237E-2</v>
      </c>
      <c r="Y58" s="14"/>
      <c r="Z58" s="14">
        <f>(((VLOOKUP(B58,Data!$E:$BM,MATCH(yoy!$Z$1,Data!$E$1:$BM$1,),)-VLOOKUP(A58,Data!$E:$BM,MATCH(yoy!$Z$1,Data!$E$1:$BM$1,),))/VLOOKUP(A58,Data!$E:$BM,MATCH(yoy!$Z$1,Data!$E$1:$BM$1,),))+1)^12-1</f>
        <v>7.3096083260469014E-2</v>
      </c>
      <c r="AA58" s="14"/>
    </row>
    <row r="59" spans="1:27" s="78" customFormat="1" x14ac:dyDescent="0.2">
      <c r="A59" s="20">
        <f t="shared" si="3"/>
        <v>43617</v>
      </c>
      <c r="B59" s="12">
        <v>43647</v>
      </c>
      <c r="C59" s="14">
        <f>(((VLOOKUP(B59,Data!$E:$BM,MATCH(yoy!$C$1,Data!$E$1:$BM$1,),)-VLOOKUP(A59,Data!$E:$BM,MATCH(yoy!$C$1,Data!$E$1:$BM$1,),))/VLOOKUP(A59,Data!$E:$BM,MATCH(yoy!$C$1,Data!$E$1:$BM$1,),))+1)^12-1</f>
        <v>5.3330601023108049E-2</v>
      </c>
      <c r="D59" s="14">
        <f>(((VLOOKUP(B59,Data!$E:$BM,MATCH(yoy!$D$1,Data!$E$1:$BM$1,),)-VLOOKUP(A59,Data!$E:$BM,MATCH(yoy!$D$1,Data!$E$1:$BM$1,),))/VLOOKUP(A59,Data!$E:$BM,MATCH(yoy!$D$1,Data!$E$1:$BM$1,),))+1)^12-1</f>
        <v>6.708265338914754E-2</v>
      </c>
      <c r="E59" s="14"/>
      <c r="F59" s="14">
        <f>(((VLOOKUP(B59,Data!$E:$BM,MATCH(yoy!$F$1,Data!$E$1:$BM$1,),)-VLOOKUP(A59,Data!$E:$BM,MATCH(yoy!$F$1,Data!$E$1:$BM$1,),))/VLOOKUP(A59,Data!$E:$BM,MATCH(yoy!$F$1,Data!$E$1:$BM$1,),))+1)^12-1</f>
        <v>5.9473702168997056E-2</v>
      </c>
      <c r="G59" s="14">
        <f>(((VLOOKUP(B59,Data!$E:$BM,MATCH(yoy!$G$1,Data!$E$1:$BM$1,),)-VLOOKUP(A59,Data!$E:$BM,MATCH(yoy!$G$1,Data!$E$1:$BM$1,),))/VLOOKUP(A59,Data!$E:$BM,MATCH(yoy!$G$1,Data!$E$1:$BM$1,),))+1)^12-1</f>
        <v>1.9256209189049578E-2</v>
      </c>
      <c r="H59" s="14">
        <f>(((VLOOKUP(B59,Data!$E:$BM,MATCH(yoy!$H$1,Data!$E$1:$BM$1,),)-VLOOKUP(A59,Data!$E:$BM,MATCH(yoy!$H$1,Data!$E$1:$BM$1,),))/VLOOKUP(A59,Data!$E:$BM,MATCH(yoy!$H$1,Data!$E$1:$BM$1,),))+1)^12-1</f>
        <v>3.2290747214585025E-2</v>
      </c>
      <c r="I59" s="14"/>
      <c r="J59" s="14"/>
      <c r="K59" s="14">
        <f>(((VLOOKUP(B59,Data!$E:$BM,MATCH(yoy!$K$1,Data!$E$1:$BM$1,),)-VLOOKUP(A59,Data!$E:$BM,MATCH(yoy!$K$1,Data!$E$1:$BM$1,),))/VLOOKUP(A59,Data!$E:$BM,MATCH(yoy!$K$1,Data!$E$1:$BM$1,),))+1)^12-1</f>
        <v>3.8923577168353374E-2</v>
      </c>
      <c r="L59" s="14"/>
      <c r="M59" s="14"/>
      <c r="N59" s="14"/>
      <c r="O59" s="14"/>
      <c r="P59" s="14">
        <f>(((VLOOKUP(B59,Data!$E:$BM,MATCH(yoy!$P$1,Data!$E$1:$BM$1,),)-VLOOKUP(A59,Data!$E:$BM,MATCH(yoy!$P$1,Data!$E$1:$BM$1,),))/VLOOKUP(A59,Data!$E:$BM,MATCH(yoy!$P$1,Data!$E$1:$BM$1,),))+1)^12-1</f>
        <v>0.11116935834502528</v>
      </c>
      <c r="Q59" s="14">
        <f>(((VLOOKUP(B59,Data!$E:$BM,MATCH(yoy!$Q$1,Data!$E$1:$BM$1,),)-VLOOKUP(A59,Data!$E:$BM,MATCH(yoy!$Q$1,Data!$E$1:$BM$1,),))/VLOOKUP(A59,Data!$E:$BM,MATCH(yoy!$Q$1,Data!$E$1:$BM$1,),))+1)^12-1</f>
        <v>-4.8346546040066829E-2</v>
      </c>
      <c r="R59" s="14"/>
      <c r="S59" s="14">
        <f>(((VLOOKUP(B59,Data!$E:$BM,MATCH(yoy!$S$1,Data!$E$1:$BM$1,),)-VLOOKUP(A59,Data!$E:$BM,MATCH(yoy!$S$1,Data!$E$1:$BM$1,),))/VLOOKUP(A59,Data!$E:$BM,MATCH(yoy!$S$1,Data!$E$1:$BM$1,),))+1)^12-1</f>
        <v>9.4522246610929894E-2</v>
      </c>
      <c r="T59" s="14"/>
      <c r="U59" s="14"/>
      <c r="V59" s="14">
        <f>(((VLOOKUP(B59,Data!$E:$BM,MATCH(yoy!$V$1,Data!$E$1:$BM$1,),)-VLOOKUP(A59,Data!$E:$BM,MATCH(yoy!$V$1,Data!$E$1:$BM$1,),))/VLOOKUP(A59,Data!$E:$BM,MATCH(yoy!$V$1,Data!$E$1:$BM$1,),))+1)^12-1</f>
        <v>-3.2743810687785313E-4</v>
      </c>
      <c r="W59" s="14"/>
      <c r="X59" s="14">
        <f>(((VLOOKUP(B59,Data!$E:$BM,MATCH(yoy!$X$1,Data!$E$1:$BM$1,),)-VLOOKUP(A59,Data!$E:$BM,MATCH(yoy!$X$1,Data!$E$1:$BM$1,),))/VLOOKUP(A59,Data!$E:$BM,MATCH(yoy!$X$1,Data!$E$1:$BM$1,),))+1)^12-1</f>
        <v>5.2509072108310795E-2</v>
      </c>
      <c r="Y59" s="14"/>
      <c r="Z59" s="14">
        <f>(((VLOOKUP(B59,Data!$E:$BM,MATCH(yoy!$Z$1,Data!$E$1:$BM$1,),)-VLOOKUP(A59,Data!$E:$BM,MATCH(yoy!$Z$1,Data!$E$1:$BM$1,),))/VLOOKUP(A59,Data!$E:$BM,MATCH(yoy!$Z$1,Data!$E$1:$BM$1,),))+1)^12-1</f>
        <v>1.9725232722999086E-2</v>
      </c>
      <c r="AA59" s="14"/>
    </row>
    <row r="60" spans="1:27" s="78" customFormat="1" x14ac:dyDescent="0.2">
      <c r="A60" s="20">
        <f t="shared" si="3"/>
        <v>43647</v>
      </c>
      <c r="B60" s="12">
        <v>43678</v>
      </c>
      <c r="C60" s="14">
        <f>(((VLOOKUP(B60,Data!$E:$BM,MATCH(yoy!$C$1,Data!$E$1:$BM$1,),)-VLOOKUP(A60,Data!$E:$BM,MATCH(yoy!$C$1,Data!$E$1:$BM$1,),))/VLOOKUP(A60,Data!$E:$BM,MATCH(yoy!$C$1,Data!$E$1:$BM$1,),))+1)^12-1</f>
        <v>5.4862633224061597E-2</v>
      </c>
      <c r="D60" s="14">
        <f>(((VLOOKUP(B60,Data!$E:$BM,MATCH(yoy!$D$1,Data!$E$1:$BM$1,),)-VLOOKUP(A60,Data!$E:$BM,MATCH(yoy!$D$1,Data!$E$1:$BM$1,),))/VLOOKUP(A60,Data!$E:$BM,MATCH(yoy!$D$1,Data!$E$1:$BM$1,),))+1)^12-1</f>
        <v>6.0489342902909859E-2</v>
      </c>
      <c r="E60" s="14"/>
      <c r="F60" s="14">
        <f>(((VLOOKUP(B60,Data!$E:$BM,MATCH(yoy!$F$1,Data!$E$1:$BM$1,),)-VLOOKUP(A60,Data!$E:$BM,MATCH(yoy!$F$1,Data!$E$1:$BM$1,),))/VLOOKUP(A60,Data!$E:$BM,MATCH(yoy!$F$1,Data!$E$1:$BM$1,),))+1)^12-1</f>
        <v>8.4300826782473859E-2</v>
      </c>
      <c r="G60" s="14">
        <f>(((VLOOKUP(B60,Data!$E:$BM,MATCH(yoy!$G$1,Data!$E$1:$BM$1,),)-VLOOKUP(A60,Data!$E:$BM,MATCH(yoy!$G$1,Data!$E$1:$BM$1,),))/VLOOKUP(A60,Data!$E:$BM,MATCH(yoy!$G$1,Data!$E$1:$BM$1,),))+1)^12-1</f>
        <v>2.4447970075614389E-2</v>
      </c>
      <c r="H60" s="14">
        <f>(((VLOOKUP(B60,Data!$E:$BM,MATCH(yoy!$H$1,Data!$E$1:$BM$1,),)-VLOOKUP(A60,Data!$E:$BM,MATCH(yoy!$H$1,Data!$E$1:$BM$1,),))/VLOOKUP(A60,Data!$E:$BM,MATCH(yoy!$H$1,Data!$E$1:$BM$1,),))+1)^12-1</f>
        <v>3.5710329157725207E-2</v>
      </c>
      <c r="I60" s="14"/>
      <c r="J60" s="14"/>
      <c r="K60" s="14">
        <f>(((VLOOKUP(B60,Data!$E:$BM,MATCH(yoy!$K$1,Data!$E$1:$BM$1,),)-VLOOKUP(A60,Data!$E:$BM,MATCH(yoy!$K$1,Data!$E$1:$BM$1,),))/VLOOKUP(A60,Data!$E:$BM,MATCH(yoy!$K$1,Data!$E$1:$BM$1,),))+1)^12-1</f>
        <v>0.14807569342356208</v>
      </c>
      <c r="L60" s="14"/>
      <c r="M60" s="14"/>
      <c r="N60" s="14"/>
      <c r="O60" s="14"/>
      <c r="P60" s="14">
        <f>(((VLOOKUP(B60,Data!$E:$BM,MATCH(yoy!$P$1,Data!$E$1:$BM$1,),)-VLOOKUP(A60,Data!$E:$BM,MATCH(yoy!$P$1,Data!$E$1:$BM$1,),))/VLOOKUP(A60,Data!$E:$BM,MATCH(yoy!$P$1,Data!$E$1:$BM$1,),))+1)^12-1</f>
        <v>0.10589744405834711</v>
      </c>
      <c r="Q60" s="14">
        <f>(((VLOOKUP(B60,Data!$E:$BM,MATCH(yoy!$Q$1,Data!$E$1:$BM$1,),)-VLOOKUP(A60,Data!$E:$BM,MATCH(yoy!$Q$1,Data!$E$1:$BM$1,),))/VLOOKUP(A60,Data!$E:$BM,MATCH(yoy!$Q$1,Data!$E$1:$BM$1,),))+1)^12-1</f>
        <v>-4.4247208017238804E-2</v>
      </c>
      <c r="R60" s="14"/>
      <c r="S60" s="14">
        <f>(((VLOOKUP(B60,Data!$E:$BM,MATCH(yoy!$S$1,Data!$E$1:$BM$1,),)-VLOOKUP(A60,Data!$E:$BM,MATCH(yoy!$S$1,Data!$E$1:$BM$1,),))/VLOOKUP(A60,Data!$E:$BM,MATCH(yoy!$S$1,Data!$E$1:$BM$1,),))+1)^12-1</f>
        <v>5.3435511521958245E-2</v>
      </c>
      <c r="T60" s="14"/>
      <c r="U60" s="14"/>
      <c r="V60" s="14">
        <f>(((VLOOKUP(B60,Data!$E:$BM,MATCH(yoy!$V$1,Data!$E$1:$BM$1,),)-VLOOKUP(A60,Data!$E:$BM,MATCH(yoy!$V$1,Data!$E$1:$BM$1,),))/VLOOKUP(A60,Data!$E:$BM,MATCH(yoy!$V$1,Data!$E$1:$BM$1,),))+1)^12-1</f>
        <v>2.6911321705402669E-2</v>
      </c>
      <c r="W60" s="14"/>
      <c r="X60" s="14">
        <f>(((VLOOKUP(B60,Data!$E:$BM,MATCH(yoy!$X$1,Data!$E$1:$BM$1,),)-VLOOKUP(A60,Data!$E:$BM,MATCH(yoy!$X$1,Data!$E$1:$BM$1,),))/VLOOKUP(A60,Data!$E:$BM,MATCH(yoy!$X$1,Data!$E$1:$BM$1,),))+1)^12-1</f>
        <v>5.3763158913422204E-2</v>
      </c>
      <c r="Y60" s="14"/>
      <c r="Z60" s="14">
        <f>(((VLOOKUP(B60,Data!$E:$BM,MATCH(yoy!$Z$1,Data!$E$1:$BM$1,),)-VLOOKUP(A60,Data!$E:$BM,MATCH(yoy!$Z$1,Data!$E$1:$BM$1,),))/VLOOKUP(A60,Data!$E:$BM,MATCH(yoy!$Z$1,Data!$E$1:$BM$1,),))+1)^12-1</f>
        <v>0.10066659516106857</v>
      </c>
      <c r="AA60" s="14"/>
    </row>
    <row r="61" spans="1:27" s="78" customFormat="1" x14ac:dyDescent="0.2">
      <c r="A61" s="20">
        <f t="shared" si="3"/>
        <v>43678</v>
      </c>
      <c r="B61" s="12">
        <v>43709</v>
      </c>
      <c r="C61" s="14">
        <f>(((VLOOKUP(B61,Data!$E:$BM,MATCH(yoy!$C$1,Data!$E$1:$BM$1,),)-VLOOKUP(A61,Data!$E:$BM,MATCH(yoy!$C$1,Data!$E$1:$BM$1,),))/VLOOKUP(A61,Data!$E:$BM,MATCH(yoy!$C$1,Data!$E$1:$BM$1,),))+1)^12-1</f>
        <v>5.7247609195578253E-2</v>
      </c>
      <c r="D61" s="14">
        <f>(((VLOOKUP(B61,Data!$E:$BM,MATCH(yoy!$D$1,Data!$E$1:$BM$1,),)-VLOOKUP(A61,Data!$E:$BM,MATCH(yoy!$D$1,Data!$E$1:$BM$1,),))/VLOOKUP(A61,Data!$E:$BM,MATCH(yoy!$D$1,Data!$E$1:$BM$1,),))+1)^12-1</f>
        <v>7.5879516637185507E-2</v>
      </c>
      <c r="E61" s="14"/>
      <c r="F61" s="14">
        <f>(((VLOOKUP(B61,Data!$E:$BM,MATCH(yoy!$F$1,Data!$E$1:$BM$1,),)-VLOOKUP(A61,Data!$E:$BM,MATCH(yoy!$F$1,Data!$E$1:$BM$1,),))/VLOOKUP(A61,Data!$E:$BM,MATCH(yoy!$F$1,Data!$E$1:$BM$1,),))+1)^12-1</f>
        <v>4.0407902406202068E-2</v>
      </c>
      <c r="G61" s="14">
        <f>(((VLOOKUP(B61,Data!$E:$BM,MATCH(yoy!$G$1,Data!$E$1:$BM$1,),)-VLOOKUP(A61,Data!$E:$BM,MATCH(yoy!$G$1,Data!$E$1:$BM$1,),))/VLOOKUP(A61,Data!$E:$BM,MATCH(yoy!$G$1,Data!$E$1:$BM$1,),))+1)^12-1</f>
        <v>2.5729827204728162E-2</v>
      </c>
      <c r="H61" s="14">
        <f>(((VLOOKUP(B61,Data!$E:$BM,MATCH(yoy!$H$1,Data!$E$1:$BM$1,),)-VLOOKUP(A61,Data!$E:$BM,MATCH(yoy!$H$1,Data!$E$1:$BM$1,),))/VLOOKUP(A61,Data!$E:$BM,MATCH(yoy!$H$1,Data!$E$1:$BM$1,),))+1)^12-1</f>
        <v>-1.2167276743988653E-2</v>
      </c>
      <c r="I61" s="14"/>
      <c r="J61" s="14"/>
      <c r="K61" s="14">
        <f>(((VLOOKUP(B61,Data!$E:$BM,MATCH(yoy!$K$1,Data!$E$1:$BM$1,),)-VLOOKUP(A61,Data!$E:$BM,MATCH(yoy!$K$1,Data!$E$1:$BM$1,),))/VLOOKUP(A61,Data!$E:$BM,MATCH(yoy!$K$1,Data!$E$1:$BM$1,),))+1)^12-1</f>
        <v>3.2413483310501645E-2</v>
      </c>
      <c r="L61" s="14"/>
      <c r="M61" s="14"/>
      <c r="N61" s="14"/>
      <c r="O61" s="14"/>
      <c r="P61" s="14">
        <f>(((VLOOKUP(B61,Data!$E:$BM,MATCH(yoy!$P$1,Data!$E$1:$BM$1,),)-VLOOKUP(A61,Data!$E:$BM,MATCH(yoy!$P$1,Data!$E$1:$BM$1,),))/VLOOKUP(A61,Data!$E:$BM,MATCH(yoy!$P$1,Data!$E$1:$BM$1,),))+1)^12-1</f>
        <v>7.9109057563842011E-2</v>
      </c>
      <c r="Q61" s="14">
        <f>(((VLOOKUP(B61,Data!$E:$BM,MATCH(yoy!$Q$1,Data!$E$1:$BM$1,),)-VLOOKUP(A61,Data!$E:$BM,MATCH(yoy!$Q$1,Data!$E$1:$BM$1,),))/VLOOKUP(A61,Data!$E:$BM,MATCH(yoy!$Q$1,Data!$E$1:$BM$1,),))+1)^12-1</f>
        <v>2.7375602153031808E-2</v>
      </c>
      <c r="R61" s="14"/>
      <c r="S61" s="14">
        <f>(((VLOOKUP(B61,Data!$E:$BM,MATCH(yoy!$S$1,Data!$E$1:$BM$1,),)-VLOOKUP(A61,Data!$E:$BM,MATCH(yoy!$S$1,Data!$E$1:$BM$1,),))/VLOOKUP(A61,Data!$E:$BM,MATCH(yoy!$S$1,Data!$E$1:$BM$1,),))+1)^12-1</f>
        <v>4.0641047268753727E-2</v>
      </c>
      <c r="T61" s="14"/>
      <c r="U61" s="14"/>
      <c r="V61" s="14">
        <f>(((VLOOKUP(B61,Data!$E:$BM,MATCH(yoy!$V$1,Data!$E$1:$BM$1,),)-VLOOKUP(A61,Data!$E:$BM,MATCH(yoy!$V$1,Data!$E$1:$BM$1,),))/VLOOKUP(A61,Data!$E:$BM,MATCH(yoy!$V$1,Data!$E$1:$BM$1,),))+1)^12-1</f>
        <v>6.6644294488747091E-2</v>
      </c>
      <c r="W61" s="14"/>
      <c r="X61" s="14">
        <f>(((VLOOKUP(B61,Data!$E:$BM,MATCH(yoy!$X$1,Data!$E$1:$BM$1,),)-VLOOKUP(A61,Data!$E:$BM,MATCH(yoy!$X$1,Data!$E$1:$BM$1,),))/VLOOKUP(A61,Data!$E:$BM,MATCH(yoy!$X$1,Data!$E$1:$BM$1,),))+1)^12-1</f>
        <v>-4.5347379292344225E-3</v>
      </c>
      <c r="Y61" s="14"/>
      <c r="Z61" s="14">
        <f>(((VLOOKUP(B61,Data!$E:$BM,MATCH(yoy!$Z$1,Data!$E$1:$BM$1,),)-VLOOKUP(A61,Data!$E:$BM,MATCH(yoy!$Z$1,Data!$E$1:$BM$1,),))/VLOOKUP(A61,Data!$E:$BM,MATCH(yoy!$Z$1,Data!$E$1:$BM$1,),))+1)^12-1</f>
        <v>6.5719314462443501E-2</v>
      </c>
      <c r="AA61" s="14"/>
    </row>
    <row r="62" spans="1:27" s="78" customFormat="1" x14ac:dyDescent="0.2">
      <c r="A62" s="20">
        <f t="shared" si="3"/>
        <v>43709</v>
      </c>
      <c r="B62" s="12">
        <v>43739</v>
      </c>
      <c r="C62" s="14">
        <f>(((VLOOKUP(B62,Data!$E:$BM,MATCH(yoy!$C$1,Data!$E$1:$BM$1,),)-VLOOKUP(A62,Data!$E:$BM,MATCH(yoy!$C$1,Data!$E$1:$BM$1,),))/VLOOKUP(A62,Data!$E:$BM,MATCH(yoy!$C$1,Data!$E$1:$BM$1,),))+1)^12-1</f>
        <v>6.979123622863459E-2</v>
      </c>
      <c r="D62" s="14">
        <f>(((VLOOKUP(B62,Data!$E:$BM,MATCH(yoy!$D$1,Data!$E$1:$BM$1,),)-VLOOKUP(A62,Data!$E:$BM,MATCH(yoy!$D$1,Data!$E$1:$BM$1,),))/VLOOKUP(A62,Data!$E:$BM,MATCH(yoy!$D$1,Data!$E$1:$BM$1,),))+1)^12-1</f>
        <v>0.10864565991857367</v>
      </c>
      <c r="E62" s="14"/>
      <c r="F62" s="14">
        <f>(((VLOOKUP(B62,Data!$E:$BM,MATCH(yoy!$F$1,Data!$E$1:$BM$1,),)-VLOOKUP(A62,Data!$E:$BM,MATCH(yoy!$F$1,Data!$E$1:$BM$1,),))/VLOOKUP(A62,Data!$E:$BM,MATCH(yoy!$F$1,Data!$E$1:$BM$1,),))+1)^12-1</f>
        <v>1.0407238585968592E-2</v>
      </c>
      <c r="G62" s="14">
        <f>(((VLOOKUP(B62,Data!$E:$BM,MATCH(yoy!$G$1,Data!$E$1:$BM$1,),)-VLOOKUP(A62,Data!$E:$BM,MATCH(yoy!$G$1,Data!$E$1:$BM$1,),))/VLOOKUP(A62,Data!$E:$BM,MATCH(yoy!$G$1,Data!$E$1:$BM$1,),))+1)^12-1</f>
        <v>2.0686678597127806E-2</v>
      </c>
      <c r="H62" s="14">
        <f>(((VLOOKUP(B62,Data!$E:$BM,MATCH(yoy!$H$1,Data!$E$1:$BM$1,),)-VLOOKUP(A62,Data!$E:$BM,MATCH(yoy!$H$1,Data!$E$1:$BM$1,),))/VLOOKUP(A62,Data!$E:$BM,MATCH(yoy!$H$1,Data!$E$1:$BM$1,),))+1)^12-1</f>
        <v>-5.421760083587801E-2</v>
      </c>
      <c r="I62" s="14"/>
      <c r="J62" s="14"/>
      <c r="K62" s="14">
        <f>(((VLOOKUP(B62,Data!$E:$BM,MATCH(yoy!$K$1,Data!$E$1:$BM$1,),)-VLOOKUP(A62,Data!$E:$BM,MATCH(yoy!$K$1,Data!$E$1:$BM$1,),))/VLOOKUP(A62,Data!$E:$BM,MATCH(yoy!$K$1,Data!$E$1:$BM$1,),))+1)^12-1</f>
        <v>-4.0557475648655195E-2</v>
      </c>
      <c r="L62" s="14"/>
      <c r="M62" s="14"/>
      <c r="N62" s="14"/>
      <c r="O62" s="14"/>
      <c r="P62" s="14">
        <f>(((VLOOKUP(B62,Data!$E:$BM,MATCH(yoy!$P$1,Data!$E$1:$BM$1,),)-VLOOKUP(A62,Data!$E:$BM,MATCH(yoy!$P$1,Data!$E$1:$BM$1,),))/VLOOKUP(A62,Data!$E:$BM,MATCH(yoy!$P$1,Data!$E$1:$BM$1,),))+1)^12-1</f>
        <v>7.9453690865475934E-2</v>
      </c>
      <c r="Q62" s="14">
        <f>(((VLOOKUP(B62,Data!$E:$BM,MATCH(yoy!$Q$1,Data!$E$1:$BM$1,),)-VLOOKUP(A62,Data!$E:$BM,MATCH(yoy!$Q$1,Data!$E$1:$BM$1,),))/VLOOKUP(A62,Data!$E:$BM,MATCH(yoy!$Q$1,Data!$E$1:$BM$1,),))+1)^12-1</f>
        <v>3.7142233987425E-2</v>
      </c>
      <c r="R62" s="14"/>
      <c r="S62" s="14">
        <f>(((VLOOKUP(B62,Data!$E:$BM,MATCH(yoy!$S$1,Data!$E$1:$BM$1,),)-VLOOKUP(A62,Data!$E:$BM,MATCH(yoy!$S$1,Data!$E$1:$BM$1,),))/VLOOKUP(A62,Data!$E:$BM,MATCH(yoy!$S$1,Data!$E$1:$BM$1,),))+1)^12-1</f>
        <v>0.11718644525666733</v>
      </c>
      <c r="T62" s="14"/>
      <c r="U62" s="14"/>
      <c r="V62" s="14">
        <f>(((VLOOKUP(B62,Data!$E:$BM,MATCH(yoy!$V$1,Data!$E$1:$BM$1,),)-VLOOKUP(A62,Data!$E:$BM,MATCH(yoy!$V$1,Data!$E$1:$BM$1,),))/VLOOKUP(A62,Data!$E:$BM,MATCH(yoy!$V$1,Data!$E$1:$BM$1,),))+1)^12-1</f>
        <v>7.5375660404027212E-2</v>
      </c>
      <c r="W62" s="14"/>
      <c r="X62" s="14">
        <f>(((VLOOKUP(B62,Data!$E:$BM,MATCH(yoy!$X$1,Data!$E$1:$BM$1,),)-VLOOKUP(A62,Data!$E:$BM,MATCH(yoy!$X$1,Data!$E$1:$BM$1,),))/VLOOKUP(A62,Data!$E:$BM,MATCH(yoy!$X$1,Data!$E$1:$BM$1,),))+1)^12-1</f>
        <v>-3.3243243644482945E-3</v>
      </c>
      <c r="Y62" s="14"/>
      <c r="Z62" s="14">
        <f>(((VLOOKUP(B62,Data!$E:$BM,MATCH(yoy!$Z$1,Data!$E$1:$BM$1,),)-VLOOKUP(A62,Data!$E:$BM,MATCH(yoy!$Z$1,Data!$E$1:$BM$1,),))/VLOOKUP(A62,Data!$E:$BM,MATCH(yoy!$Z$1,Data!$E$1:$BM$1,),))+1)^12-1</f>
        <v>5.4594641314169134E-2</v>
      </c>
      <c r="AA62" s="14"/>
    </row>
    <row r="63" spans="1:27" s="78" customFormat="1" x14ac:dyDescent="0.2">
      <c r="A63" s="20">
        <f t="shared" si="3"/>
        <v>43739</v>
      </c>
      <c r="B63" s="12">
        <v>43770</v>
      </c>
      <c r="C63" s="14">
        <f>(((VLOOKUP(B63,Data!$E:$BM,MATCH(yoy!$C$1,Data!$E$1:$BM$1,),)-VLOOKUP(A63,Data!$E:$BM,MATCH(yoy!$C$1,Data!$E$1:$BM$1,),))/VLOOKUP(A63,Data!$E:$BM,MATCH(yoy!$C$1,Data!$E$1:$BM$1,),))+1)^12-1</f>
        <v>6.8024411821462127E-2</v>
      </c>
      <c r="D63" s="14">
        <f>(((VLOOKUP(B63,Data!$E:$BM,MATCH(yoy!$D$1,Data!$E$1:$BM$1,),)-VLOOKUP(A63,Data!$E:$BM,MATCH(yoy!$D$1,Data!$E$1:$BM$1,),))/VLOOKUP(A63,Data!$E:$BM,MATCH(yoy!$D$1,Data!$E$1:$BM$1,),))+1)^12-1</f>
        <v>8.5873801843129538E-2</v>
      </c>
      <c r="E63" s="14"/>
      <c r="F63" s="14">
        <f>(((VLOOKUP(B63,Data!$E:$BM,MATCH(yoy!$F$1,Data!$E$1:$BM$1,),)-VLOOKUP(A63,Data!$E:$BM,MATCH(yoy!$F$1,Data!$E$1:$BM$1,),))/VLOOKUP(A63,Data!$E:$BM,MATCH(yoy!$F$1,Data!$E$1:$BM$1,),))+1)^12-1</f>
        <v>7.6319848297520254E-2</v>
      </c>
      <c r="G63" s="14">
        <f>(((VLOOKUP(B63,Data!$E:$BM,MATCH(yoy!$G$1,Data!$E$1:$BM$1,),)-VLOOKUP(A63,Data!$E:$BM,MATCH(yoy!$G$1,Data!$E$1:$BM$1,),))/VLOOKUP(A63,Data!$E:$BM,MATCH(yoy!$G$1,Data!$E$1:$BM$1,),))+1)^12-1</f>
        <v>2.8870801665835E-2</v>
      </c>
      <c r="H63" s="14">
        <f>(((VLOOKUP(B63,Data!$E:$BM,MATCH(yoy!$H$1,Data!$E$1:$BM$1,),)-VLOOKUP(A63,Data!$E:$BM,MATCH(yoy!$H$1,Data!$E$1:$BM$1,),))/VLOOKUP(A63,Data!$E:$BM,MATCH(yoy!$H$1,Data!$E$1:$BM$1,),))+1)^12-1</f>
        <v>-2.111200657620671E-2</v>
      </c>
      <c r="I63" s="14"/>
      <c r="J63" s="14"/>
      <c r="K63" s="14">
        <f>(((VLOOKUP(B63,Data!$E:$BM,MATCH(yoy!$K$1,Data!$E$1:$BM$1,),)-VLOOKUP(A63,Data!$E:$BM,MATCH(yoy!$K$1,Data!$E$1:$BM$1,),))/VLOOKUP(A63,Data!$E:$BM,MATCH(yoy!$K$1,Data!$E$1:$BM$1,),))+1)^12-1</f>
        <v>4.4669949520744989E-2</v>
      </c>
      <c r="L63" s="14"/>
      <c r="M63" s="14"/>
      <c r="N63" s="14"/>
      <c r="O63" s="14"/>
      <c r="P63" s="14">
        <f>(((VLOOKUP(B63,Data!$E:$BM,MATCH(yoy!$P$1,Data!$E$1:$BM$1,),)-VLOOKUP(A63,Data!$E:$BM,MATCH(yoy!$P$1,Data!$E$1:$BM$1,),))/VLOOKUP(A63,Data!$E:$BM,MATCH(yoy!$P$1,Data!$E$1:$BM$1,),))+1)^12-1</f>
        <v>7.3312032375749681E-2</v>
      </c>
      <c r="Q63" s="14">
        <f>(((VLOOKUP(B63,Data!$E:$BM,MATCH(yoy!$Q$1,Data!$E$1:$BM$1,),)-VLOOKUP(A63,Data!$E:$BM,MATCH(yoy!$Q$1,Data!$E$1:$BM$1,),))/VLOOKUP(A63,Data!$E:$BM,MATCH(yoy!$Q$1,Data!$E$1:$BM$1,),))+1)^12-1</f>
        <v>4.429721279407195E-2</v>
      </c>
      <c r="R63" s="14"/>
      <c r="S63" s="14">
        <f>(((VLOOKUP(B63,Data!$E:$BM,MATCH(yoy!$S$1,Data!$E$1:$BM$1,),)-VLOOKUP(A63,Data!$E:$BM,MATCH(yoy!$S$1,Data!$E$1:$BM$1,),))/VLOOKUP(A63,Data!$E:$BM,MATCH(yoy!$S$1,Data!$E$1:$BM$1,),))+1)^12-1</f>
        <v>0.10710487620871079</v>
      </c>
      <c r="T63" s="14"/>
      <c r="U63" s="14"/>
      <c r="V63" s="14">
        <f>(((VLOOKUP(B63,Data!$E:$BM,MATCH(yoy!$V$1,Data!$E$1:$BM$1,),)-VLOOKUP(A63,Data!$E:$BM,MATCH(yoy!$V$1,Data!$E$1:$BM$1,),))/VLOOKUP(A63,Data!$E:$BM,MATCH(yoy!$V$1,Data!$E$1:$BM$1,),))+1)^12-1</f>
        <v>6.4203400559024404E-2</v>
      </c>
      <c r="W63" s="14"/>
      <c r="X63" s="14">
        <f>(((VLOOKUP(B63,Data!$E:$BM,MATCH(yoy!$X$1,Data!$E$1:$BM$1,),)-VLOOKUP(A63,Data!$E:$BM,MATCH(yoy!$X$1,Data!$E$1:$BM$1,),))/VLOOKUP(A63,Data!$E:$BM,MATCH(yoy!$X$1,Data!$E$1:$BM$1,),))+1)^12-1</f>
        <v>4.9592912400579836E-2</v>
      </c>
      <c r="Y63" s="14"/>
      <c r="Z63" s="14">
        <f>(((VLOOKUP(B63,Data!$E:$BM,MATCH(yoy!$Z$1,Data!$E$1:$BM$1,),)-VLOOKUP(A63,Data!$E:$BM,MATCH(yoy!$Z$1,Data!$E$1:$BM$1,),))/VLOOKUP(A63,Data!$E:$BM,MATCH(yoy!$Z$1,Data!$E$1:$BM$1,),))+1)^12-1</f>
        <v>0.11379015801337578</v>
      </c>
      <c r="AA63" s="14"/>
    </row>
    <row r="64" spans="1:27" s="78" customFormat="1" x14ac:dyDescent="0.2">
      <c r="A64" s="20">
        <f t="shared" si="3"/>
        <v>43770</v>
      </c>
      <c r="B64" s="12">
        <v>43800</v>
      </c>
      <c r="C64" s="14">
        <f>(((VLOOKUP(B64,Data!$E:$BM,MATCH(yoy!$C$1,Data!$E$1:$BM$1,),)-VLOOKUP(A64,Data!$E:$BM,MATCH(yoy!$C$1,Data!$E$1:$BM$1,),))/VLOOKUP(A64,Data!$E:$BM,MATCH(yoy!$C$1,Data!$E$1:$BM$1,),))+1)^12-1</f>
        <v>4.7995913093032083E-2</v>
      </c>
      <c r="D64" s="14">
        <f>(((VLOOKUP(B64,Data!$E:$BM,MATCH(yoy!$D$1,Data!$E$1:$BM$1,),)-VLOOKUP(A64,Data!$E:$BM,MATCH(yoy!$D$1,Data!$E$1:$BM$1,),))/VLOOKUP(A64,Data!$E:$BM,MATCH(yoy!$D$1,Data!$E$1:$BM$1,),))+1)^12-1</f>
        <v>4.7565528296855897E-2</v>
      </c>
      <c r="E64" s="14"/>
      <c r="F64" s="14">
        <f>(((VLOOKUP(B64,Data!$E:$BM,MATCH(yoy!$F$1,Data!$E$1:$BM$1,),)-VLOOKUP(A64,Data!$E:$BM,MATCH(yoy!$F$1,Data!$E$1:$BM$1,),))/VLOOKUP(A64,Data!$E:$BM,MATCH(yoy!$F$1,Data!$E$1:$BM$1,),))+1)^12-1</f>
        <v>2.9354332353558998E-2</v>
      </c>
      <c r="G64" s="14">
        <f>(((VLOOKUP(B64,Data!$E:$BM,MATCH(yoy!$G$1,Data!$E$1:$BM$1,),)-VLOOKUP(A64,Data!$E:$BM,MATCH(yoy!$G$1,Data!$E$1:$BM$1,),))/VLOOKUP(A64,Data!$E:$BM,MATCH(yoy!$G$1,Data!$E$1:$BM$1,),))+1)^12-1</f>
        <v>2.0634377979216634E-2</v>
      </c>
      <c r="H64" s="14">
        <f>(((VLOOKUP(B64,Data!$E:$BM,MATCH(yoy!$H$1,Data!$E$1:$BM$1,),)-VLOOKUP(A64,Data!$E:$BM,MATCH(yoy!$H$1,Data!$E$1:$BM$1,),))/VLOOKUP(A64,Data!$E:$BM,MATCH(yoy!$H$1,Data!$E$1:$BM$1,),))+1)^12-1</f>
        <v>4.7510471368297891E-2</v>
      </c>
      <c r="I64" s="14"/>
      <c r="J64" s="14"/>
      <c r="K64" s="14">
        <f>(((VLOOKUP(B64,Data!$E:$BM,MATCH(yoy!$K$1,Data!$E$1:$BM$1,),)-VLOOKUP(A64,Data!$E:$BM,MATCH(yoy!$K$1,Data!$E$1:$BM$1,),))/VLOOKUP(A64,Data!$E:$BM,MATCH(yoy!$K$1,Data!$E$1:$BM$1,),))+1)^12-1</f>
        <v>2.8930885696444308E-2</v>
      </c>
      <c r="L64" s="14"/>
      <c r="M64" s="14"/>
      <c r="N64" s="14"/>
      <c r="O64" s="14"/>
      <c r="P64" s="14">
        <f>(((VLOOKUP(B64,Data!$E:$BM,MATCH(yoy!$P$1,Data!$E$1:$BM$1,),)-VLOOKUP(A64,Data!$E:$BM,MATCH(yoy!$P$1,Data!$E$1:$BM$1,),))/VLOOKUP(A64,Data!$E:$BM,MATCH(yoy!$P$1,Data!$E$1:$BM$1,),))+1)^12-1</f>
        <v>8.6766349245305463E-2</v>
      </c>
      <c r="Q64" s="14">
        <f>(((VLOOKUP(B64,Data!$E:$BM,MATCH(yoy!$Q$1,Data!$E$1:$BM$1,),)-VLOOKUP(A64,Data!$E:$BM,MATCH(yoy!$Q$1,Data!$E$1:$BM$1,),))/VLOOKUP(A64,Data!$E:$BM,MATCH(yoy!$Q$1,Data!$E$1:$BM$1,),))+1)^12-1</f>
        <v>2.3134942556908511E-2</v>
      </c>
      <c r="R64" s="14"/>
      <c r="S64" s="14">
        <f>(((VLOOKUP(B64,Data!$E:$BM,MATCH(yoy!$S$1,Data!$E$1:$BM$1,),)-VLOOKUP(A64,Data!$E:$BM,MATCH(yoy!$S$1,Data!$E$1:$BM$1,),))/VLOOKUP(A64,Data!$E:$BM,MATCH(yoy!$S$1,Data!$E$1:$BM$1,),))+1)^12-1</f>
        <v>3.4679044126370684E-2</v>
      </c>
      <c r="T64" s="14"/>
      <c r="U64" s="14"/>
      <c r="V64" s="14">
        <f>(((VLOOKUP(B64,Data!$E:$BM,MATCH(yoy!$V$1,Data!$E$1:$BM$1,),)-VLOOKUP(A64,Data!$E:$BM,MATCH(yoy!$V$1,Data!$E$1:$BM$1,),))/VLOOKUP(A64,Data!$E:$BM,MATCH(yoy!$V$1,Data!$E$1:$BM$1,),))+1)^12-1</f>
        <v>6.7699873609669448E-2</v>
      </c>
      <c r="W64" s="14"/>
      <c r="X64" s="14">
        <f>(((VLOOKUP(B64,Data!$E:$BM,MATCH(yoy!$X$1,Data!$E$1:$BM$1,),)-VLOOKUP(A64,Data!$E:$BM,MATCH(yoy!$X$1,Data!$E$1:$BM$1,),))/VLOOKUP(A64,Data!$E:$BM,MATCH(yoy!$X$1,Data!$E$1:$BM$1,),))+1)^12-1</f>
        <v>-3.4788808945238392E-2</v>
      </c>
      <c r="Y64" s="14"/>
      <c r="Z64" s="14">
        <f>(((VLOOKUP(B64,Data!$E:$BM,MATCH(yoy!$Z$1,Data!$E$1:$BM$1,),)-VLOOKUP(A64,Data!$E:$BM,MATCH(yoy!$Z$1,Data!$E$1:$BM$1,),))/VLOOKUP(A64,Data!$E:$BM,MATCH(yoy!$Z$1,Data!$E$1:$BM$1,),))+1)^12-1</f>
        <v>-1.0257642716993143E-3</v>
      </c>
      <c r="AA64" s="14"/>
    </row>
    <row r="65" spans="1:27" s="78" customFormat="1" x14ac:dyDescent="0.2">
      <c r="A65" s="20">
        <f t="shared" si="3"/>
        <v>43800</v>
      </c>
      <c r="B65" s="12">
        <v>43831</v>
      </c>
      <c r="C65" s="14">
        <f>(((VLOOKUP(B65,Data!$E:$BM,MATCH(yoy!$C$1,Data!$E$1:$BM$1,),)-VLOOKUP(A65,Data!$E:$BM,MATCH(yoy!$C$1,Data!$E$1:$BM$1,),))/VLOOKUP(A65,Data!$E:$BM,MATCH(yoy!$C$1,Data!$E$1:$BM$1,),))+1)^12-1</f>
        <v>6.9225954986686711E-2</v>
      </c>
      <c r="D65" s="14">
        <f>(((VLOOKUP(B65,Data!$E:$BM,MATCH(yoy!$D$1,Data!$E$1:$BM$1,),)-VLOOKUP(A65,Data!$E:$BM,MATCH(yoy!$D$1,Data!$E$1:$BM$1,),))/VLOOKUP(A65,Data!$E:$BM,MATCH(yoy!$D$1,Data!$E$1:$BM$1,),))+1)^12-1</f>
        <v>9.8416958742367333E-2</v>
      </c>
      <c r="E65" s="14"/>
      <c r="F65" s="14">
        <f>(((VLOOKUP(B65,Data!$E:$BM,MATCH(yoy!$F$1,Data!$E$1:$BM$1,),)-VLOOKUP(A65,Data!$E:$BM,MATCH(yoy!$F$1,Data!$E$1:$BM$1,),))/VLOOKUP(A65,Data!$E:$BM,MATCH(yoy!$F$1,Data!$E$1:$BM$1,),))+1)^12-1</f>
        <v>-1.4878603977758864E-2</v>
      </c>
      <c r="G65" s="14">
        <f>(((VLOOKUP(B65,Data!$E:$BM,MATCH(yoy!$G$1,Data!$E$1:$BM$1,),)-VLOOKUP(A65,Data!$E:$BM,MATCH(yoy!$G$1,Data!$E$1:$BM$1,),))/VLOOKUP(A65,Data!$E:$BM,MATCH(yoy!$G$1,Data!$E$1:$BM$1,),))+1)^12-1</f>
        <v>2.2394694379096469E-2</v>
      </c>
      <c r="H65" s="14">
        <f>(((VLOOKUP(B65,Data!$E:$BM,MATCH(yoy!$H$1,Data!$E$1:$BM$1,),)-VLOOKUP(A65,Data!$E:$BM,MATCH(yoy!$H$1,Data!$E$1:$BM$1,),))/VLOOKUP(A65,Data!$E:$BM,MATCH(yoy!$H$1,Data!$E$1:$BM$1,),))+1)^12-1</f>
        <v>3.5958087299196473E-2</v>
      </c>
      <c r="I65" s="14"/>
      <c r="J65" s="14"/>
      <c r="K65" s="14">
        <f>(((VLOOKUP(B65,Data!$E:$BM,MATCH(yoy!$K$1,Data!$E$1:$BM$1,),)-VLOOKUP(A65,Data!$E:$BM,MATCH(yoy!$K$1,Data!$E$1:$BM$1,),))/VLOOKUP(A65,Data!$E:$BM,MATCH(yoy!$K$1,Data!$E$1:$BM$1,),))+1)^12-1</f>
        <v>8.8866116493877545E-3</v>
      </c>
      <c r="L65" s="14"/>
      <c r="M65" s="14"/>
      <c r="N65" s="14"/>
      <c r="O65" s="14"/>
      <c r="P65" s="14">
        <f>(((VLOOKUP(B65,Data!$E:$BM,MATCH(yoy!$P$1,Data!$E$1:$BM$1,),)-VLOOKUP(A65,Data!$E:$BM,MATCH(yoy!$P$1,Data!$E$1:$BM$1,),))/VLOOKUP(A65,Data!$E:$BM,MATCH(yoy!$P$1,Data!$E$1:$BM$1,),))+1)^12-1</f>
        <v>2.5491455720580536E-2</v>
      </c>
      <c r="Q65" s="14">
        <f>(((VLOOKUP(B65,Data!$E:$BM,MATCH(yoy!$Q$1,Data!$E$1:$BM$1,),)-VLOOKUP(A65,Data!$E:$BM,MATCH(yoy!$Q$1,Data!$E$1:$BM$1,),))/VLOOKUP(A65,Data!$E:$BM,MATCH(yoy!$Q$1,Data!$E$1:$BM$1,),))+1)^12-1</f>
        <v>2.8780698665259008E-2</v>
      </c>
      <c r="R65" s="14"/>
      <c r="S65" s="14">
        <f>(((VLOOKUP(B65,Data!$E:$BM,MATCH(yoy!$S$1,Data!$E$1:$BM$1,),)-VLOOKUP(A65,Data!$E:$BM,MATCH(yoy!$S$1,Data!$E$1:$BM$1,),))/VLOOKUP(A65,Data!$E:$BM,MATCH(yoy!$S$1,Data!$E$1:$BM$1,),))+1)^12-1</f>
        <v>-1</v>
      </c>
      <c r="T65" s="14"/>
      <c r="U65" s="14"/>
      <c r="V65" s="14">
        <f>(((VLOOKUP(B65,Data!$E:$BM,MATCH(yoy!$V$1,Data!$E$1:$BM$1,),)-VLOOKUP(A65,Data!$E:$BM,MATCH(yoy!$V$1,Data!$E$1:$BM$1,),))/VLOOKUP(A65,Data!$E:$BM,MATCH(yoy!$V$1,Data!$E$1:$BM$1,),))+1)^12-1</f>
        <v>-1</v>
      </c>
      <c r="W65" s="14"/>
      <c r="X65" s="14">
        <f>(((VLOOKUP(B65,Data!$E:$BM,MATCH(yoy!$X$1,Data!$E$1:$BM$1,),)-VLOOKUP(A65,Data!$E:$BM,MATCH(yoy!$X$1,Data!$E$1:$BM$1,),))/VLOOKUP(A65,Data!$E:$BM,MATCH(yoy!$X$1,Data!$E$1:$BM$1,),))+1)^12-1</f>
        <v>4.8697642348211723E-2</v>
      </c>
      <c r="Y65" s="14"/>
      <c r="Z65" s="14">
        <f>(((VLOOKUP(B65,Data!$E:$BM,MATCH(yoy!$Z$1,Data!$E$1:$BM$1,),)-VLOOKUP(A65,Data!$E:$BM,MATCH(yoy!$Z$1,Data!$E$1:$BM$1,),))/VLOOKUP(A65,Data!$E:$BM,MATCH(yoy!$Z$1,Data!$E$1:$BM$1,),))+1)^12-1</f>
        <v>4.3723717061069811E-2</v>
      </c>
      <c r="AA65" s="14"/>
    </row>
    <row r="66" spans="1:27" s="78" customFormat="1" x14ac:dyDescent="0.2">
      <c r="A66" s="20">
        <f t="shared" si="3"/>
        <v>43831</v>
      </c>
      <c r="B66" s="12">
        <v>43862</v>
      </c>
      <c r="C66" s="14">
        <f>(((VLOOKUP(B66,Data!$E:$BM,MATCH(yoy!$C$1,Data!$E$1:$BM$1,),)-VLOOKUP(A66,Data!$E:$BM,MATCH(yoy!$C$1,Data!$E$1:$BM$1,),))/VLOOKUP(A66,Data!$E:$BM,MATCH(yoy!$C$1,Data!$E$1:$BM$1,),))+1)^12-1</f>
        <v>7.4333737967463342E-2</v>
      </c>
      <c r="D66" s="14">
        <f>(((VLOOKUP(B66,Data!$E:$BM,MATCH(yoy!$D$1,Data!$E$1:$BM$1,),)-VLOOKUP(A66,Data!$E:$BM,MATCH(yoy!$D$1,Data!$E$1:$BM$1,),))/VLOOKUP(A66,Data!$E:$BM,MATCH(yoy!$D$1,Data!$E$1:$BM$1,),))+1)^12-1</f>
        <v>7.8217155747160483E-2</v>
      </c>
      <c r="E66" s="14"/>
      <c r="F66" s="14">
        <f>(((VLOOKUP(B66,Data!$E:$BM,MATCH(yoy!$F$1,Data!$E$1:$BM$1,),)-VLOOKUP(A66,Data!$E:$BM,MATCH(yoy!$F$1,Data!$E$1:$BM$1,),))/VLOOKUP(A66,Data!$E:$BM,MATCH(yoy!$F$1,Data!$E$1:$BM$1,),))+1)^12-1</f>
        <v>4.840916271009843E-2</v>
      </c>
      <c r="G66" s="14">
        <f>(((VLOOKUP(B66,Data!$E:$BM,MATCH(yoy!$G$1,Data!$E$1:$BM$1,),)-VLOOKUP(A66,Data!$E:$BM,MATCH(yoy!$G$1,Data!$E$1:$BM$1,),))/VLOOKUP(A66,Data!$E:$BM,MATCH(yoy!$G$1,Data!$E$1:$BM$1,),))+1)^12-1</f>
        <v>4.130906137667667E-2</v>
      </c>
      <c r="H66" s="14">
        <f>(((VLOOKUP(B66,Data!$E:$BM,MATCH(yoy!$H$1,Data!$E$1:$BM$1,),)-VLOOKUP(A66,Data!$E:$BM,MATCH(yoy!$H$1,Data!$E$1:$BM$1,),))/VLOOKUP(A66,Data!$E:$BM,MATCH(yoy!$H$1,Data!$E$1:$BM$1,),))+1)^12-1</f>
        <v>6.1176667962481224E-2</v>
      </c>
      <c r="I66" s="14"/>
      <c r="J66" s="14"/>
      <c r="K66" s="14">
        <f>(((VLOOKUP(B66,Data!$E:$BM,MATCH(yoy!$K$1,Data!$E$1:$BM$1,),)-VLOOKUP(A66,Data!$E:$BM,MATCH(yoy!$K$1,Data!$E$1:$BM$1,),))/VLOOKUP(A66,Data!$E:$BM,MATCH(yoy!$K$1,Data!$E$1:$BM$1,),))+1)^12-1</f>
        <v>4.8827600971051766E-2</v>
      </c>
      <c r="L66" s="14"/>
      <c r="M66" s="14"/>
      <c r="N66" s="14"/>
      <c r="O66" s="14"/>
      <c r="P66" s="14">
        <f>(((VLOOKUP(B66,Data!$E:$BM,MATCH(yoy!$P$1,Data!$E$1:$BM$1,),)-VLOOKUP(A66,Data!$E:$BM,MATCH(yoy!$P$1,Data!$E$1:$BM$1,),))/VLOOKUP(A66,Data!$E:$BM,MATCH(yoy!$P$1,Data!$E$1:$BM$1,),))+1)^12-1</f>
        <v>0.14513676911766304</v>
      </c>
      <c r="Q66" s="14">
        <f>(((VLOOKUP(B66,Data!$E:$BM,MATCH(yoy!$Q$1,Data!$E$1:$BM$1,),)-VLOOKUP(A66,Data!$E:$BM,MATCH(yoy!$Q$1,Data!$E$1:$BM$1,),))/VLOOKUP(A66,Data!$E:$BM,MATCH(yoy!$Q$1,Data!$E$1:$BM$1,),))+1)^12-1</f>
        <v>4.2498825391636519E-2</v>
      </c>
      <c r="R66" s="14"/>
      <c r="S66" s="14" t="e">
        <f>(((VLOOKUP(B66,Data!$E:$BM,MATCH(yoy!$S$1,Data!$E$1:$BM$1,),)-VLOOKUP(A66,Data!$E:$BM,MATCH(yoy!$S$1,Data!$E$1:$BM$1,),))/VLOOKUP(A66,Data!$E:$BM,MATCH(yoy!$S$1,Data!$E$1:$BM$1,),))+1)^12-1</f>
        <v>#DIV/0!</v>
      </c>
      <c r="T66" s="14"/>
      <c r="U66" s="14"/>
      <c r="V66" s="14" t="e">
        <f>(((VLOOKUP(B66,Data!$E:$BM,MATCH(yoy!$V$1,Data!$E$1:$BM$1,),)-VLOOKUP(A66,Data!$E:$BM,MATCH(yoy!$V$1,Data!$E$1:$BM$1,),))/VLOOKUP(A66,Data!$E:$BM,MATCH(yoy!$V$1,Data!$E$1:$BM$1,),))+1)^12-1</f>
        <v>#DIV/0!</v>
      </c>
      <c r="W66" s="14"/>
      <c r="X66" s="14">
        <f>(((VLOOKUP(B66,Data!$E:$BM,MATCH(yoy!$X$1,Data!$E$1:$BM$1,),)-VLOOKUP(A66,Data!$E:$BM,MATCH(yoy!$X$1,Data!$E$1:$BM$1,),))/VLOOKUP(A66,Data!$E:$BM,MATCH(yoy!$X$1,Data!$E$1:$BM$1,),))+1)^12-1</f>
        <v>0.19984701871407062</v>
      </c>
      <c r="Y66" s="14"/>
      <c r="Z66" s="14">
        <f>(((VLOOKUP(B66,Data!$E:$BM,MATCH(yoy!$Z$1,Data!$E$1:$BM$1,),)-VLOOKUP(A66,Data!$E:$BM,MATCH(yoy!$Z$1,Data!$E$1:$BM$1,),))/VLOOKUP(A66,Data!$E:$BM,MATCH(yoy!$Z$1,Data!$E$1:$BM$1,),))+1)^12-1</f>
        <v>0.17630484813336222</v>
      </c>
      <c r="AA66" s="14"/>
    </row>
    <row r="67" spans="1:27" s="78" customFormat="1" x14ac:dyDescent="0.2"/>
    <row r="68" spans="1:27" s="78" customFormat="1" x14ac:dyDescent="0.2"/>
    <row r="69" spans="1:27" s="78" customFormat="1" x14ac:dyDescent="0.2"/>
    <row r="70" spans="1:27" s="78" customFormat="1" x14ac:dyDescent="0.2"/>
    <row r="71" spans="1:27" s="78" customFormat="1" x14ac:dyDescent="0.2"/>
    <row r="72" spans="1:27" s="78" customFormat="1" x14ac:dyDescent="0.2"/>
    <row r="73" spans="1:27" s="78" customFormat="1" x14ac:dyDescent="0.2"/>
    <row r="74" spans="1:27" s="78" customFormat="1" x14ac:dyDescent="0.2"/>
    <row r="75" spans="1:27" s="78" customFormat="1" x14ac:dyDescent="0.2"/>
    <row r="76" spans="1:27" s="78" customFormat="1" x14ac:dyDescent="0.2"/>
    <row r="77" spans="1:27" s="78" customFormat="1" x14ac:dyDescent="0.2"/>
    <row r="78" spans="1:27" s="78" customFormat="1" x14ac:dyDescent="0.2"/>
    <row r="79" spans="1:27" s="78" customFormat="1" x14ac:dyDescent="0.2"/>
    <row r="80" spans="1:27" s="78" customFormat="1" x14ac:dyDescent="0.2"/>
    <row r="81" s="78" customFormat="1" x14ac:dyDescent="0.2"/>
    <row r="82" s="78" customFormat="1" x14ac:dyDescent="0.2"/>
    <row r="83" s="78" customFormat="1" x14ac:dyDescent="0.2"/>
    <row r="84" s="78" customFormat="1" x14ac:dyDescent="0.2"/>
    <row r="85" s="78" customFormat="1" x14ac:dyDescent="0.2"/>
    <row r="86" s="78" customFormat="1" x14ac:dyDescent="0.2"/>
    <row r="87" s="78" customFormat="1" x14ac:dyDescent="0.2"/>
    <row r="88" s="78" customFormat="1" x14ac:dyDescent="0.2"/>
    <row r="89" s="78" customFormat="1" x14ac:dyDescent="0.2"/>
    <row r="90" s="78" customFormat="1" x14ac:dyDescent="0.2"/>
    <row r="91" s="78" customFormat="1" x14ac:dyDescent="0.2"/>
    <row r="92" s="78" customFormat="1" x14ac:dyDescent="0.2"/>
    <row r="93" s="78" customFormat="1" x14ac:dyDescent="0.2"/>
    <row r="94" s="78" customFormat="1" x14ac:dyDescent="0.2"/>
    <row r="95" s="78" customFormat="1" x14ac:dyDescent="0.2"/>
    <row r="96" s="78" customFormat="1" x14ac:dyDescent="0.2"/>
    <row r="97" s="78" customFormat="1" x14ac:dyDescent="0.2"/>
    <row r="98" s="78" customFormat="1" x14ac:dyDescent="0.2"/>
    <row r="99" s="78" customFormat="1" x14ac:dyDescent="0.2"/>
    <row r="100" s="78" customFormat="1" x14ac:dyDescent="0.2"/>
    <row r="101" s="78" customFormat="1" x14ac:dyDescent="0.2"/>
    <row r="102" s="78" customFormat="1" x14ac:dyDescent="0.2"/>
    <row r="103" s="78" customFormat="1" x14ac:dyDescent="0.2"/>
    <row r="104" s="78" customFormat="1" x14ac:dyDescent="0.2"/>
    <row r="105" s="78" customFormat="1" x14ac:dyDescent="0.2"/>
    <row r="106" s="78" customFormat="1" x14ac:dyDescent="0.2"/>
    <row r="107" s="78" customFormat="1" x14ac:dyDescent="0.2"/>
    <row r="108" s="78" customFormat="1" x14ac:dyDescent="0.2"/>
    <row r="109" s="78" customFormat="1" x14ac:dyDescent="0.2"/>
    <row r="110" s="78" customFormat="1" x14ac:dyDescent="0.2"/>
    <row r="111" s="78" customFormat="1" x14ac:dyDescent="0.2"/>
    <row r="112" s="78" customFormat="1" x14ac:dyDescent="0.2"/>
    <row r="113" s="78" customFormat="1" x14ac:dyDescent="0.2"/>
    <row r="114" s="78" customFormat="1" x14ac:dyDescent="0.2"/>
    <row r="115" s="78" customFormat="1" x14ac:dyDescent="0.2"/>
    <row r="116" s="78" customFormat="1" x14ac:dyDescent="0.2"/>
    <row r="117" s="78" customFormat="1" x14ac:dyDescent="0.2"/>
    <row r="118" s="78" customFormat="1" x14ac:dyDescent="0.2"/>
    <row r="119" s="78" customFormat="1" x14ac:dyDescent="0.2"/>
    <row r="120" s="78" customFormat="1" x14ac:dyDescent="0.2"/>
    <row r="121" s="78" customFormat="1" x14ac:dyDescent="0.2"/>
    <row r="122" s="78" customFormat="1" x14ac:dyDescent="0.2"/>
    <row r="123" s="78" customFormat="1" x14ac:dyDescent="0.2"/>
    <row r="124" s="78" customFormat="1" x14ac:dyDescent="0.2"/>
    <row r="125" s="78" customFormat="1" x14ac:dyDescent="0.2"/>
    <row r="126" s="78" customFormat="1" x14ac:dyDescent="0.2"/>
    <row r="127" s="78" customFormat="1" x14ac:dyDescent="0.2"/>
    <row r="128" s="78" customFormat="1" x14ac:dyDescent="0.2"/>
    <row r="129" s="78" customFormat="1" x14ac:dyDescent="0.2"/>
    <row r="130" s="78" customFormat="1" x14ac:dyDescent="0.2"/>
    <row r="131" s="78" customFormat="1" x14ac:dyDescent="0.2"/>
    <row r="132" s="78" customFormat="1" x14ac:dyDescent="0.2"/>
    <row r="133" s="78" customFormat="1" x14ac:dyDescent="0.2"/>
    <row r="134" s="78" customFormat="1" x14ac:dyDescent="0.2"/>
    <row r="135" s="78" customFormat="1" x14ac:dyDescent="0.2"/>
    <row r="136" s="78" customFormat="1" x14ac:dyDescent="0.2"/>
    <row r="137" s="78" customFormat="1" x14ac:dyDescent="0.2"/>
    <row r="138" s="78" customFormat="1" x14ac:dyDescent="0.2"/>
    <row r="139" s="78" customFormat="1" x14ac:dyDescent="0.2"/>
    <row r="140" s="78" customFormat="1" x14ac:dyDescent="0.2"/>
    <row r="141" s="78" customFormat="1" x14ac:dyDescent="0.2"/>
    <row r="142" s="78" customFormat="1" x14ac:dyDescent="0.2"/>
    <row r="143" s="78" customFormat="1" x14ac:dyDescent="0.2"/>
    <row r="144" s="78" customFormat="1" x14ac:dyDescent="0.2"/>
    <row r="145" s="78" customFormat="1" x14ac:dyDescent="0.2"/>
    <row r="146" s="78" customFormat="1" x14ac:dyDescent="0.2"/>
    <row r="147" s="78" customFormat="1" x14ac:dyDescent="0.2"/>
    <row r="148" s="78" customFormat="1" x14ac:dyDescent="0.2"/>
    <row r="149" s="78" customFormat="1" x14ac:dyDescent="0.2"/>
    <row r="150" s="78" customFormat="1" x14ac:dyDescent="0.2"/>
    <row r="151" s="78" customFormat="1" x14ac:dyDescent="0.2"/>
    <row r="152" s="78" customFormat="1" x14ac:dyDescent="0.2"/>
    <row r="153" s="78" customFormat="1" x14ac:dyDescent="0.2"/>
    <row r="154" s="78" customFormat="1" x14ac:dyDescent="0.2"/>
    <row r="155" s="78" customFormat="1" x14ac:dyDescent="0.2"/>
    <row r="156" s="78" customFormat="1" x14ac:dyDescent="0.2"/>
    <row r="157" s="78" customFormat="1" x14ac:dyDescent="0.2"/>
    <row r="158" s="78" customFormat="1" x14ac:dyDescent="0.2"/>
    <row r="159" s="78" customFormat="1" x14ac:dyDescent="0.2"/>
    <row r="160" s="78" customFormat="1" x14ac:dyDescent="0.2"/>
    <row r="161" s="78" customFormat="1" x14ac:dyDescent="0.2"/>
    <row r="162" s="78" customFormat="1" x14ac:dyDescent="0.2"/>
    <row r="163" s="78" customFormat="1" x14ac:dyDescent="0.2"/>
    <row r="164" s="78" customFormat="1" x14ac:dyDescent="0.2"/>
    <row r="165" s="78" customFormat="1" x14ac:dyDescent="0.2"/>
    <row r="166" s="78" customFormat="1" x14ac:dyDescent="0.2"/>
    <row r="167" s="78" customFormat="1" x14ac:dyDescent="0.2"/>
    <row r="168" s="78" customFormat="1" x14ac:dyDescent="0.2"/>
    <row r="169" s="78" customFormat="1" x14ac:dyDescent="0.2"/>
    <row r="170" s="78" customFormat="1" x14ac:dyDescent="0.2"/>
    <row r="171" s="78" customFormat="1" x14ac:dyDescent="0.2"/>
    <row r="172" s="78" customFormat="1" x14ac:dyDescent="0.2"/>
    <row r="173" s="78" customFormat="1" x14ac:dyDescent="0.2"/>
    <row r="174" s="78" customFormat="1" x14ac:dyDescent="0.2"/>
    <row r="175" s="78" customFormat="1" x14ac:dyDescent="0.2"/>
    <row r="176" s="78" customFormat="1" x14ac:dyDescent="0.2"/>
    <row r="177" s="78" customFormat="1" x14ac:dyDescent="0.2"/>
    <row r="178" s="78" customFormat="1" x14ac:dyDescent="0.2"/>
    <row r="179" s="78" customFormat="1" x14ac:dyDescent="0.2"/>
    <row r="180" s="78" customFormat="1" x14ac:dyDescent="0.2"/>
    <row r="181" s="78" customFormat="1" x14ac:dyDescent="0.2"/>
    <row r="182" s="78" customFormat="1" x14ac:dyDescent="0.2"/>
    <row r="183" s="78" customFormat="1" x14ac:dyDescent="0.2"/>
    <row r="184" s="78" customFormat="1" x14ac:dyDescent="0.2"/>
    <row r="185" s="78" customFormat="1" x14ac:dyDescent="0.2"/>
    <row r="186" s="78" customFormat="1" x14ac:dyDescent="0.2"/>
    <row r="187" s="78" customFormat="1" x14ac:dyDescent="0.2"/>
    <row r="188" s="78" customFormat="1" x14ac:dyDescent="0.2"/>
    <row r="189" s="78" customFormat="1" x14ac:dyDescent="0.2"/>
    <row r="190" s="78" customFormat="1" x14ac:dyDescent="0.2"/>
    <row r="191" s="78" customFormat="1" x14ac:dyDescent="0.2"/>
    <row r="192" s="78" customFormat="1" x14ac:dyDescent="0.2"/>
    <row r="193" s="78" customFormat="1" x14ac:dyDescent="0.2"/>
    <row r="194" s="78" customFormat="1" x14ac:dyDescent="0.2"/>
    <row r="195" s="78" customFormat="1" x14ac:dyDescent="0.2"/>
    <row r="196" s="78" customFormat="1" x14ac:dyDescent="0.2"/>
    <row r="197" s="78" customFormat="1" x14ac:dyDescent="0.2"/>
    <row r="198" s="78" customFormat="1" x14ac:dyDescent="0.2"/>
    <row r="199" s="78" customFormat="1" x14ac:dyDescent="0.2"/>
    <row r="200" s="78" customFormat="1" x14ac:dyDescent="0.2"/>
    <row r="201" s="78" customFormat="1" x14ac:dyDescent="0.2"/>
    <row r="202" s="78" customFormat="1" x14ac:dyDescent="0.2"/>
    <row r="203" s="78" customFormat="1" x14ac:dyDescent="0.2"/>
    <row r="204" s="78" customFormat="1" x14ac:dyDescent="0.2"/>
    <row r="205" s="78" customFormat="1" x14ac:dyDescent="0.2"/>
    <row r="206" s="78" customFormat="1" x14ac:dyDescent="0.2"/>
    <row r="207" s="78" customFormat="1" x14ac:dyDescent="0.2"/>
    <row r="208" s="78" customFormat="1" x14ac:dyDescent="0.2"/>
    <row r="209" s="78" customFormat="1" x14ac:dyDescent="0.2"/>
    <row r="210" s="78" customFormat="1" x14ac:dyDescent="0.2"/>
    <row r="211" s="78" customFormat="1" x14ac:dyDescent="0.2"/>
    <row r="212" s="78" customFormat="1" x14ac:dyDescent="0.2"/>
    <row r="213" s="78" customFormat="1" x14ac:dyDescent="0.2"/>
    <row r="214" s="78" customFormat="1" x14ac:dyDescent="0.2"/>
    <row r="215" s="78" customFormat="1" x14ac:dyDescent="0.2"/>
    <row r="216" s="78" customFormat="1" x14ac:dyDescent="0.2"/>
    <row r="217" s="78" customFormat="1" x14ac:dyDescent="0.2"/>
    <row r="218" s="78" customFormat="1" x14ac:dyDescent="0.2"/>
    <row r="219" s="78" customFormat="1" x14ac:dyDescent="0.2"/>
    <row r="220" s="78" customFormat="1" x14ac:dyDescent="0.2"/>
    <row r="221" s="78" customFormat="1" x14ac:dyDescent="0.2"/>
    <row r="222" s="78" customFormat="1" x14ac:dyDescent="0.2"/>
    <row r="223" s="78" customFormat="1" x14ac:dyDescent="0.2"/>
    <row r="224" s="78" customFormat="1" x14ac:dyDescent="0.2"/>
    <row r="225" s="78" customFormat="1" x14ac:dyDescent="0.2"/>
    <row r="226" s="78" customFormat="1" x14ac:dyDescent="0.2"/>
    <row r="227" s="78" customFormat="1" x14ac:dyDescent="0.2"/>
    <row r="228" s="78" customFormat="1" x14ac:dyDescent="0.2"/>
    <row r="229" s="78" customFormat="1" x14ac:dyDescent="0.2"/>
    <row r="230" s="78" customFormat="1" x14ac:dyDescent="0.2"/>
    <row r="231" s="78" customFormat="1" x14ac:dyDescent="0.2"/>
    <row r="232" s="78" customFormat="1" x14ac:dyDescent="0.2"/>
    <row r="233" s="78" customFormat="1" x14ac:dyDescent="0.2"/>
    <row r="234" s="78" customFormat="1" x14ac:dyDescent="0.2"/>
    <row r="235" s="78" customFormat="1" x14ac:dyDescent="0.2"/>
    <row r="236" s="78" customFormat="1" x14ac:dyDescent="0.2"/>
    <row r="237" s="78" customFormat="1" x14ac:dyDescent="0.2"/>
    <row r="238" s="78" customFormat="1" x14ac:dyDescent="0.2"/>
    <row r="239" s="78" customFormat="1" x14ac:dyDescent="0.2"/>
    <row r="240" s="78" customFormat="1" x14ac:dyDescent="0.2"/>
    <row r="241" s="78" customFormat="1" x14ac:dyDescent="0.2"/>
    <row r="242" s="78" customFormat="1" x14ac:dyDescent="0.2"/>
    <row r="243" s="78" customFormat="1" x14ac:dyDescent="0.2"/>
    <row r="244" s="78" customFormat="1" x14ac:dyDescent="0.2"/>
    <row r="245" s="78" customFormat="1" x14ac:dyDescent="0.2"/>
    <row r="246" s="78" customFormat="1" x14ac:dyDescent="0.2"/>
    <row r="247" s="78" customFormat="1" x14ac:dyDescent="0.2"/>
    <row r="248" s="78" customFormat="1" x14ac:dyDescent="0.2"/>
    <row r="249" s="78" customFormat="1" x14ac:dyDescent="0.2"/>
    <row r="250" s="78" customFormat="1" x14ac:dyDescent="0.2"/>
    <row r="251" s="78" customFormat="1" x14ac:dyDescent="0.2"/>
    <row r="252" s="78" customFormat="1" x14ac:dyDescent="0.2"/>
    <row r="253" s="78" customFormat="1" x14ac:dyDescent="0.2"/>
    <row r="254" s="78" customFormat="1" x14ac:dyDescent="0.2"/>
    <row r="255" s="78" customFormat="1" x14ac:dyDescent="0.2"/>
    <row r="256" s="78" customFormat="1" x14ac:dyDescent="0.2"/>
    <row r="257" s="78" customFormat="1" x14ac:dyDescent="0.2"/>
    <row r="258" s="78" customFormat="1" x14ac:dyDescent="0.2"/>
    <row r="259" s="78" customFormat="1" x14ac:dyDescent="0.2"/>
    <row r="260" s="78" customFormat="1" x14ac:dyDescent="0.2"/>
    <row r="261" s="78" customFormat="1" x14ac:dyDescent="0.2"/>
    <row r="262" s="78" customFormat="1" x14ac:dyDescent="0.2"/>
    <row r="263" s="78" customFormat="1" x14ac:dyDescent="0.2"/>
    <row r="264" s="78" customFormat="1" x14ac:dyDescent="0.2"/>
    <row r="265" s="78" customFormat="1" x14ac:dyDescent="0.2"/>
    <row r="266" s="78" customFormat="1" x14ac:dyDescent="0.2"/>
    <row r="267" s="78" customFormat="1" x14ac:dyDescent="0.2"/>
    <row r="268" s="78" customFormat="1" x14ac:dyDescent="0.2"/>
    <row r="269" s="78" customFormat="1" x14ac:dyDescent="0.2"/>
    <row r="270" s="78" customFormat="1" x14ac:dyDescent="0.2"/>
    <row r="271" s="78" customFormat="1" x14ac:dyDescent="0.2"/>
    <row r="272" s="78" customFormat="1" x14ac:dyDescent="0.2"/>
    <row r="273" s="78" customFormat="1" x14ac:dyDescent="0.2"/>
    <row r="274" s="78" customFormat="1" x14ac:dyDescent="0.2"/>
    <row r="275" s="78" customFormat="1" x14ac:dyDescent="0.2"/>
    <row r="276" s="78" customFormat="1" x14ac:dyDescent="0.2"/>
    <row r="277" s="78" customFormat="1" x14ac:dyDescent="0.2"/>
    <row r="278" s="78" customFormat="1" x14ac:dyDescent="0.2"/>
    <row r="279" s="78" customFormat="1" x14ac:dyDescent="0.2"/>
    <row r="280" s="78" customFormat="1" x14ac:dyDescent="0.2"/>
    <row r="281" s="78" customFormat="1" x14ac:dyDescent="0.2"/>
    <row r="282" s="78" customFormat="1" x14ac:dyDescent="0.2"/>
    <row r="283" s="78" customFormat="1" x14ac:dyDescent="0.2"/>
    <row r="284" s="78" customFormat="1" x14ac:dyDescent="0.2"/>
    <row r="285" s="78" customFormat="1" x14ac:dyDescent="0.2"/>
    <row r="286" s="78" customFormat="1" x14ac:dyDescent="0.2"/>
    <row r="287" s="78" customFormat="1" x14ac:dyDescent="0.2"/>
    <row r="288" s="78" customFormat="1" x14ac:dyDescent="0.2"/>
    <row r="289" s="78" customFormat="1" x14ac:dyDescent="0.2"/>
    <row r="290" s="78" customFormat="1" x14ac:dyDescent="0.2"/>
    <row r="291" s="78" customFormat="1" x14ac:dyDescent="0.2"/>
    <row r="292" s="78" customFormat="1" x14ac:dyDescent="0.2"/>
    <row r="293" s="78" customFormat="1" x14ac:dyDescent="0.2"/>
    <row r="294" s="78" customFormat="1" x14ac:dyDescent="0.2"/>
    <row r="295" s="78" customFormat="1" x14ac:dyDescent="0.2"/>
    <row r="296" s="78" customFormat="1" x14ac:dyDescent="0.2"/>
    <row r="297" s="78" customFormat="1" x14ac:dyDescent="0.2"/>
    <row r="298" s="78" customFormat="1" x14ac:dyDescent="0.2"/>
    <row r="299" s="78" customFormat="1" x14ac:dyDescent="0.2"/>
    <row r="300" s="78" customFormat="1" x14ac:dyDescent="0.2"/>
    <row r="301" s="78" customFormat="1" x14ac:dyDescent="0.2"/>
    <row r="302" s="78" customFormat="1" x14ac:dyDescent="0.2"/>
    <row r="303" s="78" customFormat="1" x14ac:dyDescent="0.2"/>
    <row r="304" s="78" customFormat="1" x14ac:dyDescent="0.2"/>
    <row r="305" s="78" customFormat="1" x14ac:dyDescent="0.2"/>
    <row r="306" s="78" customFormat="1" x14ac:dyDescent="0.2"/>
    <row r="307" s="78" customFormat="1" x14ac:dyDescent="0.2"/>
    <row r="308" s="78" customFormat="1" x14ac:dyDescent="0.2"/>
    <row r="309" s="78" customFormat="1" x14ac:dyDescent="0.2"/>
    <row r="310" s="78" customFormat="1" x14ac:dyDescent="0.2"/>
    <row r="311" s="78" customFormat="1" x14ac:dyDescent="0.2"/>
    <row r="312" s="78" customFormat="1" x14ac:dyDescent="0.2"/>
    <row r="313" s="78" customFormat="1" x14ac:dyDescent="0.2"/>
    <row r="314" s="78" customFormat="1" x14ac:dyDescent="0.2"/>
    <row r="315" s="78" customFormat="1" x14ac:dyDescent="0.2"/>
    <row r="316" s="78" customFormat="1" x14ac:dyDescent="0.2"/>
    <row r="317" s="78" customFormat="1" x14ac:dyDescent="0.2"/>
    <row r="318" s="78" customFormat="1" x14ac:dyDescent="0.2"/>
    <row r="319" s="78" customFormat="1" x14ac:dyDescent="0.2"/>
    <row r="320" s="78" customFormat="1" x14ac:dyDescent="0.2"/>
    <row r="321" s="78" customFormat="1" x14ac:dyDescent="0.2"/>
    <row r="322" s="78" customFormat="1" x14ac:dyDescent="0.2"/>
    <row r="323" s="78" customFormat="1" x14ac:dyDescent="0.2"/>
    <row r="324" s="78" customFormat="1" x14ac:dyDescent="0.2"/>
    <row r="325" s="78" customFormat="1" x14ac:dyDescent="0.2"/>
    <row r="326" s="78" customFormat="1" x14ac:dyDescent="0.2"/>
    <row r="327" s="78" customFormat="1" x14ac:dyDescent="0.2"/>
    <row r="328" s="78" customFormat="1" x14ac:dyDescent="0.2"/>
    <row r="329" s="78" customFormat="1" x14ac:dyDescent="0.2"/>
    <row r="330" s="78" customFormat="1" x14ac:dyDescent="0.2"/>
    <row r="331" s="78" customFormat="1" x14ac:dyDescent="0.2"/>
    <row r="332" s="78" customFormat="1" x14ac:dyDescent="0.2"/>
    <row r="333" s="78" customFormat="1" x14ac:dyDescent="0.2"/>
    <row r="334" s="78" customFormat="1" x14ac:dyDescent="0.2"/>
    <row r="335" s="78" customFormat="1" x14ac:dyDescent="0.2"/>
    <row r="336" s="78" customFormat="1" x14ac:dyDescent="0.2"/>
    <row r="337" s="78" customFormat="1" x14ac:dyDescent="0.2"/>
    <row r="338" s="78" customFormat="1" x14ac:dyDescent="0.2"/>
    <row r="339" s="78" customFormat="1" x14ac:dyDescent="0.2"/>
    <row r="340" s="78" customFormat="1" x14ac:dyDescent="0.2"/>
    <row r="341" s="78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6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15"/>
  <sheetViews>
    <sheetView zoomScale="180" zoomScaleNormal="180" workbookViewId="0">
      <pane ySplit="5" topLeftCell="A674" activePane="bottomLeft" state="frozen"/>
      <selection pane="bottomLeft" activeCell="B714" sqref="B714"/>
    </sheetView>
  </sheetViews>
  <sheetFormatPr baseColWidth="10" defaultColWidth="9.1640625" defaultRowHeight="15" x14ac:dyDescent="0.2"/>
  <cols>
    <col min="1" max="1" width="12" style="78" customWidth="1"/>
    <col min="2" max="2" width="14.33203125" style="78" customWidth="1"/>
    <col min="3" max="4" width="11.1640625" style="16" customWidth="1"/>
    <col min="5" max="5" width="9.1640625" style="78" customWidth="1"/>
    <col min="6" max="6" width="20.33203125" style="78" customWidth="1"/>
    <col min="7" max="7" width="14.6640625" style="78" customWidth="1"/>
    <col min="8" max="11" width="9.1640625" style="78" customWidth="1"/>
    <col min="12" max="16384" width="9.1640625" style="78"/>
  </cols>
  <sheetData>
    <row r="1" spans="1:7" x14ac:dyDescent="0.2">
      <c r="A1" s="39" t="s">
        <v>131</v>
      </c>
      <c r="C1" s="40" t="s">
        <v>1034</v>
      </c>
      <c r="F1" s="78" t="str">
        <f>"Money Supply M3 "&amp;A1</f>
        <v>Money Supply M3 USA</v>
      </c>
      <c r="G1" s="78" t="str">
        <f>F1&amp;" mom annualized"</f>
        <v>Money Supply M3 USA mom annualized</v>
      </c>
    </row>
    <row r="2" spans="1:7" x14ac:dyDescent="0.2">
      <c r="F2" s="78" t="s">
        <v>1035</v>
      </c>
      <c r="G2" s="38">
        <f>AVERAGE(D469:D708)</f>
        <v>6.2292957944604994E-2</v>
      </c>
    </row>
    <row r="3" spans="1:7" x14ac:dyDescent="0.2">
      <c r="F3" s="78" t="s">
        <v>1036</v>
      </c>
      <c r="G3" s="38">
        <f>MIN(D469:D716)</f>
        <v>-5.3999858533435807E-2</v>
      </c>
    </row>
    <row r="4" spans="1:7" ht="16" customHeight="1" thickBot="1" x14ac:dyDescent="0.25">
      <c r="F4" s="78" t="s">
        <v>1037</v>
      </c>
      <c r="G4" s="38">
        <f>MAX(D469:D717)</f>
        <v>0.31335051238882627</v>
      </c>
    </row>
    <row r="5" spans="1:7" ht="32" customHeight="1" x14ac:dyDescent="0.2">
      <c r="A5" s="63" t="s">
        <v>78</v>
      </c>
      <c r="B5" s="64" t="s">
        <v>7</v>
      </c>
      <c r="C5" s="51" t="s">
        <v>1038</v>
      </c>
      <c r="D5" s="52" t="s">
        <v>9</v>
      </c>
    </row>
    <row r="6" spans="1:7" x14ac:dyDescent="0.2">
      <c r="A6" s="36">
        <v>22282</v>
      </c>
      <c r="B6" s="37">
        <f>VLOOKUP(A6,Data!$E:$BG,MATCH(Country!$A$1,Data!$E$1:$BG$1,),)</f>
        <v>2.6102289999999999</v>
      </c>
      <c r="C6" s="24"/>
      <c r="D6" s="24"/>
    </row>
    <row r="7" spans="1:7" x14ac:dyDescent="0.2">
      <c r="A7" s="36">
        <v>22313</v>
      </c>
      <c r="B7" s="37">
        <f>VLOOKUP(A7,Data!$E:$BG,MATCH(Country!$A$1,Data!$E$1:$BG$1,),)</f>
        <v>2.6301739999999998</v>
      </c>
      <c r="C7" s="24"/>
      <c r="D7" s="65">
        <f>IF(Table2[[#This Row],[Country]]&gt;0,(((Table2[[#This Row],[Country]]-B6)/B6)+1)^12-1,"")</f>
        <v>9.5646457235998739E-2</v>
      </c>
    </row>
    <row r="8" spans="1:7" x14ac:dyDescent="0.2">
      <c r="A8" s="36">
        <v>22341</v>
      </c>
      <c r="B8" s="37">
        <f>VLOOKUP(A8,Data!$E:$BG,MATCH(Country!$A$1,Data!$E$1:$BG$1,),)</f>
        <v>2.6451319999999998</v>
      </c>
      <c r="C8" s="24"/>
      <c r="D8" s="65">
        <f>IF(Table2[[#This Row],[Country]]&gt;0,(((Table2[[#This Row],[Country]]-B7)/B7)+1)^12-1,"")</f>
        <v>7.0420530263971992E-2</v>
      </c>
    </row>
    <row r="9" spans="1:7" x14ac:dyDescent="0.2">
      <c r="A9" s="36">
        <v>22372</v>
      </c>
      <c r="B9" s="37">
        <f>VLOOKUP(A9,Data!$E:$BG,MATCH(Country!$A$1,Data!$E$1:$BG$1,),)</f>
        <v>2.6584279999999998</v>
      </c>
      <c r="C9" s="24"/>
      <c r="D9" s="65">
        <f>IF(Table2[[#This Row],[Country]]&gt;0,(((Table2[[#This Row],[Country]]-B8)/B8)+1)^12-1,"")</f>
        <v>6.2014964177585119E-2</v>
      </c>
    </row>
    <row r="10" spans="1:7" x14ac:dyDescent="0.2">
      <c r="A10" s="36">
        <v>22402</v>
      </c>
      <c r="B10" s="37">
        <f>VLOOKUP(A10,Data!$E:$BG,MATCH(Country!$A$1,Data!$E$1:$BG$1,),)</f>
        <v>2.6775419999999999</v>
      </c>
      <c r="C10" s="24"/>
      <c r="D10" s="65">
        <f>IF(Table2[[#This Row],[Country]]&gt;0,(((Table2[[#This Row],[Country]]-B9)/B9)+1)^12-1,"")</f>
        <v>8.9774578401282001E-2</v>
      </c>
    </row>
    <row r="11" spans="1:7" x14ac:dyDescent="0.2">
      <c r="A11" s="36">
        <v>22433</v>
      </c>
      <c r="B11" s="37">
        <f>VLOOKUP(A11,Data!$E:$BG,MATCH(Country!$A$1,Data!$E$1:$BG$1,),)</f>
        <v>2.6949930000000002</v>
      </c>
      <c r="C11" s="24"/>
      <c r="D11" s="65">
        <f>IF(Table2[[#This Row],[Country]]&gt;0,(((Table2[[#This Row],[Country]]-B10)/B10)+1)^12-1,"")</f>
        <v>8.1075922277378254E-2</v>
      </c>
    </row>
    <row r="12" spans="1:7" x14ac:dyDescent="0.2">
      <c r="A12" s="36">
        <v>22463</v>
      </c>
      <c r="B12" s="37">
        <f>VLOOKUP(A12,Data!$E:$BG,MATCH(Country!$A$1,Data!$E$1:$BG$1,),)</f>
        <v>2.7057959999999999</v>
      </c>
      <c r="C12" s="24"/>
      <c r="D12" s="65">
        <f>IF(Table2[[#This Row],[Country]]&gt;0,(((Table2[[#This Row],[Country]]-B11)/B11)+1)^12-1,"")</f>
        <v>4.9177352309305089E-2</v>
      </c>
    </row>
    <row r="13" spans="1:7" x14ac:dyDescent="0.2">
      <c r="A13" s="36">
        <v>22494</v>
      </c>
      <c r="B13" s="37">
        <f>VLOOKUP(A13,Data!$E:$BG,MATCH(Country!$A$1,Data!$E$1:$BG$1,),)</f>
        <v>2.7224170000000001</v>
      </c>
      <c r="C13" s="24"/>
      <c r="D13" s="65">
        <f>IF(Table2[[#This Row],[Country]]&gt;0,(((Table2[[#This Row],[Country]]-B12)/B12)+1)^12-1,"")</f>
        <v>7.6254973126815173E-2</v>
      </c>
    </row>
    <row r="14" spans="1:7" x14ac:dyDescent="0.2">
      <c r="A14" s="36">
        <v>22525</v>
      </c>
      <c r="B14" s="37">
        <f>VLOOKUP(A14,Data!$E:$BG,MATCH(Country!$A$1,Data!$E$1:$BG$1,),)</f>
        <v>2.7382059999999999</v>
      </c>
      <c r="C14" s="24"/>
      <c r="D14" s="65">
        <f>IF(Table2[[#This Row],[Country]]&gt;0,(((Table2[[#This Row],[Country]]-B13)/B13)+1)^12-1,"")</f>
        <v>7.1858945311463085E-2</v>
      </c>
    </row>
    <row r="15" spans="1:7" x14ac:dyDescent="0.2">
      <c r="A15" s="36">
        <v>22555</v>
      </c>
      <c r="B15" s="37">
        <f>VLOOKUP(A15,Data!$E:$BG,MATCH(Country!$A$1,Data!$E$1:$BG$1,),)</f>
        <v>2.751503</v>
      </c>
      <c r="C15" s="24"/>
      <c r="D15" s="65">
        <f>IF(Table2[[#This Row],[Country]]&gt;0,(((Table2[[#This Row],[Country]]-B14)/B14)+1)^12-1,"")</f>
        <v>5.9855053454567209E-2</v>
      </c>
    </row>
    <row r="16" spans="1:7" x14ac:dyDescent="0.2">
      <c r="A16" s="36">
        <v>22586</v>
      </c>
      <c r="B16" s="37">
        <f>VLOOKUP(A16,Data!$E:$BG,MATCH(Country!$A$1,Data!$E$1:$BG$1,),)</f>
        <v>2.770616</v>
      </c>
      <c r="C16" s="24"/>
      <c r="D16" s="65">
        <f>IF(Table2[[#This Row],[Country]]&gt;0,(((Table2[[#This Row],[Country]]-B15)/B15)+1)^12-1,"")</f>
        <v>8.6616178133651411E-2</v>
      </c>
    </row>
    <row r="17" spans="1:4" x14ac:dyDescent="0.2">
      <c r="A17" s="36">
        <v>22616</v>
      </c>
      <c r="B17" s="37">
        <f>VLOOKUP(A17,Data!$E:$BG,MATCH(Country!$A$1,Data!$E$1:$BG$1,),)</f>
        <v>2.7880669999999999</v>
      </c>
      <c r="C17" s="24"/>
      <c r="D17" s="65">
        <f>IF(Table2[[#This Row],[Country]]&gt;0,(((Table2[[#This Row],[Country]]-B16)/B16)+1)^12-1,"")</f>
        <v>7.8257327559822176E-2</v>
      </c>
    </row>
    <row r="18" spans="1:4" x14ac:dyDescent="0.2">
      <c r="A18" s="36">
        <v>22647</v>
      </c>
      <c r="B18" s="37">
        <f>VLOOKUP(A18,Data!$E:$BG,MATCH(Country!$A$1,Data!$E$1:$BG$1,),)</f>
        <v>2.8046880000000001</v>
      </c>
      <c r="C18" s="65">
        <f>IF(B6&gt;0,(Table2[[#This Row],[Country]]-B6)/B6,0)</f>
        <v>7.4498827497510814E-2</v>
      </c>
      <c r="D18" s="65">
        <f>IF(Table2[[#This Row],[Country]]&gt;0,(((Table2[[#This Row],[Country]]-B17)/B17)+1)^12-1,"")</f>
        <v>7.3930565923966629E-2</v>
      </c>
    </row>
    <row r="19" spans="1:4" x14ac:dyDescent="0.2">
      <c r="A19" s="36">
        <v>22678</v>
      </c>
      <c r="B19" s="37">
        <f>VLOOKUP(A19,Data!$E:$BG,MATCH(Country!$A$1,Data!$E$1:$BG$1,),)</f>
        <v>2.8262939999999999</v>
      </c>
      <c r="C19" s="65">
        <f>IF(B7&gt;0,(Table2[[#This Row],[Country]]-B7)/B7,0)</f>
        <v>7.4565408980546574E-2</v>
      </c>
      <c r="D19" s="65">
        <f>IF(Table2[[#This Row],[Country]]&gt;0,(((Table2[[#This Row],[Country]]-B18)/B18)+1)^12-1,"")</f>
        <v>9.6461437740348766E-2</v>
      </c>
    </row>
    <row r="20" spans="1:4" x14ac:dyDescent="0.2">
      <c r="A20" s="36">
        <v>22706</v>
      </c>
      <c r="B20" s="37">
        <f>VLOOKUP(A20,Data!$E:$BG,MATCH(Country!$A$1,Data!$E$1:$BG$1,),)</f>
        <v>2.8512249999999999</v>
      </c>
      <c r="C20" s="65">
        <f>IF(B8&gt;0,(Table2[[#This Row],[Country]]-B8)/B8,0)</f>
        <v>7.7914070072873529E-2</v>
      </c>
      <c r="D20" s="65">
        <f>IF(Table2[[#This Row],[Country]]&gt;0,(((Table2[[#This Row],[Country]]-B19)/B19)+1)^12-1,"")</f>
        <v>0.1111427209061755</v>
      </c>
    </row>
    <row r="21" spans="1:4" x14ac:dyDescent="0.2">
      <c r="A21" s="36">
        <v>22737</v>
      </c>
      <c r="B21" s="37">
        <f>VLOOKUP(A21,Data!$E:$BG,MATCH(Country!$A$1,Data!$E$1:$BG$1,),)</f>
        <v>2.8711690000000001</v>
      </c>
      <c r="C21" s="65">
        <f>IF(B9&gt;0,(Table2[[#This Row],[Country]]-B9)/B9,0)</f>
        <v>8.00251125853325E-2</v>
      </c>
      <c r="D21" s="65">
        <f>IF(Table2[[#This Row],[Country]]&gt;0,(((Table2[[#This Row],[Country]]-B20)/B20)+1)^12-1,"")</f>
        <v>8.7244429534194756E-2</v>
      </c>
    </row>
    <row r="22" spans="1:4" x14ac:dyDescent="0.2">
      <c r="A22" s="36">
        <v>22767</v>
      </c>
      <c r="B22" s="37">
        <f>VLOOKUP(A22,Data!$E:$BG,MATCH(Country!$A$1,Data!$E$1:$BG$1,),)</f>
        <v>2.8877899999999999</v>
      </c>
      <c r="C22" s="65">
        <f>IF(B10&gt;0,(Table2[[#This Row],[Country]]-B10)/B10,0)</f>
        <v>7.852276453553296E-2</v>
      </c>
      <c r="D22" s="65">
        <f>IF(Table2[[#This Row],[Country]]&gt;0,(((Table2[[#This Row],[Country]]-B21)/B21)+1)^12-1,"")</f>
        <v>7.1722189524570767E-2</v>
      </c>
    </row>
    <row r="23" spans="1:4" x14ac:dyDescent="0.2">
      <c r="A23" s="36">
        <v>22798</v>
      </c>
      <c r="B23" s="37">
        <f>VLOOKUP(A23,Data!$E:$BG,MATCH(Country!$A$1,Data!$E$1:$BG$1,),)</f>
        <v>2.9027479999999999</v>
      </c>
      <c r="C23" s="65">
        <f>IF(B11&gt;0,(Table2[[#This Row],[Country]]-B11)/B11,0)</f>
        <v>7.7089254035168059E-2</v>
      </c>
      <c r="D23" s="65">
        <f>IF(Table2[[#This Row],[Country]]&gt;0,(((Table2[[#This Row],[Country]]-B22)/B22)+1)^12-1,"")</f>
        <v>6.3958567467969685E-2</v>
      </c>
    </row>
    <row r="24" spans="1:4" x14ac:dyDescent="0.2">
      <c r="A24" s="36">
        <v>22828</v>
      </c>
      <c r="B24" s="37">
        <f>VLOOKUP(A24,Data!$E:$BG,MATCH(Country!$A$1,Data!$E$1:$BG$1,),)</f>
        <v>2.9152130000000001</v>
      </c>
      <c r="C24" s="65">
        <f>IF(B12&gt;0,(Table2[[#This Row],[Country]]-B12)/B12,0)</f>
        <v>7.7395709063063214E-2</v>
      </c>
      <c r="D24" s="65">
        <f>IF(Table2[[#This Row],[Country]]&gt;0,(((Table2[[#This Row],[Country]]-B23)/B23)+1)^12-1,"")</f>
        <v>5.276512514803966E-2</v>
      </c>
    </row>
    <row r="25" spans="1:4" x14ac:dyDescent="0.2">
      <c r="A25" s="36">
        <v>22859</v>
      </c>
      <c r="B25" s="37">
        <f>VLOOKUP(A25,Data!$E:$BG,MATCH(Country!$A$1,Data!$E$1:$BG$1,),)</f>
        <v>2.9318339999999998</v>
      </c>
      <c r="C25" s="65">
        <f>IF(B13&gt;0,(Table2[[#This Row],[Country]]-B13)/B13,0)</f>
        <v>7.6923189944817325E-2</v>
      </c>
      <c r="D25" s="65">
        <f>IF(Table2[[#This Row],[Country]]&gt;0,(((Table2[[#This Row],[Country]]-B24)/B24)+1)^12-1,"")</f>
        <v>7.0604390377913218E-2</v>
      </c>
    </row>
    <row r="26" spans="1:4" x14ac:dyDescent="0.2">
      <c r="A26" s="36">
        <v>22890</v>
      </c>
      <c r="B26" s="37">
        <f>VLOOKUP(A26,Data!$E:$BG,MATCH(Country!$A$1,Data!$E$1:$BG$1,),)</f>
        <v>2.9492850000000002</v>
      </c>
      <c r="C26" s="65">
        <f>IF(B14&gt;0,(Table2[[#This Row],[Country]]-B14)/B14,0)</f>
        <v>7.7086603418442673E-2</v>
      </c>
      <c r="D26" s="65">
        <f>IF(Table2[[#This Row],[Country]]&gt;0,(((Table2[[#This Row],[Country]]-B25)/B25)+1)^12-1,"")</f>
        <v>7.3812315247845817E-2</v>
      </c>
    </row>
    <row r="27" spans="1:4" x14ac:dyDescent="0.2">
      <c r="A27" s="36">
        <v>22920</v>
      </c>
      <c r="B27" s="37">
        <f>VLOOKUP(A27,Data!$E:$BG,MATCH(Country!$A$1,Data!$E$1:$BG$1,),)</f>
        <v>2.9683980000000001</v>
      </c>
      <c r="C27" s="65">
        <f>IF(B15&gt;0,(Table2[[#This Row],[Country]]-B15)/B15,0)</f>
        <v>7.8827826100861989E-2</v>
      </c>
      <c r="D27" s="65">
        <f>IF(Table2[[#This Row],[Country]]&gt;0,(((Table2[[#This Row],[Country]]-B26)/B26)+1)^12-1,"")</f>
        <v>8.0599244284808691E-2</v>
      </c>
    </row>
    <row r="28" spans="1:4" x14ac:dyDescent="0.2">
      <c r="A28" s="36">
        <v>22951</v>
      </c>
      <c r="B28" s="37">
        <f>VLOOKUP(A28,Data!$E:$BG,MATCH(Country!$A$1,Data!$E$1:$BG$1,),)</f>
        <v>2.990005</v>
      </c>
      <c r="C28" s="65">
        <f>IF(B16&gt;0,(Table2[[#This Row],[Country]]-B16)/B16,0)</f>
        <v>7.9184195861137036E-2</v>
      </c>
      <c r="D28" s="65">
        <f>IF(Table2[[#This Row],[Country]]&gt;0,(((Table2[[#This Row],[Country]]-B27)/B27)+1)^12-1,"")</f>
        <v>9.0931322242572943E-2</v>
      </c>
    </row>
    <row r="29" spans="1:4" x14ac:dyDescent="0.2">
      <c r="A29" s="36">
        <v>22981</v>
      </c>
      <c r="B29" s="37">
        <f>VLOOKUP(A29,Data!$E:$BG,MATCH(Country!$A$1,Data!$E$1:$BG$1,),)</f>
        <v>3.0141040000000001</v>
      </c>
      <c r="C29" s="65">
        <f>IF(B17&gt;0,(Table2[[#This Row],[Country]]-B17)/B17,0)</f>
        <v>8.1073015820638555E-2</v>
      </c>
      <c r="D29" s="65">
        <f>IF(Table2[[#This Row],[Country]]&gt;0,(((Table2[[#This Row],[Country]]-B28)/B28)+1)^12-1,"")</f>
        <v>0.10112297705938067</v>
      </c>
    </row>
    <row r="30" spans="1:4" x14ac:dyDescent="0.2">
      <c r="A30" s="36">
        <v>23012</v>
      </c>
      <c r="B30" s="37">
        <f>VLOOKUP(A30,Data!$E:$BG,MATCH(Country!$A$1,Data!$E$1:$BG$1,),)</f>
        <v>3.0348799999999998</v>
      </c>
      <c r="C30" s="65">
        <f>IF(B18&gt;0,(Table2[[#This Row],[Country]]-B18)/B18,0)</f>
        <v>8.2074013223574147E-2</v>
      </c>
      <c r="D30" s="65">
        <f>IF(Table2[[#This Row],[Country]]&gt;0,(((Table2[[#This Row],[Country]]-B29)/B29)+1)^12-1,"")</f>
        <v>8.5924129991942877E-2</v>
      </c>
    </row>
    <row r="31" spans="1:4" x14ac:dyDescent="0.2">
      <c r="A31" s="36">
        <v>23043</v>
      </c>
      <c r="B31" s="37">
        <f>VLOOKUP(A31,Data!$E:$BG,MATCH(Country!$A$1,Data!$E$1:$BG$1,),)</f>
        <v>3.0573169999999998</v>
      </c>
      <c r="C31" s="65">
        <f>IF(B19&gt;0,(Table2[[#This Row],[Country]]-B19)/B19,0)</f>
        <v>8.1740611557042542E-2</v>
      </c>
      <c r="D31" s="65">
        <f>IF(Table2[[#This Row],[Country]]&gt;0,(((Table2[[#This Row],[Country]]-B30)/B30)+1)^12-1,"")</f>
        <v>9.2414285199704072E-2</v>
      </c>
    </row>
    <row r="32" spans="1:4" x14ac:dyDescent="0.2">
      <c r="A32" s="36">
        <v>23071</v>
      </c>
      <c r="B32" s="37">
        <f>VLOOKUP(A32,Data!$E:$BG,MATCH(Country!$A$1,Data!$E$1:$BG$1,),)</f>
        <v>3.0805859999999998</v>
      </c>
      <c r="C32" s="65">
        <f>IF(B20&gt;0,(Table2[[#This Row],[Country]]-B20)/B20,0)</f>
        <v>8.0442967496426945E-2</v>
      </c>
      <c r="D32" s="65">
        <f>IF(Table2[[#This Row],[Country]]&gt;0,(((Table2[[#This Row],[Country]]-B31)/B31)+1)^12-1,"")</f>
        <v>9.5252856665328345E-2</v>
      </c>
    </row>
    <row r="33" spans="1:4" x14ac:dyDescent="0.2">
      <c r="A33" s="36">
        <v>23102</v>
      </c>
      <c r="B33" s="37">
        <f>VLOOKUP(A33,Data!$E:$BG,MATCH(Country!$A$1,Data!$E$1:$BG$1,),)</f>
        <v>3.1021920000000001</v>
      </c>
      <c r="C33" s="65">
        <f>IF(B21&gt;0,(Table2[[#This Row],[Country]]-B21)/B21,0)</f>
        <v>8.0463044843406981E-2</v>
      </c>
      <c r="D33" s="65">
        <f>IF(Table2[[#This Row],[Country]]&gt;0,(((Table2[[#This Row],[Country]]-B32)/B32)+1)^12-1,"")</f>
        <v>8.7486899137473984E-2</v>
      </c>
    </row>
    <row r="34" spans="1:4" x14ac:dyDescent="0.2">
      <c r="A34" s="36">
        <v>23132</v>
      </c>
      <c r="B34" s="37">
        <f>VLOOKUP(A34,Data!$E:$BG,MATCH(Country!$A$1,Data!$E$1:$BG$1,),)</f>
        <v>3.125461</v>
      </c>
      <c r="C34" s="65">
        <f>IF(B22&gt;0,(Table2[[#This Row],[Country]]-B22)/B22,0)</f>
        <v>8.2302037197995767E-2</v>
      </c>
      <c r="D34" s="65">
        <f>IF(Table2[[#This Row],[Country]]&gt;0,(((Table2[[#This Row],[Country]]-B33)/B33)+1)^12-1,"")</f>
        <v>9.3817648701564949E-2</v>
      </c>
    </row>
    <row r="35" spans="1:4" x14ac:dyDescent="0.2">
      <c r="A35" s="36">
        <v>23163</v>
      </c>
      <c r="B35" s="37">
        <f>VLOOKUP(A35,Data!$E:$BG,MATCH(Country!$A$1,Data!$E$1:$BG$1,),)</f>
        <v>3.144574</v>
      </c>
      <c r="C35" s="65">
        <f>IF(B23&gt;0,(Table2[[#This Row],[Country]]-B23)/B23,0)</f>
        <v>8.3309333087129886E-2</v>
      </c>
      <c r="D35" s="65">
        <f>IF(Table2[[#This Row],[Country]]&gt;0,(((Table2[[#This Row],[Country]]-B34)/B34)+1)^12-1,"")</f>
        <v>7.5902266077707337E-2</v>
      </c>
    </row>
    <row r="36" spans="1:4" x14ac:dyDescent="0.2">
      <c r="A36" s="36">
        <v>23193</v>
      </c>
      <c r="B36" s="37">
        <f>VLOOKUP(A36,Data!$E:$BG,MATCH(Country!$A$1,Data!$E$1:$BG$1,),)</f>
        <v>3.1670120000000002</v>
      </c>
      <c r="C36" s="65">
        <f>IF(B24&gt;0,(Table2[[#This Row],[Country]]-B24)/B24,0)</f>
        <v>8.6374134582961892E-2</v>
      </c>
      <c r="D36" s="65">
        <f>IF(Table2[[#This Row],[Country]]&gt;0,(((Table2[[#This Row],[Country]]-B35)/B35)+1)^12-1,"")</f>
        <v>8.9067194469950595E-2</v>
      </c>
    </row>
    <row r="37" spans="1:4" x14ac:dyDescent="0.2">
      <c r="A37" s="36">
        <v>23224</v>
      </c>
      <c r="B37" s="37">
        <f>VLOOKUP(A37,Data!$E:$BG,MATCH(Country!$A$1,Data!$E$1:$BG$1,),)</f>
        <v>3.1877870000000001</v>
      </c>
      <c r="C37" s="65">
        <f>IF(B25&gt;0,(Table2[[#This Row],[Country]]-B25)/B25,0)</f>
        <v>8.7301327428497083E-2</v>
      </c>
      <c r="D37" s="65">
        <f>IF(Table2[[#This Row],[Country]]&gt;0,(((Table2[[#This Row],[Country]]-B36)/B36)+1)^12-1,"")</f>
        <v>8.1620812311594682E-2</v>
      </c>
    </row>
    <row r="38" spans="1:4" x14ac:dyDescent="0.2">
      <c r="A38" s="36">
        <v>23255</v>
      </c>
      <c r="B38" s="37">
        <f>VLOOKUP(A38,Data!$E:$BG,MATCH(Country!$A$1,Data!$E$1:$BG$1,),)</f>
        <v>3.207732</v>
      </c>
      <c r="C38" s="65">
        <f>IF(B26&gt;0,(Table2[[#This Row],[Country]]-B26)/B26,0)</f>
        <v>8.7630391772921187E-2</v>
      </c>
      <c r="D38" s="65">
        <f>IF(Table2[[#This Row],[Country]]&gt;0,(((Table2[[#This Row],[Country]]-B37)/B37)+1)^12-1,"")</f>
        <v>7.771859697814798E-2</v>
      </c>
    </row>
    <row r="39" spans="1:4" x14ac:dyDescent="0.2">
      <c r="A39" s="36">
        <v>23285</v>
      </c>
      <c r="B39" s="37">
        <f>VLOOKUP(A39,Data!$E:$BG,MATCH(Country!$A$1,Data!$E$1:$BG$1,),)</f>
        <v>3.226845</v>
      </c>
      <c r="C39" s="65">
        <f>IF(B27&gt;0,(Table2[[#This Row],[Country]]-B27)/B27,0)</f>
        <v>8.7066154875458032E-2</v>
      </c>
      <c r="D39" s="65">
        <f>IF(Table2[[#This Row],[Country]]&gt;0,(((Table2[[#This Row],[Country]]-B38)/B38)+1)^12-1,"")</f>
        <v>7.3891333626943556E-2</v>
      </c>
    </row>
    <row r="40" spans="1:4" x14ac:dyDescent="0.2">
      <c r="A40" s="36">
        <v>23316</v>
      </c>
      <c r="B40" s="37">
        <f>VLOOKUP(A40,Data!$E:$BG,MATCH(Country!$A$1,Data!$E$1:$BG$1,),)</f>
        <v>3.2534380000000001</v>
      </c>
      <c r="C40" s="65">
        <f>IF(B28&gt;0,(Table2[[#This Row],[Country]]-B28)/B28,0)</f>
        <v>8.8104534942249263E-2</v>
      </c>
      <c r="D40" s="65">
        <f>IF(Table2[[#This Row],[Country]]&gt;0,(((Table2[[#This Row],[Country]]-B39)/B39)+1)^12-1,"")</f>
        <v>0.10350209386420661</v>
      </c>
    </row>
    <row r="41" spans="1:4" x14ac:dyDescent="0.2">
      <c r="A41" s="36">
        <v>23346</v>
      </c>
      <c r="B41" s="37">
        <f>VLOOKUP(A41,Data!$E:$BG,MATCH(Country!$A$1,Data!$E$1:$BG$1,),)</f>
        <v>3.2675649999999998</v>
      </c>
      <c r="C41" s="65">
        <f>IF(B29&gt;0,(Table2[[#This Row],[Country]]-B29)/B29,0)</f>
        <v>8.4091657089469946E-2</v>
      </c>
      <c r="D41" s="65">
        <f>IF(Table2[[#This Row],[Country]]&gt;0,(((Table2[[#This Row],[Country]]-B40)/B40)+1)^12-1,"")</f>
        <v>5.3368695440413561E-2</v>
      </c>
    </row>
    <row r="42" spans="1:4" x14ac:dyDescent="0.2">
      <c r="A42" s="36">
        <v>23377</v>
      </c>
      <c r="B42" s="37">
        <f>VLOOKUP(A42,Data!$E:$BG,MATCH(Country!$A$1,Data!$E$1:$BG$1,),)</f>
        <v>3.2841849999999999</v>
      </c>
      <c r="C42" s="65">
        <f>IF(B30&gt;0,(Table2[[#This Row],[Country]]-B30)/B30,0)</f>
        <v>8.214657581189376E-2</v>
      </c>
      <c r="D42" s="65">
        <f>IF(Table2[[#This Row],[Country]]&gt;0,(((Table2[[#This Row],[Country]]-B41)/B41)+1)^12-1,"")</f>
        <v>6.2773047283537498E-2</v>
      </c>
    </row>
    <row r="43" spans="1:4" x14ac:dyDescent="0.2">
      <c r="A43" s="36">
        <v>23408</v>
      </c>
      <c r="B43" s="37">
        <f>VLOOKUP(A43,Data!$E:$BG,MATCH(Country!$A$1,Data!$E$1:$BG$1,),)</f>
        <v>3.3041299999999998</v>
      </c>
      <c r="C43" s="65">
        <f>IF(B31&gt;0,(Table2[[#This Row],[Country]]-B31)/B31,0)</f>
        <v>8.0728625785288194E-2</v>
      </c>
      <c r="D43" s="65">
        <f>IF(Table2[[#This Row],[Country]]&gt;0,(((Table2[[#This Row],[Country]]-B42)/B42)+1)^12-1,"")</f>
        <v>7.5360687613750477E-2</v>
      </c>
    </row>
    <row r="44" spans="1:4" x14ac:dyDescent="0.2">
      <c r="A44" s="36">
        <v>23437</v>
      </c>
      <c r="B44" s="37">
        <f>VLOOKUP(A44,Data!$E:$BG,MATCH(Country!$A$1,Data!$E$1:$BG$1,),)</f>
        <v>3.3224119999999999</v>
      </c>
      <c r="C44" s="65">
        <f>IF(B32&gt;0,(Table2[[#This Row],[Country]]-B32)/B32,0)</f>
        <v>7.849999967538647E-2</v>
      </c>
      <c r="D44" s="65">
        <f>IF(Table2[[#This Row],[Country]]&gt;0,(((Table2[[#This Row],[Country]]-B43)/B43)+1)^12-1,"")</f>
        <v>6.8455223030823964E-2</v>
      </c>
    </row>
    <row r="45" spans="1:4" x14ac:dyDescent="0.2">
      <c r="A45" s="36">
        <v>23468</v>
      </c>
      <c r="B45" s="37">
        <f>VLOOKUP(A45,Data!$E:$BG,MATCH(Country!$A$1,Data!$E$1:$BG$1,),)</f>
        <v>3.3382019999999999</v>
      </c>
      <c r="C45" s="65">
        <f>IF(B33&gt;0,(Table2[[#This Row],[Country]]-B33)/B33,0)</f>
        <v>7.6078463228581542E-2</v>
      </c>
      <c r="D45" s="65">
        <f>IF(Table2[[#This Row],[Country]]&gt;0,(((Table2[[#This Row],[Country]]-B44)/B44)+1)^12-1,"")</f>
        <v>5.854546414161832E-2</v>
      </c>
    </row>
    <row r="46" spans="1:4" x14ac:dyDescent="0.2">
      <c r="A46" s="36">
        <v>23498</v>
      </c>
      <c r="B46" s="37">
        <f>VLOOKUP(A46,Data!$E:$BG,MATCH(Country!$A$1,Data!$E$1:$BG$1,),)</f>
        <v>3.3589769999999999</v>
      </c>
      <c r="C46" s="65">
        <f>IF(B34&gt;0,(Table2[[#This Row],[Country]]-B34)/B34,0)</f>
        <v>7.471409817623699E-2</v>
      </c>
      <c r="D46" s="65">
        <f>IF(Table2[[#This Row],[Country]]&gt;0,(((Table2[[#This Row],[Country]]-B45)/B45)+1)^12-1,"")</f>
        <v>7.7290934346968987E-2</v>
      </c>
    </row>
    <row r="47" spans="1:4" x14ac:dyDescent="0.2">
      <c r="A47" s="36">
        <v>23529</v>
      </c>
      <c r="B47" s="37">
        <f>VLOOKUP(A47,Data!$E:$BG,MATCH(Country!$A$1,Data!$E$1:$BG$1,),)</f>
        <v>3.3830770000000001</v>
      </c>
      <c r="C47" s="65">
        <f>IF(B35&gt;0,(Table2[[#This Row],[Country]]-B35)/B35,0)</f>
        <v>7.5845885643015601E-2</v>
      </c>
      <c r="D47" s="65">
        <f>IF(Table2[[#This Row],[Country]]&gt;0,(((Table2[[#This Row],[Country]]-B46)/B46)+1)^12-1,"")</f>
        <v>8.9577759802391466E-2</v>
      </c>
    </row>
    <row r="48" spans="1:4" x14ac:dyDescent="0.2">
      <c r="A48" s="36">
        <v>23559</v>
      </c>
      <c r="B48" s="37">
        <f>VLOOKUP(A48,Data!$E:$BG,MATCH(Country!$A$1,Data!$E$1:$BG$1,),)</f>
        <v>3.408007</v>
      </c>
      <c r="C48" s="65">
        <f>IF(B36&gt;0,(Table2[[#This Row],[Country]]-B36)/B36,0)</f>
        <v>7.6095385808452834E-2</v>
      </c>
      <c r="D48" s="65">
        <f>IF(Table2[[#This Row],[Country]]&gt;0,(((Table2[[#This Row],[Country]]-B47)/B47)+1)^12-1,"")</f>
        <v>9.2101859206888514E-2</v>
      </c>
    </row>
    <row r="49" spans="1:4" x14ac:dyDescent="0.2">
      <c r="A49" s="36">
        <v>23590</v>
      </c>
      <c r="B49" s="37">
        <f>VLOOKUP(A49,Data!$E:$BG,MATCH(Country!$A$1,Data!$E$1:$BG$1,),)</f>
        <v>3.4354309999999999</v>
      </c>
      <c r="C49" s="65">
        <f>IF(B37&gt;0,(Table2[[#This Row],[Country]]-B37)/B37,0)</f>
        <v>7.7685240575985706E-2</v>
      </c>
      <c r="D49" s="65">
        <f>IF(Table2[[#This Row],[Country]]&gt;0,(((Table2[[#This Row],[Country]]-B48)/B48)+1)^12-1,"")</f>
        <v>0.10095362386997198</v>
      </c>
    </row>
    <row r="50" spans="1:4" x14ac:dyDescent="0.2">
      <c r="A50" s="36">
        <v>23621</v>
      </c>
      <c r="B50" s="37">
        <f>VLOOKUP(A50,Data!$E:$BG,MATCH(Country!$A$1,Data!$E$1:$BG$1,),)</f>
        <v>3.4645169999999998</v>
      </c>
      <c r="C50" s="65">
        <f>IF(B38&gt;0,(Table2[[#This Row],[Country]]-B38)/B38,0)</f>
        <v>8.0051887127727567E-2</v>
      </c>
      <c r="D50" s="65">
        <f>IF(Table2[[#This Row],[Country]]&gt;0,(((Table2[[#This Row],[Country]]-B49)/B49)+1)^12-1,"")</f>
        <v>0.10646478822405347</v>
      </c>
    </row>
    <row r="51" spans="1:4" x14ac:dyDescent="0.2">
      <c r="A51" s="36">
        <v>23651</v>
      </c>
      <c r="B51" s="37">
        <f>VLOOKUP(A51,Data!$E:$BG,MATCH(Country!$A$1,Data!$E$1:$BG$1,),)</f>
        <v>3.482799</v>
      </c>
      <c r="C51" s="65">
        <f>IF(B39&gt;0,(Table2[[#This Row],[Country]]-B39)/B39,0)</f>
        <v>7.9320202860689012E-2</v>
      </c>
      <c r="D51" s="65">
        <f>IF(Table2[[#This Row],[Country]]&gt;0,(((Table2[[#This Row],[Country]]-B50)/B50)+1)^12-1,"")</f>
        <v>6.5193659278796057E-2</v>
      </c>
    </row>
    <row r="52" spans="1:4" x14ac:dyDescent="0.2">
      <c r="A52" s="36">
        <v>23682</v>
      </c>
      <c r="B52" s="37">
        <f>VLOOKUP(A52,Data!$E:$BG,MATCH(Country!$A$1,Data!$E$1:$BG$1,),)</f>
        <v>3.5068980000000001</v>
      </c>
      <c r="C52" s="65">
        <f>IF(B40&gt;0,(Table2[[#This Row],[Country]]-B40)/B40,0)</f>
        <v>7.7905280506344377E-2</v>
      </c>
      <c r="D52" s="65">
        <f>IF(Table2[[#This Row],[Country]]&gt;0,(((Table2[[#This Row],[Country]]-B51)/B51)+1)^12-1,"")</f>
        <v>8.6267233282694145E-2</v>
      </c>
    </row>
    <row r="53" spans="1:4" x14ac:dyDescent="0.2">
      <c r="A53" s="36">
        <v>23712</v>
      </c>
      <c r="B53" s="37">
        <f>VLOOKUP(A53,Data!$E:$BG,MATCH(Country!$A$1,Data!$E$1:$BG$1,),)</f>
        <v>3.5293359999999998</v>
      </c>
      <c r="C53" s="65">
        <f>IF(B41&gt;0,(Table2[[#This Row],[Country]]-B41)/B41,0)</f>
        <v>8.0111948805915101E-2</v>
      </c>
      <c r="D53" s="65">
        <f>IF(Table2[[#This Row],[Country]]&gt;0,(((Table2[[#This Row],[Country]]-B52)/B52)+1)^12-1,"")</f>
        <v>7.9539307129865122E-2</v>
      </c>
    </row>
    <row r="54" spans="1:4" x14ac:dyDescent="0.2">
      <c r="A54" s="36">
        <v>23743</v>
      </c>
      <c r="B54" s="37">
        <f>VLOOKUP(A54,Data!$E:$BG,MATCH(Country!$A$1,Data!$E$1:$BG$1,),)</f>
        <v>3.5526040000000001</v>
      </c>
      <c r="C54" s="65">
        <f>IF(B42&gt;0,(Table2[[#This Row],[Country]]-B42)/B42,0)</f>
        <v>8.1730779478013632E-2</v>
      </c>
      <c r="D54" s="65">
        <f>IF(Table2[[#This Row],[Country]]&gt;0,(((Table2[[#This Row],[Country]]-B53)/B53)+1)^12-1,"")</f>
        <v>8.204552391923392E-2</v>
      </c>
    </row>
    <row r="55" spans="1:4" x14ac:dyDescent="0.2">
      <c r="A55" s="36">
        <v>23774</v>
      </c>
      <c r="B55" s="37">
        <f>VLOOKUP(A55,Data!$E:$BG,MATCH(Country!$A$1,Data!$E$1:$BG$1,),)</f>
        <v>3.5767039999999999</v>
      </c>
      <c r="C55" s="65">
        <f>IF(B43&gt;0,(Table2[[#This Row],[Country]]-B43)/B43,0)</f>
        <v>8.2494938153159864E-2</v>
      </c>
      <c r="D55" s="65">
        <f>IF(Table2[[#This Row],[Country]]&gt;0,(((Table2[[#This Row],[Country]]-B54)/B54)+1)^12-1,"")</f>
        <v>8.4512093781180075E-2</v>
      </c>
    </row>
    <row r="56" spans="1:4" x14ac:dyDescent="0.2">
      <c r="A56" s="36">
        <v>23802</v>
      </c>
      <c r="B56" s="37">
        <f>VLOOKUP(A56,Data!$E:$BG,MATCH(Country!$A$1,Data!$E$1:$BG$1,),)</f>
        <v>3.5999720000000002</v>
      </c>
      <c r="C56" s="65">
        <f>IF(B44&gt;0,(Table2[[#This Row],[Country]]-B44)/B44,0)</f>
        <v>8.3541716078559869E-2</v>
      </c>
      <c r="D56" s="65">
        <f>IF(Table2[[#This Row],[Country]]&gt;0,(((Table2[[#This Row],[Country]]-B55)/B55)+1)^12-1,"")</f>
        <v>8.0919794786634913E-2</v>
      </c>
    </row>
    <row r="57" spans="1:4" x14ac:dyDescent="0.2">
      <c r="A57" s="36">
        <v>23833</v>
      </c>
      <c r="B57" s="37">
        <f>VLOOKUP(A57,Data!$E:$BG,MATCH(Country!$A$1,Data!$E$1:$BG$1,),)</f>
        <v>3.618255</v>
      </c>
      <c r="C57" s="65">
        <f>IF(B45&gt;0,(Table2[[#This Row],[Country]]-B45)/B45,0)</f>
        <v>8.3893365350568988E-2</v>
      </c>
      <c r="D57" s="65">
        <f>IF(Table2[[#This Row],[Country]]&gt;0,(((Table2[[#This Row],[Country]]-B56)/B56)+1)^12-1,"")</f>
        <v>6.2675275267730868E-2</v>
      </c>
    </row>
    <row r="58" spans="1:4" x14ac:dyDescent="0.2">
      <c r="A58" s="36">
        <v>23863</v>
      </c>
      <c r="B58" s="37">
        <f>VLOOKUP(A58,Data!$E:$BG,MATCH(Country!$A$1,Data!$E$1:$BG$1,),)</f>
        <v>3.6323820000000002</v>
      </c>
      <c r="C58" s="65">
        <f>IF(B46&gt;0,(Table2[[#This Row],[Country]]-B46)/B46,0)</f>
        <v>8.1395317681544219E-2</v>
      </c>
      <c r="D58" s="65">
        <f>IF(Table2[[#This Row],[Country]]&gt;0,(((Table2[[#This Row],[Country]]-B57)/B57)+1)^12-1,"")</f>
        <v>4.7871739065242114E-2</v>
      </c>
    </row>
    <row r="59" spans="1:4" x14ac:dyDescent="0.2">
      <c r="A59" s="36">
        <v>23894</v>
      </c>
      <c r="B59" s="37">
        <f>VLOOKUP(A59,Data!$E:$BG,MATCH(Country!$A$1,Data!$E$1:$BG$1,),)</f>
        <v>3.6573129999999998</v>
      </c>
      <c r="C59" s="65">
        <f>IF(B47&gt;0,(Table2[[#This Row],[Country]]-B47)/B47,0)</f>
        <v>8.1061116847177789E-2</v>
      </c>
      <c r="D59" s="65">
        <f>IF(Table2[[#This Row],[Country]]&gt;0,(((Table2[[#This Row],[Country]]-B58)/B58)+1)^12-1,"")</f>
        <v>8.5543865997323332E-2</v>
      </c>
    </row>
    <row r="60" spans="1:4" x14ac:dyDescent="0.2">
      <c r="A60" s="36">
        <v>23924</v>
      </c>
      <c r="B60" s="37">
        <f>VLOOKUP(A60,Data!$E:$BG,MATCH(Country!$A$1,Data!$E$1:$BG$1,),)</f>
        <v>3.6805810000000001</v>
      </c>
      <c r="C60" s="65">
        <f>IF(B48&gt;0,(Table2[[#This Row],[Country]]-B48)/B48,0)</f>
        <v>7.9980469523683512E-2</v>
      </c>
      <c r="D60" s="65">
        <f>IF(Table2[[#This Row],[Country]]&gt;0,(((Table2[[#This Row],[Country]]-B59)/B59)+1)^12-1,"")</f>
        <v>7.9073437235869903E-2</v>
      </c>
    </row>
    <row r="61" spans="1:4" x14ac:dyDescent="0.2">
      <c r="A61" s="36">
        <v>23955</v>
      </c>
      <c r="B61" s="37">
        <f>VLOOKUP(A61,Data!$E:$BG,MATCH(Country!$A$1,Data!$E$1:$BG$1,),)</f>
        <v>3.7046809999999999</v>
      </c>
      <c r="C61" s="65">
        <f>IF(B49&gt;0,(Table2[[#This Row],[Country]]-B49)/B49,0)</f>
        <v>7.8374445593580547E-2</v>
      </c>
      <c r="D61" s="65">
        <f>IF(Table2[[#This Row],[Country]]&gt;0,(((Table2[[#This Row],[Country]]-B60)/B60)+1)^12-1,"")</f>
        <v>8.1466964851511392E-2</v>
      </c>
    </row>
    <row r="62" spans="1:4" x14ac:dyDescent="0.2">
      <c r="A62" s="36">
        <v>23986</v>
      </c>
      <c r="B62" s="37">
        <f>VLOOKUP(A62,Data!$E:$BG,MATCH(Country!$A$1,Data!$E$1:$BG$1,),)</f>
        <v>3.7354289999999999</v>
      </c>
      <c r="C62" s="65">
        <f>IF(B50&gt;0,(Table2[[#This Row],[Country]]-B50)/B50,0)</f>
        <v>7.8196181459060543E-2</v>
      </c>
      <c r="D62" s="65">
        <f>IF(Table2[[#This Row],[Country]]&gt;0,(((Table2[[#This Row],[Country]]-B61)/B61)+1)^12-1,"")</f>
        <v>0.10427189032947592</v>
      </c>
    </row>
    <row r="63" spans="1:4" x14ac:dyDescent="0.2">
      <c r="A63" s="36">
        <v>24016</v>
      </c>
      <c r="B63" s="37">
        <f>VLOOKUP(A63,Data!$E:$BG,MATCH(Country!$A$1,Data!$E$1:$BG$1,),)</f>
        <v>3.76119</v>
      </c>
      <c r="C63" s="65">
        <f>IF(B51&gt;0,(Table2[[#This Row],[Country]]-B51)/B51,0)</f>
        <v>7.9933122755576777E-2</v>
      </c>
      <c r="D63" s="65">
        <f>IF(Table2[[#This Row],[Country]]&gt;0,(((Table2[[#This Row],[Country]]-B62)/B62)+1)^12-1,"")</f>
        <v>8.5969029528394136E-2</v>
      </c>
    </row>
    <row r="64" spans="1:4" x14ac:dyDescent="0.2">
      <c r="A64" s="36">
        <v>24047</v>
      </c>
      <c r="B64" s="37">
        <f>VLOOKUP(A64,Data!$E:$BG,MATCH(Country!$A$1,Data!$E$1:$BG$1,),)</f>
        <v>3.7869519999999999</v>
      </c>
      <c r="C64" s="65">
        <f>IF(B52&gt;0,(Table2[[#This Row],[Country]]-B52)/B52,0)</f>
        <v>7.9858039783307008E-2</v>
      </c>
      <c r="D64" s="65">
        <f>IF(Table2[[#This Row],[Country]]&gt;0,(((Table2[[#This Row],[Country]]-B63)/B63)+1)^12-1,"")</f>
        <v>8.5361299496083065E-2</v>
      </c>
    </row>
    <row r="65" spans="1:4" x14ac:dyDescent="0.2">
      <c r="A65" s="36">
        <v>24077</v>
      </c>
      <c r="B65" s="37">
        <f>VLOOKUP(A65,Data!$E:$BG,MATCH(Country!$A$1,Data!$E$1:$BG$1,),)</f>
        <v>3.8160370000000001</v>
      </c>
      <c r="C65" s="65">
        <f>IF(B53&gt;0,(Table2[[#This Row],[Country]]-B53)/B53,0)</f>
        <v>8.1233693816627359E-2</v>
      </c>
      <c r="D65" s="65">
        <f>IF(Table2[[#This Row],[Country]]&gt;0,(((Table2[[#This Row],[Country]]-B64)/B64)+1)^12-1,"")</f>
        <v>9.6158404663367669E-2</v>
      </c>
    </row>
    <row r="66" spans="1:4" x14ac:dyDescent="0.2">
      <c r="A66" s="36">
        <v>24108</v>
      </c>
      <c r="B66" s="37">
        <f>VLOOKUP(A66,Data!$E:$BG,MATCH(Country!$A$1,Data!$E$1:$BG$1,),)</f>
        <v>3.8393060000000001</v>
      </c>
      <c r="C66" s="65">
        <f>IF(B54&gt;0,(Table2[[#This Row],[Country]]-B54)/B54,0)</f>
        <v>8.0701930189798807E-2</v>
      </c>
      <c r="D66" s="65">
        <f>IF(Table2[[#This Row],[Country]]&gt;0,(((Table2[[#This Row],[Country]]-B65)/B65)+1)^12-1,"")</f>
        <v>7.5676814685571969E-2</v>
      </c>
    </row>
    <row r="67" spans="1:4" x14ac:dyDescent="0.2">
      <c r="A67" s="36">
        <v>24139</v>
      </c>
      <c r="B67" s="37">
        <f>VLOOKUP(A67,Data!$E:$BG,MATCH(Country!$A$1,Data!$E$1:$BG$1,),)</f>
        <v>3.8609119999999999</v>
      </c>
      <c r="C67" s="65">
        <f>IF(B55&gt;0,(Table2[[#This Row],[Country]]-B55)/B55,0)</f>
        <v>7.9460866764484855E-2</v>
      </c>
      <c r="D67" s="65">
        <f>IF(Table2[[#This Row],[Country]]&gt;0,(((Table2[[#This Row],[Country]]-B66)/B66)+1)^12-1,"")</f>
        <v>6.9660861966548859E-2</v>
      </c>
    </row>
    <row r="68" spans="1:4" x14ac:dyDescent="0.2">
      <c r="A68" s="36">
        <v>24167</v>
      </c>
      <c r="B68" s="37">
        <f>VLOOKUP(A68,Data!$E:$BG,MATCH(Country!$A$1,Data!$E$1:$BG$1,),)</f>
        <v>3.8825189999999998</v>
      </c>
      <c r="C68" s="65">
        <f>IF(B56&gt;0,(Table2[[#This Row],[Country]]-B56)/B56,0)</f>
        <v>7.8485888223574968E-2</v>
      </c>
      <c r="D68" s="65">
        <f>IF(Table2[[#This Row],[Country]]&gt;0,(((Table2[[#This Row],[Country]]-B67)/B67)+1)^12-1,"")</f>
        <v>6.9262263590909257E-2</v>
      </c>
    </row>
    <row r="69" spans="1:4" x14ac:dyDescent="0.2">
      <c r="A69" s="36">
        <v>24198</v>
      </c>
      <c r="B69" s="37">
        <f>VLOOKUP(A69,Data!$E:$BG,MATCH(Country!$A$1,Data!$E$1:$BG$1,),)</f>
        <v>3.8999700000000002</v>
      </c>
      <c r="C69" s="65">
        <f>IF(B57&gt;0,(Table2[[#This Row],[Country]]-B57)/B57,0)</f>
        <v>7.7859354854757382E-2</v>
      </c>
      <c r="D69" s="65">
        <f>IF(Table2[[#This Row],[Country]]&gt;0,(((Table2[[#This Row],[Country]]-B68)/B68)+1)^12-1,"")</f>
        <v>5.5290719196413596E-2</v>
      </c>
    </row>
    <row r="70" spans="1:4" x14ac:dyDescent="0.2">
      <c r="A70" s="36">
        <v>24228</v>
      </c>
      <c r="B70" s="37">
        <f>VLOOKUP(A70,Data!$E:$BG,MATCH(Country!$A$1,Data!$E$1:$BG$1,),)</f>
        <v>3.9066179999999999</v>
      </c>
      <c r="C70" s="65">
        <f>IF(B58&gt;0,(Table2[[#This Row],[Country]]-B58)/B58,0)</f>
        <v>7.5497566059957263E-2</v>
      </c>
      <c r="D70" s="65">
        <f>IF(Table2[[#This Row],[Country]]&gt;0,(((Table2[[#This Row],[Country]]-B69)/B69)+1)^12-1,"")</f>
        <v>2.0648415917757124E-2</v>
      </c>
    </row>
    <row r="71" spans="1:4" x14ac:dyDescent="0.2">
      <c r="A71" s="36">
        <v>24259</v>
      </c>
      <c r="B71" s="37">
        <f>VLOOKUP(A71,Data!$E:$BG,MATCH(Country!$A$1,Data!$E$1:$BG$1,),)</f>
        <v>3.9157600000000001</v>
      </c>
      <c r="C71" s="65">
        <f>IF(B59&gt;0,(Table2[[#This Row],[Country]]-B59)/B59,0)</f>
        <v>7.0665813945921585E-2</v>
      </c>
      <c r="D71" s="65">
        <f>IF(Table2[[#This Row],[Country]]&gt;0,(((Table2[[#This Row],[Country]]-B70)/B70)+1)^12-1,"")</f>
        <v>2.8445842936683841E-2</v>
      </c>
    </row>
    <row r="72" spans="1:4" x14ac:dyDescent="0.2">
      <c r="A72" s="36">
        <v>24289</v>
      </c>
      <c r="B72" s="37">
        <f>VLOOKUP(A72,Data!$E:$BG,MATCH(Country!$A$1,Data!$E$1:$BG$1,),)</f>
        <v>3.9132669999999998</v>
      </c>
      <c r="C72" s="65">
        <f>IF(B60&gt;0,(Table2[[#This Row],[Country]]-B60)/B60,0)</f>
        <v>6.3219910117451483E-2</v>
      </c>
      <c r="D72" s="65">
        <f>IF(Table2[[#This Row],[Country]]&gt;0,(((Table2[[#This Row],[Country]]-B71)/B71)+1)^12-1,"")</f>
        <v>-7.6132008994699296E-3</v>
      </c>
    </row>
    <row r="73" spans="1:4" x14ac:dyDescent="0.2">
      <c r="A73" s="36">
        <v>24320</v>
      </c>
      <c r="B73" s="37">
        <f>VLOOKUP(A73,Data!$E:$BG,MATCH(Country!$A$1,Data!$E$1:$BG$1,),)</f>
        <v>3.9273940000000001</v>
      </c>
      <c r="C73" s="65">
        <f>IF(B61&gt;0,(Table2[[#This Row],[Country]]-B61)/B61,0)</f>
        <v>6.0116647020350786E-2</v>
      </c>
      <c r="D73" s="65">
        <f>IF(Table2[[#This Row],[Country]]&gt;0,(((Table2[[#This Row],[Country]]-B72)/B72)+1)^12-1,"")</f>
        <v>4.4190891856186187E-2</v>
      </c>
    </row>
    <row r="74" spans="1:4" x14ac:dyDescent="0.2">
      <c r="A74" s="36">
        <v>24351</v>
      </c>
      <c r="B74" s="37">
        <f>VLOOKUP(A74,Data!$E:$BG,MATCH(Country!$A$1,Data!$E$1:$BG$1,),)</f>
        <v>3.9506619999999999</v>
      </c>
      <c r="C74" s="65">
        <f>IF(B62&gt;0,(Table2[[#This Row],[Country]]-B62)/B62,0)</f>
        <v>5.7619352422439298E-2</v>
      </c>
      <c r="D74" s="65">
        <f>IF(Table2[[#This Row],[Country]]&gt;0,(((Table2[[#This Row],[Country]]-B73)/B73)+1)^12-1,"")</f>
        <v>7.3457447406376941E-2</v>
      </c>
    </row>
    <row r="75" spans="1:4" x14ac:dyDescent="0.2">
      <c r="A75" s="36">
        <v>24381</v>
      </c>
      <c r="B75" s="37">
        <f>VLOOKUP(A75,Data!$E:$BG,MATCH(Country!$A$1,Data!$E$1:$BG$1,),)</f>
        <v>3.9531559999999999</v>
      </c>
      <c r="C75" s="65">
        <f>IF(B63&gt;0,(Table2[[#This Row],[Country]]-B63)/B63,0)</f>
        <v>5.1038634049330095E-2</v>
      </c>
      <c r="D75" s="65">
        <f>IF(Table2[[#This Row],[Country]]&gt;0,(((Table2[[#This Row],[Country]]-B74)/B74)+1)^12-1,"")</f>
        <v>7.6017971855470989E-3</v>
      </c>
    </row>
    <row r="76" spans="1:4" x14ac:dyDescent="0.2">
      <c r="A76" s="36">
        <v>24412</v>
      </c>
      <c r="B76" s="37">
        <f>VLOOKUP(A76,Data!$E:$BG,MATCH(Country!$A$1,Data!$E$1:$BG$1,),)</f>
        <v>3.9664519999999999</v>
      </c>
      <c r="C76" s="65">
        <f>IF(B64&gt;0,(Table2[[#This Row],[Country]]-B64)/B64,0)</f>
        <v>4.7399597354283868E-2</v>
      </c>
      <c r="D76" s="65">
        <f>IF(Table2[[#This Row],[Country]]&gt;0,(((Table2[[#This Row],[Country]]-B75)/B75)+1)^12-1,"")</f>
        <v>4.1115715256846652E-2</v>
      </c>
    </row>
    <row r="77" spans="1:4" x14ac:dyDescent="0.2">
      <c r="A77" s="36">
        <v>24442</v>
      </c>
      <c r="B77" s="37">
        <f>VLOOKUP(A77,Data!$E:$BG,MATCH(Country!$A$1,Data!$E$1:$BG$1,),)</f>
        <v>3.990551</v>
      </c>
      <c r="C77" s="65">
        <f>IF(B65&gt;0,(Table2[[#This Row],[Country]]-B65)/B65,0)</f>
        <v>4.5731736877813248E-2</v>
      </c>
      <c r="D77" s="65">
        <f>IF(Table2[[#This Row],[Country]]&gt;0,(((Table2[[#This Row],[Country]]-B76)/B76)+1)^12-1,"")</f>
        <v>7.5394844350006984E-2</v>
      </c>
    </row>
    <row r="78" spans="1:4" x14ac:dyDescent="0.2">
      <c r="A78" s="36">
        <v>24473</v>
      </c>
      <c r="B78" s="37">
        <f>VLOOKUP(A78,Data!$E:$BG,MATCH(Country!$A$1,Data!$E$1:$BG$1,),)</f>
        <v>4.0021849999999999</v>
      </c>
      <c r="C78" s="65">
        <f>IF(B66&gt;0,(Table2[[#This Row],[Country]]-B66)/B66,0)</f>
        <v>4.2424073517453358E-2</v>
      </c>
      <c r="D78" s="65">
        <f>IF(Table2[[#This Row],[Country]]&gt;0,(((Table2[[#This Row],[Country]]-B77)/B77)+1)^12-1,"")</f>
        <v>3.5551095559491097E-2</v>
      </c>
    </row>
    <row r="79" spans="1:4" x14ac:dyDescent="0.2">
      <c r="A79" s="36">
        <v>24504</v>
      </c>
      <c r="B79" s="37">
        <f>VLOOKUP(A79,Data!$E:$BG,MATCH(Country!$A$1,Data!$E$1:$BG$1,),)</f>
        <v>4.0312710000000003</v>
      </c>
      <c r="C79" s="65">
        <f>IF(B67&gt;0,(Table2[[#This Row],[Country]]-B67)/B67,0)</f>
        <v>4.4124030798940866E-2</v>
      </c>
      <c r="D79" s="65">
        <f>IF(Table2[[#This Row],[Country]]&gt;0,(((Table2[[#This Row],[Country]]-B78)/B78)+1)^12-1,"")</f>
        <v>9.0782126802796403E-2</v>
      </c>
    </row>
    <row r="80" spans="1:4" x14ac:dyDescent="0.2">
      <c r="A80" s="36">
        <v>24532</v>
      </c>
      <c r="B80" s="37">
        <f>VLOOKUP(A80,Data!$E:$BG,MATCH(Country!$A$1,Data!$E$1:$BG$1,),)</f>
        <v>4.0694980000000003</v>
      </c>
      <c r="C80" s="65">
        <f>IF(B68&gt;0,(Table2[[#This Row],[Country]]-B68)/B68,0)</f>
        <v>4.8159197675529848E-2</v>
      </c>
      <c r="D80" s="65">
        <f>IF(Table2[[#This Row],[Country]]&gt;0,(((Table2[[#This Row],[Country]]-B79)/B79)+1)^12-1,"")</f>
        <v>0.1199177819947963</v>
      </c>
    </row>
    <row r="81" spans="1:4" x14ac:dyDescent="0.2">
      <c r="A81" s="36">
        <v>24563</v>
      </c>
      <c r="B81" s="37">
        <f>VLOOKUP(A81,Data!$E:$BG,MATCH(Country!$A$1,Data!$E$1:$BG$1,),)</f>
        <v>4.0894430000000002</v>
      </c>
      <c r="C81" s="65">
        <f>IF(B69&gt;0,(Table2[[#This Row],[Country]]-B69)/B69,0)</f>
        <v>4.85831942296992E-2</v>
      </c>
      <c r="D81" s="65">
        <f>IF(Table2[[#This Row],[Country]]&gt;0,(((Table2[[#This Row],[Country]]-B80)/B80)+1)^12-1,"")</f>
        <v>6.0424707838720115E-2</v>
      </c>
    </row>
    <row r="82" spans="1:4" x14ac:dyDescent="0.2">
      <c r="A82" s="36">
        <v>24593</v>
      </c>
      <c r="B82" s="37">
        <f>VLOOKUP(A82,Data!$E:$BG,MATCH(Country!$A$1,Data!$E$1:$BG$1,),)</f>
        <v>4.1318239999999999</v>
      </c>
      <c r="C82" s="65">
        <f>IF(B70&gt;0,(Table2[[#This Row],[Country]]-B70)/B70,0)</f>
        <v>5.7647305162675237E-2</v>
      </c>
      <c r="D82" s="65">
        <f>IF(Table2[[#This Row],[Country]]&gt;0,(((Table2[[#This Row],[Country]]-B81)/B81)+1)^12-1,"")</f>
        <v>0.13170140902556038</v>
      </c>
    </row>
    <row r="83" spans="1:4" x14ac:dyDescent="0.2">
      <c r="A83" s="36">
        <v>24624</v>
      </c>
      <c r="B83" s="37">
        <f>VLOOKUP(A83,Data!$E:$BG,MATCH(Country!$A$1,Data!$E$1:$BG$1,),)</f>
        <v>4.1717129999999996</v>
      </c>
      <c r="C83" s="65">
        <f>IF(B71&gt;0,(Table2[[#This Row],[Country]]-B71)/B71,0)</f>
        <v>6.5364833391218929E-2</v>
      </c>
      <c r="D83" s="65">
        <f>IF(Table2[[#This Row],[Country]]&gt;0,(((Table2[[#This Row],[Country]]-B82)/B82)+1)^12-1,"")</f>
        <v>0.12220269103579584</v>
      </c>
    </row>
    <row r="84" spans="1:4" x14ac:dyDescent="0.2">
      <c r="A84" s="36">
        <v>24654</v>
      </c>
      <c r="B84" s="37">
        <f>VLOOKUP(A84,Data!$E:$BG,MATCH(Country!$A$1,Data!$E$1:$BG$1,),)</f>
        <v>4.2074470000000002</v>
      </c>
      <c r="C84" s="65">
        <f>IF(B72&gt;0,(Table2[[#This Row],[Country]]-B72)/B72,0)</f>
        <v>7.5175039168040497E-2</v>
      </c>
      <c r="D84" s="65">
        <f>IF(Table2[[#This Row],[Country]]&gt;0,(((Table2[[#This Row],[Country]]-B83)/B83)+1)^12-1,"")</f>
        <v>0.10777299755829506</v>
      </c>
    </row>
    <row r="85" spans="1:4" x14ac:dyDescent="0.2">
      <c r="A85" s="36">
        <v>24685</v>
      </c>
      <c r="B85" s="37">
        <f>VLOOKUP(A85,Data!$E:$BG,MATCH(Country!$A$1,Data!$E$1:$BG$1,),)</f>
        <v>4.2448430000000004</v>
      </c>
      <c r="C85" s="65">
        <f>IF(B73&gt;0,(Table2[[#This Row],[Country]]-B73)/B73,0)</f>
        <v>8.082942531357952E-2</v>
      </c>
      <c r="D85" s="65">
        <f>IF(Table2[[#This Row],[Country]]&gt;0,(((Table2[[#This Row],[Country]]-B84)/B84)+1)^12-1,"")</f>
        <v>0.11202803551132701</v>
      </c>
    </row>
    <row r="86" spans="1:4" x14ac:dyDescent="0.2">
      <c r="A86" s="36">
        <v>24716</v>
      </c>
      <c r="B86" s="37">
        <f>VLOOKUP(A86,Data!$E:$BG,MATCH(Country!$A$1,Data!$E$1:$BG$1,),)</f>
        <v>4.277253</v>
      </c>
      <c r="C86" s="65">
        <f>IF(B74&gt;0,(Table2[[#This Row],[Country]]-B74)/B74,0)</f>
        <v>8.2667411183239697E-2</v>
      </c>
      <c r="D86" s="65">
        <f>IF(Table2[[#This Row],[Country]]&gt;0,(((Table2[[#This Row],[Country]]-B85)/B85)+1)^12-1,"")</f>
        <v>9.5568887797440549E-2</v>
      </c>
    </row>
    <row r="87" spans="1:4" x14ac:dyDescent="0.2">
      <c r="A87" s="36">
        <v>24746</v>
      </c>
      <c r="B87" s="37">
        <f>VLOOKUP(A87,Data!$E:$BG,MATCH(Country!$A$1,Data!$E$1:$BG$1,),)</f>
        <v>4.3063380000000002</v>
      </c>
      <c r="C87" s="65">
        <f>IF(B75&gt;0,(Table2[[#This Row],[Country]]-B75)/B75,0)</f>
        <v>8.9341781604368842E-2</v>
      </c>
      <c r="D87" s="65">
        <f>IF(Table2[[#This Row],[Country]]&gt;0,(((Table2[[#This Row],[Country]]-B86)/B86)+1)^12-1,"")</f>
        <v>8.4721116560194876E-2</v>
      </c>
    </row>
    <row r="88" spans="1:4" x14ac:dyDescent="0.2">
      <c r="A88" s="36">
        <v>24777</v>
      </c>
      <c r="B88" s="37">
        <f>VLOOKUP(A88,Data!$E:$BG,MATCH(Country!$A$1,Data!$E$1:$BG$1,),)</f>
        <v>4.3312689999999998</v>
      </c>
      <c r="C88" s="65">
        <f>IF(B76&gt;0,(Table2[[#This Row],[Country]]-B76)/B76,0)</f>
        <v>9.1975649774660065E-2</v>
      </c>
      <c r="D88" s="65">
        <f>IF(Table2[[#This Row],[Country]]&gt;0,(((Table2[[#This Row],[Country]]-B87)/B87)+1)^12-1,"")</f>
        <v>7.172784687571343E-2</v>
      </c>
    </row>
    <row r="89" spans="1:4" x14ac:dyDescent="0.2">
      <c r="A89" s="36">
        <v>24807</v>
      </c>
      <c r="B89" s="37">
        <f>VLOOKUP(A89,Data!$E:$BG,MATCH(Country!$A$1,Data!$E$1:$BG$1,),)</f>
        <v>4.361186</v>
      </c>
      <c r="C89" s="65">
        <f>IF(B77&gt;0,(Table2[[#This Row],[Country]]-B77)/B77,0)</f>
        <v>9.2878151413175791E-2</v>
      </c>
      <c r="D89" s="65">
        <f>IF(Table2[[#This Row],[Country]]&gt;0,(((Table2[[#This Row],[Country]]-B88)/B88)+1)^12-1,"")</f>
        <v>8.6109034518719652E-2</v>
      </c>
    </row>
    <row r="90" spans="1:4" x14ac:dyDescent="0.2">
      <c r="A90" s="36">
        <v>24838</v>
      </c>
      <c r="B90" s="37">
        <f>VLOOKUP(A90,Data!$E:$BG,MATCH(Country!$A$1,Data!$E$1:$BG$1,),)</f>
        <v>4.3827920000000002</v>
      </c>
      <c r="C90" s="65">
        <f>IF(B78&gt;0,(Table2[[#This Row],[Country]]-B78)/B78,0)</f>
        <v>9.5099801733303277E-2</v>
      </c>
      <c r="D90" s="65">
        <f>IF(Table2[[#This Row],[Country]]&gt;0,(((Table2[[#This Row],[Country]]-B89)/B89)+1)^12-1,"")</f>
        <v>6.1096816953734923E-2</v>
      </c>
    </row>
    <row r="91" spans="1:4" x14ac:dyDescent="0.2">
      <c r="A91" s="36">
        <v>24869</v>
      </c>
      <c r="B91" s="37">
        <f>VLOOKUP(A91,Data!$E:$BG,MATCH(Country!$A$1,Data!$E$1:$BG$1,),)</f>
        <v>4.4077219999999997</v>
      </c>
      <c r="C91" s="65">
        <f>IF(B79&gt;0,(Table2[[#This Row],[Country]]-B79)/B79,0)</f>
        <v>9.3382707339694948E-2</v>
      </c>
      <c r="D91" s="65">
        <f>IF(Table2[[#This Row],[Country]]&gt;0,(((Table2[[#This Row],[Country]]-B90)/B90)+1)^12-1,"")</f>
        <v>7.0434308345548091E-2</v>
      </c>
    </row>
    <row r="92" spans="1:4" x14ac:dyDescent="0.2">
      <c r="A92" s="36">
        <v>24898</v>
      </c>
      <c r="B92" s="37">
        <f>VLOOKUP(A92,Data!$E:$BG,MATCH(Country!$A$1,Data!$E$1:$BG$1,),)</f>
        <v>4.4309909999999997</v>
      </c>
      <c r="C92" s="65">
        <f>IF(B80&gt;0,(Table2[[#This Row],[Country]]-B80)/B80,0)</f>
        <v>8.8829875331060335E-2</v>
      </c>
      <c r="D92" s="65">
        <f>IF(Table2[[#This Row],[Country]]&gt;0,(((Table2[[#This Row],[Country]]-B91)/B91)+1)^12-1,"")</f>
        <v>6.5221863839300065E-2</v>
      </c>
    </row>
    <row r="93" spans="1:4" x14ac:dyDescent="0.2">
      <c r="A93" s="36">
        <v>24929</v>
      </c>
      <c r="B93" s="37">
        <f>VLOOKUP(A93,Data!$E:$BG,MATCH(Country!$A$1,Data!$E$1:$BG$1,),)</f>
        <v>4.4517660000000001</v>
      </c>
      <c r="C93" s="65">
        <f>IF(B81&gt;0,(Table2[[#This Row],[Country]]-B81)/B81,0)</f>
        <v>8.8599596570975547E-2</v>
      </c>
      <c r="D93" s="65">
        <f>IF(Table2[[#This Row],[Country]]&gt;0,(((Table2[[#This Row],[Country]]-B92)/B92)+1)^12-1,"")</f>
        <v>5.7736580568994889E-2</v>
      </c>
    </row>
    <row r="94" spans="1:4" x14ac:dyDescent="0.2">
      <c r="A94" s="36">
        <v>24959</v>
      </c>
      <c r="B94" s="37">
        <f>VLOOKUP(A94,Data!$E:$BG,MATCH(Country!$A$1,Data!$E$1:$BG$1,),)</f>
        <v>4.4783590000000002</v>
      </c>
      <c r="C94" s="65">
        <f>IF(B82&gt;0,(Table2[[#This Row],[Country]]-B82)/B82,0)</f>
        <v>8.3869738885296238E-2</v>
      </c>
      <c r="D94" s="65">
        <f>IF(Table2[[#This Row],[Country]]&gt;0,(((Table2[[#This Row],[Country]]-B93)/B93)+1)^12-1,"")</f>
        <v>7.40856693877463E-2</v>
      </c>
    </row>
    <row r="95" spans="1:4" x14ac:dyDescent="0.2">
      <c r="A95" s="36">
        <v>24990</v>
      </c>
      <c r="B95" s="37">
        <f>VLOOKUP(A95,Data!$E:$BG,MATCH(Country!$A$1,Data!$E$1:$BG$1,),)</f>
        <v>4.5091070000000002</v>
      </c>
      <c r="C95" s="65">
        <f>IF(B83&gt;0,(Table2[[#This Row],[Country]]-B83)/B83,0)</f>
        <v>8.0876608721645205E-2</v>
      </c>
      <c r="D95" s="65">
        <f>IF(Table2[[#This Row],[Country]]&gt;0,(((Table2[[#This Row],[Country]]-B94)/B94)+1)^12-1,"")</f>
        <v>8.5574497356827539E-2</v>
      </c>
    </row>
    <row r="96" spans="1:4" x14ac:dyDescent="0.2">
      <c r="A96" s="36">
        <v>25020</v>
      </c>
      <c r="B96" s="37">
        <f>VLOOKUP(A96,Data!$E:$BG,MATCH(Country!$A$1,Data!$E$1:$BG$1,),)</f>
        <v>4.5340379999999998</v>
      </c>
      <c r="C96" s="65">
        <f>IF(B84&gt;0,(Table2[[#This Row],[Country]]-B84)/B84,0)</f>
        <v>7.7622130474846063E-2</v>
      </c>
      <c r="D96" s="65">
        <f>IF(Table2[[#This Row],[Country]]&gt;0,(((Table2[[#This Row],[Country]]-B95)/B95)+1)^12-1,"")</f>
        <v>6.8403677545571862E-2</v>
      </c>
    </row>
    <row r="97" spans="1:4" x14ac:dyDescent="0.2">
      <c r="A97" s="36">
        <v>25051</v>
      </c>
      <c r="B97" s="37">
        <f>VLOOKUP(A97,Data!$E:$BG,MATCH(Country!$A$1,Data!$E$1:$BG$1,),)</f>
        <v>4.5656160000000003</v>
      </c>
      <c r="C97" s="65">
        <f>IF(B85&gt;0,(Table2[[#This Row],[Country]]-B85)/B85,0)</f>
        <v>7.5567694729816851E-2</v>
      </c>
      <c r="D97" s="65">
        <f>IF(Table2[[#This Row],[Country]]&gt;0,(((Table2[[#This Row],[Country]]-B96)/B96)+1)^12-1,"")</f>
        <v>8.6852754347236161E-2</v>
      </c>
    </row>
    <row r="98" spans="1:4" x14ac:dyDescent="0.2">
      <c r="A98" s="36">
        <v>25082</v>
      </c>
      <c r="B98" s="37">
        <f>VLOOKUP(A98,Data!$E:$BG,MATCH(Country!$A$1,Data!$E$1:$BG$1,),)</f>
        <v>4.6005190000000002</v>
      </c>
      <c r="C98" s="65">
        <f>IF(B86&gt;0,(Table2[[#This Row],[Country]]-B86)/B86,0)</f>
        <v>7.5577946873846433E-2</v>
      </c>
      <c r="D98" s="65">
        <f>IF(Table2[[#This Row],[Country]]&gt;0,(((Table2[[#This Row],[Country]]-B97)/B97)+1)^12-1,"")</f>
        <v>9.5694207874731596E-2</v>
      </c>
    </row>
    <row r="99" spans="1:4" x14ac:dyDescent="0.2">
      <c r="A99" s="36">
        <v>25112</v>
      </c>
      <c r="B99" s="37">
        <f>VLOOKUP(A99,Data!$E:$BG,MATCH(Country!$A$1,Data!$E$1:$BG$1,),)</f>
        <v>4.6337590000000004</v>
      </c>
      <c r="C99" s="65">
        <f>IF(B87&gt;0,(Table2[[#This Row],[Country]]-B87)/B87,0)</f>
        <v>7.6032350456466766E-2</v>
      </c>
      <c r="D99" s="65">
        <f>IF(Table2[[#This Row],[Country]]&gt;0,(((Table2[[#This Row],[Country]]-B98)/B98)+1)^12-1,"")</f>
        <v>9.0233108533673612E-2</v>
      </c>
    </row>
    <row r="100" spans="1:4" x14ac:dyDescent="0.2">
      <c r="A100" s="36">
        <v>25143</v>
      </c>
      <c r="B100" s="37">
        <f>VLOOKUP(A100,Data!$E:$BG,MATCH(Country!$A$1,Data!$E$1:$BG$1,),)</f>
        <v>4.6736490000000002</v>
      </c>
      <c r="C100" s="65">
        <f>IF(B88&gt;0,(Table2[[#This Row],[Country]]-B88)/B88,0)</f>
        <v>7.9048426685112458E-2</v>
      </c>
      <c r="D100" s="65">
        <f>IF(Table2[[#This Row],[Country]]&gt;0,(((Table2[[#This Row],[Country]]-B99)/B99)+1)^12-1,"")</f>
        <v>0.10833693073090389</v>
      </c>
    </row>
    <row r="101" spans="1:4" x14ac:dyDescent="0.2">
      <c r="A101" s="36">
        <v>25173</v>
      </c>
      <c r="B101" s="37">
        <f>VLOOKUP(A101,Data!$E:$BG,MATCH(Country!$A$1,Data!$E$1:$BG$1,),)</f>
        <v>4.7102139999999997</v>
      </c>
      <c r="C101" s="65">
        <f>IF(B89&gt;0,(Table2[[#This Row],[Country]]-B89)/B89,0)</f>
        <v>8.0030523807056081E-2</v>
      </c>
      <c r="D101" s="65">
        <f>IF(Table2[[#This Row],[Country]]&gt;0,(((Table2[[#This Row],[Country]]-B100)/B100)+1)^12-1,"")</f>
        <v>9.8030875713694066E-2</v>
      </c>
    </row>
    <row r="102" spans="1:4" x14ac:dyDescent="0.2">
      <c r="A102" s="36">
        <v>25204</v>
      </c>
      <c r="B102" s="37">
        <f>VLOOKUP(A102,Data!$E:$BG,MATCH(Country!$A$1,Data!$E$1:$BG$1,),)</f>
        <v>4.7309890000000001</v>
      </c>
      <c r="C102" s="65">
        <f>IF(B90&gt;0,(Table2[[#This Row],[Country]]-B90)/B90,0)</f>
        <v>7.9446389424823224E-2</v>
      </c>
      <c r="D102" s="65">
        <f>IF(Table2[[#This Row],[Country]]&gt;0,(((Table2[[#This Row],[Country]]-B101)/B101)+1)^12-1,"")</f>
        <v>5.4230536773362203E-2</v>
      </c>
    </row>
    <row r="103" spans="1:4" x14ac:dyDescent="0.2">
      <c r="A103" s="36">
        <v>25235</v>
      </c>
      <c r="B103" s="37">
        <f>VLOOKUP(A103,Data!$E:$BG,MATCH(Country!$A$1,Data!$E$1:$BG$1,),)</f>
        <v>4.7525950000000003</v>
      </c>
      <c r="C103" s="65">
        <f>IF(B91&gt;0,(Table2[[#This Row],[Country]]-B91)/B91,0)</f>
        <v>7.8242910963985626E-2</v>
      </c>
      <c r="D103" s="65">
        <f>IF(Table2[[#This Row],[Country]]&gt;0,(((Table2[[#This Row],[Country]]-B102)/B102)+1)^12-1,"")</f>
        <v>5.620062944277171E-2</v>
      </c>
    </row>
    <row r="104" spans="1:4" x14ac:dyDescent="0.2">
      <c r="A104" s="36">
        <v>25263</v>
      </c>
      <c r="B104" s="37">
        <f>VLOOKUP(A104,Data!$E:$BG,MATCH(Country!$A$1,Data!$E$1:$BG$1,),)</f>
        <v>4.773371</v>
      </c>
      <c r="C104" s="65">
        <f>IF(B92&gt;0,(Table2[[#This Row],[Country]]-B92)/B92,0)</f>
        <v>7.726939639462152E-2</v>
      </c>
      <c r="D104" s="65">
        <f>IF(Table2[[#This Row],[Country]]&gt;0,(((Table2[[#This Row],[Country]]-B103)/B103)+1)^12-1,"")</f>
        <v>5.3737903529432529E-2</v>
      </c>
    </row>
    <row r="105" spans="1:4" x14ac:dyDescent="0.2">
      <c r="A105" s="36">
        <v>25294</v>
      </c>
      <c r="B105" s="37">
        <f>VLOOKUP(A105,Data!$E:$BG,MATCH(Country!$A$1,Data!$E$1:$BG$1,),)</f>
        <v>4.7841740000000001</v>
      </c>
      <c r="C105" s="65">
        <f>IF(B93&gt;0,(Table2[[#This Row],[Country]]-B93)/B93,0)</f>
        <v>7.4668794361608407E-2</v>
      </c>
      <c r="D105" s="65">
        <f>IF(Table2[[#This Row],[Country]]&gt;0,(((Table2[[#This Row],[Country]]-B104)/B104)+1)^12-1,"")</f>
        <v>2.7498779914043814E-2</v>
      </c>
    </row>
    <row r="106" spans="1:4" x14ac:dyDescent="0.2">
      <c r="A106" s="36">
        <v>25324</v>
      </c>
      <c r="B106" s="37">
        <f>VLOOKUP(A106,Data!$E:$BG,MATCH(Country!$A$1,Data!$E$1:$BG$1,),)</f>
        <v>4.7908220000000004</v>
      </c>
      <c r="C106" s="65">
        <f>IF(B94&gt;0,(Table2[[#This Row],[Country]]-B94)/B94,0)</f>
        <v>6.9771762379925356E-2</v>
      </c>
      <c r="D106" s="65">
        <f>IF(Table2[[#This Row],[Country]]&gt;0,(((Table2[[#This Row],[Country]]-B105)/B105)+1)^12-1,"")</f>
        <v>1.6803012784480709E-2</v>
      </c>
    </row>
    <row r="107" spans="1:4" x14ac:dyDescent="0.2">
      <c r="A107" s="36">
        <v>25355</v>
      </c>
      <c r="B107" s="37">
        <f>VLOOKUP(A107,Data!$E:$BG,MATCH(Country!$A$1,Data!$E$1:$BG$1,),)</f>
        <v>4.8074430000000001</v>
      </c>
      <c r="C107" s="65">
        <f>IF(B95&gt;0,(Table2[[#This Row],[Country]]-B95)/B95,0)</f>
        <v>6.6162989700621413E-2</v>
      </c>
      <c r="D107" s="65">
        <f>IF(Table2[[#This Row],[Country]]&gt;0,(((Table2[[#This Row],[Country]]-B106)/B106)+1)^12-1,"")</f>
        <v>4.2435760999491423E-2</v>
      </c>
    </row>
    <row r="108" spans="1:4" x14ac:dyDescent="0.2">
      <c r="A108" s="36">
        <v>25385</v>
      </c>
      <c r="B108" s="37">
        <f>VLOOKUP(A108,Data!$E:$BG,MATCH(Country!$A$1,Data!$E$1:$BG$1,),)</f>
        <v>4.815753</v>
      </c>
      <c r="C108" s="65">
        <f>IF(B96&gt;0,(Table2[[#This Row],[Country]]-B96)/B96,0)</f>
        <v>6.2133356623830717E-2</v>
      </c>
      <c r="D108" s="65">
        <f>IF(Table2[[#This Row],[Country]]&gt;0,(((Table2[[#This Row],[Country]]-B107)/B107)+1)^12-1,"")</f>
        <v>2.0941181243953944E-2</v>
      </c>
    </row>
    <row r="109" spans="1:4" x14ac:dyDescent="0.2">
      <c r="A109" s="36">
        <v>25416</v>
      </c>
      <c r="B109" s="37">
        <f>VLOOKUP(A109,Data!$E:$BG,MATCH(Country!$A$1,Data!$E$1:$BG$1,),)</f>
        <v>4.8207389999999997</v>
      </c>
      <c r="C109" s="65">
        <f>IF(B97&gt;0,(Table2[[#This Row],[Country]]-B97)/B97,0)</f>
        <v>5.5879206661269651E-2</v>
      </c>
      <c r="D109" s="65">
        <f>IF(Table2[[#This Row],[Country]]&gt;0,(((Table2[[#This Row],[Country]]-B108)/B108)+1)^12-1,"")</f>
        <v>1.249521894507466E-2</v>
      </c>
    </row>
    <row r="110" spans="1:4" x14ac:dyDescent="0.2">
      <c r="A110" s="36">
        <v>25447</v>
      </c>
      <c r="B110" s="37">
        <f>VLOOKUP(A110,Data!$E:$BG,MATCH(Country!$A$1,Data!$E$1:$BG$1,),)</f>
        <v>4.8373590000000002</v>
      </c>
      <c r="C110" s="65">
        <f>IF(B98&gt;0,(Table2[[#This Row],[Country]]-B98)/B98,0)</f>
        <v>5.1481148105246372E-2</v>
      </c>
      <c r="D110" s="65">
        <f>IF(Table2[[#This Row],[Country]]&gt;0,(((Table2[[#This Row],[Country]]-B109)/B109)+1)^12-1,"")</f>
        <v>4.2164810179875722E-2</v>
      </c>
    </row>
    <row r="111" spans="1:4" x14ac:dyDescent="0.2">
      <c r="A111" s="36">
        <v>25477</v>
      </c>
      <c r="B111" s="37">
        <f>VLOOKUP(A111,Data!$E:$BG,MATCH(Country!$A$1,Data!$E$1:$BG$1,),)</f>
        <v>4.8481629999999996</v>
      </c>
      <c r="C111" s="65">
        <f>IF(B99&gt;0,(Table2[[#This Row],[Country]]-B99)/B99,0)</f>
        <v>4.6269993756688499E-2</v>
      </c>
      <c r="D111" s="65">
        <f>IF(Table2[[#This Row],[Country]]&gt;0,(((Table2[[#This Row],[Country]]-B110)/B110)+1)^12-1,"")</f>
        <v>2.7133092510942314E-2</v>
      </c>
    </row>
    <row r="112" spans="1:4" x14ac:dyDescent="0.2">
      <c r="A112" s="36">
        <v>25508</v>
      </c>
      <c r="B112" s="37">
        <f>VLOOKUP(A112,Data!$E:$BG,MATCH(Country!$A$1,Data!$E$1:$BG$1,),)</f>
        <v>4.8647830000000001</v>
      </c>
      <c r="C112" s="65">
        <f>IF(B100&gt;0,(Table2[[#This Row],[Country]]-B100)/B100,0)</f>
        <v>4.0896096390636079E-2</v>
      </c>
      <c r="D112" s="65">
        <f>IF(Table2[[#This Row],[Country]]&gt;0,(((Table2[[#This Row],[Country]]-B111)/B111)+1)^12-1,"")</f>
        <v>4.1921787102028096E-2</v>
      </c>
    </row>
    <row r="113" spans="1:4" x14ac:dyDescent="0.2">
      <c r="A113" s="36">
        <v>25538</v>
      </c>
      <c r="B113" s="37">
        <f>VLOOKUP(A113,Data!$E:$BG,MATCH(Country!$A$1,Data!$E$1:$BG$1,),)</f>
        <v>4.8855579999999996</v>
      </c>
      <c r="C113" s="65">
        <f>IF(B101&gt;0,(Table2[[#This Row],[Country]]-B101)/B101,0)</f>
        <v>3.7226334090128377E-2</v>
      </c>
      <c r="D113" s="65">
        <f>IF(Table2[[#This Row],[Country]]&gt;0,(((Table2[[#This Row],[Country]]-B112)/B112)+1)^12-1,"")</f>
        <v>5.2466808753229399E-2</v>
      </c>
    </row>
    <row r="114" spans="1:4" x14ac:dyDescent="0.2">
      <c r="A114" s="36">
        <v>25569</v>
      </c>
      <c r="B114" s="37">
        <f>VLOOKUP(A114,Data!$E:$BG,MATCH(Country!$A$1,Data!$E$1:$BG$1,),)</f>
        <v>4.899686</v>
      </c>
      <c r="C114" s="65">
        <f>IF(B102&gt;0,(Table2[[#This Row],[Country]]-B102)/B102,0)</f>
        <v>3.5657871958696137E-2</v>
      </c>
      <c r="D114" s="65">
        <f>IF(Table2[[#This Row],[Country]]&gt;0,(((Table2[[#This Row],[Country]]-B113)/B113)+1)^12-1,"")</f>
        <v>3.5258736877699537E-2</v>
      </c>
    </row>
    <row r="115" spans="1:4" x14ac:dyDescent="0.2">
      <c r="A115" s="36">
        <v>25600</v>
      </c>
      <c r="B115" s="37">
        <f>VLOOKUP(A115,Data!$E:$BG,MATCH(Country!$A$1,Data!$E$1:$BG$1,),)</f>
        <v>4.8722620000000001</v>
      </c>
      <c r="C115" s="65">
        <f>IF(B103&gt;0,(Table2[[#This Row],[Country]]-B103)/B103,0)</f>
        <v>2.5179296784177851E-2</v>
      </c>
      <c r="D115" s="65">
        <f>IF(Table2[[#This Row],[Country]]&gt;0,(((Table2[[#This Row],[Country]]-B114)/B114)+1)^12-1,"")</f>
        <v>-6.5135602319686403E-2</v>
      </c>
    </row>
    <row r="116" spans="1:4" x14ac:dyDescent="0.2">
      <c r="A116" s="36">
        <v>25628</v>
      </c>
      <c r="B116" s="37">
        <f>VLOOKUP(A116,Data!$E:$BG,MATCH(Country!$A$1,Data!$E$1:$BG$1,),)</f>
        <v>4.8805719999999999</v>
      </c>
      <c r="C116" s="65">
        <f>IF(B104&gt;0,(Table2[[#This Row],[Country]]-B104)/B104,0)</f>
        <v>2.2458132837359569E-2</v>
      </c>
      <c r="D116" s="65">
        <f>IF(Table2[[#This Row],[Country]]&gt;0,(((Table2[[#This Row],[Country]]-B115)/B115)+1)^12-1,"")</f>
        <v>2.0659968079918656E-2</v>
      </c>
    </row>
    <row r="117" spans="1:4" x14ac:dyDescent="0.2">
      <c r="A117" s="36">
        <v>25659</v>
      </c>
      <c r="B117" s="37">
        <f>VLOOKUP(A117,Data!$E:$BG,MATCH(Country!$A$1,Data!$E$1:$BG$1,),)</f>
        <v>4.8897130000000004</v>
      </c>
      <c r="C117" s="65">
        <f>IF(B105&gt;0,(Table2[[#This Row],[Country]]-B105)/B105,0)</f>
        <v>2.2060025408774903E-2</v>
      </c>
      <c r="D117" s="65">
        <f>IF(Table2[[#This Row],[Country]]&gt;0,(((Table2[[#This Row],[Country]]-B116)/B116)+1)^12-1,"")</f>
        <v>2.2708206723421664E-2</v>
      </c>
    </row>
    <row r="118" spans="1:4" x14ac:dyDescent="0.2">
      <c r="A118" s="36">
        <v>25689</v>
      </c>
      <c r="B118" s="37">
        <f>VLOOKUP(A118,Data!$E:$BG,MATCH(Country!$A$1,Data!$E$1:$BG$1,),)</f>
        <v>4.9154749999999998</v>
      </c>
      <c r="C118" s="65">
        <f>IF(B106&gt;0,(Table2[[#This Row],[Country]]-B106)/B106,0)</f>
        <v>2.6019125736668876E-2</v>
      </c>
      <c r="D118" s="65">
        <f>IF(Table2[[#This Row],[Country]]&gt;0,(((Table2[[#This Row],[Country]]-B117)/B117)+1)^12-1,"")</f>
        <v>6.5087947557041614E-2</v>
      </c>
    </row>
    <row r="119" spans="1:4" x14ac:dyDescent="0.2">
      <c r="A119" s="36">
        <v>25720</v>
      </c>
      <c r="B119" s="37">
        <f>VLOOKUP(A119,Data!$E:$BG,MATCH(Country!$A$1,Data!$E$1:$BG$1,),)</f>
        <v>4.9462229999999998</v>
      </c>
      <c r="C119" s="65">
        <f>IF(B107&gt;0,(Table2[[#This Row],[Country]]-B107)/B107,0)</f>
        <v>2.8867736965368009E-2</v>
      </c>
      <c r="D119" s="65">
        <f>IF(Table2[[#This Row],[Country]]&gt;0,(((Table2[[#This Row],[Country]]-B118)/B118)+1)^12-1,"")</f>
        <v>7.7701311916251736E-2</v>
      </c>
    </row>
    <row r="120" spans="1:4" x14ac:dyDescent="0.2">
      <c r="A120" s="36">
        <v>25750</v>
      </c>
      <c r="B120" s="37">
        <f>VLOOKUP(A120,Data!$E:$BG,MATCH(Country!$A$1,Data!$E$1:$BG$1,),)</f>
        <v>4.9786320000000002</v>
      </c>
      <c r="C120" s="65">
        <f>IF(B108&gt;0,(Table2[[#This Row],[Country]]-B108)/B108,0)</f>
        <v>3.3822125013471462E-2</v>
      </c>
      <c r="D120" s="65">
        <f>IF(Table2[[#This Row],[Country]]&gt;0,(((Table2[[#This Row],[Country]]-B119)/B119)+1)^12-1,"")</f>
        <v>8.1523606574230856E-2</v>
      </c>
    </row>
    <row r="121" spans="1:4" x14ac:dyDescent="0.2">
      <c r="A121" s="36">
        <v>25781</v>
      </c>
      <c r="B121" s="37">
        <f>VLOOKUP(A121,Data!$E:$BG,MATCH(Country!$A$1,Data!$E$1:$BG$1,),)</f>
        <v>5.0268319999999997</v>
      </c>
      <c r="C121" s="65">
        <f>IF(B109&gt;0,(Table2[[#This Row],[Country]]-B109)/B109,0)</f>
        <v>4.2751329204920675E-2</v>
      </c>
      <c r="D121" s="65">
        <f>IF(Table2[[#This Row],[Country]]&gt;0,(((Table2[[#This Row],[Country]]-B120)/B120)+1)^12-1,"")</f>
        <v>0.12256665683545998</v>
      </c>
    </row>
    <row r="122" spans="1:4" x14ac:dyDescent="0.2">
      <c r="A122" s="36">
        <v>25812</v>
      </c>
      <c r="B122" s="37">
        <f>VLOOKUP(A122,Data!$E:$BG,MATCH(Country!$A$1,Data!$E$1:$BG$1,),)</f>
        <v>5.0791849999999998</v>
      </c>
      <c r="C122" s="65">
        <f>IF(B110&gt;0,(Table2[[#This Row],[Country]]-B110)/B110,0)</f>
        <v>4.9991327912606784E-2</v>
      </c>
      <c r="D122" s="65">
        <f>IF(Table2[[#This Row],[Country]]&gt;0,(((Table2[[#This Row],[Country]]-B121)/B121)+1)^12-1,"")</f>
        <v>0.13238973837334678</v>
      </c>
    </row>
    <row r="123" spans="1:4" x14ac:dyDescent="0.2">
      <c r="A123" s="36">
        <v>25842</v>
      </c>
      <c r="B123" s="37">
        <f>VLOOKUP(A123,Data!$E:$BG,MATCH(Country!$A$1,Data!$E$1:$BG$1,),)</f>
        <v>5.1223989999999997</v>
      </c>
      <c r="C123" s="65">
        <f>IF(B111&gt;0,(Table2[[#This Row],[Country]]-B111)/B111,0)</f>
        <v>5.6564929850749693E-2</v>
      </c>
      <c r="D123" s="65">
        <f>IF(Table2[[#This Row],[Country]]&gt;0,(((Table2[[#This Row],[Country]]-B122)/B122)+1)^12-1,"")</f>
        <v>0.10701236139083048</v>
      </c>
    </row>
    <row r="124" spans="1:4" x14ac:dyDescent="0.2">
      <c r="A124" s="36">
        <v>25873</v>
      </c>
      <c r="B124" s="37">
        <f>VLOOKUP(A124,Data!$E:$BG,MATCH(Country!$A$1,Data!$E$1:$BG$1,),)</f>
        <v>5.1614570000000004</v>
      </c>
      <c r="C124" s="65">
        <f>IF(B112&gt;0,(Table2[[#This Row],[Country]]-B112)/B112,0)</f>
        <v>6.0984015114343294E-2</v>
      </c>
      <c r="D124" s="65">
        <f>IF(Table2[[#This Row],[Country]]&gt;0,(((Table2[[#This Row],[Country]]-B123)/B123)+1)^12-1,"")</f>
        <v>9.5435761386925E-2</v>
      </c>
    </row>
    <row r="125" spans="1:4" x14ac:dyDescent="0.2">
      <c r="A125" s="36">
        <v>25903</v>
      </c>
      <c r="B125" s="37">
        <f>VLOOKUP(A125,Data!$E:$BG,MATCH(Country!$A$1,Data!$E$1:$BG$1,),)</f>
        <v>5.2063319999999997</v>
      </c>
      <c r="C125" s="65">
        <f>IF(B113&gt;0,(Table2[[#This Row],[Country]]-B113)/B113,0)</f>
        <v>6.5657597351213542E-2</v>
      </c>
      <c r="D125" s="65">
        <f>IF(Table2[[#This Row],[Country]]&gt;0,(((Table2[[#This Row],[Country]]-B124)/B124)+1)^12-1,"")</f>
        <v>0.10946739692474461</v>
      </c>
    </row>
    <row r="126" spans="1:4" x14ac:dyDescent="0.2">
      <c r="A126" s="36">
        <v>25934</v>
      </c>
      <c r="B126" s="37">
        <f>VLOOKUP(A126,Data!$E:$BG,MATCH(Country!$A$1,Data!$E$1:$BG$1,),)</f>
        <v>5.2595169999999998</v>
      </c>
      <c r="C126" s="65">
        <f>IF(B114&gt;0,(Table2[[#This Row],[Country]]-B114)/B114,0)</f>
        <v>7.3439604088915048E-2</v>
      </c>
      <c r="D126" s="65">
        <f>IF(Table2[[#This Row],[Country]]&gt;0,(((Table2[[#This Row],[Country]]-B125)/B125)+1)^12-1,"")</f>
        <v>0.12971280318926004</v>
      </c>
    </row>
    <row r="127" spans="1:4" x14ac:dyDescent="0.2">
      <c r="A127" s="36">
        <v>25965</v>
      </c>
      <c r="B127" s="37">
        <f>VLOOKUP(A127,Data!$E:$BG,MATCH(Country!$A$1,Data!$E$1:$BG$1,),)</f>
        <v>5.326829</v>
      </c>
      <c r="C127" s="65">
        <f>IF(B115&gt;0,(Table2[[#This Row],[Country]]-B115)/B115,0)</f>
        <v>9.3296912193966561E-2</v>
      </c>
      <c r="D127" s="65">
        <f>IF(Table2[[#This Row],[Country]]&gt;0,(((Table2[[#This Row],[Country]]-B126)/B126)+1)^12-1,"")</f>
        <v>0.16486261420327963</v>
      </c>
    </row>
    <row r="128" spans="1:4" x14ac:dyDescent="0.2">
      <c r="A128" s="36">
        <v>25993</v>
      </c>
      <c r="B128" s="37">
        <f>VLOOKUP(A128,Data!$E:$BG,MATCH(Country!$A$1,Data!$E$1:$BG$1,),)</f>
        <v>5.4007899999999998</v>
      </c>
      <c r="C128" s="65">
        <f>IF(B116&gt;0,(Table2[[#This Row],[Country]]-B116)/B116,0)</f>
        <v>0.10658955548652901</v>
      </c>
      <c r="D128" s="65">
        <f>IF(Table2[[#This Row],[Country]]&gt;0,(((Table2[[#This Row],[Country]]-B127)/B127)+1)^12-1,"")</f>
        <v>0.1799467949003104</v>
      </c>
    </row>
    <row r="129" spans="1:4" x14ac:dyDescent="0.2">
      <c r="A129" s="36">
        <v>26024</v>
      </c>
      <c r="B129" s="37">
        <f>VLOOKUP(A129,Data!$E:$BG,MATCH(Country!$A$1,Data!$E$1:$BG$1,),)</f>
        <v>5.4714260000000001</v>
      </c>
      <c r="C129" s="65">
        <f>IF(B117&gt;0,(Table2[[#This Row],[Country]]-B117)/B117,0)</f>
        <v>0.11896669600035824</v>
      </c>
      <c r="D129" s="65">
        <f>IF(Table2[[#This Row],[Country]]&gt;0,(((Table2[[#This Row],[Country]]-B128)/B128)+1)^12-1,"")</f>
        <v>0.16874258345333648</v>
      </c>
    </row>
    <row r="130" spans="1:4" x14ac:dyDescent="0.2">
      <c r="A130" s="36">
        <v>26054</v>
      </c>
      <c r="B130" s="37">
        <f>VLOOKUP(A130,Data!$E:$BG,MATCH(Country!$A$1,Data!$E$1:$BG$1,),)</f>
        <v>5.5404010000000001</v>
      </c>
      <c r="C130" s="65">
        <f>IF(B118&gt;0,(Table2[[#This Row],[Country]]-B118)/B118,0)</f>
        <v>0.12713440715292018</v>
      </c>
      <c r="D130" s="65">
        <f>IF(Table2[[#This Row],[Country]]&gt;0,(((Table2[[#This Row],[Country]]-B129)/B129)+1)^12-1,"")</f>
        <v>0.1622191569187188</v>
      </c>
    </row>
    <row r="131" spans="1:4" x14ac:dyDescent="0.2">
      <c r="A131" s="36">
        <v>26085</v>
      </c>
      <c r="B131" s="37">
        <f>VLOOKUP(A131,Data!$E:$BG,MATCH(Country!$A$1,Data!$E$1:$BG$1,),)</f>
        <v>5.5927550000000004</v>
      </c>
      <c r="C131" s="65">
        <f>IF(B119&gt;0,(Table2[[#This Row],[Country]]-B119)/B119,0)</f>
        <v>0.13071226266992017</v>
      </c>
      <c r="D131" s="65">
        <f>IF(Table2[[#This Row],[Country]]&gt;0,(((Table2[[#This Row],[Country]]-B130)/B130)+1)^12-1,"")</f>
        <v>0.11947693260188896</v>
      </c>
    </row>
    <row r="132" spans="1:4" x14ac:dyDescent="0.2">
      <c r="A132" s="36">
        <v>26115</v>
      </c>
      <c r="B132" s="37">
        <f>VLOOKUP(A132,Data!$E:$BG,MATCH(Country!$A$1,Data!$E$1:$BG$1,),)</f>
        <v>5.6476030000000002</v>
      </c>
      <c r="C132" s="65">
        <f>IF(B120&gt;0,(Table2[[#This Row],[Country]]-B120)/B120,0)</f>
        <v>0.13436843695215875</v>
      </c>
      <c r="D132" s="65">
        <f>IF(Table2[[#This Row],[Country]]&gt;0,(((Table2[[#This Row],[Country]]-B131)/B131)+1)^12-1,"")</f>
        <v>0.12424350193129263</v>
      </c>
    </row>
    <row r="133" spans="1:4" x14ac:dyDescent="0.2">
      <c r="A133" s="36">
        <v>26146</v>
      </c>
      <c r="B133" s="37">
        <f>VLOOKUP(A133,Data!$E:$BG,MATCH(Country!$A$1,Data!$E$1:$BG$1,),)</f>
        <v>5.6966320000000001</v>
      </c>
      <c r="C133" s="65">
        <f>IF(B121&gt;0,(Table2[[#This Row],[Country]]-B121)/B121,0)</f>
        <v>0.13324495427736602</v>
      </c>
      <c r="D133" s="65">
        <f>IF(Table2[[#This Row],[Country]]&gt;0,(((Table2[[#This Row],[Country]]-B132)/B132)+1)^12-1,"")</f>
        <v>0.10929756191754514</v>
      </c>
    </row>
    <row r="134" spans="1:4" x14ac:dyDescent="0.2">
      <c r="A134" s="36">
        <v>26177</v>
      </c>
      <c r="B134" s="37">
        <f>VLOOKUP(A134,Data!$E:$BG,MATCH(Country!$A$1,Data!$E$1:$BG$1,),)</f>
        <v>5.754804</v>
      </c>
      <c r="C134" s="65">
        <f>IF(B122&gt;0,(Table2[[#This Row],[Country]]-B122)/B122,0)</f>
        <v>0.13301720650064927</v>
      </c>
      <c r="D134" s="65">
        <f>IF(Table2[[#This Row],[Country]]&gt;0,(((Table2[[#This Row],[Country]]-B133)/B133)+1)^12-1,"")</f>
        <v>0.12966184406545467</v>
      </c>
    </row>
    <row r="135" spans="1:4" x14ac:dyDescent="0.2">
      <c r="A135" s="36">
        <v>26207</v>
      </c>
      <c r="B135" s="37">
        <f>VLOOKUP(A135,Data!$E:$BG,MATCH(Country!$A$1,Data!$E$1:$BG$1,),)</f>
        <v>5.8038340000000002</v>
      </c>
      <c r="C135" s="65">
        <f>IF(B123&gt;0,(Table2[[#This Row],[Country]]-B123)/B123,0)</f>
        <v>0.13303044140060166</v>
      </c>
      <c r="D135" s="65">
        <f>IF(Table2[[#This Row],[Country]]&gt;0,(((Table2[[#This Row],[Country]]-B134)/B134)+1)^12-1,"")</f>
        <v>0.10716754497410519</v>
      </c>
    </row>
    <row r="136" spans="1:4" x14ac:dyDescent="0.2">
      <c r="A136" s="36">
        <v>26238</v>
      </c>
      <c r="B136" s="37">
        <f>VLOOKUP(A136,Data!$E:$BG,MATCH(Country!$A$1,Data!$E$1:$BG$1,),)</f>
        <v>5.8553569999999997</v>
      </c>
      <c r="C136" s="65">
        <f>IF(B124&gt;0,(Table2[[#This Row],[Country]]-B124)/B124,0)</f>
        <v>0.13443878346753624</v>
      </c>
      <c r="D136" s="65">
        <f>IF(Table2[[#This Row],[Country]]&gt;0,(((Table2[[#This Row],[Country]]-B135)/B135)+1)^12-1,"")</f>
        <v>0.11188727672261645</v>
      </c>
    </row>
    <row r="137" spans="1:4" x14ac:dyDescent="0.2">
      <c r="A137" s="36">
        <v>26268</v>
      </c>
      <c r="B137" s="37">
        <f>VLOOKUP(A137,Data!$E:$BG,MATCH(Country!$A$1,Data!$E$1:$BG$1,),)</f>
        <v>5.9027250000000002</v>
      </c>
      <c r="C137" s="65">
        <f>IF(B125&gt;0,(Table2[[#This Row],[Country]]-B125)/B125,0)</f>
        <v>0.13375885364206519</v>
      </c>
      <c r="D137" s="65">
        <f>IF(Table2[[#This Row],[Country]]&gt;0,(((Table2[[#This Row],[Country]]-B136)/B136)+1)^12-1,"")</f>
        <v>0.10151409095123443</v>
      </c>
    </row>
    <row r="138" spans="1:4" x14ac:dyDescent="0.2">
      <c r="A138" s="36">
        <v>26299</v>
      </c>
      <c r="B138" s="37">
        <f>VLOOKUP(A138,Data!$E:$BG,MATCH(Country!$A$1,Data!$E$1:$BG$1,),)</f>
        <v>5.9642210000000002</v>
      </c>
      <c r="C138" s="65">
        <f>IF(B126&gt;0,(Table2[[#This Row],[Country]]-B126)/B126,0)</f>
        <v>0.13398644780499816</v>
      </c>
      <c r="D138" s="65">
        <f>IF(Table2[[#This Row],[Country]]&gt;0,(((Table2[[#This Row],[Country]]-B137)/B137)+1)^12-1,"")</f>
        <v>0.13243719320257763</v>
      </c>
    </row>
    <row r="139" spans="1:4" x14ac:dyDescent="0.2">
      <c r="A139" s="36">
        <v>26330</v>
      </c>
      <c r="B139" s="37">
        <f>VLOOKUP(A139,Data!$E:$BG,MATCH(Country!$A$1,Data!$E$1:$BG$1,),)</f>
        <v>6.0307019999999998</v>
      </c>
      <c r="C139" s="65">
        <f>IF(B127&gt;0,(Table2[[#This Row],[Country]]-B127)/B127,0)</f>
        <v>0.13213733724134935</v>
      </c>
      <c r="D139" s="65">
        <f>IF(Table2[[#This Row],[Country]]&gt;0,(((Table2[[#This Row],[Country]]-B138)/B138)+1)^12-1,"")</f>
        <v>0.14227243220707364</v>
      </c>
    </row>
    <row r="140" spans="1:4" x14ac:dyDescent="0.2">
      <c r="A140" s="36">
        <v>26359</v>
      </c>
      <c r="B140" s="37">
        <f>VLOOKUP(A140,Data!$E:$BG,MATCH(Country!$A$1,Data!$E$1:$BG$1,),)</f>
        <v>6.0955209999999997</v>
      </c>
      <c r="C140" s="65">
        <f>IF(B128&gt;0,(Table2[[#This Row],[Country]]-B128)/B128,0)</f>
        <v>0.12863507005456609</v>
      </c>
      <c r="D140" s="65">
        <f>IF(Table2[[#This Row],[Country]]&gt;0,(((Table2[[#This Row],[Country]]-B139)/B139)+1)^12-1,"")</f>
        <v>0.13688243223871344</v>
      </c>
    </row>
    <row r="141" spans="1:4" x14ac:dyDescent="0.2">
      <c r="A141" s="36">
        <v>26390</v>
      </c>
      <c r="B141" s="37">
        <f>VLOOKUP(A141,Data!$E:$BG,MATCH(Country!$A$1,Data!$E$1:$BG$1,),)</f>
        <v>6.1362410000000001</v>
      </c>
      <c r="C141" s="65">
        <f>IF(B129&gt;0,(Table2[[#This Row],[Country]]-B129)/B129,0)</f>
        <v>0.12150671506843004</v>
      </c>
      <c r="D141" s="65">
        <f>IF(Table2[[#This Row],[Country]]&gt;0,(((Table2[[#This Row],[Country]]-B140)/B140)+1)^12-1,"")</f>
        <v>8.3175718164388623E-2</v>
      </c>
    </row>
    <row r="142" spans="1:4" x14ac:dyDescent="0.2">
      <c r="A142" s="36">
        <v>26420</v>
      </c>
      <c r="B142" s="37">
        <f>VLOOKUP(A142,Data!$E:$BG,MATCH(Country!$A$1,Data!$E$1:$BG$1,),)</f>
        <v>6.1769610000000004</v>
      </c>
      <c r="C142" s="65">
        <f>IF(B130&gt;0,(Table2[[#This Row],[Country]]-B130)/B130,0)</f>
        <v>0.11489421072590238</v>
      </c>
      <c r="D142" s="65">
        <f>IF(Table2[[#This Row],[Country]]&gt;0,(((Table2[[#This Row],[Country]]-B141)/B141)+1)^12-1,"")</f>
        <v>8.2603468296668758E-2</v>
      </c>
    </row>
    <row r="143" spans="1:4" x14ac:dyDescent="0.2">
      <c r="A143" s="36">
        <v>26451</v>
      </c>
      <c r="B143" s="37">
        <f>VLOOKUP(A143,Data!$E:$BG,MATCH(Country!$A$1,Data!$E$1:$BG$1,),)</f>
        <v>6.2301460000000004</v>
      </c>
      <c r="C143" s="65">
        <f>IF(B131&gt;0,(Table2[[#This Row],[Country]]-B131)/B131,0)</f>
        <v>0.11396726657970893</v>
      </c>
      <c r="D143" s="65">
        <f>IF(Table2[[#This Row],[Country]]&gt;0,(((Table2[[#This Row],[Country]]-B142)/B142)+1)^12-1,"")</f>
        <v>0.10835881351092014</v>
      </c>
    </row>
    <row r="144" spans="1:4" x14ac:dyDescent="0.2">
      <c r="A144" s="36">
        <v>26481</v>
      </c>
      <c r="B144" s="37">
        <f>VLOOKUP(A144,Data!$E:$BG,MATCH(Country!$A$1,Data!$E$1:$BG$1,),)</f>
        <v>6.3115860000000001</v>
      </c>
      <c r="C144" s="65">
        <f>IF(B132&gt;0,(Table2[[#This Row],[Country]]-B132)/B132,0)</f>
        <v>0.11756899342960189</v>
      </c>
      <c r="D144" s="65">
        <f>IF(Table2[[#This Row],[Country]]&gt;0,(((Table2[[#This Row],[Country]]-B143)/B143)+1)^12-1,"")</f>
        <v>0.16864702906512719</v>
      </c>
    </row>
    <row r="145" spans="1:4" x14ac:dyDescent="0.2">
      <c r="A145" s="36">
        <v>26512</v>
      </c>
      <c r="B145" s="37">
        <f>VLOOKUP(A145,Data!$E:$BG,MATCH(Country!$A$1,Data!$E$1:$BG$1,),)</f>
        <v>6.3880400000000002</v>
      </c>
      <c r="C145" s="65">
        <f>IF(B133&gt;0,(Table2[[#This Row],[Country]]-B133)/B133,0)</f>
        <v>0.12137136469408591</v>
      </c>
      <c r="D145" s="65">
        <f>IF(Table2[[#This Row],[Country]]&gt;0,(((Table2[[#This Row],[Country]]-B144)/B144)+1)^12-1,"")</f>
        <v>0.15544551909910065</v>
      </c>
    </row>
    <row r="146" spans="1:4" x14ac:dyDescent="0.2">
      <c r="A146" s="36">
        <v>26543</v>
      </c>
      <c r="B146" s="37">
        <f>VLOOKUP(A146,Data!$E:$BG,MATCH(Country!$A$1,Data!$E$1:$BG$1,),)</f>
        <v>6.4678180000000003</v>
      </c>
      <c r="C146" s="65">
        <f>IF(B134&gt;0,(Table2[[#This Row],[Country]]-B134)/B134,0)</f>
        <v>0.12389891992846329</v>
      </c>
      <c r="D146" s="65">
        <f>IF(Table2[[#This Row],[Country]]&gt;0,(((Table2[[#This Row],[Country]]-B145)/B145)+1)^12-1,"")</f>
        <v>0.16059839353159955</v>
      </c>
    </row>
    <row r="147" spans="1:4" x14ac:dyDescent="0.2">
      <c r="A147" s="36">
        <v>26573</v>
      </c>
      <c r="B147" s="37">
        <f>VLOOKUP(A147,Data!$E:$BG,MATCH(Country!$A$1,Data!$E$1:$BG$1,),)</f>
        <v>6.5392849999999996</v>
      </c>
      <c r="C147" s="65">
        <f>IF(B135&gt;0,(Table2[[#This Row],[Country]]-B135)/B135,0)</f>
        <v>0.12671813149721364</v>
      </c>
      <c r="D147" s="65">
        <f>IF(Table2[[#This Row],[Country]]&gt;0,(((Table2[[#This Row],[Country]]-B146)/B146)+1)^12-1,"")</f>
        <v>0.14095810659686947</v>
      </c>
    </row>
    <row r="148" spans="1:4" x14ac:dyDescent="0.2">
      <c r="A148" s="36">
        <v>26604</v>
      </c>
      <c r="B148" s="37">
        <f>VLOOKUP(A148,Data!$E:$BG,MATCH(Country!$A$1,Data!$E$1:$BG$1,),)</f>
        <v>6.5974560000000002</v>
      </c>
      <c r="C148" s="65">
        <f>IF(B136&gt;0,(Table2[[#This Row],[Country]]-B136)/B136,0)</f>
        <v>0.12673847213756576</v>
      </c>
      <c r="D148" s="65">
        <f>IF(Table2[[#This Row],[Country]]&gt;0,(((Table2[[#This Row],[Country]]-B147)/B147)+1)^12-1,"")</f>
        <v>0.11212817542837139</v>
      </c>
    </row>
    <row r="149" spans="1:4" x14ac:dyDescent="0.2">
      <c r="A149" s="36">
        <v>26634</v>
      </c>
      <c r="B149" s="37">
        <f>VLOOKUP(A149,Data!$E:$BG,MATCH(Country!$A$1,Data!$E$1:$BG$1,),)</f>
        <v>6.667262</v>
      </c>
      <c r="C149" s="65">
        <f>IF(B137&gt;0,(Table2[[#This Row],[Country]]-B137)/B137,0)</f>
        <v>0.12952272043844154</v>
      </c>
      <c r="D149" s="65">
        <f>IF(Table2[[#This Row],[Country]]&gt;0,(((Table2[[#This Row],[Country]]-B148)/B148)+1)^12-1,"")</f>
        <v>0.13462469224334339</v>
      </c>
    </row>
    <row r="150" spans="1:4" x14ac:dyDescent="0.2">
      <c r="A150" s="36">
        <v>26665</v>
      </c>
      <c r="B150" s="37">
        <f>VLOOKUP(A150,Data!$E:$BG,MATCH(Country!$A$1,Data!$E$1:$BG$1,),)</f>
        <v>6.7337439999999997</v>
      </c>
      <c r="C150" s="65">
        <f>IF(B138&gt;0,(Table2[[#This Row],[Country]]-B138)/B138,0)</f>
        <v>0.1290232202998513</v>
      </c>
      <c r="D150" s="65">
        <f>IF(Table2[[#This Row],[Country]]&gt;0,(((Table2[[#This Row],[Country]]-B149)/B149)+1)^12-1,"")</f>
        <v>0.1264423202408187</v>
      </c>
    </row>
    <row r="151" spans="1:4" x14ac:dyDescent="0.2">
      <c r="A151" s="36">
        <v>26696</v>
      </c>
      <c r="B151" s="37">
        <f>VLOOKUP(A151,Data!$E:$BG,MATCH(Country!$A$1,Data!$E$1:$BG$1,),)</f>
        <v>6.7653220000000003</v>
      </c>
      <c r="C151" s="65">
        <f>IF(B139&gt;0,(Table2[[#This Row],[Country]]-B139)/B139,0)</f>
        <v>0.12181334776614738</v>
      </c>
      <c r="D151" s="65">
        <f>IF(Table2[[#This Row],[Country]]&gt;0,(((Table2[[#This Row],[Country]]-B150)/B150)+1)^12-1,"")</f>
        <v>5.7748564305753591E-2</v>
      </c>
    </row>
    <row r="152" spans="1:4" x14ac:dyDescent="0.2">
      <c r="A152" s="36">
        <v>26724</v>
      </c>
      <c r="B152" s="37">
        <f>VLOOKUP(A152,Data!$E:$BG,MATCH(Country!$A$1,Data!$E$1:$BG$1,),)</f>
        <v>6.7752949999999998</v>
      </c>
      <c r="C152" s="65">
        <f>IF(B140&gt;0,(Table2[[#This Row],[Country]]-B140)/B140,0)</f>
        <v>0.11152024576734296</v>
      </c>
      <c r="D152" s="65">
        <f>IF(Table2[[#This Row],[Country]]&gt;0,(((Table2[[#This Row],[Country]]-B151)/B151)+1)^12-1,"")</f>
        <v>1.7833753677849895E-2</v>
      </c>
    </row>
    <row r="153" spans="1:4" x14ac:dyDescent="0.2">
      <c r="A153" s="36">
        <v>26755</v>
      </c>
      <c r="B153" s="37">
        <f>VLOOKUP(A153,Data!$E:$BG,MATCH(Country!$A$1,Data!$E$1:$BG$1,),)</f>
        <v>6.8118600000000002</v>
      </c>
      <c r="C153" s="65">
        <f>IF(B141&gt;0,(Table2[[#This Row],[Country]]-B141)/B141,0)</f>
        <v>0.11010307450440754</v>
      </c>
      <c r="D153" s="65">
        <f>IF(Table2[[#This Row],[Country]]&gt;0,(((Table2[[#This Row],[Country]]-B152)/B152)+1)^12-1,"")</f>
        <v>6.6719049061163105E-2</v>
      </c>
    </row>
    <row r="154" spans="1:4" x14ac:dyDescent="0.2">
      <c r="A154" s="36">
        <v>26785</v>
      </c>
      <c r="B154" s="37">
        <f>VLOOKUP(A154,Data!$E:$BG,MATCH(Country!$A$1,Data!$E$1:$BG$1,),)</f>
        <v>6.8708619999999998</v>
      </c>
      <c r="C154" s="65">
        <f>IF(B142&gt;0,(Table2[[#This Row],[Country]]-B142)/B142,0)</f>
        <v>0.11233695663611919</v>
      </c>
      <c r="D154" s="65">
        <f>IF(Table2[[#This Row],[Country]]&gt;0,(((Table2[[#This Row],[Country]]-B153)/B153)+1)^12-1,"")</f>
        <v>0.10903728673739432</v>
      </c>
    </row>
    <row r="155" spans="1:4" x14ac:dyDescent="0.2">
      <c r="A155" s="36">
        <v>26816</v>
      </c>
      <c r="B155" s="37">
        <f>VLOOKUP(A155,Data!$E:$BG,MATCH(Country!$A$1,Data!$E$1:$BG$1,),)</f>
        <v>6.9248779999999996</v>
      </c>
      <c r="C155" s="65">
        <f>IF(B143&gt;0,(Table2[[#This Row],[Country]]-B143)/B143,0)</f>
        <v>0.11151135141937271</v>
      </c>
      <c r="D155" s="65">
        <f>IF(Table2[[#This Row],[Country]]&gt;0,(((Table2[[#This Row],[Country]]-B154)/B154)+1)^12-1,"")</f>
        <v>9.8527182740648644E-2</v>
      </c>
    </row>
    <row r="156" spans="1:4" x14ac:dyDescent="0.2">
      <c r="A156" s="36">
        <v>26846</v>
      </c>
      <c r="B156" s="37">
        <f>VLOOKUP(A156,Data!$E:$BG,MATCH(Country!$A$1,Data!$E$1:$BG$1,),)</f>
        <v>6.9514699999999996</v>
      </c>
      <c r="C156" s="65">
        <f>IF(B144&gt;0,(Table2[[#This Row],[Country]]-B144)/B144,0)</f>
        <v>0.10138244175077381</v>
      </c>
      <c r="D156" s="65">
        <f>IF(Table2[[#This Row],[Country]]&gt;0,(((Table2[[#This Row],[Country]]-B155)/B155)+1)^12-1,"")</f>
        <v>4.7066621754783489E-2</v>
      </c>
    </row>
    <row r="157" spans="1:4" x14ac:dyDescent="0.2">
      <c r="A157" s="36">
        <v>26877</v>
      </c>
      <c r="B157" s="37">
        <f>VLOOKUP(A157,Data!$E:$BG,MATCH(Country!$A$1,Data!$E$1:$BG$1,),)</f>
        <v>6.9705839999999997</v>
      </c>
      <c r="C157" s="65">
        <f>IF(B145&gt;0,(Table2[[#This Row],[Country]]-B145)/B145,0)</f>
        <v>9.1192916763201154E-2</v>
      </c>
      <c r="D157" s="65">
        <f>IF(Table2[[#This Row],[Country]]&gt;0,(((Table2[[#This Row],[Country]]-B156)/B156)+1)^12-1,"")</f>
        <v>3.3499205148611599E-2</v>
      </c>
    </row>
    <row r="158" spans="1:4" x14ac:dyDescent="0.2">
      <c r="A158" s="36">
        <v>26908</v>
      </c>
      <c r="B158" s="37">
        <f>VLOOKUP(A158,Data!$E:$BG,MATCH(Country!$A$1,Data!$E$1:$BG$1,),)</f>
        <v>6.9747389999999996</v>
      </c>
      <c r="C158" s="65">
        <f>IF(B146&gt;0,(Table2[[#This Row],[Country]]-B146)/B146,0)</f>
        <v>7.8375891220191923E-2</v>
      </c>
      <c r="D158" s="65">
        <f>IF(Table2[[#This Row],[Country]]&gt;0,(((Table2[[#This Row],[Country]]-B157)/B157)+1)^12-1,"")</f>
        <v>7.1764126548106155E-3</v>
      </c>
    </row>
    <row r="159" spans="1:4" x14ac:dyDescent="0.2">
      <c r="A159" s="36">
        <v>26938</v>
      </c>
      <c r="B159" s="37">
        <f>VLOOKUP(A159,Data!$E:$BG,MATCH(Country!$A$1,Data!$E$1:$BG$1,),)</f>
        <v>7.0021630000000004</v>
      </c>
      <c r="C159" s="65">
        <f>IF(B147&gt;0,(Table2[[#This Row],[Country]]-B147)/B147,0)</f>
        <v>7.0784191238033034E-2</v>
      </c>
      <c r="D159" s="65">
        <f>IF(Table2[[#This Row],[Country]]&gt;0,(((Table2[[#This Row],[Country]]-B158)/B158)+1)^12-1,"")</f>
        <v>4.8216683996951115E-2</v>
      </c>
    </row>
    <row r="160" spans="1:4" x14ac:dyDescent="0.2">
      <c r="A160" s="36">
        <v>26969</v>
      </c>
      <c r="B160" s="37">
        <f>VLOOKUP(A160,Data!$E:$BG,MATCH(Country!$A$1,Data!$E$1:$BG$1,),)</f>
        <v>7.0545169999999997</v>
      </c>
      <c r="C160" s="65">
        <f>IF(B148&gt;0,(Table2[[#This Row],[Country]]-B148)/B148,0)</f>
        <v>6.927837032941174E-2</v>
      </c>
      <c r="D160" s="65">
        <f>IF(Table2[[#This Row],[Country]]&gt;0,(((Table2[[#This Row],[Country]]-B159)/B159)+1)^12-1,"")</f>
        <v>9.3505110483891984E-2</v>
      </c>
    </row>
    <row r="161" spans="1:4" x14ac:dyDescent="0.2">
      <c r="A161" s="36">
        <v>26999</v>
      </c>
      <c r="B161" s="37">
        <f>VLOOKUP(A161,Data!$E:$BG,MATCH(Country!$A$1,Data!$E$1:$BG$1,),)</f>
        <v>7.1093640000000002</v>
      </c>
      <c r="C161" s="65">
        <f>IF(B149&gt;0,(Table2[[#This Row],[Country]]-B149)/B149,0)</f>
        <v>6.6309378572493513E-2</v>
      </c>
      <c r="D161" s="65">
        <f>IF(Table2[[#This Row],[Country]]&gt;0,(((Table2[[#This Row],[Country]]-B160)/B160)+1)^12-1,"")</f>
        <v>9.7391510409390314E-2</v>
      </c>
    </row>
    <row r="162" spans="1:4" x14ac:dyDescent="0.2">
      <c r="A162" s="36">
        <v>27030</v>
      </c>
      <c r="B162" s="37">
        <f>VLOOKUP(A162,Data!$E:$BG,MATCH(Country!$A$1,Data!$E$1:$BG$1,),)</f>
        <v>7.1442670000000001</v>
      </c>
      <c r="C162" s="65">
        <f>IF(B150&gt;0,(Table2[[#This Row],[Country]]-B150)/B150,0)</f>
        <v>6.0965044112161144E-2</v>
      </c>
      <c r="D162" s="65">
        <f>IF(Table2[[#This Row],[Country]]&gt;0,(((Table2[[#This Row],[Country]]-B161)/B161)+1)^12-1,"")</f>
        <v>6.0530381300822445E-2</v>
      </c>
    </row>
    <row r="163" spans="1:4" x14ac:dyDescent="0.2">
      <c r="A163" s="36">
        <v>27061</v>
      </c>
      <c r="B163" s="37">
        <f>VLOOKUP(A163,Data!$E:$BG,MATCH(Country!$A$1,Data!$E$1:$BG$1,),)</f>
        <v>7.1816630000000004</v>
      </c>
      <c r="C163" s="65">
        <f>IF(B151&gt;0,(Table2[[#This Row],[Country]]-B151)/B151,0)</f>
        <v>6.1540455871871298E-2</v>
      </c>
      <c r="D163" s="65">
        <f>IF(Table2[[#This Row],[Country]]&gt;0,(((Table2[[#This Row],[Country]]-B162)/B162)+1)^12-1,"")</f>
        <v>6.4653143576863137E-2</v>
      </c>
    </row>
    <row r="164" spans="1:4" x14ac:dyDescent="0.2">
      <c r="A164" s="36">
        <v>27089</v>
      </c>
      <c r="B164" s="37">
        <f>VLOOKUP(A164,Data!$E:$BG,MATCH(Country!$A$1,Data!$E$1:$BG$1,),)</f>
        <v>7.2306929999999996</v>
      </c>
      <c r="C164" s="65">
        <f>IF(B152&gt;0,(Table2[[#This Row],[Country]]-B152)/B152,0)</f>
        <v>6.7214490291566606E-2</v>
      </c>
      <c r="D164" s="65">
        <f>IF(Table2[[#This Row],[Country]]&gt;0,(((Table2[[#This Row],[Country]]-B163)/B163)+1)^12-1,"")</f>
        <v>8.5072629423855295E-2</v>
      </c>
    </row>
    <row r="165" spans="1:4" x14ac:dyDescent="0.2">
      <c r="A165" s="36">
        <v>27120</v>
      </c>
      <c r="B165" s="37">
        <f>VLOOKUP(A165,Data!$E:$BG,MATCH(Country!$A$1,Data!$E$1:$BG$1,),)</f>
        <v>7.2539619999999996</v>
      </c>
      <c r="C165" s="65">
        <f>IF(B153&gt;0,(Table2[[#This Row],[Country]]-B153)/B153,0)</f>
        <v>6.4901803618982082E-2</v>
      </c>
      <c r="D165" s="65">
        <f>IF(Table2[[#This Row],[Country]]&gt;0,(((Table2[[#This Row],[Country]]-B164)/B164)+1)^12-1,"")</f>
        <v>3.9307932265000289E-2</v>
      </c>
    </row>
    <row r="166" spans="1:4" x14ac:dyDescent="0.2">
      <c r="A166" s="36">
        <v>27150</v>
      </c>
      <c r="B166" s="37">
        <f>VLOOKUP(A166,Data!$E:$BG,MATCH(Country!$A$1,Data!$E$1:$BG$1,),)</f>
        <v>7.2680889999999998</v>
      </c>
      <c r="C166" s="65">
        <f>IF(B154&gt;0,(Table2[[#This Row],[Country]]-B154)/B154,0)</f>
        <v>5.781327000891591E-2</v>
      </c>
      <c r="D166" s="65">
        <f>IF(Table2[[#This Row],[Country]]&gt;0,(((Table2[[#This Row],[Country]]-B165)/B165)+1)^12-1,"")</f>
        <v>2.3621800275271276E-2</v>
      </c>
    </row>
    <row r="167" spans="1:4" x14ac:dyDescent="0.2">
      <c r="A167" s="36">
        <v>27181</v>
      </c>
      <c r="B167" s="37">
        <f>VLOOKUP(A167,Data!$E:$BG,MATCH(Country!$A$1,Data!$E$1:$BG$1,),)</f>
        <v>7.2946809999999997</v>
      </c>
      <c r="C167" s="65">
        <f>IF(B155&gt;0,(Table2[[#This Row],[Country]]-B155)/B155,0)</f>
        <v>5.340209603692659E-2</v>
      </c>
      <c r="D167" s="65">
        <f>IF(Table2[[#This Row],[Country]]&gt;0,(((Table2[[#This Row],[Country]]-B166)/B166)+1)^12-1,"")</f>
        <v>4.4799162788375924E-2</v>
      </c>
    </row>
    <row r="168" spans="1:4" x14ac:dyDescent="0.2">
      <c r="A168" s="36">
        <v>27211</v>
      </c>
      <c r="B168" s="37">
        <f>VLOOKUP(A168,Data!$E:$BG,MATCH(Country!$A$1,Data!$E$1:$BG$1,),)</f>
        <v>7.3245979999999999</v>
      </c>
      <c r="C168" s="65">
        <f>IF(B156&gt;0,(Table2[[#This Row],[Country]]-B156)/B156,0)</f>
        <v>5.3676128933880227E-2</v>
      </c>
      <c r="D168" s="65">
        <f>IF(Table2[[#This Row],[Country]]&gt;0,(((Table2[[#This Row],[Country]]-B167)/B167)+1)^12-1,"")</f>
        <v>5.0339919843969794E-2</v>
      </c>
    </row>
    <row r="169" spans="1:4" x14ac:dyDescent="0.2">
      <c r="A169" s="36">
        <v>27242</v>
      </c>
      <c r="B169" s="37">
        <f>VLOOKUP(A169,Data!$E:$BG,MATCH(Country!$A$1,Data!$E$1:$BG$1,),)</f>
        <v>7.347035</v>
      </c>
      <c r="C169" s="65">
        <f>IF(B157&gt;0,(Table2[[#This Row],[Country]]-B157)/B157,0)</f>
        <v>5.4005661505549654E-2</v>
      </c>
      <c r="D169" s="65">
        <f>IF(Table2[[#This Row],[Country]]&gt;0,(((Table2[[#This Row],[Country]]-B168)/B168)+1)^12-1,"")</f>
        <v>3.7384551739187311E-2</v>
      </c>
    </row>
    <row r="170" spans="1:4" x14ac:dyDescent="0.2">
      <c r="A170" s="36">
        <v>27273</v>
      </c>
      <c r="B170" s="37">
        <f>VLOOKUP(A170,Data!$E:$BG,MATCH(Country!$A$1,Data!$E$1:$BG$1,),)</f>
        <v>7.3786139999999998</v>
      </c>
      <c r="C170" s="65">
        <f>IF(B158&gt;0,(Table2[[#This Row],[Country]]-B158)/B158,0)</f>
        <v>5.7905392588884004E-2</v>
      </c>
      <c r="D170" s="65">
        <f>IF(Table2[[#This Row],[Country]]&gt;0,(((Table2[[#This Row],[Country]]-B169)/B169)+1)^12-1,"")</f>
        <v>5.2815313993562096E-2</v>
      </c>
    </row>
    <row r="171" spans="1:4" x14ac:dyDescent="0.2">
      <c r="A171" s="36">
        <v>27303</v>
      </c>
      <c r="B171" s="37">
        <f>VLOOKUP(A171,Data!$E:$BG,MATCH(Country!$A$1,Data!$E$1:$BG$1,),)</f>
        <v>7.423489</v>
      </c>
      <c r="C171" s="65">
        <f>IF(B159&gt;0,(Table2[[#This Row],[Country]]-B159)/B159,0)</f>
        <v>6.017083578317152E-2</v>
      </c>
      <c r="D171" s="65">
        <f>IF(Table2[[#This Row],[Country]]&gt;0,(((Table2[[#This Row],[Country]]-B170)/B170)+1)^12-1,"")</f>
        <v>7.5472558606986428E-2</v>
      </c>
    </row>
    <row r="172" spans="1:4" x14ac:dyDescent="0.2">
      <c r="A172" s="36">
        <v>27334</v>
      </c>
      <c r="B172" s="37">
        <f>VLOOKUP(A172,Data!$E:$BG,MATCH(Country!$A$1,Data!$E$1:$BG$1,),)</f>
        <v>7.4675330000000004</v>
      </c>
      <c r="C172" s="65">
        <f>IF(B160&gt;0,(Table2[[#This Row],[Country]]-B160)/B160,0)</f>
        <v>5.8546318621104848E-2</v>
      </c>
      <c r="D172" s="65">
        <f>IF(Table2[[#This Row],[Country]]&gt;0,(((Table2[[#This Row],[Country]]-B171)/B171)+1)^12-1,"")</f>
        <v>7.3566555936687816E-2</v>
      </c>
    </row>
    <row r="173" spans="1:4" x14ac:dyDescent="0.2">
      <c r="A173" s="36">
        <v>27364</v>
      </c>
      <c r="B173" s="37">
        <f>VLOOKUP(A173,Data!$E:$BG,MATCH(Country!$A$1,Data!$E$1:$BG$1,),)</f>
        <v>7.4966189999999999</v>
      </c>
      <c r="C173" s="65">
        <f>IF(B161&gt;0,(Table2[[#This Row],[Country]]-B161)/B161,0)</f>
        <v>5.4471117247618731E-2</v>
      </c>
      <c r="D173" s="65">
        <f>IF(Table2[[#This Row],[Country]]&gt;0,(((Table2[[#This Row],[Country]]-B172)/B172)+1)^12-1,"")</f>
        <v>4.7754333521378367E-2</v>
      </c>
    </row>
    <row r="174" spans="1:4" x14ac:dyDescent="0.2">
      <c r="A174" s="36">
        <v>27395</v>
      </c>
      <c r="B174" s="37">
        <f>VLOOKUP(A174,Data!$E:$BG,MATCH(Country!$A$1,Data!$E$1:$BG$1,),)</f>
        <v>7.5315219999999998</v>
      </c>
      <c r="C174" s="65">
        <f>IF(B162&gt;0,(Table2[[#This Row],[Country]]-B162)/B162,0)</f>
        <v>5.4205001016899242E-2</v>
      </c>
      <c r="D174" s="65">
        <f>IF(Table2[[#This Row],[Country]]&gt;0,(((Table2[[#This Row],[Country]]-B173)/B173)+1)^12-1,"")</f>
        <v>5.7323090714405112E-2</v>
      </c>
    </row>
    <row r="175" spans="1:4" x14ac:dyDescent="0.2">
      <c r="A175" s="36">
        <v>27426</v>
      </c>
      <c r="B175" s="37">
        <f>VLOOKUP(A175,Data!$E:$BG,MATCH(Country!$A$1,Data!$E$1:$BG$1,),)</f>
        <v>7.5963409999999998</v>
      </c>
      <c r="C175" s="65">
        <f>IF(B163&gt;0,(Table2[[#This Row],[Country]]-B163)/B163,0)</f>
        <v>5.7741222332487532E-2</v>
      </c>
      <c r="D175" s="65">
        <f>IF(Table2[[#This Row],[Country]]&gt;0,(((Table2[[#This Row],[Country]]-B174)/B174)+1)^12-1,"")</f>
        <v>0.1083079170973078</v>
      </c>
    </row>
    <row r="176" spans="1:4" x14ac:dyDescent="0.2">
      <c r="A176" s="36">
        <v>27454</v>
      </c>
      <c r="B176" s="37">
        <f>VLOOKUP(A176,Data!$E:$BG,MATCH(Country!$A$1,Data!$E$1:$BG$1,),)</f>
        <v>7.686922</v>
      </c>
      <c r="C176" s="65">
        <f>IF(B164&gt;0,(Table2[[#This Row],[Country]]-B164)/B164,0)</f>
        <v>6.3096165194677811E-2</v>
      </c>
      <c r="D176" s="65">
        <f>IF(Table2[[#This Row],[Country]]&gt;0,(((Table2[[#This Row],[Country]]-B175)/B175)+1)^12-1,"")</f>
        <v>0.15285919339066623</v>
      </c>
    </row>
    <row r="177" spans="1:4" x14ac:dyDescent="0.2">
      <c r="A177" s="36">
        <v>27485</v>
      </c>
      <c r="B177" s="37">
        <f>VLOOKUP(A177,Data!$E:$BG,MATCH(Country!$A$1,Data!$E$1:$BG$1,),)</f>
        <v>7.7708550000000001</v>
      </c>
      <c r="C177" s="65">
        <f>IF(B165&gt;0,(Table2[[#This Row],[Country]]-B165)/B165,0)</f>
        <v>7.1256645678596131E-2</v>
      </c>
      <c r="D177" s="65">
        <f>IF(Table2[[#This Row],[Country]]&gt;0,(((Table2[[#This Row],[Country]]-B176)/B176)+1)^12-1,"")</f>
        <v>0.13918949865778774</v>
      </c>
    </row>
    <row r="178" spans="1:4" x14ac:dyDescent="0.2">
      <c r="A178" s="36">
        <v>27515</v>
      </c>
      <c r="B178" s="37">
        <f>VLOOKUP(A178,Data!$E:$BG,MATCH(Country!$A$1,Data!$E$1:$BG$1,),)</f>
        <v>7.8772250000000001</v>
      </c>
      <c r="C178" s="65">
        <f>IF(B166&gt;0,(Table2[[#This Row],[Country]]-B166)/B166,0)</f>
        <v>8.3809650652324208E-2</v>
      </c>
      <c r="D178" s="65">
        <f>IF(Table2[[#This Row],[Country]]&gt;0,(((Table2[[#This Row],[Country]]-B177)/B177)+1)^12-1,"")</f>
        <v>0.17720837373865517</v>
      </c>
    </row>
    <row r="179" spans="1:4" x14ac:dyDescent="0.2">
      <c r="A179" s="36">
        <v>27546</v>
      </c>
      <c r="B179" s="37">
        <f>VLOOKUP(A179,Data!$E:$BG,MATCH(Country!$A$1,Data!$E$1:$BG$1,),)</f>
        <v>8.0027089999999994</v>
      </c>
      <c r="C179" s="65">
        <f>IF(B167&gt;0,(Table2[[#This Row],[Country]]-B167)/B167,0)</f>
        <v>9.7060858452891863E-2</v>
      </c>
      <c r="D179" s="65">
        <f>IF(Table2[[#This Row],[Country]]&gt;0,(((Table2[[#This Row],[Country]]-B178)/B178)+1)^12-1,"")</f>
        <v>0.20883017986570263</v>
      </c>
    </row>
    <row r="180" spans="1:4" x14ac:dyDescent="0.2">
      <c r="A180" s="36">
        <v>27576</v>
      </c>
      <c r="B180" s="37">
        <f>VLOOKUP(A180,Data!$E:$BG,MATCH(Country!$A$1,Data!$E$1:$BG$1,),)</f>
        <v>8.1032620000000009</v>
      </c>
      <c r="C180" s="65">
        <f>IF(B168&gt;0,(Table2[[#This Row],[Country]]-B168)/B168,0)</f>
        <v>0.10630808680558318</v>
      </c>
      <c r="D180" s="65">
        <f>IF(Table2[[#This Row],[Country]]&gt;0,(((Table2[[#This Row],[Country]]-B179)/B179)+1)^12-1,"")</f>
        <v>0.16164725776817379</v>
      </c>
    </row>
    <row r="181" spans="1:4" x14ac:dyDescent="0.2">
      <c r="A181" s="36">
        <v>27607</v>
      </c>
      <c r="B181" s="37">
        <f>VLOOKUP(A181,Data!$E:$BG,MATCH(Country!$A$1,Data!$E$1:$BG$1,),)</f>
        <v>8.1697439999999997</v>
      </c>
      <c r="C181" s="65">
        <f>IF(B169&gt;0,(Table2[[#This Row],[Country]]-B169)/B169,0)</f>
        <v>0.11197836950552158</v>
      </c>
      <c r="D181" s="65">
        <f>IF(Table2[[#This Row],[Country]]&gt;0,(((Table2[[#This Row],[Country]]-B180)/B180)+1)^12-1,"")</f>
        <v>0.1030185201821765</v>
      </c>
    </row>
    <row r="182" spans="1:4" x14ac:dyDescent="0.2">
      <c r="A182" s="36">
        <v>27638</v>
      </c>
      <c r="B182" s="37">
        <f>VLOOKUP(A182,Data!$E:$BG,MATCH(Country!$A$1,Data!$E$1:$BG$1,),)</f>
        <v>8.2395499999999995</v>
      </c>
      <c r="C182" s="65">
        <f>IF(B170&gt;0,(Table2[[#This Row],[Country]]-B170)/B170,0)</f>
        <v>0.11667990763577005</v>
      </c>
      <c r="D182" s="65">
        <f>IF(Table2[[#This Row],[Country]]&gt;0,(((Table2[[#This Row],[Country]]-B181)/B181)+1)^12-1,"")</f>
        <v>0.10749186614941952</v>
      </c>
    </row>
    <row r="183" spans="1:4" x14ac:dyDescent="0.2">
      <c r="A183" s="36">
        <v>27668</v>
      </c>
      <c r="B183" s="37">
        <f>VLOOKUP(A183,Data!$E:$BG,MATCH(Country!$A$1,Data!$E$1:$BG$1,),)</f>
        <v>8.2919029999999996</v>
      </c>
      <c r="C183" s="65">
        <f>IF(B171&gt;0,(Table2[[#This Row],[Country]]-B171)/B171,0)</f>
        <v>0.11698192049587459</v>
      </c>
      <c r="D183" s="65">
        <f>IF(Table2[[#This Row],[Country]]&gt;0,(((Table2[[#This Row],[Country]]-B182)/B182)+1)^12-1,"")</f>
        <v>7.8968172303905071E-2</v>
      </c>
    </row>
    <row r="184" spans="1:4" x14ac:dyDescent="0.2">
      <c r="A184" s="36">
        <v>27699</v>
      </c>
      <c r="B184" s="37">
        <f>VLOOKUP(A184,Data!$E:$BG,MATCH(Country!$A$1,Data!$E$1:$BG$1,),)</f>
        <v>8.3675259999999998</v>
      </c>
      <c r="C184" s="65">
        <f>IF(B172&gt;0,(Table2[[#This Row],[Country]]-B172)/B172,0)</f>
        <v>0.12052079314547379</v>
      </c>
      <c r="D184" s="65">
        <f>IF(Table2[[#This Row],[Country]]&gt;0,(((Table2[[#This Row],[Country]]-B183)/B183)+1)^12-1,"")</f>
        <v>0.11510121715548083</v>
      </c>
    </row>
    <row r="185" spans="1:4" x14ac:dyDescent="0.2">
      <c r="A185" s="36">
        <v>27729</v>
      </c>
      <c r="B185" s="37">
        <f>VLOOKUP(A185,Data!$E:$BG,MATCH(Country!$A$1,Data!$E$1:$BG$1,),)</f>
        <v>8.4448109999999996</v>
      </c>
      <c r="C185" s="65">
        <f>IF(B173&gt;0,(Table2[[#This Row],[Country]]-B173)/B173,0)</f>
        <v>0.12648261836435862</v>
      </c>
      <c r="D185" s="65">
        <f>IF(Table2[[#This Row],[Country]]&gt;0,(((Table2[[#This Row],[Country]]-B184)/B184)+1)^12-1,"")</f>
        <v>0.11664304423426963</v>
      </c>
    </row>
    <row r="186" spans="1:4" x14ac:dyDescent="0.2">
      <c r="A186" s="36">
        <v>27760</v>
      </c>
      <c r="B186" s="37">
        <f>VLOOKUP(A186,Data!$E:$BG,MATCH(Country!$A$1,Data!$E$1:$BG$1,),)</f>
        <v>8.5312370000000008</v>
      </c>
      <c r="C186" s="65">
        <f>IF(B174&gt;0,(Table2[[#This Row],[Country]]-B174)/B174,0)</f>
        <v>0.13273744669404153</v>
      </c>
      <c r="D186" s="65">
        <f>IF(Table2[[#This Row],[Country]]&gt;0,(((Table2[[#This Row],[Country]]-B185)/B185)+1)^12-1,"")</f>
        <v>0.1299646895628499</v>
      </c>
    </row>
    <row r="187" spans="1:4" x14ac:dyDescent="0.2">
      <c r="A187" s="36">
        <v>27791</v>
      </c>
      <c r="B187" s="37">
        <f>VLOOKUP(A187,Data!$E:$BG,MATCH(Country!$A$1,Data!$E$1:$BG$1,),)</f>
        <v>8.6450859999999992</v>
      </c>
      <c r="C187" s="65">
        <f>IF(B175&gt;0,(Table2[[#This Row],[Country]]-B175)/B175,0)</f>
        <v>0.13805923141154397</v>
      </c>
      <c r="D187" s="65">
        <f>IF(Table2[[#This Row],[Country]]&gt;0,(((Table2[[#This Row],[Country]]-B186)/B186)+1)^12-1,"")</f>
        <v>0.1724321847463437</v>
      </c>
    </row>
    <row r="188" spans="1:4" x14ac:dyDescent="0.2">
      <c r="A188" s="36">
        <v>27820</v>
      </c>
      <c r="B188" s="37">
        <f>VLOOKUP(A188,Data!$E:$BG,MATCH(Country!$A$1,Data!$E$1:$BG$1,),)</f>
        <v>8.7256959999999992</v>
      </c>
      <c r="C188" s="65">
        <f>IF(B176&gt;0,(Table2[[#This Row],[Country]]-B176)/B176,0)</f>
        <v>0.13513523358244031</v>
      </c>
      <c r="D188" s="65">
        <f>IF(Table2[[#This Row],[Country]]&gt;0,(((Table2[[#This Row],[Country]]-B187)/B187)+1)^12-1,"")</f>
        <v>0.11781291728548604</v>
      </c>
    </row>
    <row r="189" spans="1:4" x14ac:dyDescent="0.2">
      <c r="A189" s="36">
        <v>27851</v>
      </c>
      <c r="B189" s="37">
        <f>VLOOKUP(A189,Data!$E:$BG,MATCH(Country!$A$1,Data!$E$1:$BG$1,),)</f>
        <v>8.8154450000000004</v>
      </c>
      <c r="C189" s="65">
        <f>IF(B177&gt;0,(Table2[[#This Row],[Country]]-B177)/B177,0)</f>
        <v>0.13442407560043268</v>
      </c>
      <c r="D189" s="65">
        <f>IF(Table2[[#This Row],[Country]]&gt;0,(((Table2[[#This Row],[Country]]-B188)/B188)+1)^12-1,"")</f>
        <v>0.13065457207109854</v>
      </c>
    </row>
    <row r="190" spans="1:4" x14ac:dyDescent="0.2">
      <c r="A190" s="36">
        <v>27881</v>
      </c>
      <c r="B190" s="37">
        <f>VLOOKUP(A190,Data!$E:$BG,MATCH(Country!$A$1,Data!$E$1:$BG$1,),)</f>
        <v>8.9093499999999999</v>
      </c>
      <c r="C190" s="65">
        <f>IF(B178&gt;0,(Table2[[#This Row],[Country]]-B178)/B178,0)</f>
        <v>0.13102647188572114</v>
      </c>
      <c r="D190" s="65">
        <f>IF(Table2[[#This Row],[Country]]&gt;0,(((Table2[[#This Row],[Country]]-B189)/B189)+1)^12-1,"")</f>
        <v>0.13558948310565677</v>
      </c>
    </row>
    <row r="191" spans="1:4" x14ac:dyDescent="0.2">
      <c r="A191" s="36">
        <v>27912</v>
      </c>
      <c r="B191" s="37">
        <f>VLOOKUP(A191,Data!$E:$BG,MATCH(Country!$A$1,Data!$E$1:$BG$1,),)</f>
        <v>8.9550560000000008</v>
      </c>
      <c r="C191" s="65">
        <f>IF(B179&gt;0,(Table2[[#This Row],[Country]]-B179)/B179,0)</f>
        <v>0.11900307758285369</v>
      </c>
      <c r="D191" s="65">
        <f>IF(Table2[[#This Row],[Country]]&gt;0,(((Table2[[#This Row],[Country]]-B190)/B190)+1)^12-1,"")</f>
        <v>6.3328436355371442E-2</v>
      </c>
    </row>
    <row r="192" spans="1:4" x14ac:dyDescent="0.2">
      <c r="A192" s="36">
        <v>27942</v>
      </c>
      <c r="B192" s="37">
        <f>VLOOKUP(A192,Data!$E:$BG,MATCH(Country!$A$1,Data!$E$1:$BG$1,),)</f>
        <v>9.027355</v>
      </c>
      <c r="C192" s="65">
        <f>IF(B180&gt;0,(Table2[[#This Row],[Country]]-B180)/B180,0)</f>
        <v>0.11403962996630235</v>
      </c>
      <c r="D192" s="65">
        <f>IF(Table2[[#This Row],[Country]]&gt;0,(((Table2[[#This Row],[Country]]-B191)/B191)+1)^12-1,"")</f>
        <v>0.10130239655403539</v>
      </c>
    </row>
    <row r="193" spans="1:4" x14ac:dyDescent="0.2">
      <c r="A193" s="36">
        <v>27973</v>
      </c>
      <c r="B193" s="37">
        <f>VLOOKUP(A193,Data!$E:$BG,MATCH(Country!$A$1,Data!$E$1:$BG$1,),)</f>
        <v>9.1304020000000001</v>
      </c>
      <c r="C193" s="65">
        <f>IF(B181&gt;0,(Table2[[#This Row],[Country]]-B181)/B181,0)</f>
        <v>0.11758728302869717</v>
      </c>
      <c r="D193" s="65">
        <f>IF(Table2[[#This Row],[Country]]&gt;0,(((Table2[[#This Row],[Country]]-B192)/B192)+1)^12-1,"")</f>
        <v>0.14591534728391276</v>
      </c>
    </row>
    <row r="194" spans="1:4" x14ac:dyDescent="0.2">
      <c r="A194" s="36">
        <v>28004</v>
      </c>
      <c r="B194" s="37">
        <f>VLOOKUP(A194,Data!$E:$BG,MATCH(Country!$A$1,Data!$E$1:$BG$1,),)</f>
        <v>9.2309540000000005</v>
      </c>
      <c r="C194" s="65">
        <f>IF(B182&gt;0,(Table2[[#This Row],[Country]]-B182)/B182,0)</f>
        <v>0.12032259043273008</v>
      </c>
      <c r="D194" s="65">
        <f>IF(Table2[[#This Row],[Country]]&gt;0,(((Table2[[#This Row],[Country]]-B193)/B193)+1)^12-1,"")</f>
        <v>0.1404605017835634</v>
      </c>
    </row>
    <row r="195" spans="1:4" x14ac:dyDescent="0.2">
      <c r="A195" s="36">
        <v>28034</v>
      </c>
      <c r="B195" s="37">
        <f>VLOOKUP(A195,Data!$E:$BG,MATCH(Country!$A$1,Data!$E$1:$BG$1,),)</f>
        <v>9.3489590000000007</v>
      </c>
      <c r="C195" s="65">
        <f>IF(B183&gt;0,(Table2[[#This Row],[Country]]-B183)/B183,0)</f>
        <v>0.12748050718876006</v>
      </c>
      <c r="D195" s="65">
        <f>IF(Table2[[#This Row],[Country]]&gt;0,(((Table2[[#This Row],[Country]]-B194)/B194)+1)^12-1,"")</f>
        <v>0.1646623084450447</v>
      </c>
    </row>
    <row r="196" spans="1:4" x14ac:dyDescent="0.2">
      <c r="A196" s="36">
        <v>28065</v>
      </c>
      <c r="B196" s="37">
        <f>VLOOKUP(A196,Data!$E:$BG,MATCH(Country!$A$1,Data!$E$1:$BG$1,),)</f>
        <v>9.458653</v>
      </c>
      <c r="C196" s="65">
        <f>IF(B184&gt;0,(Table2[[#This Row],[Country]]-B184)/B184,0)</f>
        <v>0.13040019236271272</v>
      </c>
      <c r="D196" s="65">
        <f>IF(Table2[[#This Row],[Country]]&gt;0,(((Table2[[#This Row],[Country]]-B195)/B195)+1)^12-1,"")</f>
        <v>0.15025056883456056</v>
      </c>
    </row>
    <row r="197" spans="1:4" x14ac:dyDescent="0.2">
      <c r="A197" s="36">
        <v>28095</v>
      </c>
      <c r="B197" s="37">
        <f>VLOOKUP(A197,Data!$E:$BG,MATCH(Country!$A$1,Data!$E$1:$BG$1,),)</f>
        <v>9.5733350000000002</v>
      </c>
      <c r="C197" s="65">
        <f>IF(B185&gt;0,(Table2[[#This Row],[Country]]-B185)/B185,0)</f>
        <v>0.13363519917734104</v>
      </c>
      <c r="D197" s="65">
        <f>IF(Table2[[#This Row],[Country]]&gt;0,(((Table2[[#This Row],[Country]]-B196)/B196)+1)^12-1,"")</f>
        <v>0.15560006776360136</v>
      </c>
    </row>
    <row r="198" spans="1:4" x14ac:dyDescent="0.2">
      <c r="A198" s="36">
        <v>28126</v>
      </c>
      <c r="B198" s="37">
        <f>VLOOKUP(A198,Data!$E:$BG,MATCH(Country!$A$1,Data!$E$1:$BG$1,),)</f>
        <v>9.6830289999999994</v>
      </c>
      <c r="C198" s="65">
        <f>IF(B186&gt;0,(Table2[[#This Row],[Country]]-B186)/B186,0)</f>
        <v>0.13500879180826866</v>
      </c>
      <c r="D198" s="65">
        <f>IF(Table2[[#This Row],[Country]]&gt;0,(((Table2[[#This Row],[Country]]-B197)/B197)+1)^12-1,"")</f>
        <v>0.14650436608534645</v>
      </c>
    </row>
    <row r="199" spans="1:4" x14ac:dyDescent="0.2">
      <c r="A199" s="36">
        <v>28157</v>
      </c>
      <c r="B199" s="37">
        <f>VLOOKUP(A199,Data!$E:$BG,MATCH(Country!$A$1,Data!$E$1:$BG$1,),)</f>
        <v>9.7860750000000003</v>
      </c>
      <c r="C199" s="65">
        <f>IF(B187&gt;0,(Table2[[#This Row],[Country]]-B187)/B187,0)</f>
        <v>0.13198122031406065</v>
      </c>
      <c r="D199" s="65">
        <f>IF(Table2[[#This Row],[Country]]&gt;0,(((Table2[[#This Row],[Country]]-B198)/B198)+1)^12-1,"")</f>
        <v>0.13544914530851382</v>
      </c>
    </row>
    <row r="200" spans="1:4" x14ac:dyDescent="0.2">
      <c r="A200" s="36">
        <v>28185</v>
      </c>
      <c r="B200" s="37">
        <f>VLOOKUP(A200,Data!$E:$BG,MATCH(Country!$A$1,Data!$E$1:$BG$1,),)</f>
        <v>9.8766569999999998</v>
      </c>
      <c r="C200" s="65">
        <f>IF(B188&gt;0,(Table2[[#This Row],[Country]]-B188)/B188,0)</f>
        <v>0.13190477871335429</v>
      </c>
      <c r="D200" s="65">
        <f>IF(Table2[[#This Row],[Country]]&gt;0,(((Table2[[#This Row],[Country]]-B199)/B199)+1)^12-1,"")</f>
        <v>0.11690743569302708</v>
      </c>
    </row>
    <row r="201" spans="1:4" x14ac:dyDescent="0.2">
      <c r="A201" s="36">
        <v>28216</v>
      </c>
      <c r="B201" s="37">
        <f>VLOOKUP(A201,Data!$E:$BG,MATCH(Country!$A$1,Data!$E$1:$BG$1,),)</f>
        <v>9.9688990000000004</v>
      </c>
      <c r="C201" s="65">
        <f>IF(B189&gt;0,(Table2[[#This Row],[Country]]-B189)/B189,0)</f>
        <v>0.13084467091564861</v>
      </c>
      <c r="D201" s="65">
        <f>IF(Table2[[#This Row],[Country]]&gt;0,(((Table2[[#This Row],[Country]]-B200)/B200)+1)^12-1,"")</f>
        <v>0.11801258215485899</v>
      </c>
    </row>
    <row r="202" spans="1:4" x14ac:dyDescent="0.2">
      <c r="A202" s="36">
        <v>28246</v>
      </c>
      <c r="B202" s="37">
        <f>VLOOKUP(A202,Data!$E:$BG,MATCH(Country!$A$1,Data!$E$1:$BG$1,),)</f>
        <v>10.04702</v>
      </c>
      <c r="C202" s="65">
        <f>IF(B190&gt;0,(Table2[[#This Row],[Country]]-B190)/B190,0)</f>
        <v>0.12769393951298355</v>
      </c>
      <c r="D202" s="65">
        <f>IF(Table2[[#This Row],[Country]]&gt;0,(((Table2[[#This Row],[Country]]-B201)/B201)+1)^12-1,"")</f>
        <v>9.8198509327198868E-2</v>
      </c>
    </row>
    <row r="203" spans="1:4" x14ac:dyDescent="0.2">
      <c r="A203" s="36">
        <v>28277</v>
      </c>
      <c r="B203" s="37">
        <f>VLOOKUP(A203,Data!$E:$BG,MATCH(Country!$A$1,Data!$E$1:$BG$1,),)</f>
        <v>10.120139999999999</v>
      </c>
      <c r="C203" s="65">
        <f>IF(B191&gt;0,(Table2[[#This Row],[Country]]-B191)/B191,0)</f>
        <v>0.13010348567334457</v>
      </c>
      <c r="D203" s="65">
        <f>IF(Table2[[#This Row],[Country]]&gt;0,(((Table2[[#This Row],[Country]]-B202)/B202)+1)^12-1,"")</f>
        <v>9.0915329413888246E-2</v>
      </c>
    </row>
    <row r="204" spans="1:4" x14ac:dyDescent="0.2">
      <c r="A204" s="36">
        <v>28307</v>
      </c>
      <c r="B204" s="37">
        <f>VLOOKUP(A204,Data!$E:$BG,MATCH(Country!$A$1,Data!$E$1:$BG$1,),)</f>
        <v>10.19411</v>
      </c>
      <c r="C204" s="65">
        <f>IF(B192&gt;0,(Table2[[#This Row],[Country]]-B192)/B192,0)</f>
        <v>0.12924660656415973</v>
      </c>
      <c r="D204" s="65">
        <f>IF(Table2[[#This Row],[Country]]&gt;0,(((Table2[[#This Row],[Country]]-B203)/B203)+1)^12-1,"")</f>
        <v>9.1323584387203116E-2</v>
      </c>
    </row>
    <row r="205" spans="1:4" x14ac:dyDescent="0.2">
      <c r="A205" s="36">
        <v>28338</v>
      </c>
      <c r="B205" s="37">
        <f>VLOOKUP(A205,Data!$E:$BG,MATCH(Country!$A$1,Data!$E$1:$BG$1,),)</f>
        <v>10.2797</v>
      </c>
      <c r="C205" s="65">
        <f>IF(B193&gt;0,(Table2[[#This Row],[Country]]-B193)/B193,0)</f>
        <v>0.12587594719268658</v>
      </c>
      <c r="D205" s="65">
        <f>IF(Table2[[#This Row],[Country]]&gt;0,(((Table2[[#This Row],[Country]]-B204)/B204)+1)^12-1,"")</f>
        <v>0.10553755347427174</v>
      </c>
    </row>
    <row r="206" spans="1:4" x14ac:dyDescent="0.2">
      <c r="A206" s="36">
        <v>28369</v>
      </c>
      <c r="B206" s="37">
        <f>VLOOKUP(A206,Data!$E:$BG,MATCH(Country!$A$1,Data!$E$1:$BG$1,),)</f>
        <v>10.35615</v>
      </c>
      <c r="C206" s="65">
        <f>IF(B194&gt;0,(Table2[[#This Row],[Country]]-B194)/B194,0)</f>
        <v>0.12189379342590147</v>
      </c>
      <c r="D206" s="65">
        <f>IF(Table2[[#This Row],[Country]]&gt;0,(((Table2[[#This Row],[Country]]-B205)/B205)+1)^12-1,"")</f>
        <v>9.298625434279062E-2</v>
      </c>
    </row>
    <row r="207" spans="1:4" x14ac:dyDescent="0.2">
      <c r="A207" s="36">
        <v>28399</v>
      </c>
      <c r="B207" s="37">
        <f>VLOOKUP(A207,Data!$E:$BG,MATCH(Country!$A$1,Data!$E$1:$BG$1,),)</f>
        <v>10.420970000000001</v>
      </c>
      <c r="C207" s="65">
        <f>IF(B195&gt;0,(Table2[[#This Row],[Country]]-B195)/B195,0)</f>
        <v>0.11466634948340235</v>
      </c>
      <c r="D207" s="65">
        <f>IF(Table2[[#This Row],[Country]]&gt;0,(((Table2[[#This Row],[Country]]-B206)/B206)+1)^12-1,"")</f>
        <v>7.774932975198201E-2</v>
      </c>
    </row>
    <row r="208" spans="1:4" x14ac:dyDescent="0.2">
      <c r="A208" s="36">
        <v>28430</v>
      </c>
      <c r="B208" s="37">
        <f>VLOOKUP(A208,Data!$E:$BG,MATCH(Country!$A$1,Data!$E$1:$BG$1,),)</f>
        <v>10.490780000000001</v>
      </c>
      <c r="C208" s="65">
        <f>IF(B196&gt;0,(Table2[[#This Row],[Country]]-B196)/B196,0)</f>
        <v>0.10911987150813132</v>
      </c>
      <c r="D208" s="65">
        <f>IF(Table2[[#This Row],[Country]]&gt;0,(((Table2[[#This Row],[Country]]-B207)/B207)+1)^12-1,"")</f>
        <v>8.3416904856197238E-2</v>
      </c>
    </row>
    <row r="209" spans="1:4" x14ac:dyDescent="0.2">
      <c r="A209" s="36">
        <v>28460</v>
      </c>
      <c r="B209" s="37">
        <f>VLOOKUP(A209,Data!$E:$BG,MATCH(Country!$A$1,Data!$E$1:$BG$1,),)</f>
        <v>10.556430000000001</v>
      </c>
      <c r="C209" s="65">
        <f>IF(B197&gt;0,(Table2[[#This Row],[Country]]-B197)/B197,0)</f>
        <v>0.10269096401619712</v>
      </c>
      <c r="D209" s="65">
        <f>IF(Table2[[#This Row],[Country]]&gt;0,(((Table2[[#This Row],[Country]]-B208)/B208)+1)^12-1,"")</f>
        <v>7.7733819352231892E-2</v>
      </c>
    </row>
    <row r="210" spans="1:4" x14ac:dyDescent="0.2">
      <c r="A210" s="36">
        <v>28491</v>
      </c>
      <c r="B210" s="37">
        <f>VLOOKUP(A210,Data!$E:$BG,MATCH(Country!$A$1,Data!$E$1:$BG$1,),)</f>
        <v>10.634550000000001</v>
      </c>
      <c r="C210" s="65">
        <f>IF(B198&gt;0,(Table2[[#This Row],[Country]]-B198)/B198,0)</f>
        <v>9.8266874962369882E-2</v>
      </c>
      <c r="D210" s="65">
        <f>IF(Table2[[#This Row],[Country]]&gt;0,(((Table2[[#This Row],[Country]]-B209)/B209)+1)^12-1,"")</f>
        <v>9.2507792208543549E-2</v>
      </c>
    </row>
    <row r="211" spans="1:4" x14ac:dyDescent="0.2">
      <c r="A211" s="36">
        <v>28522</v>
      </c>
      <c r="B211" s="37">
        <f>VLOOKUP(A211,Data!$E:$BG,MATCH(Country!$A$1,Data!$E$1:$BG$1,),)</f>
        <v>10.682740000000001</v>
      </c>
      <c r="C211" s="65">
        <f>IF(B199&gt;0,(Table2[[#This Row],[Country]]-B199)/B199,0)</f>
        <v>9.1626622522308535E-2</v>
      </c>
      <c r="D211" s="65">
        <f>IF(Table2[[#This Row],[Country]]&gt;0,(((Table2[[#This Row],[Country]]-B210)/B210)+1)^12-1,"")</f>
        <v>5.5753408711875618E-2</v>
      </c>
    </row>
    <row r="212" spans="1:4" x14ac:dyDescent="0.2">
      <c r="A212" s="36">
        <v>28550</v>
      </c>
      <c r="B212" s="37">
        <f>VLOOKUP(A212,Data!$E:$BG,MATCH(Country!$A$1,Data!$E$1:$BG$1,),)</f>
        <v>10.73842</v>
      </c>
      <c r="C212" s="65">
        <f>IF(B200&gt;0,(Table2[[#This Row],[Country]]-B200)/B200,0)</f>
        <v>8.7252498492151734E-2</v>
      </c>
      <c r="D212" s="65">
        <f>IF(Table2[[#This Row],[Country]]&gt;0,(((Table2[[#This Row],[Country]]-B211)/B211)+1)^12-1,"")</f>
        <v>6.4370257497532446E-2</v>
      </c>
    </row>
    <row r="213" spans="1:4" x14ac:dyDescent="0.2">
      <c r="A213" s="36">
        <v>28581</v>
      </c>
      <c r="B213" s="37">
        <f>VLOOKUP(A213,Data!$E:$BG,MATCH(Country!$A$1,Data!$E$1:$BG$1,),)</f>
        <v>10.806570000000001</v>
      </c>
      <c r="C213" s="65">
        <f>IF(B201&gt;0,(Table2[[#This Row],[Country]]-B201)/B201,0)</f>
        <v>8.4028436841420528E-2</v>
      </c>
      <c r="D213" s="65">
        <f>IF(Table2[[#This Row],[Country]]&gt;0,(((Table2[[#This Row],[Country]]-B212)/B212)+1)^12-1,"")</f>
        <v>7.8871744515665254E-2</v>
      </c>
    </row>
    <row r="214" spans="1:4" x14ac:dyDescent="0.2">
      <c r="A214" s="36">
        <v>28611</v>
      </c>
      <c r="B214" s="37">
        <f>VLOOKUP(A214,Data!$E:$BG,MATCH(Country!$A$1,Data!$E$1:$BG$1,),)</f>
        <v>10.890499999999999</v>
      </c>
      <c r="C214" s="65">
        <f>IF(B202&gt;0,(Table2[[#This Row],[Country]]-B202)/B202,0)</f>
        <v>8.3953251809989388E-2</v>
      </c>
      <c r="D214" s="65">
        <f>IF(Table2[[#This Row],[Country]]&gt;0,(((Table2[[#This Row],[Country]]-B213)/B213)+1)^12-1,"")</f>
        <v>9.728484399694004E-2</v>
      </c>
    </row>
    <row r="215" spans="1:4" x14ac:dyDescent="0.2">
      <c r="A215" s="36">
        <v>28642</v>
      </c>
      <c r="B215" s="37">
        <f>VLOOKUP(A215,Data!$E:$BG,MATCH(Country!$A$1,Data!$E$1:$BG$1,),)</f>
        <v>10.95698</v>
      </c>
      <c r="C215" s="65">
        <f>IF(B203&gt;0,(Table2[[#This Row],[Country]]-B203)/B203,0)</f>
        <v>8.2690555664249751E-2</v>
      </c>
      <c r="D215" s="65">
        <f>IF(Table2[[#This Row],[Country]]&gt;0,(((Table2[[#This Row],[Country]]-B214)/B214)+1)^12-1,"")</f>
        <v>7.5762979689436349E-2</v>
      </c>
    </row>
    <row r="216" spans="1:4" x14ac:dyDescent="0.2">
      <c r="A216" s="36">
        <v>28672</v>
      </c>
      <c r="B216" s="37">
        <f>VLOOKUP(A216,Data!$E:$BG,MATCH(Country!$A$1,Data!$E$1:$BG$1,),)</f>
        <v>11.00352</v>
      </c>
      <c r="C216" s="65">
        <f>IF(B204&gt;0,(Table2[[#This Row],[Country]]-B204)/B204,0)</f>
        <v>7.939977104425984E-2</v>
      </c>
      <c r="D216" s="65">
        <f>IF(Table2[[#This Row],[Country]]&gt;0,(((Table2[[#This Row],[Country]]-B215)/B215)+1)^12-1,"")</f>
        <v>5.2178004771333164E-2</v>
      </c>
    </row>
    <row r="217" spans="1:4" x14ac:dyDescent="0.2">
      <c r="A217" s="36">
        <v>28703</v>
      </c>
      <c r="B217" s="37">
        <f>VLOOKUP(A217,Data!$E:$BG,MATCH(Country!$A$1,Data!$E$1:$BG$1,),)</f>
        <v>11.081630000000001</v>
      </c>
      <c r="C217" s="65">
        <f>IF(B205&gt;0,(Table2[[#This Row],[Country]]-B205)/B205,0)</f>
        <v>7.8011031450334195E-2</v>
      </c>
      <c r="D217" s="65">
        <f>IF(Table2[[#This Row],[Country]]&gt;0,(((Table2[[#This Row],[Country]]-B216)/B216)+1)^12-1,"")</f>
        <v>8.8589399941628288E-2</v>
      </c>
    </row>
    <row r="218" spans="1:4" x14ac:dyDescent="0.2">
      <c r="A218" s="36">
        <v>28734</v>
      </c>
      <c r="B218" s="37">
        <f>VLOOKUP(A218,Data!$E:$BG,MATCH(Country!$A$1,Data!$E$1:$BG$1,),)</f>
        <v>11.177199999999999</v>
      </c>
      <c r="C218" s="65">
        <f>IF(B206&gt;0,(Table2[[#This Row],[Country]]-B206)/B206,0)</f>
        <v>7.9281393181829127E-2</v>
      </c>
      <c r="D218" s="65">
        <f>IF(Table2[[#This Row],[Country]]&gt;0,(((Table2[[#This Row],[Country]]-B217)/B217)+1)^12-1,"")</f>
        <v>0.10854293366382284</v>
      </c>
    </row>
    <row r="219" spans="1:4" x14ac:dyDescent="0.2">
      <c r="A219" s="36">
        <v>28764</v>
      </c>
      <c r="B219" s="37">
        <f>VLOOKUP(A219,Data!$E:$BG,MATCH(Country!$A$1,Data!$E$1:$BG$1,),)</f>
        <v>11.23786</v>
      </c>
      <c r="C219" s="65">
        <f>IF(B207&gt;0,(Table2[[#This Row],[Country]]-B207)/B207,0)</f>
        <v>7.8389055913221026E-2</v>
      </c>
      <c r="D219" s="65">
        <f>IF(Table2[[#This Row],[Country]]&gt;0,(((Table2[[#This Row],[Country]]-B218)/B218)+1)^12-1,"")</f>
        <v>6.7104973044178173E-2</v>
      </c>
    </row>
    <row r="220" spans="1:4" x14ac:dyDescent="0.2">
      <c r="A220" s="36">
        <v>28795</v>
      </c>
      <c r="B220" s="37">
        <f>VLOOKUP(A220,Data!$E:$BG,MATCH(Country!$A$1,Data!$E$1:$BG$1,),)</f>
        <v>11.294370000000001</v>
      </c>
      <c r="C220" s="65">
        <f>IF(B208&gt;0,(Table2[[#This Row],[Country]]-B208)/B208,0)</f>
        <v>7.6599642733905363E-2</v>
      </c>
      <c r="D220" s="65">
        <f>IF(Table2[[#This Row],[Country]]&gt;0,(((Table2[[#This Row],[Country]]-B219)/B219)+1)^12-1,"")</f>
        <v>6.2039630636264276E-2</v>
      </c>
    </row>
    <row r="221" spans="1:4" x14ac:dyDescent="0.2">
      <c r="A221" s="36">
        <v>28825</v>
      </c>
      <c r="B221" s="37">
        <f>VLOOKUP(A221,Data!$E:$BG,MATCH(Country!$A$1,Data!$E$1:$BG$1,),)</f>
        <v>11.351710000000001</v>
      </c>
      <c r="C221" s="65">
        <f>IF(B209&gt;0,(Table2[[#This Row],[Country]]-B209)/B209,0)</f>
        <v>7.5336074790435775E-2</v>
      </c>
      <c r="D221" s="65">
        <f>IF(Table2[[#This Row],[Country]]&gt;0,(((Table2[[#This Row],[Country]]-B220)/B220)+1)^12-1,"")</f>
        <v>6.2652629509484248E-2</v>
      </c>
    </row>
    <row r="222" spans="1:4" x14ac:dyDescent="0.2">
      <c r="A222" s="36">
        <v>28856</v>
      </c>
      <c r="B222" s="37">
        <f>VLOOKUP(A222,Data!$E:$BG,MATCH(Country!$A$1,Data!$E$1:$BG$1,),)</f>
        <v>11.398250000000001</v>
      </c>
      <c r="C222" s="65">
        <f>IF(B210&gt;0,(Table2[[#This Row],[Country]]-B210)/B210,0)</f>
        <v>7.1813099755043699E-2</v>
      </c>
      <c r="D222" s="65">
        <f>IF(Table2[[#This Row],[Country]]&gt;0,(((Table2[[#This Row],[Country]]-B221)/B221)+1)^12-1,"")</f>
        <v>5.032253970666245E-2</v>
      </c>
    </row>
    <row r="223" spans="1:4" x14ac:dyDescent="0.2">
      <c r="A223" s="36">
        <v>28887</v>
      </c>
      <c r="B223" s="37">
        <f>VLOOKUP(A223,Data!$E:$BG,MATCH(Country!$A$1,Data!$E$1:$BG$1,),)</f>
        <v>11.449769999999999</v>
      </c>
      <c r="C223" s="65">
        <f>IF(B211&gt;0,(Table2[[#This Row],[Country]]-B211)/B211,0)</f>
        <v>7.1800867567683779E-2</v>
      </c>
      <c r="D223" s="65">
        <f>IF(Table2[[#This Row],[Country]]&gt;0,(((Table2[[#This Row],[Country]]-B222)/B222)+1)^12-1,"")</f>
        <v>5.5608830935164777E-2</v>
      </c>
    </row>
    <row r="224" spans="1:4" x14ac:dyDescent="0.2">
      <c r="A224" s="36">
        <v>28915</v>
      </c>
      <c r="B224" s="37">
        <f>VLOOKUP(A224,Data!$E:$BG,MATCH(Country!$A$1,Data!$E$1:$BG$1,),)</f>
        <v>11.53288</v>
      </c>
      <c r="C224" s="65">
        <f>IF(B212&gt;0,(Table2[[#This Row],[Country]]-B212)/B212,0)</f>
        <v>7.3982950936916314E-2</v>
      </c>
      <c r="D224" s="65">
        <f>IF(Table2[[#This Row],[Country]]&gt;0,(((Table2[[#This Row],[Country]]-B223)/B223)+1)^12-1,"")</f>
        <v>9.0666879953825941E-2</v>
      </c>
    </row>
    <row r="225" spans="1:4" x14ac:dyDescent="0.2">
      <c r="A225" s="36">
        <v>28946</v>
      </c>
      <c r="B225" s="37">
        <f>VLOOKUP(A225,Data!$E:$BG,MATCH(Country!$A$1,Data!$E$1:$BG$1,),)</f>
        <v>11.65171</v>
      </c>
      <c r="C225" s="65">
        <f>IF(B213&gt;0,(Table2[[#This Row],[Country]]-B213)/B213,0)</f>
        <v>7.8206128308982298E-2</v>
      </c>
      <c r="D225" s="65">
        <f>IF(Table2[[#This Row],[Country]]&gt;0,(((Table2[[#This Row],[Country]]-B224)/B224)+1)^12-1,"")</f>
        <v>0.13089614726134191</v>
      </c>
    </row>
    <row r="226" spans="1:4" x14ac:dyDescent="0.2">
      <c r="A226" s="36">
        <v>28976</v>
      </c>
      <c r="B226" s="37">
        <f>VLOOKUP(A226,Data!$E:$BG,MATCH(Country!$A$1,Data!$E$1:$BG$1,),)</f>
        <v>11.71902</v>
      </c>
      <c r="C226" s="65">
        <f>IF(B214&gt;0,(Table2[[#This Row],[Country]]-B214)/B214,0)</f>
        <v>7.6077315091134579E-2</v>
      </c>
      <c r="D226" s="65">
        <f>IF(Table2[[#This Row],[Country]]&gt;0,(((Table2[[#This Row],[Country]]-B225)/B225)+1)^12-1,"")</f>
        <v>7.1567522331515532E-2</v>
      </c>
    </row>
    <row r="227" spans="1:4" x14ac:dyDescent="0.2">
      <c r="A227" s="36">
        <v>29007</v>
      </c>
      <c r="B227" s="37">
        <f>VLOOKUP(A227,Data!$E:$BG,MATCH(Country!$A$1,Data!$E$1:$BG$1,),)</f>
        <v>11.825390000000001</v>
      </c>
      <c r="C227" s="65">
        <f>IF(B215&gt;0,(Table2[[#This Row],[Country]]-B215)/B215,0)</f>
        <v>7.9256327929776341E-2</v>
      </c>
      <c r="D227" s="65">
        <f>IF(Table2[[#This Row],[Country]]&gt;0,(((Table2[[#This Row],[Country]]-B226)/B226)+1)^12-1,"")</f>
        <v>0.11452579982883759</v>
      </c>
    </row>
    <row r="228" spans="1:4" x14ac:dyDescent="0.2">
      <c r="A228" s="36">
        <v>29037</v>
      </c>
      <c r="B228" s="37">
        <f>VLOOKUP(A228,Data!$E:$BG,MATCH(Country!$A$1,Data!$E$1:$BG$1,),)</f>
        <v>11.92346</v>
      </c>
      <c r="C228" s="65">
        <f>IF(B216&gt;0,(Table2[[#This Row],[Country]]-B216)/B216,0)</f>
        <v>8.3604155761065585E-2</v>
      </c>
      <c r="D228" s="65">
        <f>IF(Table2[[#This Row],[Country]]&gt;0,(((Table2[[#This Row],[Country]]-B227)/B227)+1)^12-1,"")</f>
        <v>0.10418518961761825</v>
      </c>
    </row>
    <row r="229" spans="1:4" x14ac:dyDescent="0.2">
      <c r="A229" s="36">
        <v>29068</v>
      </c>
      <c r="B229" s="37">
        <f>VLOOKUP(A229,Data!$E:$BG,MATCH(Country!$A$1,Data!$E$1:$BG$1,),)</f>
        <v>12.021509999999999</v>
      </c>
      <c r="C229" s="65">
        <f>IF(B217&gt;0,(Table2[[#This Row],[Country]]-B217)/B217,0)</f>
        <v>8.4814237616668189E-2</v>
      </c>
      <c r="D229" s="65">
        <f>IF(Table2[[#This Row],[Country]]&gt;0,(((Table2[[#This Row],[Country]]-B228)/B228)+1)^12-1,"")</f>
        <v>0.10326711956268286</v>
      </c>
    </row>
    <row r="230" spans="1:4" x14ac:dyDescent="0.2">
      <c r="A230" s="36">
        <v>29099</v>
      </c>
      <c r="B230" s="37">
        <f>VLOOKUP(A230,Data!$E:$BG,MATCH(Country!$A$1,Data!$E$1:$BG$1,),)</f>
        <v>12.08384</v>
      </c>
      <c r="C230" s="65">
        <f>IF(B218&gt;0,(Table2[[#This Row],[Country]]-B218)/B218,0)</f>
        <v>8.1115127223276073E-2</v>
      </c>
      <c r="D230" s="65">
        <f>IF(Table2[[#This Row],[Country]]&gt;0,(((Table2[[#This Row],[Country]]-B229)/B229)+1)^12-1,"")</f>
        <v>6.402377046289276E-2</v>
      </c>
    </row>
    <row r="231" spans="1:4" x14ac:dyDescent="0.2">
      <c r="A231" s="36">
        <v>29129</v>
      </c>
      <c r="B231" s="37">
        <f>VLOOKUP(A231,Data!$E:$BG,MATCH(Country!$A$1,Data!$E$1:$BG$1,),)</f>
        <v>12.136200000000001</v>
      </c>
      <c r="C231" s="65">
        <f>IF(B219&gt;0,(Table2[[#This Row],[Country]]-B219)/B219,0)</f>
        <v>7.9938707191582831E-2</v>
      </c>
      <c r="D231" s="65">
        <f>IF(Table2[[#This Row],[Country]]&gt;0,(((Table2[[#This Row],[Country]]-B230)/B230)+1)^12-1,"")</f>
        <v>5.3253966891297244E-2</v>
      </c>
    </row>
    <row r="232" spans="1:4" x14ac:dyDescent="0.2">
      <c r="A232" s="36">
        <v>29160</v>
      </c>
      <c r="B232" s="37">
        <f>VLOOKUP(A232,Data!$E:$BG,MATCH(Country!$A$1,Data!$E$1:$BG$1,),)</f>
        <v>12.181900000000001</v>
      </c>
      <c r="C232" s="65">
        <f>IF(B220&gt;0,(Table2[[#This Row],[Country]]-B220)/B220,0)</f>
        <v>7.8581629608380096E-2</v>
      </c>
      <c r="D232" s="65">
        <f>IF(Table2[[#This Row],[Country]]&gt;0,(((Table2[[#This Row],[Country]]-B231)/B231)+1)^12-1,"")</f>
        <v>4.6134833144431564E-2</v>
      </c>
    </row>
    <row r="233" spans="1:4" x14ac:dyDescent="0.2">
      <c r="A233" s="36">
        <v>29190</v>
      </c>
      <c r="B233" s="37">
        <f>VLOOKUP(A233,Data!$E:$BG,MATCH(Country!$A$1,Data!$E$1:$BG$1,),)</f>
        <v>12.24672</v>
      </c>
      <c r="C233" s="65">
        <f>IF(B221&gt;0,(Table2[[#This Row],[Country]]-B221)/B221,0)</f>
        <v>7.884362796442114E-2</v>
      </c>
      <c r="D233" s="65">
        <f>IF(Table2[[#This Row],[Country]]&gt;0,(((Table2[[#This Row],[Country]]-B232)/B232)+1)^12-1,"")</f>
        <v>6.5754319699019792E-2</v>
      </c>
    </row>
    <row r="234" spans="1:4" x14ac:dyDescent="0.2">
      <c r="A234" s="36">
        <v>29221</v>
      </c>
      <c r="B234" s="37">
        <f>VLOOKUP(A234,Data!$E:$BG,MATCH(Country!$A$1,Data!$E$1:$BG$1,),)</f>
        <v>12.32151</v>
      </c>
      <c r="C234" s="65">
        <f>IF(B222&gt;0,(Table2[[#This Row],[Country]]-B222)/B222,0)</f>
        <v>8.1000153532340399E-2</v>
      </c>
      <c r="D234" s="65">
        <f>IF(Table2[[#This Row],[Country]]&gt;0,(((Table2[[#This Row],[Country]]-B233)/B233)+1)^12-1,"")</f>
        <v>7.5795549501920911E-2</v>
      </c>
    </row>
    <row r="235" spans="1:4" x14ac:dyDescent="0.2">
      <c r="A235" s="36">
        <v>29252</v>
      </c>
      <c r="B235" s="37">
        <f>VLOOKUP(A235,Data!$E:$BG,MATCH(Country!$A$1,Data!$E$1:$BG$1,),)</f>
        <v>12.420400000000001</v>
      </c>
      <c r="C235" s="65">
        <f>IF(B223&gt;0,(Table2[[#This Row],[Country]]-B223)/B223,0)</f>
        <v>8.4772881900684618E-2</v>
      </c>
      <c r="D235" s="65">
        <f>IF(Table2[[#This Row],[Country]]&gt;0,(((Table2[[#This Row],[Country]]-B234)/B234)+1)^12-1,"")</f>
        <v>0.10067672909670367</v>
      </c>
    </row>
    <row r="236" spans="1:4" x14ac:dyDescent="0.2">
      <c r="A236" s="36">
        <v>29281</v>
      </c>
      <c r="B236" s="37">
        <f>VLOOKUP(A236,Data!$E:$BG,MATCH(Country!$A$1,Data!$E$1:$BG$1,),)</f>
        <v>12.463620000000001</v>
      </c>
      <c r="C236" s="65">
        <f>IF(B224&gt;0,(Table2[[#This Row],[Country]]-B224)/B224,0)</f>
        <v>8.0703172147806979E-2</v>
      </c>
      <c r="D236" s="65">
        <f>IF(Table2[[#This Row],[Country]]&gt;0,(((Table2[[#This Row],[Country]]-B235)/B235)+1)^12-1,"")</f>
        <v>4.2565627798754502E-2</v>
      </c>
    </row>
    <row r="237" spans="1:4" x14ac:dyDescent="0.2">
      <c r="A237" s="36">
        <v>29312</v>
      </c>
      <c r="B237" s="37">
        <f>VLOOKUP(A237,Data!$E:$BG,MATCH(Country!$A$1,Data!$E$1:$BG$1,),)</f>
        <v>12.483560000000001</v>
      </c>
      <c r="C237" s="65">
        <f>IF(B225&gt;0,(Table2[[#This Row],[Country]]-B225)/B225,0)</f>
        <v>7.1392954338891132E-2</v>
      </c>
      <c r="D237" s="65">
        <f>IF(Table2[[#This Row],[Country]]&gt;0,(((Table2[[#This Row],[Country]]-B236)/B236)+1)^12-1,"")</f>
        <v>1.936810842219705E-2</v>
      </c>
    </row>
    <row r="238" spans="1:4" x14ac:dyDescent="0.2">
      <c r="A238" s="36">
        <v>29342</v>
      </c>
      <c r="B238" s="37">
        <f>VLOOKUP(A238,Data!$E:$BG,MATCH(Country!$A$1,Data!$E$1:$BG$1,),)</f>
        <v>12.567489999999999</v>
      </c>
      <c r="C238" s="65">
        <f>IF(B226&gt;0,(Table2[[#This Row],[Country]]-B226)/B226,0)</f>
        <v>7.2401105211869154E-2</v>
      </c>
      <c r="D238" s="65">
        <f>IF(Table2[[#This Row],[Country]]&gt;0,(((Table2[[#This Row],[Country]]-B237)/B237)+1)^12-1,"")</f>
        <v>8.3730121363884358E-2</v>
      </c>
    </row>
    <row r="239" spans="1:4" x14ac:dyDescent="0.2">
      <c r="A239" s="36">
        <v>29373</v>
      </c>
      <c r="B239" s="37">
        <f>VLOOKUP(A239,Data!$E:$BG,MATCH(Country!$A$1,Data!$E$1:$BG$1,),)</f>
        <v>12.707940000000001</v>
      </c>
      <c r="C239" s="65">
        <f>IF(B227&gt;0,(Table2[[#This Row],[Country]]-B227)/B227,0)</f>
        <v>7.4631788042508543E-2</v>
      </c>
      <c r="D239" s="65">
        <f>IF(Table2[[#This Row],[Country]]&gt;0,(((Table2[[#This Row],[Country]]-B238)/B238)+1)^12-1,"")</f>
        <v>0.14266595465915244</v>
      </c>
    </row>
    <row r="240" spans="1:4" x14ac:dyDescent="0.2">
      <c r="A240" s="36">
        <v>29403</v>
      </c>
      <c r="B240" s="37">
        <f>VLOOKUP(A240,Data!$E:$BG,MATCH(Country!$A$1,Data!$E$1:$BG$1,),)</f>
        <v>12.843389999999999</v>
      </c>
      <c r="C240" s="65">
        <f>IF(B228&gt;0,(Table2[[#This Row],[Country]]-B228)/B228,0)</f>
        <v>7.715294050552432E-2</v>
      </c>
      <c r="D240" s="65">
        <f>IF(Table2[[#This Row],[Country]]&gt;0,(((Table2[[#This Row],[Country]]-B239)/B239)+1)^12-1,"")</f>
        <v>0.13567529292681479</v>
      </c>
    </row>
    <row r="241" spans="1:4" x14ac:dyDescent="0.2">
      <c r="A241" s="36">
        <v>29434</v>
      </c>
      <c r="B241" s="37">
        <f>VLOOKUP(A241,Data!$E:$BG,MATCH(Country!$A$1,Data!$E$1:$BG$1,),)</f>
        <v>12.97636</v>
      </c>
      <c r="C241" s="65">
        <f>IF(B229&gt;0,(Table2[[#This Row],[Country]]-B229)/B229,0)</f>
        <v>7.9428457822686205E-2</v>
      </c>
      <c r="D241" s="65">
        <f>IF(Table2[[#This Row],[Country]]&gt;0,(((Table2[[#This Row],[Country]]-B240)/B240)+1)^12-1,"")</f>
        <v>0.13156259043405294</v>
      </c>
    </row>
    <row r="242" spans="1:4" x14ac:dyDescent="0.2">
      <c r="A242" s="36">
        <v>29465</v>
      </c>
      <c r="B242" s="37">
        <f>VLOOKUP(A242,Data!$E:$BG,MATCH(Country!$A$1,Data!$E$1:$BG$1,),)</f>
        <v>13.08023</v>
      </c>
      <c r="C242" s="65">
        <f>IF(B230&gt;0,(Table2[[#This Row],[Country]]-B230)/B230,0)</f>
        <v>8.2456404586621457E-2</v>
      </c>
      <c r="D242" s="65">
        <f>IF(Table2[[#This Row],[Country]]&gt;0,(((Table2[[#This Row],[Country]]-B241)/B241)+1)^12-1,"")</f>
        <v>0.10039837517565275</v>
      </c>
    </row>
    <row r="243" spans="1:4" x14ac:dyDescent="0.2">
      <c r="A243" s="36">
        <v>29495</v>
      </c>
      <c r="B243" s="37">
        <f>VLOOKUP(A243,Data!$E:$BG,MATCH(Country!$A$1,Data!$E$1:$BG$1,),)</f>
        <v>13.169980000000001</v>
      </c>
      <c r="C243" s="65">
        <f>IF(B231&gt;0,(Table2[[#This Row],[Country]]-B231)/B231,0)</f>
        <v>8.5181523046752694E-2</v>
      </c>
      <c r="D243" s="65">
        <f>IF(Table2[[#This Row],[Country]]&gt;0,(((Table2[[#This Row],[Country]]-B242)/B242)+1)^12-1,"")</f>
        <v>8.5517472142197848E-2</v>
      </c>
    </row>
    <row r="244" spans="1:4" x14ac:dyDescent="0.2">
      <c r="A244" s="36">
        <v>29526</v>
      </c>
      <c r="B244" s="37">
        <f>VLOOKUP(A244,Data!$E:$BG,MATCH(Country!$A$1,Data!$E$1:$BG$1,),)</f>
        <v>13.26139</v>
      </c>
      <c r="C244" s="65">
        <f>IF(B232&gt;0,(Table2[[#This Row],[Country]]-B232)/B232,0)</f>
        <v>8.8614255575895362E-2</v>
      </c>
      <c r="D244" s="65">
        <f>IF(Table2[[#This Row],[Country]]&gt;0,(((Table2[[#This Row],[Country]]-B243)/B243)+1)^12-1,"")</f>
        <v>8.6543659912528437E-2</v>
      </c>
    </row>
    <row r="245" spans="1:4" x14ac:dyDescent="0.2">
      <c r="A245" s="36">
        <v>29556</v>
      </c>
      <c r="B245" s="37">
        <f>VLOOKUP(A245,Data!$E:$BG,MATCH(Country!$A$1,Data!$E$1:$BG$1,),)</f>
        <v>13.294639999999999</v>
      </c>
      <c r="C245" s="65">
        <f>IF(B233&gt;0,(Table2[[#This Row],[Country]]-B233)/B233,0)</f>
        <v>8.5567400904078772E-2</v>
      </c>
      <c r="D245" s="65">
        <f>IF(Table2[[#This Row],[Country]]&gt;0,(((Table2[[#This Row],[Country]]-B244)/B244)+1)^12-1,"")</f>
        <v>3.0505736488655177E-2</v>
      </c>
    </row>
    <row r="246" spans="1:4" x14ac:dyDescent="0.2">
      <c r="A246" s="36">
        <v>29587</v>
      </c>
      <c r="B246" s="37">
        <f>VLOOKUP(A246,Data!$E:$BG,MATCH(Country!$A$1,Data!$E$1:$BG$1,),)</f>
        <v>13.35364</v>
      </c>
      <c r="C246" s="65">
        <f>IF(B234&gt;0,(Table2[[#This Row],[Country]]-B234)/B234,0)</f>
        <v>8.3766518876339055E-2</v>
      </c>
      <c r="D246" s="65">
        <f>IF(Table2[[#This Row],[Country]]&gt;0,(((Table2[[#This Row],[Country]]-B245)/B245)+1)^12-1,"")</f>
        <v>5.4573821378999687E-2</v>
      </c>
    </row>
    <row r="247" spans="1:4" x14ac:dyDescent="0.2">
      <c r="A247" s="36">
        <v>29618</v>
      </c>
      <c r="B247" s="37">
        <f>VLOOKUP(A247,Data!$E:$BG,MATCH(Country!$A$1,Data!$E$1:$BG$1,),)</f>
        <v>13.451700000000001</v>
      </c>
      <c r="C247" s="65">
        <f>IF(B235&gt;0,(Table2[[#This Row],[Country]]-B235)/B235,0)</f>
        <v>8.3032752568355267E-2</v>
      </c>
      <c r="D247" s="65">
        <f>IF(Table2[[#This Row],[Country]]&gt;0,(((Table2[[#This Row],[Country]]-B246)/B246)+1)^12-1,"")</f>
        <v>9.1767369531472687E-2</v>
      </c>
    </row>
    <row r="248" spans="1:4" x14ac:dyDescent="0.2">
      <c r="A248" s="36">
        <v>29646</v>
      </c>
      <c r="B248" s="37">
        <f>VLOOKUP(A248,Data!$E:$BG,MATCH(Country!$A$1,Data!$E$1:$BG$1,),)</f>
        <v>13.60045</v>
      </c>
      <c r="C248" s="65">
        <f>IF(B236&gt;0,(Table2[[#This Row],[Country]]-B236)/B236,0)</f>
        <v>9.1211863006092908E-2</v>
      </c>
      <c r="D248" s="65">
        <f>IF(Table2[[#This Row],[Country]]&gt;0,(((Table2[[#This Row],[Country]]-B247)/B247)+1)^12-1,"")</f>
        <v>0.14107255727006196</v>
      </c>
    </row>
    <row r="249" spans="1:4" x14ac:dyDescent="0.2">
      <c r="A249" s="36">
        <v>29677</v>
      </c>
      <c r="B249" s="37">
        <f>VLOOKUP(A249,Data!$E:$BG,MATCH(Country!$A$1,Data!$E$1:$BG$1,),)</f>
        <v>13.788259999999999</v>
      </c>
      <c r="C249" s="65">
        <f>IF(B237&gt;0,(Table2[[#This Row],[Country]]-B237)/B237,0)</f>
        <v>0.10451345609745927</v>
      </c>
      <c r="D249" s="65">
        <f>IF(Table2[[#This Row],[Country]]&gt;0,(((Table2[[#This Row],[Country]]-B248)/B248)+1)^12-1,"")</f>
        <v>0.17889257292063632</v>
      </c>
    </row>
    <row r="250" spans="1:4" x14ac:dyDescent="0.2">
      <c r="A250" s="36">
        <v>29707</v>
      </c>
      <c r="B250" s="37">
        <f>VLOOKUP(A250,Data!$E:$BG,MATCH(Country!$A$1,Data!$E$1:$BG$1,),)</f>
        <v>13.82981</v>
      </c>
      <c r="C250" s="65">
        <f>IF(B238&gt;0,(Table2[[#This Row],[Country]]-B238)/B238,0)</f>
        <v>0.10044328660695181</v>
      </c>
      <c r="D250" s="65">
        <f>IF(Table2[[#This Row],[Country]]&gt;0,(((Table2[[#This Row],[Country]]-B249)/B249)+1)^12-1,"")</f>
        <v>3.676659061484111E-2</v>
      </c>
    </row>
    <row r="251" spans="1:4" x14ac:dyDescent="0.2">
      <c r="A251" s="36">
        <v>29738</v>
      </c>
      <c r="B251" s="37">
        <f>VLOOKUP(A251,Data!$E:$BG,MATCH(Country!$A$1,Data!$E$1:$BG$1,),)</f>
        <v>13.8805</v>
      </c>
      <c r="C251" s="65">
        <f>IF(B239&gt;0,(Table2[[#This Row],[Country]]-B239)/B239,0)</f>
        <v>9.2269872221618837E-2</v>
      </c>
      <c r="D251" s="65">
        <f>IF(Table2[[#This Row],[Country]]&gt;0,(((Table2[[#This Row],[Country]]-B250)/B250)+1)^12-1,"")</f>
        <v>4.4880831246956854E-2</v>
      </c>
    </row>
    <row r="252" spans="1:4" x14ac:dyDescent="0.2">
      <c r="A252" s="36">
        <v>29768</v>
      </c>
      <c r="B252" s="37">
        <f>VLOOKUP(A252,Data!$E:$BG,MATCH(Country!$A$1,Data!$E$1:$BG$1,),)</f>
        <v>13.976900000000001</v>
      </c>
      <c r="C252" s="65">
        <f>IF(B240&gt;0,(Table2[[#This Row],[Country]]-B240)/B240,0)</f>
        <v>8.8256293704388103E-2</v>
      </c>
      <c r="D252" s="65">
        <f>IF(Table2[[#This Row],[Country]]&gt;0,(((Table2[[#This Row],[Country]]-B251)/B251)+1)^12-1,"")</f>
        <v>8.6598171733870188E-2</v>
      </c>
    </row>
    <row r="253" spans="1:4" x14ac:dyDescent="0.2">
      <c r="A253" s="36">
        <v>29799</v>
      </c>
      <c r="B253" s="37">
        <f>VLOOKUP(A253,Data!$E:$BG,MATCH(Country!$A$1,Data!$E$1:$BG$1,),)</f>
        <v>14.07995</v>
      </c>
      <c r="C253" s="65">
        <f>IF(B241&gt;0,(Table2[[#This Row],[Country]]-B241)/B241,0)</f>
        <v>8.5046191690119607E-2</v>
      </c>
      <c r="D253" s="65">
        <f>IF(Table2[[#This Row],[Country]]&gt;0,(((Table2[[#This Row],[Country]]-B252)/B252)+1)^12-1,"")</f>
        <v>9.2151924509461081E-2</v>
      </c>
    </row>
    <row r="254" spans="1:4" x14ac:dyDescent="0.2">
      <c r="A254" s="36">
        <v>29830</v>
      </c>
      <c r="B254" s="37">
        <f>VLOOKUP(A254,Data!$E:$BG,MATCH(Country!$A$1,Data!$E$1:$BG$1,),)</f>
        <v>14.17718</v>
      </c>
      <c r="C254" s="65">
        <f>IF(B242&gt;0,(Table2[[#This Row],[Country]]-B242)/B242,0)</f>
        <v>8.386320424029238E-2</v>
      </c>
      <c r="D254" s="65">
        <f>IF(Table2[[#This Row],[Country]]&gt;0,(((Table2[[#This Row],[Country]]-B253)/B253)+1)^12-1,"")</f>
        <v>8.6087686697334576E-2</v>
      </c>
    </row>
    <row r="255" spans="1:4" x14ac:dyDescent="0.2">
      <c r="A255" s="36">
        <v>29860</v>
      </c>
      <c r="B255" s="37">
        <f>VLOOKUP(A255,Data!$E:$BG,MATCH(Country!$A$1,Data!$E$1:$BG$1,),)</f>
        <v>14.308479999999999</v>
      </c>
      <c r="C255" s="65">
        <f>IF(B243&gt;0,(Table2[[#This Row],[Country]]-B243)/B243,0)</f>
        <v>8.6446600526348463E-2</v>
      </c>
      <c r="D255" s="65">
        <f>IF(Table2[[#This Row],[Country]]&gt;0,(((Table2[[#This Row],[Country]]-B254)/B254)+1)^12-1,"")</f>
        <v>0.11697581251511324</v>
      </c>
    </row>
    <row r="256" spans="1:4" x14ac:dyDescent="0.2">
      <c r="A256" s="36">
        <v>29891</v>
      </c>
      <c r="B256" s="37">
        <f>VLOOKUP(A256,Data!$E:$BG,MATCH(Country!$A$1,Data!$E$1:$BG$1,),)</f>
        <v>14.42731</v>
      </c>
      <c r="C256" s="65">
        <f>IF(B244&gt;0,(Table2[[#This Row],[Country]]-B244)/B244,0)</f>
        <v>8.7918385629259063E-2</v>
      </c>
      <c r="D256" s="65">
        <f>IF(Table2[[#This Row],[Country]]&gt;0,(((Table2[[#This Row],[Country]]-B255)/B255)+1)^12-1,"")</f>
        <v>0.10433885723589542</v>
      </c>
    </row>
    <row r="257" spans="1:4" x14ac:dyDescent="0.2">
      <c r="A257" s="36">
        <v>29921</v>
      </c>
      <c r="B257" s="37">
        <f>VLOOKUP(A257,Data!$E:$BG,MATCH(Country!$A$1,Data!$E$1:$BG$1,),)</f>
        <v>14.58853</v>
      </c>
      <c r="C257" s="65">
        <f>IF(B245&gt;0,(Table2[[#This Row],[Country]]-B245)/B245,0)</f>
        <v>9.7324184784243969E-2</v>
      </c>
      <c r="D257" s="65">
        <f>IF(Table2[[#This Row],[Country]]&gt;0,(((Table2[[#This Row],[Country]]-B256)/B256)+1)^12-1,"")</f>
        <v>0.14265212231031787</v>
      </c>
    </row>
    <row r="258" spans="1:4" x14ac:dyDescent="0.2">
      <c r="A258" s="36">
        <v>29952</v>
      </c>
      <c r="B258" s="37">
        <f>VLOOKUP(A258,Data!$E:$BG,MATCH(Country!$A$1,Data!$E$1:$BG$1,),)</f>
        <v>14.712350000000001</v>
      </c>
      <c r="C258" s="65">
        <f>IF(B246&gt;0,(Table2[[#This Row],[Country]]-B246)/B246,0)</f>
        <v>0.10174828735835324</v>
      </c>
      <c r="D258" s="65">
        <f>IF(Table2[[#This Row],[Country]]&gt;0,(((Table2[[#This Row],[Country]]-B257)/B257)+1)^12-1,"")</f>
        <v>0.10674146768403059</v>
      </c>
    </row>
    <row r="259" spans="1:4" x14ac:dyDescent="0.2">
      <c r="A259" s="36">
        <v>29983</v>
      </c>
      <c r="B259" s="37">
        <f>VLOOKUP(A259,Data!$E:$BG,MATCH(Country!$A$1,Data!$E$1:$BG$1,),)</f>
        <v>14.746420000000001</v>
      </c>
      <c r="C259" s="65">
        <f>IF(B247&gt;0,(Table2[[#This Row],[Country]]-B247)/B247,0)</f>
        <v>9.6249544667216774E-2</v>
      </c>
      <c r="D259" s="65">
        <f>IF(Table2[[#This Row],[Country]]&gt;0,(((Table2[[#This Row],[Country]]-B258)/B258)+1)^12-1,"")</f>
        <v>2.8145580292758821E-2</v>
      </c>
    </row>
    <row r="260" spans="1:4" x14ac:dyDescent="0.2">
      <c r="A260" s="36">
        <v>30011</v>
      </c>
      <c r="B260" s="37">
        <f>VLOOKUP(A260,Data!$E:$BG,MATCH(Country!$A$1,Data!$E$1:$BG$1,),)</f>
        <v>14.84615</v>
      </c>
      <c r="C260" s="65">
        <f>IF(B248&gt;0,(Table2[[#This Row],[Country]]-B248)/B248,0)</f>
        <v>9.159255759919703E-2</v>
      </c>
      <c r="D260" s="65">
        <f>IF(Table2[[#This Row],[Country]]&gt;0,(((Table2[[#This Row],[Country]]-B259)/B259)+1)^12-1,"")</f>
        <v>8.4243784264746102E-2</v>
      </c>
    </row>
    <row r="261" spans="1:4" x14ac:dyDescent="0.2">
      <c r="A261" s="36">
        <v>30042</v>
      </c>
      <c r="B261" s="37">
        <f>VLOOKUP(A261,Data!$E:$BG,MATCH(Country!$A$1,Data!$E$1:$BG$1,),)</f>
        <v>14.990740000000001</v>
      </c>
      <c r="C261" s="65">
        <f>IF(B249&gt;0,(Table2[[#This Row],[Country]]-B249)/B249,0)</f>
        <v>8.7210423940366766E-2</v>
      </c>
      <c r="D261" s="65">
        <f>IF(Table2[[#This Row],[Country]]&gt;0,(((Table2[[#This Row],[Country]]-B260)/B260)+1)^12-1,"")</f>
        <v>0.12333872700286341</v>
      </c>
    </row>
    <row r="262" spans="1:4" x14ac:dyDescent="0.2">
      <c r="A262" s="36">
        <v>30072</v>
      </c>
      <c r="B262" s="37">
        <f>VLOOKUP(A262,Data!$E:$BG,MATCH(Country!$A$1,Data!$E$1:$BG$1,),)</f>
        <v>15.086309999999999</v>
      </c>
      <c r="C262" s="65">
        <f>IF(B250&gt;0,(Table2[[#This Row],[Country]]-B250)/B250,0)</f>
        <v>9.0854465824186964E-2</v>
      </c>
      <c r="D262" s="65">
        <f>IF(Table2[[#This Row],[Country]]&gt;0,(((Table2[[#This Row],[Country]]-B261)/B261)+1)^12-1,"")</f>
        <v>7.9243567415971716E-2</v>
      </c>
    </row>
    <row r="263" spans="1:4" x14ac:dyDescent="0.2">
      <c r="A263" s="36">
        <v>30103</v>
      </c>
      <c r="B263" s="37">
        <f>VLOOKUP(A263,Data!$E:$BG,MATCH(Country!$A$1,Data!$E$1:$BG$1,),)</f>
        <v>15.1744</v>
      </c>
      <c r="C263" s="65">
        <f>IF(B251&gt;0,(Table2[[#This Row],[Country]]-B251)/B251,0)</f>
        <v>9.3217103130290746E-2</v>
      </c>
      <c r="D263" s="65">
        <f>IF(Table2[[#This Row],[Country]]&gt;0,(((Table2[[#This Row],[Country]]-B262)/B262)+1)^12-1,"")</f>
        <v>7.2363454436526586E-2</v>
      </c>
    </row>
    <row r="264" spans="1:4" x14ac:dyDescent="0.2">
      <c r="A264" s="36">
        <v>30133</v>
      </c>
      <c r="B264" s="37">
        <f>VLOOKUP(A264,Data!$E:$BG,MATCH(Country!$A$1,Data!$E$1:$BG$1,),)</f>
        <v>15.22011</v>
      </c>
      <c r="C264" s="65">
        <f>IF(B252&gt;0,(Table2[[#This Row],[Country]]-B252)/B252,0)</f>
        <v>8.89474776237935E-2</v>
      </c>
      <c r="D264" s="65">
        <f>IF(Table2[[#This Row],[Country]]&gt;0,(((Table2[[#This Row],[Country]]-B263)/B263)+1)^12-1,"")</f>
        <v>3.6752661700908629E-2</v>
      </c>
    </row>
    <row r="265" spans="1:4" x14ac:dyDescent="0.2">
      <c r="A265" s="36">
        <v>30164</v>
      </c>
      <c r="B265" s="37">
        <f>VLOOKUP(A265,Data!$E:$BG,MATCH(Country!$A$1,Data!$E$1:$BG$1,),)</f>
        <v>15.33395</v>
      </c>
      <c r="C265" s="65">
        <f>IF(B253&gt;0,(Table2[[#This Row],[Country]]-B253)/B253,0)</f>
        <v>8.9062816274205481E-2</v>
      </c>
      <c r="D265" s="65">
        <f>IF(Table2[[#This Row],[Country]]&gt;0,(((Table2[[#This Row],[Country]]-B264)/B264)+1)^12-1,"")</f>
        <v>9.3540870140203181E-2</v>
      </c>
    </row>
    <row r="266" spans="1:4" x14ac:dyDescent="0.2">
      <c r="A266" s="36">
        <v>30195</v>
      </c>
      <c r="B266" s="37">
        <f>VLOOKUP(A266,Data!$E:$BG,MATCH(Country!$A$1,Data!$E$1:$BG$1,),)</f>
        <v>15.44365</v>
      </c>
      <c r="C266" s="65">
        <f>IF(B254&gt;0,(Table2[[#This Row],[Country]]-B254)/B254,0)</f>
        <v>8.9331587805191154E-2</v>
      </c>
      <c r="D266" s="65">
        <f>IF(Table2[[#This Row],[Country]]&gt;0,(((Table2[[#This Row],[Country]]-B265)/B265)+1)^12-1,"")</f>
        <v>8.9308503676489348E-2</v>
      </c>
    </row>
    <row r="267" spans="1:4" x14ac:dyDescent="0.2">
      <c r="A267" s="36">
        <v>30225</v>
      </c>
      <c r="B267" s="37">
        <f>VLOOKUP(A267,Data!$E:$BG,MATCH(Country!$A$1,Data!$E$1:$BG$1,),)</f>
        <v>15.53755</v>
      </c>
      <c r="C267" s="65">
        <f>IF(B255&gt;0,(Table2[[#This Row],[Country]]-B255)/B255,0)</f>
        <v>8.5898012926600181E-2</v>
      </c>
      <c r="D267" s="65">
        <f>IF(Table2[[#This Row],[Country]]&gt;0,(((Table2[[#This Row],[Country]]-B266)/B266)+1)^12-1,"")</f>
        <v>7.5452077900651338E-2</v>
      </c>
    </row>
    <row r="268" spans="1:4" x14ac:dyDescent="0.2">
      <c r="A268" s="36">
        <v>30256</v>
      </c>
      <c r="B268" s="37">
        <f>VLOOKUP(A268,Data!$E:$BG,MATCH(Country!$A$1,Data!$E$1:$BG$1,),)</f>
        <v>15.6539</v>
      </c>
      <c r="C268" s="65">
        <f>IF(B256&gt;0,(Table2[[#This Row],[Country]]-B256)/B256,0)</f>
        <v>8.5018620934879746E-2</v>
      </c>
      <c r="D268" s="65">
        <f>IF(Table2[[#This Row],[Country]]&gt;0,(((Table2[[#This Row],[Country]]-B267)/B267)+1)^12-1,"")</f>
        <v>9.3654617897008352E-2</v>
      </c>
    </row>
    <row r="269" spans="1:4" x14ac:dyDescent="0.2">
      <c r="A269" s="36">
        <v>30286</v>
      </c>
      <c r="B269" s="37">
        <f>VLOOKUP(A269,Data!$E:$BG,MATCH(Country!$A$1,Data!$E$1:$BG$1,),)</f>
        <v>15.838380000000001</v>
      </c>
      <c r="C269" s="65">
        <f>IF(B257&gt;0,(Table2[[#This Row],[Country]]-B257)/B257,0)</f>
        <v>8.5673470870608642E-2</v>
      </c>
      <c r="D269" s="65">
        <f>IF(Table2[[#This Row],[Country]]&gt;0,(((Table2[[#This Row],[Country]]-B268)/B268)+1)^12-1,"")</f>
        <v>0.15095525549399347</v>
      </c>
    </row>
    <row r="270" spans="1:4" x14ac:dyDescent="0.2">
      <c r="A270" s="36">
        <v>30317</v>
      </c>
      <c r="B270" s="37">
        <f>VLOOKUP(A270,Data!$E:$BG,MATCH(Country!$A$1,Data!$E$1:$BG$1,),)</f>
        <v>16.282979999999998</v>
      </c>
      <c r="C270" s="65">
        <f>IF(B258&gt;0,(Table2[[#This Row],[Country]]-B258)/B258,0)</f>
        <v>0.10675588876012314</v>
      </c>
      <c r="D270" s="65">
        <f>IF(Table2[[#This Row],[Country]]&gt;0,(((Table2[[#This Row],[Country]]-B269)/B269)+1)^12-1,"")</f>
        <v>0.39404749800440664</v>
      </c>
    </row>
    <row r="271" spans="1:4" x14ac:dyDescent="0.2">
      <c r="A271" s="36">
        <v>30348</v>
      </c>
      <c r="B271" s="37">
        <f>VLOOKUP(A271,Data!$E:$BG,MATCH(Country!$A$1,Data!$E$1:$BG$1,),)</f>
        <v>16.593779999999999</v>
      </c>
      <c r="C271" s="65">
        <f>IF(B259&gt;0,(Table2[[#This Row],[Country]]-B259)/B259,0)</f>
        <v>0.12527515152830301</v>
      </c>
      <c r="D271" s="65">
        <f>IF(Table2[[#This Row],[Country]]&gt;0,(((Table2[[#This Row],[Country]]-B270)/B270)+1)^12-1,"")</f>
        <v>0.25469238392056837</v>
      </c>
    </row>
    <row r="272" spans="1:4" x14ac:dyDescent="0.2">
      <c r="A272" s="36">
        <v>30376</v>
      </c>
      <c r="B272" s="37">
        <f>VLOOKUP(A272,Data!$E:$BG,MATCH(Country!$A$1,Data!$E$1:$BG$1,),)</f>
        <v>16.746690000000001</v>
      </c>
      <c r="C272" s="65">
        <f>IF(B260&gt;0,(Table2[[#This Row],[Country]]-B260)/B260,0)</f>
        <v>0.12801568083307802</v>
      </c>
      <c r="D272" s="65">
        <f>IF(Table2[[#This Row],[Country]]&gt;0,(((Table2[[#This Row],[Country]]-B271)/B271)+1)^12-1,"")</f>
        <v>0.11635889798248478</v>
      </c>
    </row>
    <row r="273" spans="1:4" x14ac:dyDescent="0.2">
      <c r="A273" s="36">
        <v>30407</v>
      </c>
      <c r="B273" s="37">
        <f>VLOOKUP(A273,Data!$E:$BG,MATCH(Country!$A$1,Data!$E$1:$BG$1,),)</f>
        <v>16.858039999999999</v>
      </c>
      <c r="C273" s="65">
        <f>IF(B261&gt;0,(Table2[[#This Row],[Country]]-B261)/B261,0)</f>
        <v>0.12456356390678501</v>
      </c>
      <c r="D273" s="65">
        <f>IF(Table2[[#This Row],[Country]]&gt;0,(((Table2[[#This Row],[Country]]-B272)/B272)+1)^12-1,"")</f>
        <v>8.2772423172635001E-2</v>
      </c>
    </row>
    <row r="274" spans="1:4" x14ac:dyDescent="0.2">
      <c r="A274" s="36">
        <v>30437</v>
      </c>
      <c r="B274" s="37">
        <f>VLOOKUP(A274,Data!$E:$BG,MATCH(Country!$A$1,Data!$E$1:$BG$1,),)</f>
        <v>16.978539999999999</v>
      </c>
      <c r="C274" s="65">
        <f>IF(B262&gt;0,(Table2[[#This Row],[Country]]-B262)/B262,0)</f>
        <v>0.12542695993917663</v>
      </c>
      <c r="D274" s="65">
        <f>IF(Table2[[#This Row],[Country]]&gt;0,(((Table2[[#This Row],[Country]]-B273)/B273)+1)^12-1,"")</f>
        <v>8.9228875402693308E-2</v>
      </c>
    </row>
    <row r="275" spans="1:4" x14ac:dyDescent="0.2">
      <c r="A275" s="36">
        <v>30468</v>
      </c>
      <c r="B275" s="37">
        <f>VLOOKUP(A275,Data!$E:$BG,MATCH(Country!$A$1,Data!$E$1:$BG$1,),)</f>
        <v>17.064969999999999</v>
      </c>
      <c r="C275" s="65">
        <f>IF(B263&gt;0,(Table2[[#This Row],[Country]]-B263)/B263,0)</f>
        <v>0.12458944010965828</v>
      </c>
      <c r="D275" s="65">
        <f>IF(Table2[[#This Row],[Country]]&gt;0,(((Table2[[#This Row],[Country]]-B274)/B274)+1)^12-1,"")</f>
        <v>6.2826180758535077E-2</v>
      </c>
    </row>
    <row r="276" spans="1:4" x14ac:dyDescent="0.2">
      <c r="A276" s="36">
        <v>30498</v>
      </c>
      <c r="B276" s="37">
        <f>VLOOKUP(A276,Data!$E:$BG,MATCH(Country!$A$1,Data!$E$1:$BG$1,),)</f>
        <v>17.15887</v>
      </c>
      <c r="C276" s="65">
        <f>IF(B264&gt;0,(Table2[[#This Row],[Country]]-B264)/B264,0)</f>
        <v>0.12738147096177363</v>
      </c>
      <c r="D276" s="65">
        <f>IF(Table2[[#This Row],[Country]]&gt;0,(((Table2[[#This Row],[Country]]-B275)/B275)+1)^12-1,"")</f>
        <v>6.8065427571985637E-2</v>
      </c>
    </row>
    <row r="277" spans="1:4" x14ac:dyDescent="0.2">
      <c r="A277" s="36">
        <v>30529</v>
      </c>
      <c r="B277" s="37">
        <f>VLOOKUP(A277,Data!$E:$BG,MATCH(Country!$A$1,Data!$E$1:$BG$1,),)</f>
        <v>17.235320000000002</v>
      </c>
      <c r="C277" s="65">
        <f>IF(B265&gt;0,(Table2[[#This Row],[Country]]-B265)/B265,0)</f>
        <v>0.12399740445221237</v>
      </c>
      <c r="D277" s="65">
        <f>IF(Table2[[#This Row],[Country]]&gt;0,(((Table2[[#This Row],[Country]]-B276)/B276)+1)^12-1,"")</f>
        <v>5.4794864812623745E-2</v>
      </c>
    </row>
    <row r="278" spans="1:4" x14ac:dyDescent="0.2">
      <c r="A278" s="36">
        <v>30560</v>
      </c>
      <c r="B278" s="37">
        <f>VLOOKUP(A278,Data!$E:$BG,MATCH(Country!$A$1,Data!$E$1:$BG$1,),)</f>
        <v>17.311779999999999</v>
      </c>
      <c r="C278" s="65">
        <f>IF(B266&gt;0,(Table2[[#This Row],[Country]]-B266)/B266,0)</f>
        <v>0.12096427981727111</v>
      </c>
      <c r="D278" s="65">
        <f>IF(Table2[[#This Row],[Country]]&gt;0,(((Table2[[#This Row],[Country]]-B277)/B277)+1)^12-1,"")</f>
        <v>5.4553163630466361E-2</v>
      </c>
    </row>
    <row r="279" spans="1:4" x14ac:dyDescent="0.2">
      <c r="A279" s="36">
        <v>30590</v>
      </c>
      <c r="B279" s="37">
        <f>VLOOKUP(A279,Data!$E:$BG,MATCH(Country!$A$1,Data!$E$1:$BG$1,),)</f>
        <v>17.44557</v>
      </c>
      <c r="C279" s="65">
        <f>IF(B267&gt;0,(Table2[[#This Row],[Country]]-B267)/B267,0)</f>
        <v>0.12280057023147153</v>
      </c>
      <c r="D279" s="65">
        <f>IF(Table2[[#This Row],[Country]]&gt;0,(((Table2[[#This Row],[Country]]-B278)/B278)+1)^12-1,"")</f>
        <v>9.6784418746538092E-2</v>
      </c>
    </row>
    <row r="280" spans="1:4" x14ac:dyDescent="0.2">
      <c r="A280" s="36">
        <v>30621</v>
      </c>
      <c r="B280" s="37">
        <f>VLOOKUP(A280,Data!$E:$BG,MATCH(Country!$A$1,Data!$E$1:$BG$1,),)</f>
        <v>17.553609999999999</v>
      </c>
      <c r="C280" s="65">
        <f>IF(B268&gt;0,(Table2[[#This Row],[Country]]-B268)/B268,0)</f>
        <v>0.12135697813324468</v>
      </c>
      <c r="D280" s="65">
        <f>IF(Table2[[#This Row],[Country]]&gt;0,(((Table2[[#This Row],[Country]]-B279)/B279)+1)^12-1,"")</f>
        <v>7.6899999073502867E-2</v>
      </c>
    </row>
    <row r="281" spans="1:4" x14ac:dyDescent="0.2">
      <c r="A281" s="36">
        <v>30651</v>
      </c>
      <c r="B281" s="37">
        <f>VLOOKUP(A281,Data!$E:$BG,MATCH(Country!$A$1,Data!$E$1:$BG$1,),)</f>
        <v>17.64668</v>
      </c>
      <c r="C281" s="65">
        <f>IF(B269&gt;0,(Table2[[#This Row],[Country]]-B269)/B269,0)</f>
        <v>0.11417203022026237</v>
      </c>
      <c r="D281" s="65">
        <f>IF(Table2[[#This Row],[Country]]&gt;0,(((Table2[[#This Row],[Country]]-B280)/B280)+1)^12-1,"")</f>
        <v>6.5513074513914082E-2</v>
      </c>
    </row>
    <row r="282" spans="1:4" x14ac:dyDescent="0.2">
      <c r="A282" s="36">
        <v>30682</v>
      </c>
      <c r="B282" s="37">
        <f>VLOOKUP(A282,Data!$E:$BG,MATCH(Country!$A$1,Data!$E$1:$BG$1,),)</f>
        <v>17.768840000000001</v>
      </c>
      <c r="C282" s="65">
        <f>IF(B270&gt;0,(Table2[[#This Row],[Country]]-B270)/B270,0)</f>
        <v>9.1252338331190147E-2</v>
      </c>
      <c r="D282" s="65">
        <f>IF(Table2[[#This Row],[Country]]&gt;0,(((Table2[[#This Row],[Country]]-B281)/B281)+1)^12-1,"")</f>
        <v>8.6307546362194509E-2</v>
      </c>
    </row>
    <row r="283" spans="1:4" x14ac:dyDescent="0.2">
      <c r="A283" s="36">
        <v>30713</v>
      </c>
      <c r="B283" s="37">
        <f>VLOOKUP(A283,Data!$E:$BG,MATCH(Country!$A$1,Data!$E$1:$BG$1,),)</f>
        <v>17.935040000000001</v>
      </c>
      <c r="C283" s="65">
        <f>IF(B271&gt;0,(Table2[[#This Row],[Country]]-B271)/B271,0)</f>
        <v>8.0829081740266651E-2</v>
      </c>
      <c r="D283" s="65">
        <f>IF(Table2[[#This Row],[Country]]&gt;0,(((Table2[[#This Row],[Country]]-B282)/B282)+1)^12-1,"")</f>
        <v>0.11819944958321571</v>
      </c>
    </row>
    <row r="284" spans="1:4" x14ac:dyDescent="0.2">
      <c r="A284" s="36">
        <v>30742</v>
      </c>
      <c r="B284" s="37">
        <f>VLOOKUP(A284,Data!$E:$BG,MATCH(Country!$A$1,Data!$E$1:$BG$1,),)</f>
        <v>18.076319999999999</v>
      </c>
      <c r="C284" s="65">
        <f>IF(B272&gt;0,(Table2[[#This Row],[Country]]-B272)/B272,0)</f>
        <v>7.9396585235649436E-2</v>
      </c>
      <c r="D284" s="65">
        <f>IF(Table2[[#This Row],[Country]]&gt;0,(((Table2[[#This Row],[Country]]-B283)/B283)+1)^12-1,"")</f>
        <v>9.8732714576190483E-2</v>
      </c>
    </row>
    <row r="285" spans="1:4" x14ac:dyDescent="0.2">
      <c r="A285" s="36">
        <v>30773</v>
      </c>
      <c r="B285" s="37">
        <f>VLOOKUP(A285,Data!$E:$BG,MATCH(Country!$A$1,Data!$E$1:$BG$1,),)</f>
        <v>18.213429999999999</v>
      </c>
      <c r="C285" s="65">
        <f>IF(B273&gt;0,(Table2[[#This Row],[Country]]-B273)/B273,0)</f>
        <v>8.0400212598854909E-2</v>
      </c>
      <c r="D285" s="65">
        <f>IF(Table2[[#This Row],[Country]]&gt;0,(((Table2[[#This Row],[Country]]-B284)/B284)+1)^12-1,"")</f>
        <v>9.4915592126179504E-2</v>
      </c>
    </row>
    <row r="286" spans="1:4" x14ac:dyDescent="0.2">
      <c r="A286" s="36">
        <v>30803</v>
      </c>
      <c r="B286" s="37">
        <f>VLOOKUP(A286,Data!$E:$BG,MATCH(Country!$A$1,Data!$E$1:$BG$1,),)</f>
        <v>18.316479999999999</v>
      </c>
      <c r="C286" s="65">
        <f>IF(B274&gt;0,(Table2[[#This Row],[Country]]-B274)/B274,0)</f>
        <v>7.8801828661357209E-2</v>
      </c>
      <c r="D286" s="65">
        <f>IF(Table2[[#This Row],[Country]]&gt;0,(((Table2[[#This Row],[Country]]-B285)/B285)+1)^12-1,"")</f>
        <v>7.0048103486451518E-2</v>
      </c>
    </row>
    <row r="287" spans="1:4" x14ac:dyDescent="0.2">
      <c r="A287" s="36">
        <v>30834</v>
      </c>
      <c r="B287" s="37">
        <f>VLOOKUP(A287,Data!$E:$BG,MATCH(Country!$A$1,Data!$E$1:$BG$1,),)</f>
        <v>18.407889999999998</v>
      </c>
      <c r="C287" s="65">
        <f>IF(B275&gt;0,(Table2[[#This Row],[Country]]-B275)/B275,0)</f>
        <v>7.869454209412613E-2</v>
      </c>
      <c r="D287" s="65">
        <f>IF(Table2[[#This Row],[Country]]&gt;0,(((Table2[[#This Row],[Country]]-B286)/B286)+1)^12-1,"")</f>
        <v>6.1558500778064351E-2</v>
      </c>
    </row>
    <row r="288" spans="1:4" x14ac:dyDescent="0.2">
      <c r="A288" s="36">
        <v>30864</v>
      </c>
      <c r="B288" s="37">
        <f>VLOOKUP(A288,Data!$E:$BG,MATCH(Country!$A$1,Data!$E$1:$BG$1,),)</f>
        <v>18.477699999999999</v>
      </c>
      <c r="C288" s="65">
        <f>IF(B276&gt;0,(Table2[[#This Row],[Country]]-B276)/B276,0)</f>
        <v>7.6859956395729928E-2</v>
      </c>
      <c r="D288" s="65">
        <f>IF(Table2[[#This Row],[Country]]&gt;0,(((Table2[[#This Row],[Country]]-B287)/B287)+1)^12-1,"")</f>
        <v>4.6470078468389353E-2</v>
      </c>
    </row>
    <row r="289" spans="1:4" x14ac:dyDescent="0.2">
      <c r="A289" s="36">
        <v>30895</v>
      </c>
      <c r="B289" s="37">
        <f>VLOOKUP(A289,Data!$E:$BG,MATCH(Country!$A$1,Data!$E$1:$BG$1,),)</f>
        <v>18.535039999999999</v>
      </c>
      <c r="C289" s="65">
        <f>IF(B277&gt;0,(Table2[[#This Row],[Country]]-B277)/B277,0)</f>
        <v>7.5410262182541252E-2</v>
      </c>
      <c r="D289" s="65">
        <f>IF(Table2[[#This Row],[Country]]&gt;0,(((Table2[[#This Row],[Country]]-B288)/B288)+1)^12-1,"")</f>
        <v>3.7880591499046989E-2</v>
      </c>
    </row>
    <row r="290" spans="1:4" x14ac:dyDescent="0.2">
      <c r="A290" s="36">
        <v>30926</v>
      </c>
      <c r="B290" s="37">
        <f>VLOOKUP(A290,Data!$E:$BG,MATCH(Country!$A$1,Data!$E$1:$BG$1,),)</f>
        <v>18.65138</v>
      </c>
      <c r="C290" s="65">
        <f>IF(B278&gt;0,(Table2[[#This Row],[Country]]-B278)/B278,0)</f>
        <v>7.7380835477345533E-2</v>
      </c>
      <c r="D290" s="65">
        <f>IF(Table2[[#This Row],[Country]]&gt;0,(((Table2[[#This Row],[Country]]-B289)/B289)+1)^12-1,"")</f>
        <v>7.7976550782126175E-2</v>
      </c>
    </row>
    <row r="291" spans="1:4" x14ac:dyDescent="0.2">
      <c r="A291" s="36">
        <v>30956</v>
      </c>
      <c r="B291" s="37">
        <f>VLOOKUP(A291,Data!$E:$BG,MATCH(Country!$A$1,Data!$E$1:$BG$1,),)</f>
        <v>18.771879999999999</v>
      </c>
      <c r="C291" s="65">
        <f>IF(B279&gt;0,(Table2[[#This Row],[Country]]-B279)/B279,0)</f>
        <v>7.6025604207830375E-2</v>
      </c>
      <c r="D291" s="65">
        <f>IF(Table2[[#This Row],[Country]]&gt;0,(((Table2[[#This Row],[Country]]-B290)/B290)+1)^12-1,"")</f>
        <v>8.0342811755952592E-2</v>
      </c>
    </row>
    <row r="292" spans="1:4" x14ac:dyDescent="0.2">
      <c r="A292" s="36">
        <v>30987</v>
      </c>
      <c r="B292" s="37">
        <f>VLOOKUP(A292,Data!$E:$BG,MATCH(Country!$A$1,Data!$E$1:$BG$1,),)</f>
        <v>18.958860000000001</v>
      </c>
      <c r="C292" s="65">
        <f>IF(B280&gt;0,(Table2[[#This Row],[Country]]-B280)/B280,0)</f>
        <v>8.0054757967164727E-2</v>
      </c>
      <c r="D292" s="65">
        <f>IF(Table2[[#This Row],[Country]]&gt;0,(((Table2[[#This Row],[Country]]-B291)/B291)+1)^12-1,"")</f>
        <v>0.12629823421559894</v>
      </c>
    </row>
    <row r="293" spans="1:4" x14ac:dyDescent="0.2">
      <c r="A293" s="36">
        <v>31017</v>
      </c>
      <c r="B293" s="37">
        <f>VLOOKUP(A293,Data!$E:$BG,MATCH(Country!$A$1,Data!$E$1:$BG$1,),)</f>
        <v>19.166609999999999</v>
      </c>
      <c r="C293" s="65">
        <f>IF(B281&gt;0,(Table2[[#This Row],[Country]]-B281)/B281,0)</f>
        <v>8.6131215616761833E-2</v>
      </c>
      <c r="D293" s="65">
        <f>IF(Table2[[#This Row],[Country]]&gt;0,(((Table2[[#This Row],[Country]]-B292)/B292)+1)^12-1,"")</f>
        <v>0.13971702745764625</v>
      </c>
    </row>
    <row r="294" spans="1:4" x14ac:dyDescent="0.2">
      <c r="A294" s="36">
        <v>31048</v>
      </c>
      <c r="B294" s="37">
        <f>VLOOKUP(A294,Data!$E:$BG,MATCH(Country!$A$1,Data!$E$1:$BG$1,),)</f>
        <v>19.382680000000001</v>
      </c>
      <c r="C294" s="65">
        <f>IF(B282&gt;0,(Table2[[#This Row],[Country]]-B282)/B282,0)</f>
        <v>9.0824161847368745E-2</v>
      </c>
      <c r="D294" s="65">
        <f>IF(Table2[[#This Row],[Country]]&gt;0,(((Table2[[#This Row],[Country]]-B293)/B293)+1)^12-1,"")</f>
        <v>0.14399002582809439</v>
      </c>
    </row>
    <row r="295" spans="1:4" x14ac:dyDescent="0.2">
      <c r="A295" s="36">
        <v>31079</v>
      </c>
      <c r="B295" s="37">
        <f>VLOOKUP(A295,Data!$E:$BG,MATCH(Country!$A$1,Data!$E$1:$BG$1,),)</f>
        <v>19.563009999999998</v>
      </c>
      <c r="C295" s="65">
        <f>IF(B283&gt;0,(Table2[[#This Row],[Country]]-B283)/B283,0)</f>
        <v>9.0770357913893568E-2</v>
      </c>
      <c r="D295" s="65">
        <f>IF(Table2[[#This Row],[Country]]&gt;0,(((Table2[[#This Row],[Country]]-B294)/B294)+1)^12-1,"")</f>
        <v>0.11753777875928684</v>
      </c>
    </row>
    <row r="296" spans="1:4" x14ac:dyDescent="0.2">
      <c r="A296" s="36">
        <v>31107</v>
      </c>
      <c r="B296" s="37">
        <f>VLOOKUP(A296,Data!$E:$BG,MATCH(Country!$A$1,Data!$E$1:$BG$1,),)</f>
        <v>19.66356</v>
      </c>
      <c r="C296" s="65">
        <f>IF(B284&gt;0,(Table2[[#This Row],[Country]]-B284)/B284,0)</f>
        <v>8.7807695371624389E-2</v>
      </c>
      <c r="D296" s="65">
        <f>IF(Table2[[#This Row],[Country]]&gt;0,(((Table2[[#This Row],[Country]]-B295)/B295)+1)^12-1,"")</f>
        <v>6.3451404754574892E-2</v>
      </c>
    </row>
    <row r="297" spans="1:4" x14ac:dyDescent="0.2">
      <c r="A297" s="36">
        <v>31138</v>
      </c>
      <c r="B297" s="37">
        <f>VLOOKUP(A297,Data!$E:$BG,MATCH(Country!$A$1,Data!$E$1:$BG$1,),)</f>
        <v>19.740020000000001</v>
      </c>
      <c r="C297" s="65">
        <f>IF(B285&gt;0,(Table2[[#This Row],[Country]]-B285)/B285,0)</f>
        <v>8.3816722056197127E-2</v>
      </c>
      <c r="D297" s="65">
        <f>IF(Table2[[#This Row],[Country]]&gt;0,(((Table2[[#This Row],[Country]]-B296)/B296)+1)^12-1,"")</f>
        <v>4.7671880989751836E-2</v>
      </c>
    </row>
    <row r="298" spans="1:4" x14ac:dyDescent="0.2">
      <c r="A298" s="36">
        <v>31168</v>
      </c>
      <c r="B298" s="37">
        <f>VLOOKUP(A298,Data!$E:$BG,MATCH(Country!$A$1,Data!$E$1:$BG$1,),)</f>
        <v>19.857189999999999</v>
      </c>
      <c r="C298" s="65">
        <f>IF(B286&gt;0,(Table2[[#This Row],[Country]]-B286)/B286,0)</f>
        <v>8.4116052866052907E-2</v>
      </c>
      <c r="D298" s="65">
        <f>IF(Table2[[#This Row],[Country]]&gt;0,(((Table2[[#This Row],[Country]]-B297)/B297)+1)^12-1,"")</f>
        <v>7.3599833303747086E-2</v>
      </c>
    </row>
    <row r="299" spans="1:4" x14ac:dyDescent="0.2">
      <c r="A299" s="36">
        <v>31199</v>
      </c>
      <c r="B299" s="37">
        <f>VLOOKUP(A299,Data!$E:$BG,MATCH(Country!$A$1,Data!$E$1:$BG$1,),)</f>
        <v>20.049150000000001</v>
      </c>
      <c r="C299" s="65">
        <f>IF(B287&gt;0,(Table2[[#This Row],[Country]]-B287)/B287,0)</f>
        <v>8.9160680556000863E-2</v>
      </c>
      <c r="D299" s="65">
        <f>IF(Table2[[#This Row],[Country]]&gt;0,(((Table2[[#This Row],[Country]]-B298)/B298)+1)^12-1,"")</f>
        <v>0.12237526053623982</v>
      </c>
    </row>
    <row r="300" spans="1:4" x14ac:dyDescent="0.2">
      <c r="A300" s="36">
        <v>31229</v>
      </c>
      <c r="B300" s="37">
        <f>VLOOKUP(A300,Data!$E:$BG,MATCH(Country!$A$1,Data!$E$1:$BG$1,),)</f>
        <v>20.189599999999999</v>
      </c>
      <c r="C300" s="65">
        <f>IF(B288&gt;0,(Table2[[#This Row],[Country]]-B288)/B288,0)</f>
        <v>9.2646812103237969E-2</v>
      </c>
      <c r="D300" s="65">
        <f>IF(Table2[[#This Row],[Country]]&gt;0,(((Table2[[#This Row],[Country]]-B299)/B299)+1)^12-1,"")</f>
        <v>8.7379135482644754E-2</v>
      </c>
    </row>
    <row r="301" spans="1:4" x14ac:dyDescent="0.2">
      <c r="A301" s="36">
        <v>31260</v>
      </c>
      <c r="B301" s="37">
        <f>VLOOKUP(A301,Data!$E:$BG,MATCH(Country!$A$1,Data!$E$1:$BG$1,),)</f>
        <v>20.310089999999999</v>
      </c>
      <c r="C301" s="65">
        <f>IF(B289&gt;0,(Table2[[#This Row],[Country]]-B289)/B289,0)</f>
        <v>9.5767260281067662E-2</v>
      </c>
      <c r="D301" s="65">
        <f>IF(Table2[[#This Row],[Country]]&gt;0,(((Table2[[#This Row],[Country]]-B300)/B300)+1)^12-1,"")</f>
        <v>7.4013148625146297E-2</v>
      </c>
    </row>
    <row r="302" spans="1:4" x14ac:dyDescent="0.2">
      <c r="A302" s="36">
        <v>31291</v>
      </c>
      <c r="B302" s="37">
        <f>VLOOKUP(A302,Data!$E:$BG,MATCH(Country!$A$1,Data!$E$1:$BG$1,),)</f>
        <v>20.413139999999999</v>
      </c>
      <c r="C302" s="65">
        <f>IF(B290&gt;0,(Table2[[#This Row],[Country]]-B290)/B290,0)</f>
        <v>9.4457353825829454E-2</v>
      </c>
      <c r="D302" s="65">
        <f>IF(Table2[[#This Row],[Country]]&gt;0,(((Table2[[#This Row],[Country]]-B301)/B301)+1)^12-1,"")</f>
        <v>6.2614149580214384E-2</v>
      </c>
    </row>
    <row r="303" spans="1:4" x14ac:dyDescent="0.2">
      <c r="A303" s="36">
        <v>31321</v>
      </c>
      <c r="B303" s="37">
        <f>VLOOKUP(A303,Data!$E:$BG,MATCH(Country!$A$1,Data!$E$1:$BG$1,),)</f>
        <v>20.509540000000001</v>
      </c>
      <c r="C303" s="65">
        <f>IF(B291&gt;0,(Table2[[#This Row],[Country]]-B291)/B291,0)</f>
        <v>9.2567180271768301E-2</v>
      </c>
      <c r="D303" s="65">
        <f>IF(Table2[[#This Row],[Country]]&gt;0,(((Table2[[#This Row],[Country]]-B302)/B302)+1)^12-1,"")</f>
        <v>5.8164698813717441E-2</v>
      </c>
    </row>
    <row r="304" spans="1:4" x14ac:dyDescent="0.2">
      <c r="A304" s="36">
        <v>31352</v>
      </c>
      <c r="B304" s="37">
        <f>VLOOKUP(A304,Data!$E:$BG,MATCH(Country!$A$1,Data!$E$1:$BG$1,),)</f>
        <v>20.590979999999998</v>
      </c>
      <c r="C304" s="65">
        <f>IF(B292&gt;0,(Table2[[#This Row],[Country]]-B292)/B292,0)</f>
        <v>8.6087454625436169E-2</v>
      </c>
      <c r="D304" s="65">
        <f>IF(Table2[[#This Row],[Country]]&gt;0,(((Table2[[#This Row],[Country]]-B303)/B303)+1)^12-1,"")</f>
        <v>4.8704575575728937E-2</v>
      </c>
    </row>
    <row r="305" spans="1:6" x14ac:dyDescent="0.2">
      <c r="A305" s="36">
        <v>31382</v>
      </c>
      <c r="B305" s="37">
        <f>VLOOKUP(A305,Data!$E:$BG,MATCH(Country!$A$1,Data!$E$1:$BG$1,),)</f>
        <v>20.709810000000001</v>
      </c>
      <c r="C305" s="65">
        <f>IF(B293&gt;0,(Table2[[#This Row],[Country]]-B293)/B293,0)</f>
        <v>8.0515020653104674E-2</v>
      </c>
      <c r="D305" s="65">
        <f>IF(Table2[[#This Row],[Country]]&gt;0,(((Table2[[#This Row],[Country]]-B304)/B304)+1)^12-1,"")</f>
        <v>7.1492592511997577E-2</v>
      </c>
    </row>
    <row r="306" spans="1:6" x14ac:dyDescent="0.2">
      <c r="A306" s="36">
        <v>31413</v>
      </c>
      <c r="B306" s="37">
        <f>VLOOKUP(A306,Data!$E:$BG,MATCH(Country!$A$1,Data!$E$1:$BG$1,),)</f>
        <v>20.792919999999999</v>
      </c>
      <c r="C306" s="65">
        <f>IF(B294&gt;0,(Table2[[#This Row],[Country]]-B294)/B294,0)</f>
        <v>7.2757740415669972E-2</v>
      </c>
      <c r="D306" s="65">
        <f>IF(Table2[[#This Row],[Country]]&gt;0,(((Table2[[#This Row],[Country]]-B305)/B305)+1)^12-1,"")</f>
        <v>4.923415004575471E-2</v>
      </c>
    </row>
    <row r="307" spans="1:6" x14ac:dyDescent="0.2">
      <c r="A307" s="36">
        <v>31444</v>
      </c>
      <c r="B307" s="37">
        <f>VLOOKUP(A307,Data!$E:$BG,MATCH(Country!$A$1,Data!$E$1:$BG$1,),)</f>
        <v>20.882670000000001</v>
      </c>
      <c r="C307" s="65">
        <f>IF(B295&gt;0,(Table2[[#This Row],[Country]]-B295)/B295,0)</f>
        <v>6.7456899526197794E-2</v>
      </c>
      <c r="D307" s="65">
        <f>IF(Table2[[#This Row],[Country]]&gt;0,(((Table2[[#This Row],[Country]]-B306)/B306)+1)^12-1,"")</f>
        <v>5.304399305163221E-2</v>
      </c>
    </row>
    <row r="308" spans="1:6" x14ac:dyDescent="0.2">
      <c r="A308" s="36">
        <v>31472</v>
      </c>
      <c r="B308" s="37">
        <f>VLOOKUP(A308,Data!$E:$BG,MATCH(Country!$A$1,Data!$E$1:$BG$1,),)</f>
        <v>21.050529999999998</v>
      </c>
      <c r="C308" s="65">
        <f>IF(B296&gt;0,(Table2[[#This Row],[Country]]-B296)/B296,0)</f>
        <v>7.0535040450457498E-2</v>
      </c>
      <c r="D308" s="65">
        <f>IF(Table2[[#This Row],[Country]]&gt;0,(((Table2[[#This Row],[Country]]-B307)/B307)+1)^12-1,"")</f>
        <v>0.10083976874427436</v>
      </c>
    </row>
    <row r="309" spans="1:6" x14ac:dyDescent="0.2">
      <c r="A309" s="36">
        <v>31503</v>
      </c>
      <c r="B309" s="37">
        <f>VLOOKUP(A309,Data!$E:$BG,MATCH(Country!$A$1,Data!$E$1:$BG$1,),)</f>
        <v>21.255790000000001</v>
      </c>
      <c r="C309" s="65">
        <f>IF(B297&gt;0,(Table2[[#This Row],[Country]]-B297)/B297,0)</f>
        <v>7.678664965891624E-2</v>
      </c>
      <c r="D309" s="65">
        <f>IF(Table2[[#This Row],[Country]]&gt;0,(((Table2[[#This Row],[Country]]-B308)/B308)+1)^12-1,"")</f>
        <v>0.12349357134680861</v>
      </c>
    </row>
    <row r="310" spans="1:6" x14ac:dyDescent="0.2">
      <c r="A310" s="36">
        <v>31533</v>
      </c>
      <c r="B310" s="37">
        <f>VLOOKUP(A310,Data!$E:$BG,MATCH(Country!$A$1,Data!$E$1:$BG$1,),)</f>
        <v>21.480170000000001</v>
      </c>
      <c r="C310" s="65">
        <f>IF(B298&gt;0,(Table2[[#This Row],[Country]]-B298)/B298,0)</f>
        <v>8.1732611713943512E-2</v>
      </c>
      <c r="D310" s="65">
        <f>IF(Table2[[#This Row],[Country]]&gt;0,(((Table2[[#This Row],[Country]]-B309)/B309)+1)^12-1,"")</f>
        <v>0.13429380747940556</v>
      </c>
    </row>
    <row r="311" spans="1:6" x14ac:dyDescent="0.2">
      <c r="A311" s="36">
        <v>31564</v>
      </c>
      <c r="B311" s="37">
        <f>VLOOKUP(A311,Data!$E:$BG,MATCH(Country!$A$1,Data!$E$1:$BG$1,),)</f>
        <v>21.648040000000002</v>
      </c>
      <c r="C311" s="65">
        <f>IF(B299&gt;0,(Table2[[#This Row],[Country]]-B299)/B299,0)</f>
        <v>7.974851801697333E-2</v>
      </c>
      <c r="D311" s="65">
        <f>IF(Table2[[#This Row],[Country]]&gt;0,(((Table2[[#This Row],[Country]]-B310)/B310)+1)^12-1,"")</f>
        <v>9.7919277571699048E-2</v>
      </c>
    </row>
    <row r="312" spans="1:6" x14ac:dyDescent="0.2">
      <c r="A312" s="36">
        <v>31594</v>
      </c>
      <c r="B312" s="37">
        <f>VLOOKUP(A312,Data!$E:$BG,MATCH(Country!$A$1,Data!$E$1:$BG$1,),)</f>
        <v>21.827529999999999</v>
      </c>
      <c r="C312" s="65">
        <f>IF(B300&gt;0,(Table2[[#This Row],[Country]]-B300)/B300,0)</f>
        <v>8.1127412132979401E-2</v>
      </c>
      <c r="D312" s="65">
        <f>IF(Table2[[#This Row],[Country]]&gt;0,(((Table2[[#This Row],[Country]]-B311)/B311)+1)^12-1,"")</f>
        <v>0.10416034275212649</v>
      </c>
    </row>
    <row r="313" spans="1:6" x14ac:dyDescent="0.2">
      <c r="A313" s="36">
        <v>31625</v>
      </c>
      <c r="B313" s="37">
        <f>VLOOKUP(A313,Data!$E:$BG,MATCH(Country!$A$1,Data!$E$1:$BG$1,),)</f>
        <v>21.992909999999998</v>
      </c>
      <c r="C313" s="65">
        <f>IF(B301&gt;0,(Table2[[#This Row],[Country]]-B301)/B301,0)</f>
        <v>8.2856353664607085E-2</v>
      </c>
      <c r="D313" s="65">
        <f>IF(Table2[[#This Row],[Country]]&gt;0,(((Table2[[#This Row],[Country]]-B312)/B312)+1)^12-1,"")</f>
        <v>9.4806175474654308E-2</v>
      </c>
    </row>
    <row r="314" spans="1:6" x14ac:dyDescent="0.2">
      <c r="A314" s="36">
        <v>31656</v>
      </c>
      <c r="B314" s="37">
        <f>VLOOKUP(A314,Data!$E:$BG,MATCH(Country!$A$1,Data!$E$1:$BG$1,),)</f>
        <v>22.169910000000002</v>
      </c>
      <c r="C314" s="65">
        <f>IF(B302&gt;0,(Table2[[#This Row],[Country]]-B302)/B302,0)</f>
        <v>8.6060743227156775E-2</v>
      </c>
      <c r="D314" s="65">
        <f>IF(Table2[[#This Row],[Country]]&gt;0,(((Table2[[#This Row],[Country]]-B313)/B313)+1)^12-1,"")</f>
        <v>0.10096825525843567</v>
      </c>
    </row>
    <row r="315" spans="1:6" x14ac:dyDescent="0.2">
      <c r="A315" s="36">
        <v>31686</v>
      </c>
      <c r="B315" s="37">
        <f>VLOOKUP(A315,Data!$E:$BG,MATCH(Country!$A$1,Data!$E$1:$BG$1,),)</f>
        <v>22.332789999999999</v>
      </c>
      <c r="C315" s="65">
        <f>IF(B303&gt;0,(Table2[[#This Row],[Country]]-B303)/B303,0)</f>
        <v>8.8897654457388994E-2</v>
      </c>
      <c r="D315" s="65">
        <f>IF(Table2[[#This Row],[Country]]&gt;0,(((Table2[[#This Row],[Country]]-B314)/B314)+1)^12-1,"")</f>
        <v>9.1813915623658815E-2</v>
      </c>
    </row>
    <row r="316" spans="1:6" x14ac:dyDescent="0.2">
      <c r="A316" s="36">
        <v>31717</v>
      </c>
      <c r="B316" s="37">
        <f>VLOOKUP(A316,Data!$E:$BG,MATCH(Country!$A$1,Data!$E$1:$BG$1,),)</f>
        <v>22.448309999999999</v>
      </c>
      <c r="C316" s="65">
        <f>IF(B304&gt;0,(Table2[[#This Row],[Country]]-B304)/B304,0)</f>
        <v>9.0201146327178267E-2</v>
      </c>
      <c r="D316" s="65">
        <f>IF(Table2[[#This Row],[Country]]&gt;0,(((Table2[[#This Row],[Country]]-B315)/B315)+1)^12-1,"")</f>
        <v>6.3868688962966491E-2</v>
      </c>
    </row>
    <row r="317" spans="1:6" x14ac:dyDescent="0.2">
      <c r="A317" s="36">
        <v>31747</v>
      </c>
      <c r="B317" s="37">
        <f>VLOOKUP(A317,Data!$E:$BG,MATCH(Country!$A$1,Data!$E$1:$BG$1,),)</f>
        <v>22.670190000000002</v>
      </c>
      <c r="C317" s="65">
        <f>IF(B305&gt;0,(Table2[[#This Row],[Country]]-B305)/B305,0)</f>
        <v>9.4659487460290584E-2</v>
      </c>
      <c r="D317" s="65">
        <f>IF(Table2[[#This Row],[Country]]&gt;0,(((Table2[[#This Row],[Country]]-B316)/B316)+1)^12-1,"")</f>
        <v>0.12527353886346693</v>
      </c>
    </row>
    <row r="318" spans="1:6" x14ac:dyDescent="0.2">
      <c r="A318" s="36">
        <v>31778</v>
      </c>
      <c r="B318" s="37">
        <f>VLOOKUP(A318,Data!$E:$BG,MATCH(Country!$A$1,Data!$E$1:$BG$1,),)</f>
        <v>22.802320000000002</v>
      </c>
      <c r="C318" s="65">
        <f>IF(B306&gt;0,(Table2[[#This Row],[Country]]-B306)/B306,0)</f>
        <v>9.6638663545091458E-2</v>
      </c>
      <c r="D318" s="65">
        <f>IF(Table2[[#This Row],[Country]]&gt;0,(((Table2[[#This Row],[Country]]-B317)/B317)+1)^12-1,"")</f>
        <v>7.2226443317718658E-2</v>
      </c>
    </row>
    <row r="319" spans="1:6" x14ac:dyDescent="0.2">
      <c r="A319" s="36">
        <v>31809</v>
      </c>
      <c r="B319" s="37">
        <f>VLOOKUP(A319,Data!$E:$BG,MATCH(Country!$A$1,Data!$E$1:$BG$1,),)</f>
        <v>22.832239999999999</v>
      </c>
      <c r="C319" s="65">
        <f>IF(B307&gt;0,(Table2[[#This Row],[Country]]-B307)/B307,0)</f>
        <v>9.3358272672986631E-2</v>
      </c>
      <c r="D319" s="65">
        <f>IF(Table2[[#This Row],[Country]]&gt;0,(((Table2[[#This Row],[Country]]-B318)/B318)+1)^12-1,"")</f>
        <v>1.5859898902207847E-2</v>
      </c>
      <c r="F319" s="21"/>
    </row>
    <row r="320" spans="1:6" x14ac:dyDescent="0.2">
      <c r="A320" s="36">
        <v>31837</v>
      </c>
      <c r="B320" s="37">
        <f>VLOOKUP(A320,Data!$E:$BG,MATCH(Country!$A$1,Data!$E$1:$BG$1,),)</f>
        <v>22.883759999999999</v>
      </c>
      <c r="C320" s="65">
        <f>IF(B308&gt;0,(Table2[[#This Row],[Country]]-B308)/B308,0)</f>
        <v>8.7087118471601457E-2</v>
      </c>
      <c r="D320" s="65">
        <f>IF(Table2[[#This Row],[Country]]&gt;0,(((Table2[[#This Row],[Country]]-B319)/B319)+1)^12-1,"")</f>
        <v>2.7416087296116443E-2</v>
      </c>
    </row>
    <row r="321" spans="1:4" x14ac:dyDescent="0.2">
      <c r="A321" s="36">
        <v>31868</v>
      </c>
      <c r="B321" s="37">
        <f>VLOOKUP(A321,Data!$E:$BG,MATCH(Country!$A$1,Data!$E$1:$BG$1,),)</f>
        <v>23.0001</v>
      </c>
      <c r="C321" s="65">
        <f>IF(B309&gt;0,(Table2[[#This Row],[Country]]-B309)/B309,0)</f>
        <v>8.2062816766631519E-2</v>
      </c>
      <c r="D321" s="65">
        <f>IF(Table2[[#This Row],[Country]]&gt;0,(((Table2[[#This Row],[Country]]-B320)/B320)+1)^12-1,"")</f>
        <v>6.2742574167630183E-2</v>
      </c>
    </row>
    <row r="322" spans="1:4" x14ac:dyDescent="0.2">
      <c r="A322" s="36">
        <v>31898</v>
      </c>
      <c r="B322" s="37">
        <f>VLOOKUP(A322,Data!$E:$BG,MATCH(Country!$A$1,Data!$E$1:$BG$1,),)</f>
        <v>23.043310000000002</v>
      </c>
      <c r="C322" s="65">
        <f>IF(B310&gt;0,(Table2[[#This Row],[Country]]-B310)/B310,0)</f>
        <v>7.2771304882596394E-2</v>
      </c>
      <c r="D322" s="65">
        <f>IF(Table2[[#This Row],[Country]]&gt;0,(((Table2[[#This Row],[Country]]-B321)/B321)+1)^12-1,"")</f>
        <v>2.2778659560454217E-2</v>
      </c>
    </row>
    <row r="323" spans="1:4" x14ac:dyDescent="0.2">
      <c r="A323" s="36">
        <v>31929</v>
      </c>
      <c r="B323" s="37">
        <f>VLOOKUP(A323,Data!$E:$BG,MATCH(Country!$A$1,Data!$E$1:$BG$1,),)</f>
        <v>23.05744</v>
      </c>
      <c r="C323" s="65">
        <f>IF(B311&gt;0,(Table2[[#This Row],[Country]]-B311)/B311,0)</f>
        <v>6.5105201209901584E-2</v>
      </c>
      <c r="D323" s="65">
        <f>IF(Table2[[#This Row],[Country]]&gt;0,(((Table2[[#This Row],[Country]]-B322)/B322)+1)^12-1,"")</f>
        <v>7.3831850606551619E-3</v>
      </c>
    </row>
    <row r="324" spans="1:4" x14ac:dyDescent="0.2">
      <c r="A324" s="36">
        <v>31959</v>
      </c>
      <c r="B324" s="37">
        <f>VLOOKUP(A324,Data!$E:$BG,MATCH(Country!$A$1,Data!$E$1:$BG$1,),)</f>
        <v>23.094010000000001</v>
      </c>
      <c r="C324" s="65">
        <f>IF(B312&gt;0,(Table2[[#This Row],[Country]]-B312)/B312,0)</f>
        <v>5.8022139930628956E-2</v>
      </c>
      <c r="D324" s="65">
        <f>IF(Table2[[#This Row],[Country]]&gt;0,(((Table2[[#This Row],[Country]]-B323)/B323)+1)^12-1,"")</f>
        <v>1.9199373664930963E-2</v>
      </c>
    </row>
    <row r="325" spans="1:4" x14ac:dyDescent="0.2">
      <c r="A325" s="36">
        <v>31990</v>
      </c>
      <c r="B325" s="37">
        <f>VLOOKUP(A325,Data!$E:$BG,MATCH(Country!$A$1,Data!$E$1:$BG$1,),)</f>
        <v>23.170459999999999</v>
      </c>
      <c r="C325" s="65">
        <f>IF(B313&gt;0,(Table2[[#This Row],[Country]]-B313)/B313,0)</f>
        <v>5.3542255208610418E-2</v>
      </c>
      <c r="D325" s="65">
        <f>IF(Table2[[#This Row],[Country]]&gt;0,(((Table2[[#This Row],[Country]]-B324)/B324)+1)^12-1,"")</f>
        <v>4.0455896956950177E-2</v>
      </c>
    </row>
    <row r="326" spans="1:4" x14ac:dyDescent="0.2">
      <c r="A326" s="36">
        <v>32021</v>
      </c>
      <c r="B326" s="37">
        <f>VLOOKUP(A326,Data!$E:$BG,MATCH(Country!$A$1,Data!$E$1:$BG$1,),)</f>
        <v>23.26437</v>
      </c>
      <c r="C326" s="65">
        <f>IF(B314&gt;0,(Table2[[#This Row],[Country]]-B314)/B314,0)</f>
        <v>4.9366912179616335E-2</v>
      </c>
      <c r="D326" s="65">
        <f>IF(Table2[[#This Row],[Country]]&gt;0,(((Table2[[#This Row],[Country]]-B325)/B325)+1)^12-1,"")</f>
        <v>4.9735018982344226E-2</v>
      </c>
    </row>
    <row r="327" spans="1:4" x14ac:dyDescent="0.2">
      <c r="A327" s="36">
        <v>32051</v>
      </c>
      <c r="B327" s="37">
        <f>VLOOKUP(A327,Data!$E:$BG,MATCH(Country!$A$1,Data!$E$1:$BG$1,),)</f>
        <v>23.39151</v>
      </c>
      <c r="C327" s="65">
        <f>IF(B315&gt;0,(Table2[[#This Row],[Country]]-B315)/B315,0)</f>
        <v>4.7406526457285499E-2</v>
      </c>
      <c r="D327" s="65">
        <f>IF(Table2[[#This Row],[Country]]&gt;0,(((Table2[[#This Row],[Country]]-B326)/B326)+1)^12-1,"")</f>
        <v>6.7587643800330222E-2</v>
      </c>
    </row>
    <row r="328" spans="1:4" x14ac:dyDescent="0.2">
      <c r="A328" s="36">
        <v>32082</v>
      </c>
      <c r="B328" s="37">
        <f>VLOOKUP(A328,Data!$E:$BG,MATCH(Country!$A$1,Data!$E$1:$BG$1,),)</f>
        <v>23.42558</v>
      </c>
      <c r="C328" s="65">
        <f>IF(B316&gt;0,(Table2[[#This Row],[Country]]-B316)/B316,0)</f>
        <v>4.3534234871132872E-2</v>
      </c>
      <c r="D328" s="65">
        <f>IF(Table2[[#This Row],[Country]]&gt;0,(((Table2[[#This Row],[Country]]-B327)/B327)+1)^12-1,"")</f>
        <v>1.7618832376921967E-2</v>
      </c>
    </row>
    <row r="329" spans="1:4" x14ac:dyDescent="0.2">
      <c r="A329" s="36">
        <v>32112</v>
      </c>
      <c r="B329" s="37">
        <f>VLOOKUP(A329,Data!$E:$BG,MATCH(Country!$A$1,Data!$E$1:$BG$1,),)</f>
        <v>23.487909999999999</v>
      </c>
      <c r="C329" s="65">
        <f>IF(B317&gt;0,(Table2[[#This Row],[Country]]-B317)/B317,0)</f>
        <v>3.6070275546874454E-2</v>
      </c>
      <c r="D329" s="65">
        <f>IF(Table2[[#This Row],[Country]]&gt;0,(((Table2[[#This Row],[Country]]-B328)/B328)+1)^12-1,"")</f>
        <v>3.2400626697602242E-2</v>
      </c>
    </row>
    <row r="330" spans="1:4" x14ac:dyDescent="0.2">
      <c r="A330" s="36">
        <v>32143</v>
      </c>
      <c r="B330" s="37">
        <f>VLOOKUP(A330,Data!$E:$BG,MATCH(Country!$A$1,Data!$E$1:$BG$1,),)</f>
        <v>23.662420000000001</v>
      </c>
      <c r="C330" s="65">
        <f>IF(B318&gt;0,(Table2[[#This Row],[Country]]-B318)/B318,0)</f>
        <v>3.7719846050752695E-2</v>
      </c>
      <c r="D330" s="65">
        <f>IF(Table2[[#This Row],[Country]]&gt;0,(((Table2[[#This Row],[Country]]-B329)/B329)+1)^12-1,"")</f>
        <v>9.2892421816696435E-2</v>
      </c>
    </row>
    <row r="331" spans="1:4" x14ac:dyDescent="0.2">
      <c r="A331" s="36">
        <v>32174</v>
      </c>
      <c r="B331" s="37">
        <f>VLOOKUP(A331,Data!$E:$BG,MATCH(Country!$A$1,Data!$E$1:$BG$1,),)</f>
        <v>23.853560000000002</v>
      </c>
      <c r="C331" s="65">
        <f>IF(B319&gt;0,(Table2[[#This Row],[Country]]-B319)/B319,0)</f>
        <v>4.4731484952856268E-2</v>
      </c>
      <c r="D331" s="65">
        <f>IF(Table2[[#This Row],[Country]]&gt;0,(((Table2[[#This Row],[Country]]-B330)/B330)+1)^12-1,"")</f>
        <v>0.10135808551341308</v>
      </c>
    </row>
    <row r="332" spans="1:4" x14ac:dyDescent="0.2">
      <c r="A332" s="36">
        <v>32203</v>
      </c>
      <c r="B332" s="37">
        <f>VLOOKUP(A332,Data!$E:$BG,MATCH(Country!$A$1,Data!$E$1:$BG$1,),)</f>
        <v>24.02225</v>
      </c>
      <c r="C332" s="65">
        <f>IF(B320&gt;0,(Table2[[#This Row],[Country]]-B320)/B320,0)</f>
        <v>4.9751002457638124E-2</v>
      </c>
      <c r="D332" s="65">
        <f>IF(Table2[[#This Row],[Country]]&gt;0,(((Table2[[#This Row],[Country]]-B331)/B331)+1)^12-1,"")</f>
        <v>8.824264312566088E-2</v>
      </c>
    </row>
    <row r="333" spans="1:4" x14ac:dyDescent="0.2">
      <c r="A333" s="36">
        <v>32234</v>
      </c>
      <c r="B333" s="37">
        <f>VLOOKUP(A333,Data!$E:$BG,MATCH(Country!$A$1,Data!$E$1:$BG$1,),)</f>
        <v>24.188459999999999</v>
      </c>
      <c r="C333" s="65">
        <f>IF(B321&gt;0,(Table2[[#This Row],[Country]]-B321)/B321,0)</f>
        <v>5.1667601445211084E-2</v>
      </c>
      <c r="D333" s="65">
        <f>IF(Table2[[#This Row],[Country]]&gt;0,(((Table2[[#This Row],[Country]]-B332)/B332)+1)^12-1,"")</f>
        <v>8.6261634931116715E-2</v>
      </c>
    </row>
    <row r="334" spans="1:4" x14ac:dyDescent="0.2">
      <c r="A334" s="36">
        <v>32264</v>
      </c>
      <c r="B334" s="37">
        <f>VLOOKUP(A334,Data!$E:$BG,MATCH(Country!$A$1,Data!$E$1:$BG$1,),)</f>
        <v>24.31561</v>
      </c>
      <c r="C334" s="65">
        <f>IF(B322&gt;0,(Table2[[#This Row],[Country]]-B322)/B322,0)</f>
        <v>5.5213422030081512E-2</v>
      </c>
      <c r="D334" s="65">
        <f>IF(Table2[[#This Row],[Country]]&gt;0,(((Table2[[#This Row],[Country]]-B333)/B333)+1)^12-1,"")</f>
        <v>6.4935732350615671E-2</v>
      </c>
    </row>
    <row r="335" spans="1:4" x14ac:dyDescent="0.2">
      <c r="A335" s="36">
        <v>32295</v>
      </c>
      <c r="B335" s="37">
        <f>VLOOKUP(A335,Data!$E:$BG,MATCH(Country!$A$1,Data!$E$1:$BG$1,),)</f>
        <v>24.41865</v>
      </c>
      <c r="C335" s="65">
        <f>IF(B323&gt;0,(Table2[[#This Row],[Country]]-B323)/B323,0)</f>
        <v>5.9035608463038389E-2</v>
      </c>
      <c r="D335" s="65">
        <f>IF(Table2[[#This Row],[Country]]&gt;0,(((Table2[[#This Row],[Country]]-B334)/B334)+1)^12-1,"")</f>
        <v>5.20533689412912E-2</v>
      </c>
    </row>
    <row r="336" spans="1:4" x14ac:dyDescent="0.2">
      <c r="A336" s="36">
        <v>32325</v>
      </c>
      <c r="B336" s="37">
        <f>VLOOKUP(A336,Data!$E:$BG,MATCH(Country!$A$1,Data!$E$1:$BG$1,),)</f>
        <v>24.491779999999999</v>
      </c>
      <c r="C336" s="65">
        <f>IF(B324&gt;0,(Table2[[#This Row],[Country]]-B324)/B324,0)</f>
        <v>6.0525218444089944E-2</v>
      </c>
      <c r="D336" s="65">
        <f>IF(Table2[[#This Row],[Country]]&gt;0,(((Table2[[#This Row],[Country]]-B335)/B335)+1)^12-1,"")</f>
        <v>3.6536013322825189E-2</v>
      </c>
    </row>
    <row r="337" spans="1:4" x14ac:dyDescent="0.2">
      <c r="A337" s="36">
        <v>32356</v>
      </c>
      <c r="B337" s="37">
        <f>VLOOKUP(A337,Data!$E:$BG,MATCH(Country!$A$1,Data!$E$1:$BG$1,),)</f>
        <v>24.531669999999998</v>
      </c>
      <c r="C337" s="65">
        <f>IF(B325&gt;0,(Table2[[#This Row],[Country]]-B325)/B325,0)</f>
        <v>5.8747646788194961E-2</v>
      </c>
      <c r="D337" s="65">
        <f>IF(Table2[[#This Row],[Country]]&gt;0,(((Table2[[#This Row],[Country]]-B336)/B336)+1)^12-1,"")</f>
        <v>1.9720548456217291E-2</v>
      </c>
    </row>
    <row r="338" spans="1:4" x14ac:dyDescent="0.2">
      <c r="A338" s="36">
        <v>32387</v>
      </c>
      <c r="B338" s="37">
        <f>VLOOKUP(A338,Data!$E:$BG,MATCH(Country!$A$1,Data!$E$1:$BG$1,),)</f>
        <v>24.572389999999999</v>
      </c>
      <c r="C338" s="65">
        <f>IF(B326&gt;0,(Table2[[#This Row],[Country]]-B326)/B326,0)</f>
        <v>5.6224174563936143E-2</v>
      </c>
      <c r="D338" s="65">
        <f>IF(Table2[[#This Row],[Country]]&gt;0,(((Table2[[#This Row],[Country]]-B337)/B337)+1)^12-1,"")</f>
        <v>2.0101598321083936E-2</v>
      </c>
    </row>
    <row r="339" spans="1:4" x14ac:dyDescent="0.2">
      <c r="A339" s="36">
        <v>32417</v>
      </c>
      <c r="B339" s="37">
        <f>VLOOKUP(A339,Data!$E:$BG,MATCH(Country!$A$1,Data!$E$1:$BG$1,),)</f>
        <v>24.642189999999999</v>
      </c>
      <c r="C339" s="65">
        <f>IF(B327&gt;0,(Table2[[#This Row],[Country]]-B327)/B327,0)</f>
        <v>5.346726226737817E-2</v>
      </c>
      <c r="D339" s="65">
        <f>IF(Table2[[#This Row],[Country]]&gt;0,(((Table2[[#This Row],[Country]]-B338)/B338)+1)^12-1,"")</f>
        <v>3.4624662724003441E-2</v>
      </c>
    </row>
    <row r="340" spans="1:4" x14ac:dyDescent="0.2">
      <c r="A340" s="36">
        <v>32448</v>
      </c>
      <c r="B340" s="37">
        <f>VLOOKUP(A340,Data!$E:$BG,MATCH(Country!$A$1,Data!$E$1:$BG$1,),)</f>
        <v>24.766020000000001</v>
      </c>
      <c r="C340" s="65">
        <f>IF(B328&gt;0,(Table2[[#This Row],[Country]]-B328)/B328,0)</f>
        <v>5.7221208610416519E-2</v>
      </c>
      <c r="D340" s="65">
        <f>IF(Table2[[#This Row],[Country]]&gt;0,(((Table2[[#This Row],[Country]]-B339)/B339)+1)^12-1,"")</f>
        <v>6.1996315254886802E-2</v>
      </c>
    </row>
    <row r="341" spans="1:4" x14ac:dyDescent="0.2">
      <c r="A341" s="36">
        <v>32478</v>
      </c>
      <c r="B341" s="37">
        <f>VLOOKUP(A341,Data!$E:$BG,MATCH(Country!$A$1,Data!$E$1:$BG$1,),)</f>
        <v>24.8325</v>
      </c>
      <c r="C341" s="65">
        <f>IF(B329&gt;0,(Table2[[#This Row],[Country]]-B329)/B329,0)</f>
        <v>5.7246047008865424E-2</v>
      </c>
      <c r="D341" s="65">
        <f>IF(Table2[[#This Row],[Country]]&gt;0,(((Table2[[#This Row],[Country]]-B340)/B340)+1)^12-1,"")</f>
        <v>3.2691727463069364E-2</v>
      </c>
    </row>
    <row r="342" spans="1:4" x14ac:dyDescent="0.2">
      <c r="A342" s="36">
        <v>32509</v>
      </c>
      <c r="B342" s="37">
        <f>VLOOKUP(A342,Data!$E:$BG,MATCH(Country!$A$1,Data!$E$1:$BG$1,),)</f>
        <v>24.86158</v>
      </c>
      <c r="C342" s="65">
        <f>IF(B330&gt;0,(Table2[[#This Row],[Country]]-B330)/B330,0)</f>
        <v>5.0677825852131736E-2</v>
      </c>
      <c r="D342" s="65">
        <f>IF(Table2[[#This Row],[Country]]&gt;0,(((Table2[[#This Row],[Country]]-B341)/B341)+1)^12-1,"")</f>
        <v>1.4143415350179156E-2</v>
      </c>
    </row>
    <row r="343" spans="1:4" x14ac:dyDescent="0.2">
      <c r="A343" s="36">
        <v>32540</v>
      </c>
      <c r="B343" s="37">
        <f>VLOOKUP(A343,Data!$E:$BG,MATCH(Country!$A$1,Data!$E$1:$BG$1,),)</f>
        <v>24.865739999999999</v>
      </c>
      <c r="C343" s="65">
        <f>IF(B331&gt;0,(Table2[[#This Row],[Country]]-B331)/B331,0)</f>
        <v>4.2433079171410773E-2</v>
      </c>
      <c r="D343" s="65">
        <f>IF(Table2[[#This Row],[Country]]&gt;0,(((Table2[[#This Row],[Country]]-B342)/B342)+1)^12-1,"")</f>
        <v>2.0097663456817294E-3</v>
      </c>
    </row>
    <row r="344" spans="1:4" x14ac:dyDescent="0.2">
      <c r="A344" s="36">
        <v>32568</v>
      </c>
      <c r="B344" s="37">
        <f>VLOOKUP(A344,Data!$E:$BG,MATCH(Country!$A$1,Data!$E$1:$BG$1,),)</f>
        <v>24.928059999999999</v>
      </c>
      <c r="C344" s="65">
        <f>IF(B332&gt;0,(Table2[[#This Row],[Country]]-B332)/B332,0)</f>
        <v>3.7707125685562295E-2</v>
      </c>
      <c r="D344" s="65">
        <f>IF(Table2[[#This Row],[Country]]&gt;0,(((Table2[[#This Row],[Country]]-B343)/B343)+1)^12-1,"")</f>
        <v>3.0493166653794201E-2</v>
      </c>
    </row>
    <row r="345" spans="1:4" x14ac:dyDescent="0.2">
      <c r="A345" s="36">
        <v>32599</v>
      </c>
      <c r="B345" s="37">
        <f>VLOOKUP(A345,Data!$E:$BG,MATCH(Country!$A$1,Data!$E$1:$BG$1,),)</f>
        <v>24.980419999999999</v>
      </c>
      <c r="C345" s="65">
        <f>IF(B333&gt;0,(Table2[[#This Row],[Country]]-B333)/B333,0)</f>
        <v>3.2741232802749723E-2</v>
      </c>
      <c r="D345" s="65">
        <f>IF(Table2[[#This Row],[Country]]&gt;0,(((Table2[[#This Row],[Country]]-B344)/B344)+1)^12-1,"")</f>
        <v>2.5498562396667479E-2</v>
      </c>
    </row>
    <row r="346" spans="1:4" x14ac:dyDescent="0.2">
      <c r="A346" s="36">
        <v>32629</v>
      </c>
      <c r="B346" s="37">
        <f>VLOOKUP(A346,Data!$E:$BG,MATCH(Country!$A$1,Data!$E$1:$BG$1,),)</f>
        <v>25.026959999999999</v>
      </c>
      <c r="C346" s="65">
        <f>IF(B334&gt;0,(Table2[[#This Row],[Country]]-B334)/B334,0)</f>
        <v>2.9254869608453148E-2</v>
      </c>
      <c r="D346" s="65">
        <f>IF(Table2[[#This Row],[Country]]&gt;0,(((Table2[[#This Row],[Country]]-B345)/B345)+1)^12-1,"")</f>
        <v>2.2587223721086014E-2</v>
      </c>
    </row>
    <row r="347" spans="1:4" x14ac:dyDescent="0.2">
      <c r="A347" s="36">
        <v>32660</v>
      </c>
      <c r="B347" s="37">
        <f>VLOOKUP(A347,Data!$E:$BG,MATCH(Country!$A$1,Data!$E$1:$BG$1,),)</f>
        <v>25.162410000000001</v>
      </c>
      <c r="C347" s="65">
        <f>IF(B335&gt;0,(Table2[[#This Row],[Country]]-B335)/B335,0)</f>
        <v>3.0458686291011245E-2</v>
      </c>
      <c r="D347" s="65">
        <f>IF(Table2[[#This Row],[Country]]&gt;0,(((Table2[[#This Row],[Country]]-B346)/B346)+1)^12-1,"")</f>
        <v>6.6914507307642701E-2</v>
      </c>
    </row>
    <row r="348" spans="1:4" x14ac:dyDescent="0.2">
      <c r="A348" s="36">
        <v>32690</v>
      </c>
      <c r="B348" s="37">
        <f>VLOOKUP(A348,Data!$E:$BG,MATCH(Country!$A$1,Data!$E$1:$BG$1,),)</f>
        <v>25.366009999999999</v>
      </c>
      <c r="C348" s="65">
        <f>IF(B336&gt;0,(Table2[[#This Row],[Country]]-B336)/B336,0)</f>
        <v>3.5694833123603137E-2</v>
      </c>
      <c r="D348" s="65">
        <f>IF(Table2[[#This Row],[Country]]&gt;0,(((Table2[[#This Row],[Country]]-B347)/B347)+1)^12-1,"")</f>
        <v>0.10153702063032699</v>
      </c>
    </row>
    <row r="349" spans="1:4" x14ac:dyDescent="0.2">
      <c r="A349" s="36">
        <v>32721</v>
      </c>
      <c r="B349" s="37">
        <f>VLOOKUP(A349,Data!$E:$BG,MATCH(Country!$A$1,Data!$E$1:$BG$1,),)</f>
        <v>25.548839999999998</v>
      </c>
      <c r="C349" s="65">
        <f>IF(B337&gt;0,(Table2[[#This Row],[Country]]-B337)/B337,0)</f>
        <v>4.1463544878925902E-2</v>
      </c>
      <c r="D349" s="65">
        <f>IF(Table2[[#This Row],[Country]]&gt;0,(((Table2[[#This Row],[Country]]-B348)/B348)+1)^12-1,"")</f>
        <v>9.0004589578547733E-2</v>
      </c>
    </row>
    <row r="350" spans="1:4" x14ac:dyDescent="0.2">
      <c r="A350" s="36">
        <v>32752</v>
      </c>
      <c r="B350" s="37">
        <f>VLOOKUP(A350,Data!$E:$BG,MATCH(Country!$A$1,Data!$E$1:$BG$1,),)</f>
        <v>25.699249999999999</v>
      </c>
      <c r="C350" s="65">
        <f>IF(B338&gt;0,(Table2[[#This Row],[Country]]-B338)/B338,0)</f>
        <v>4.5858787036995613E-2</v>
      </c>
      <c r="D350" s="65">
        <f>IF(Table2[[#This Row],[Country]]&gt;0,(((Table2[[#This Row],[Country]]-B349)/B349)+1)^12-1,"")</f>
        <v>7.2978825803423186E-2</v>
      </c>
    </row>
    <row r="351" spans="1:4" x14ac:dyDescent="0.2">
      <c r="A351" s="36">
        <v>32782</v>
      </c>
      <c r="B351" s="37">
        <f>VLOOKUP(A351,Data!$E:$BG,MATCH(Country!$A$1,Data!$E$1:$BG$1,),)</f>
        <v>25.87875</v>
      </c>
      <c r="C351" s="65">
        <f>IF(B339&gt;0,(Table2[[#This Row],[Country]]-B339)/B339,0)</f>
        <v>5.0180604889419354E-2</v>
      </c>
      <c r="D351" s="65">
        <f>IF(Table2[[#This Row],[Country]]&gt;0,(((Table2[[#This Row],[Country]]-B350)/B350)+1)^12-1,"")</f>
        <v>8.7111653850535209E-2</v>
      </c>
    </row>
    <row r="352" spans="1:4" x14ac:dyDescent="0.2">
      <c r="A352" s="36">
        <v>32813</v>
      </c>
      <c r="B352" s="37">
        <f>VLOOKUP(A352,Data!$E:$BG,MATCH(Country!$A$1,Data!$E$1:$BG$1,),)</f>
        <v>26.038309999999999</v>
      </c>
      <c r="C352" s="65">
        <f>IF(B340&gt;0,(Table2[[#This Row],[Country]]-B340)/B340,0)</f>
        <v>5.1372404609218519E-2</v>
      </c>
      <c r="D352" s="65">
        <f>IF(Table2[[#This Row],[Country]]&gt;0,(((Table2[[#This Row],[Country]]-B351)/B351)+1)^12-1,"")</f>
        <v>7.6549433687874702E-2</v>
      </c>
    </row>
    <row r="353" spans="1:4" x14ac:dyDescent="0.2">
      <c r="A353" s="36">
        <v>32843</v>
      </c>
      <c r="B353" s="37">
        <f>VLOOKUP(A353,Data!$E:$BG,MATCH(Country!$A$1,Data!$E$1:$BG$1,),)</f>
        <v>26.197859999999999</v>
      </c>
      <c r="C353" s="65">
        <f>IF(B341&gt;0,(Table2[[#This Row],[Country]]-B341)/B341,0)</f>
        <v>5.4982784657203222E-2</v>
      </c>
      <c r="D353" s="65">
        <f>IF(Table2[[#This Row],[Country]]&gt;0,(((Table2[[#This Row],[Country]]-B352)/B352)+1)^12-1,"")</f>
        <v>7.6059497767384521E-2</v>
      </c>
    </row>
    <row r="354" spans="1:4" x14ac:dyDescent="0.2">
      <c r="A354" s="36">
        <v>32874</v>
      </c>
      <c r="B354" s="37">
        <f>VLOOKUP(A354,Data!$E:$BG,MATCH(Country!$A$1,Data!$E$1:$BG$1,),)</f>
        <v>26.316700000000001</v>
      </c>
      <c r="C354" s="65">
        <f>IF(B342&gt;0,(Table2[[#This Row],[Country]]-B342)/B342,0)</f>
        <v>5.852886260647959E-2</v>
      </c>
      <c r="D354" s="65">
        <f>IF(Table2[[#This Row],[Country]]&gt;0,(((Table2[[#This Row],[Country]]-B353)/B353)+1)^12-1,"")</f>
        <v>5.5813845828021957E-2</v>
      </c>
    </row>
    <row r="355" spans="1:4" x14ac:dyDescent="0.2">
      <c r="A355" s="36">
        <v>32905</v>
      </c>
      <c r="B355" s="37">
        <f>VLOOKUP(A355,Data!$E:$BG,MATCH(Country!$A$1,Data!$E$1:$BG$1,),)</f>
        <v>26.419740000000001</v>
      </c>
      <c r="C355" s="65">
        <f>IF(B343&gt;0,(Table2[[#This Row],[Country]]-B343)/B343,0)</f>
        <v>6.2495626512623477E-2</v>
      </c>
      <c r="D355" s="65">
        <f>IF(Table2[[#This Row],[Country]]&gt;0,(((Table2[[#This Row],[Country]]-B354)/B354)+1)^12-1,"")</f>
        <v>4.8009732202579425E-2</v>
      </c>
    </row>
    <row r="356" spans="1:4" x14ac:dyDescent="0.2">
      <c r="A356" s="36">
        <v>32933</v>
      </c>
      <c r="B356" s="37">
        <f>VLOOKUP(A356,Data!$E:$BG,MATCH(Country!$A$1,Data!$E$1:$BG$1,),)</f>
        <v>26.51032</v>
      </c>
      <c r="C356" s="65">
        <f>IF(B344&gt;0,(Table2[[#This Row],[Country]]-B344)/B344,0)</f>
        <v>6.3473050048820548E-2</v>
      </c>
      <c r="D356" s="65">
        <f>IF(Table2[[#This Row],[Country]]&gt;0,(((Table2[[#This Row],[Country]]-B355)/B355)+1)^12-1,"")</f>
        <v>4.1926702265596916E-2</v>
      </c>
    </row>
    <row r="357" spans="1:4" x14ac:dyDescent="0.2">
      <c r="A357" s="36">
        <v>32964</v>
      </c>
      <c r="B357" s="37">
        <f>VLOOKUP(A357,Data!$E:$BG,MATCH(Country!$A$1,Data!$E$1:$BG$1,),)</f>
        <v>26.605889999999999</v>
      </c>
      <c r="C357" s="65">
        <f>IF(B345&gt;0,(Table2[[#This Row],[Country]]-B345)/B345,0)</f>
        <v>6.5069762638098161E-2</v>
      </c>
      <c r="D357" s="65">
        <f>IF(Table2[[#This Row],[Country]]&gt;0,(((Table2[[#This Row],[Country]]-B356)/B356)+1)^12-1,"")</f>
        <v>4.4128268469485921E-2</v>
      </c>
    </row>
    <row r="358" spans="1:4" x14ac:dyDescent="0.2">
      <c r="A358" s="36">
        <v>32994</v>
      </c>
      <c r="B358" s="37">
        <f>VLOOKUP(A358,Data!$E:$BG,MATCH(Country!$A$1,Data!$E$1:$BG$1,),)</f>
        <v>26.597580000000001</v>
      </c>
      <c r="C358" s="65">
        <f>IF(B346&gt;0,(Table2[[#This Row],[Country]]-B346)/B346,0)</f>
        <v>6.2757122718860053E-2</v>
      </c>
      <c r="D358" s="65">
        <f>IF(Table2[[#This Row],[Country]]&gt;0,(((Table2[[#This Row],[Country]]-B357)/B357)+1)^12-1,"")</f>
        <v>-3.7416103709421167E-3</v>
      </c>
    </row>
    <row r="359" spans="1:4" x14ac:dyDescent="0.2">
      <c r="A359" s="36">
        <v>33025</v>
      </c>
      <c r="B359" s="37">
        <f>VLOOKUP(A359,Data!$E:$BG,MATCH(Country!$A$1,Data!$E$1:$BG$1,),)</f>
        <v>26.70645</v>
      </c>
      <c r="C359" s="65">
        <f>IF(B347&gt;0,(Table2[[#This Row],[Country]]-B347)/B347,0)</f>
        <v>6.1362961655898579E-2</v>
      </c>
      <c r="D359" s="65">
        <f>IF(Table2[[#This Row],[Country]]&gt;0,(((Table2[[#This Row],[Country]]-B358)/B358)+1)^12-1,"")</f>
        <v>5.0239780758698505E-2</v>
      </c>
    </row>
    <row r="360" spans="1:4" x14ac:dyDescent="0.2">
      <c r="A360" s="36">
        <v>33055</v>
      </c>
      <c r="B360" s="37">
        <f>VLOOKUP(A360,Data!$E:$BG,MATCH(Country!$A$1,Data!$E$1:$BG$1,),)</f>
        <v>26.796189999999999</v>
      </c>
      <c r="C360" s="65">
        <f>IF(B348&gt;0,(Table2[[#This Row],[Country]]-B348)/B348,0)</f>
        <v>5.6381748647106898E-2</v>
      </c>
      <c r="D360" s="65">
        <f>IF(Table2[[#This Row],[Country]]&gt;0,(((Table2[[#This Row],[Country]]-B359)/B359)+1)^12-1,"")</f>
        <v>4.107647253893254E-2</v>
      </c>
    </row>
    <row r="361" spans="1:4" x14ac:dyDescent="0.2">
      <c r="A361" s="36">
        <v>33086</v>
      </c>
      <c r="B361" s="37">
        <f>VLOOKUP(A361,Data!$E:$BG,MATCH(Country!$A$1,Data!$E$1:$BG$1,),)</f>
        <v>26.94162</v>
      </c>
      <c r="C361" s="65">
        <f>IF(B349&gt;0,(Table2[[#This Row],[Country]]-B349)/B349,0)</f>
        <v>5.4514412396022754E-2</v>
      </c>
      <c r="D361" s="65">
        <f>IF(Table2[[#This Row],[Country]]&gt;0,(((Table2[[#This Row],[Country]]-B360)/B360)+1)^12-1,"")</f>
        <v>6.7106814775471202E-2</v>
      </c>
    </row>
    <row r="362" spans="1:4" x14ac:dyDescent="0.2">
      <c r="A362" s="36">
        <v>33117</v>
      </c>
      <c r="B362" s="37">
        <f>VLOOKUP(A362,Data!$E:$BG,MATCH(Country!$A$1,Data!$E$1:$BG$1,),)</f>
        <v>27.046330000000001</v>
      </c>
      <c r="C362" s="65">
        <f>IF(B350&gt;0,(Table2[[#This Row],[Country]]-B350)/B350,0)</f>
        <v>5.2417093884062835E-2</v>
      </c>
      <c r="D362" s="65">
        <f>IF(Table2[[#This Row],[Country]]&gt;0,(((Table2[[#This Row],[Country]]-B361)/B361)+1)^12-1,"")</f>
        <v>4.7648598903445416E-2</v>
      </c>
    </row>
    <row r="363" spans="1:4" x14ac:dyDescent="0.2">
      <c r="A363" s="36">
        <v>33147</v>
      </c>
      <c r="B363" s="37">
        <f>VLOOKUP(A363,Data!$E:$BG,MATCH(Country!$A$1,Data!$E$1:$BG$1,),)</f>
        <v>27.08539</v>
      </c>
      <c r="C363" s="65">
        <f>IF(B351&gt;0,(Table2[[#This Row],[Country]]-B351)/B351,0)</f>
        <v>4.6626672462928086E-2</v>
      </c>
      <c r="D363" s="65">
        <f>IF(Table2[[#This Row],[Country]]&gt;0,(((Table2[[#This Row],[Country]]-B362)/B362)+1)^12-1,"")</f>
        <v>1.7468582293702184E-2</v>
      </c>
    </row>
    <row r="364" spans="1:4" x14ac:dyDescent="0.2">
      <c r="A364" s="36">
        <v>33178</v>
      </c>
      <c r="B364" s="37">
        <f>VLOOKUP(A364,Data!$E:$BG,MATCH(Country!$A$1,Data!$E$1:$BG$1,),)</f>
        <v>27.11281</v>
      </c>
      <c r="C364" s="65">
        <f>IF(B352&gt;0,(Table2[[#This Row],[Country]]-B352)/B352,0)</f>
        <v>4.1266119037679502E-2</v>
      </c>
      <c r="D364" s="65">
        <f>IF(Table2[[#This Row],[Country]]&gt;0,(((Table2[[#This Row],[Country]]-B363)/B363)+1)^12-1,"")</f>
        <v>1.2216116273736422E-2</v>
      </c>
    </row>
    <row r="365" spans="1:4" x14ac:dyDescent="0.2">
      <c r="A365" s="36">
        <v>33208</v>
      </c>
      <c r="B365" s="37">
        <f>VLOOKUP(A365,Data!$E:$BG,MATCH(Country!$A$1,Data!$E$1:$BG$1,),)</f>
        <v>27.18927</v>
      </c>
      <c r="C365" s="65">
        <f>IF(B353&gt;0,(Table2[[#This Row],[Country]]-B353)/B353,0)</f>
        <v>3.7843167342676155E-2</v>
      </c>
      <c r="D365" s="65">
        <f>IF(Table2[[#This Row],[Country]]&gt;0,(((Table2[[#This Row],[Country]]-B364)/B364)+1)^12-1,"")</f>
        <v>3.4370679854870856E-2</v>
      </c>
    </row>
    <row r="366" spans="1:4" x14ac:dyDescent="0.2">
      <c r="A366" s="36">
        <v>33239</v>
      </c>
      <c r="B366" s="37">
        <f>VLOOKUP(A366,Data!$E:$BG,MATCH(Country!$A$1,Data!$E$1:$BG$1,),)</f>
        <v>27.321400000000001</v>
      </c>
      <c r="C366" s="65">
        <f>IF(B354&gt;0,(Table2[[#This Row],[Country]]-B354)/B354,0)</f>
        <v>3.81772790661443E-2</v>
      </c>
      <c r="D366" s="65">
        <f>IF(Table2[[#This Row],[Country]]&gt;0,(((Table2[[#This Row],[Country]]-B365)/B365)+1)^12-1,"")</f>
        <v>5.989983953353395E-2</v>
      </c>
    </row>
    <row r="367" spans="1:4" x14ac:dyDescent="0.2">
      <c r="A367" s="36">
        <v>33270</v>
      </c>
      <c r="B367" s="37">
        <f>VLOOKUP(A367,Data!$E:$BG,MATCH(Country!$A$1,Data!$E$1:$BG$1,),)</f>
        <v>27.461010000000002</v>
      </c>
      <c r="C367" s="65">
        <f>IF(B355&gt;0,(Table2[[#This Row],[Country]]-B355)/B355,0)</f>
        <v>3.941257559688327E-2</v>
      </c>
      <c r="D367" s="65">
        <f>IF(Table2[[#This Row],[Country]]&gt;0,(((Table2[[#This Row],[Country]]-B366)/B366)+1)^12-1,"")</f>
        <v>6.3072000572002018E-2</v>
      </c>
    </row>
    <row r="368" spans="1:4" x14ac:dyDescent="0.2">
      <c r="A368" s="36">
        <v>33298</v>
      </c>
      <c r="B368" s="37">
        <f>VLOOKUP(A368,Data!$E:$BG,MATCH(Country!$A$1,Data!$E$1:$BG$1,),)</f>
        <v>27.605609999999999</v>
      </c>
      <c r="C368" s="65">
        <f>IF(B356&gt;0,(Table2[[#This Row],[Country]]-B356)/B356,0)</f>
        <v>4.1315608412120203E-2</v>
      </c>
      <c r="D368" s="65">
        <f>IF(Table2[[#This Row],[Country]]&gt;0,(((Table2[[#This Row],[Country]]-B367)/B367)+1)^12-1,"")</f>
        <v>6.5050259461170157E-2</v>
      </c>
    </row>
    <row r="369" spans="1:4" x14ac:dyDescent="0.2">
      <c r="A369" s="36">
        <v>33329</v>
      </c>
      <c r="B369" s="37">
        <f>VLOOKUP(A369,Data!$E:$BG,MATCH(Country!$A$1,Data!$E$1:$BG$1,),)</f>
        <v>27.69286</v>
      </c>
      <c r="C369" s="65">
        <f>IF(B357&gt;0,(Table2[[#This Row],[Country]]-B357)/B357,0)</f>
        <v>4.085448748378652E-2</v>
      </c>
      <c r="D369" s="65">
        <f>IF(Table2[[#This Row],[Country]]&gt;0,(((Table2[[#This Row],[Country]]-B368)/B368)+1)^12-1,"")</f>
        <v>3.8593364536963826E-2</v>
      </c>
    </row>
    <row r="370" spans="1:4" x14ac:dyDescent="0.2">
      <c r="A370" s="36">
        <v>33359</v>
      </c>
      <c r="B370" s="37">
        <f>VLOOKUP(A370,Data!$E:$BG,MATCH(Country!$A$1,Data!$E$1:$BG$1,),)</f>
        <v>27.780950000000001</v>
      </c>
      <c r="C370" s="65">
        <f>IF(B358&gt;0,(Table2[[#This Row],[Country]]-B358)/B358,0)</f>
        <v>4.4491641720788129E-2</v>
      </c>
      <c r="D370" s="65">
        <f>IF(Table2[[#This Row],[Country]]&gt;0,(((Table2[[#This Row],[Country]]-B369)/B369)+1)^12-1,"")</f>
        <v>3.8846527285747001E-2</v>
      </c>
    </row>
    <row r="371" spans="1:4" x14ac:dyDescent="0.2">
      <c r="A371" s="36">
        <v>33390</v>
      </c>
      <c r="B371" s="37">
        <f>VLOOKUP(A371,Data!$E:$BG,MATCH(Country!$A$1,Data!$E$1:$BG$1,),)</f>
        <v>27.85491</v>
      </c>
      <c r="C371" s="65">
        <f>IF(B359&gt;0,(Table2[[#This Row],[Country]]-B359)/B359,0)</f>
        <v>4.3003094758007898E-2</v>
      </c>
      <c r="D371" s="65">
        <f>IF(Table2[[#This Row],[Country]]&gt;0,(((Table2[[#This Row],[Country]]-B370)/B370)+1)^12-1,"")</f>
        <v>3.2419029854002579E-2</v>
      </c>
    </row>
    <row r="372" spans="1:4" x14ac:dyDescent="0.2">
      <c r="A372" s="36">
        <v>33420</v>
      </c>
      <c r="B372" s="37">
        <f>VLOOKUP(A372,Data!$E:$BG,MATCH(Country!$A$1,Data!$E$1:$BG$1,),)</f>
        <v>27.889810000000001</v>
      </c>
      <c r="C372" s="65">
        <f>IF(B360&gt;0,(Table2[[#This Row],[Country]]-B360)/B360,0)</f>
        <v>4.0812518496099681E-2</v>
      </c>
      <c r="D372" s="65">
        <f>IF(Table2[[#This Row],[Country]]&gt;0,(((Table2[[#This Row],[Country]]-B371)/B371)+1)^12-1,"")</f>
        <v>1.5139092718156277E-2</v>
      </c>
    </row>
    <row r="373" spans="1:4" x14ac:dyDescent="0.2">
      <c r="A373" s="36">
        <v>33451</v>
      </c>
      <c r="B373" s="37">
        <f>VLOOKUP(A373,Data!$E:$BG,MATCH(Country!$A$1,Data!$E$1:$BG$1,),)</f>
        <v>27.880669999999999</v>
      </c>
      <c r="C373" s="65">
        <f>IF(B361&gt;0,(Table2[[#This Row],[Country]]-B361)/B361,0)</f>
        <v>3.4854993871934879E-2</v>
      </c>
      <c r="D373" s="65">
        <f>IF(Table2[[#This Row],[Country]]&gt;0,(((Table2[[#This Row],[Country]]-B372)/B372)+1)^12-1,"")</f>
        <v>-3.9255385044297819E-3</v>
      </c>
    </row>
    <row r="374" spans="1:4" x14ac:dyDescent="0.2">
      <c r="A374" s="36">
        <v>33482</v>
      </c>
      <c r="B374" s="37">
        <f>VLOOKUP(A374,Data!$E:$BG,MATCH(Country!$A$1,Data!$E$1:$BG$1,),)</f>
        <v>27.879840000000002</v>
      </c>
      <c r="C374" s="65">
        <f>IF(B362&gt;0,(Table2[[#This Row],[Country]]-B362)/B362,0)</f>
        <v>3.0817859576511872E-2</v>
      </c>
      <c r="D374" s="65">
        <f>IF(Table2[[#This Row],[Country]]&gt;0,(((Table2[[#This Row],[Country]]-B373)/B373)+1)^12-1,"")</f>
        <v>-3.5717826637593486E-4</v>
      </c>
    </row>
    <row r="375" spans="1:4" x14ac:dyDescent="0.2">
      <c r="A375" s="36">
        <v>33512</v>
      </c>
      <c r="B375" s="37">
        <f>VLOOKUP(A375,Data!$E:$BG,MATCH(Country!$A$1,Data!$E$1:$BG$1,),)</f>
        <v>27.92306</v>
      </c>
      <c r="C375" s="65">
        <f>IF(B363&gt;0,(Table2[[#This Row],[Country]]-B363)/B363,0)</f>
        <v>3.0927005296951575E-2</v>
      </c>
      <c r="D375" s="65">
        <f>IF(Table2[[#This Row],[Country]]&gt;0,(((Table2[[#This Row],[Country]]-B374)/B374)+1)^12-1,"")</f>
        <v>1.8762122583946939E-2</v>
      </c>
    </row>
    <row r="376" spans="1:4" x14ac:dyDescent="0.2">
      <c r="A376" s="36">
        <v>33543</v>
      </c>
      <c r="B376" s="37">
        <f>VLOOKUP(A376,Data!$E:$BG,MATCH(Country!$A$1,Data!$E$1:$BG$1,),)</f>
        <v>27.967929999999999</v>
      </c>
      <c r="C376" s="65">
        <f>IF(B364&gt;0,(Table2[[#This Row],[Country]]-B364)/B364,0)</f>
        <v>3.1539335096583479E-2</v>
      </c>
      <c r="D376" s="65">
        <f>IF(Table2[[#This Row],[Country]]&gt;0,(((Table2[[#This Row],[Country]]-B375)/B375)+1)^12-1,"")</f>
        <v>1.9454326783167941E-2</v>
      </c>
    </row>
    <row r="377" spans="1:4" x14ac:dyDescent="0.2">
      <c r="A377" s="36">
        <v>33573</v>
      </c>
      <c r="B377" s="37">
        <f>VLOOKUP(A377,Data!$E:$BG,MATCH(Country!$A$1,Data!$E$1:$BG$1,),)</f>
        <v>28.023610000000001</v>
      </c>
      <c r="C377" s="65">
        <f>IF(B365&gt;0,(Table2[[#This Row],[Country]]-B365)/B365,0)</f>
        <v>3.0686370027588124E-2</v>
      </c>
      <c r="D377" s="65">
        <f>IF(Table2[[#This Row],[Country]]&gt;0,(((Table2[[#This Row],[Country]]-B376)/B376)+1)^12-1,"")</f>
        <v>2.4153554099728192E-2</v>
      </c>
    </row>
    <row r="378" spans="1:4" x14ac:dyDescent="0.2">
      <c r="A378" s="36">
        <v>33604</v>
      </c>
      <c r="B378" s="37">
        <f>VLOOKUP(A378,Data!$E:$BG,MATCH(Country!$A$1,Data!$E$1:$BG$1,),)</f>
        <v>28.098400000000002</v>
      </c>
      <c r="C378" s="65">
        <f>IF(B366&gt;0,(Table2[[#This Row],[Country]]-B366)/B366,0)</f>
        <v>2.8439245426661919E-2</v>
      </c>
      <c r="D378" s="65">
        <f>IF(Table2[[#This Row],[Country]]&gt;0,(((Table2[[#This Row],[Country]]-B377)/B377)+1)^12-1,"")</f>
        <v>3.2500151656678078E-2</v>
      </c>
    </row>
    <row r="379" spans="1:4" x14ac:dyDescent="0.2">
      <c r="A379" s="36">
        <v>33635</v>
      </c>
      <c r="B379" s="37">
        <f>VLOOKUP(A379,Data!$E:$BG,MATCH(Country!$A$1,Data!$E$1:$BG$1,),)</f>
        <v>28.254629999999999</v>
      </c>
      <c r="C379" s="65">
        <f>IF(B367&gt;0,(Table2[[#This Row],[Country]]-B367)/B367,0)</f>
        <v>2.8899883871714736E-2</v>
      </c>
      <c r="D379" s="65">
        <f>IF(Table2[[#This Row],[Country]]&gt;0,(((Table2[[#This Row],[Country]]-B378)/B378)+1)^12-1,"")</f>
        <v>6.8799902976190985E-2</v>
      </c>
    </row>
    <row r="380" spans="1:4" x14ac:dyDescent="0.2">
      <c r="A380" s="36">
        <v>33664</v>
      </c>
      <c r="B380" s="37">
        <f>VLOOKUP(A380,Data!$E:$BG,MATCH(Country!$A$1,Data!$E$1:$BG$1,),)</f>
        <v>28.287040000000001</v>
      </c>
      <c r="C380" s="65">
        <f>IF(B368&gt;0,(Table2[[#This Row],[Country]]-B368)/B368,0)</f>
        <v>2.4684475365695686E-2</v>
      </c>
      <c r="D380" s="65">
        <f>IF(Table2[[#This Row],[Country]]&gt;0,(((Table2[[#This Row],[Country]]-B379)/B379)+1)^12-1,"")</f>
        <v>1.3851997162244389E-2</v>
      </c>
    </row>
    <row r="381" spans="1:4" x14ac:dyDescent="0.2">
      <c r="A381" s="36">
        <v>33695</v>
      </c>
      <c r="B381" s="37">
        <f>VLOOKUP(A381,Data!$E:$BG,MATCH(Country!$A$1,Data!$E$1:$BG$1,),)</f>
        <v>28.252140000000001</v>
      </c>
      <c r="C381" s="65">
        <f>IF(B369&gt;0,(Table2[[#This Row],[Country]]-B369)/B369,0)</f>
        <v>2.0195819427823676E-2</v>
      </c>
      <c r="D381" s="65">
        <f>IF(Table2[[#This Row],[Country]]&gt;0,(((Table2[[#This Row],[Country]]-B380)/B380)+1)^12-1,"")</f>
        <v>-1.4705312575801099E-2</v>
      </c>
    </row>
    <row r="382" spans="1:4" x14ac:dyDescent="0.2">
      <c r="A382" s="36">
        <v>33725</v>
      </c>
      <c r="B382" s="37">
        <f>VLOOKUP(A382,Data!$E:$BG,MATCH(Country!$A$1,Data!$E$1:$BG$1,),)</f>
        <v>28.242999999999999</v>
      </c>
      <c r="C382" s="65">
        <f>IF(B370&gt;0,(Table2[[#This Row],[Country]]-B370)/B370,0)</f>
        <v>1.6631900636947184E-2</v>
      </c>
      <c r="D382" s="65">
        <f>IF(Table2[[#This Row],[Country]]&gt;0,(((Table2[[#This Row],[Country]]-B381)/B381)+1)^12-1,"")</f>
        <v>-3.8752835332959146E-3</v>
      </c>
    </row>
    <row r="383" spans="1:4" x14ac:dyDescent="0.2">
      <c r="A383" s="36">
        <v>33756</v>
      </c>
      <c r="B383" s="37">
        <f>VLOOKUP(A383,Data!$E:$BG,MATCH(Country!$A$1,Data!$E$1:$BG$1,),)</f>
        <v>28.19979</v>
      </c>
      <c r="C383" s="65">
        <f>IF(B371&gt;0,(Table2[[#This Row],[Country]]-B371)/B371,0)</f>
        <v>1.2381300101131178E-2</v>
      </c>
      <c r="D383" s="65">
        <f>IF(Table2[[#This Row],[Country]]&gt;0,(((Table2[[#This Row],[Country]]-B382)/B382)+1)^12-1,"")</f>
        <v>-1.8205538000822252E-2</v>
      </c>
    </row>
    <row r="384" spans="1:4" x14ac:dyDescent="0.2">
      <c r="A384" s="36">
        <v>33786</v>
      </c>
      <c r="B384" s="37">
        <f>VLOOKUP(A384,Data!$E:$BG,MATCH(Country!$A$1,Data!$E$1:$BG$1,),)</f>
        <v>28.203939999999999</v>
      </c>
      <c r="C384" s="65">
        <f>IF(B372&gt;0,(Table2[[#This Row],[Country]]-B372)/B372,0)</f>
        <v>1.1263253496527896E-2</v>
      </c>
      <c r="D384" s="65">
        <f>IF(Table2[[#This Row],[Country]]&gt;0,(((Table2[[#This Row],[Country]]-B383)/B383)+1)^12-1,"")</f>
        <v>1.7674006812999909E-3</v>
      </c>
    </row>
    <row r="385" spans="1:4" x14ac:dyDescent="0.2">
      <c r="A385" s="36">
        <v>33817</v>
      </c>
      <c r="B385" s="37">
        <f>VLOOKUP(A385,Data!$E:$BG,MATCH(Country!$A$1,Data!$E$1:$BG$1,),)</f>
        <v>28.24466</v>
      </c>
      <c r="C385" s="65">
        <f>IF(B373&gt;0,(Table2[[#This Row],[Country]]-B373)/B373,0)</f>
        <v>1.3055281670060337E-2</v>
      </c>
      <c r="D385" s="65">
        <f>IF(Table2[[#This Row],[Country]]&gt;0,(((Table2[[#This Row],[Country]]-B384)/B384)+1)^12-1,"")</f>
        <v>1.7463478324218684E-2</v>
      </c>
    </row>
    <row r="386" spans="1:4" x14ac:dyDescent="0.2">
      <c r="A386" s="36">
        <v>33848</v>
      </c>
      <c r="B386" s="37">
        <f>VLOOKUP(A386,Data!$E:$BG,MATCH(Country!$A$1,Data!$E$1:$BG$1,),)</f>
        <v>28.340229999999998</v>
      </c>
      <c r="C386" s="65">
        <f>IF(B374&gt;0,(Table2[[#This Row],[Country]]-B374)/B374,0)</f>
        <v>1.6513365930363903E-2</v>
      </c>
      <c r="D386" s="65">
        <f>IF(Table2[[#This Row],[Country]]&gt;0,(((Table2[[#This Row],[Country]]-B385)/B385)+1)^12-1,"")</f>
        <v>4.1368008419041535E-2</v>
      </c>
    </row>
    <row r="387" spans="1:4" x14ac:dyDescent="0.2">
      <c r="A387" s="36">
        <v>33878</v>
      </c>
      <c r="B387" s="37">
        <f>VLOOKUP(A387,Data!$E:$BG,MATCH(Country!$A$1,Data!$E$1:$BG$1,),)</f>
        <v>28.45242</v>
      </c>
      <c r="C387" s="65">
        <f>IF(B375&gt;0,(Table2[[#This Row],[Country]]-B375)/B375,0)</f>
        <v>1.895780763283109E-2</v>
      </c>
      <c r="D387" s="65">
        <f>IF(Table2[[#This Row],[Country]]&gt;0,(((Table2[[#This Row],[Country]]-B386)/B386)+1)^12-1,"")</f>
        <v>4.8552269688505678E-2</v>
      </c>
    </row>
    <row r="388" spans="1:4" x14ac:dyDescent="0.2">
      <c r="A388" s="36">
        <v>33909</v>
      </c>
      <c r="B388" s="37">
        <f>VLOOKUP(A388,Data!$E:$BG,MATCH(Country!$A$1,Data!$E$1:$BG$1,),)</f>
        <v>28.47485</v>
      </c>
      <c r="C388" s="65">
        <f>IF(B376&gt;0,(Table2[[#This Row],[Country]]-B376)/B376,0)</f>
        <v>1.8125045364458539E-2</v>
      </c>
      <c r="D388" s="65">
        <f>IF(Table2[[#This Row],[Country]]&gt;0,(((Table2[[#This Row],[Country]]-B387)/B387)+1)^12-1,"")</f>
        <v>9.5011287445880832E-3</v>
      </c>
    </row>
    <row r="389" spans="1:4" x14ac:dyDescent="0.2">
      <c r="A389" s="36">
        <v>33939</v>
      </c>
      <c r="B389" s="37">
        <f>VLOOKUP(A389,Data!$E:$BG,MATCH(Country!$A$1,Data!$E$1:$BG$1,),)</f>
        <v>28.459890000000001</v>
      </c>
      <c r="C389" s="65">
        <f>IF(B377&gt;0,(Table2[[#This Row],[Country]]-B377)/B377,0)</f>
        <v>1.5568301157488274E-2</v>
      </c>
      <c r="D389" s="65">
        <f>IF(Table2[[#This Row],[Country]]&gt;0,(((Table2[[#This Row],[Country]]-B388)/B388)+1)^12-1,"")</f>
        <v>-6.2863253788170148E-3</v>
      </c>
    </row>
    <row r="390" spans="1:4" x14ac:dyDescent="0.2">
      <c r="A390" s="36">
        <v>33970</v>
      </c>
      <c r="B390" s="37">
        <f>VLOOKUP(A390,Data!$E:$BG,MATCH(Country!$A$1,Data!$E$1:$BG$1,),)</f>
        <v>28.413360000000001</v>
      </c>
      <c r="C390" s="65">
        <f>IF(B378&gt;0,(Table2[[#This Row],[Country]]-B378)/B378,0)</f>
        <v>1.1209179170344192E-2</v>
      </c>
      <c r="D390" s="65">
        <f>IF(Table2[[#This Row],[Country]]&gt;0,(((Table2[[#This Row],[Country]]-B389)/B389)+1)^12-1,"")</f>
        <v>-1.9443729999615633E-2</v>
      </c>
    </row>
    <row r="391" spans="1:4" x14ac:dyDescent="0.2">
      <c r="A391" s="36">
        <v>34001</v>
      </c>
      <c r="B391" s="37">
        <f>VLOOKUP(A391,Data!$E:$BG,MATCH(Country!$A$1,Data!$E$1:$BG$1,),)</f>
        <v>28.375129999999999</v>
      </c>
      <c r="C391" s="65">
        <f>IF(B379&gt;0,(Table2[[#This Row],[Country]]-B379)/B379,0)</f>
        <v>4.2647877533699731E-3</v>
      </c>
      <c r="D391" s="65">
        <f>IF(Table2[[#This Row],[Country]]&gt;0,(((Table2[[#This Row],[Country]]-B390)/B390)+1)^12-1,"")</f>
        <v>-1.602697664382402E-2</v>
      </c>
    </row>
    <row r="392" spans="1:4" x14ac:dyDescent="0.2">
      <c r="A392" s="36">
        <v>34029</v>
      </c>
      <c r="B392" s="37">
        <f>VLOOKUP(A392,Data!$E:$BG,MATCH(Country!$A$1,Data!$E$1:$BG$1,),)</f>
        <v>28.351859999999999</v>
      </c>
      <c r="C392" s="65">
        <f>IF(B380&gt;0,(Table2[[#This Row],[Country]]-B380)/B380,0)</f>
        <v>2.2915087616094663E-3</v>
      </c>
      <c r="D392" s="65">
        <f>IF(Table2[[#This Row],[Country]]&gt;0,(((Table2[[#This Row],[Country]]-B391)/B391)+1)^12-1,"")</f>
        <v>-9.7967457665915081E-3</v>
      </c>
    </row>
    <row r="393" spans="1:4" x14ac:dyDescent="0.2">
      <c r="A393" s="36">
        <v>34060</v>
      </c>
      <c r="B393" s="37">
        <f>VLOOKUP(A393,Data!$E:$BG,MATCH(Country!$A$1,Data!$E$1:$BG$1,),)</f>
        <v>28.34854</v>
      </c>
      <c r="C393" s="65">
        <f>IF(B381&gt;0,(Table2[[#This Row],[Country]]-B381)/B381,0)</f>
        <v>3.412130904065998E-3</v>
      </c>
      <c r="D393" s="65">
        <f>IF(Table2[[#This Row],[Country]]&gt;0,(((Table2[[#This Row],[Country]]-B392)/B392)+1)^12-1,"")</f>
        <v>-1.4042941479877058E-3</v>
      </c>
    </row>
    <row r="394" spans="1:4" x14ac:dyDescent="0.2">
      <c r="A394" s="36">
        <v>34090</v>
      </c>
      <c r="B394" s="37">
        <f>VLOOKUP(A394,Data!$E:$BG,MATCH(Country!$A$1,Data!$E$1:$BG$1,),)</f>
        <v>28.56128</v>
      </c>
      <c r="C394" s="65">
        <f>IF(B382&gt;0,(Table2[[#This Row],[Country]]-B382)/B382,0)</f>
        <v>1.1269341075664819E-2</v>
      </c>
      <c r="D394" s="65">
        <f>IF(Table2[[#This Row],[Country]]&gt;0,(((Table2[[#This Row],[Country]]-B393)/B393)+1)^12-1,"")</f>
        <v>9.3864781180843515E-2</v>
      </c>
    </row>
    <row r="395" spans="1:4" x14ac:dyDescent="0.2">
      <c r="A395" s="36">
        <v>34121</v>
      </c>
      <c r="B395" s="37">
        <f>VLOOKUP(A395,Data!$E:$BG,MATCH(Country!$A$1,Data!$E$1:$BG$1,),)</f>
        <v>28.60699</v>
      </c>
      <c r="C395" s="65">
        <f>IF(B383&gt;0,(Table2[[#This Row],[Country]]-B383)/B383,0)</f>
        <v>1.4439823842659806E-2</v>
      </c>
      <c r="D395" s="65">
        <f>IF(Table2[[#This Row],[Country]]&gt;0,(((Table2[[#This Row],[Country]]-B394)/B394)+1)^12-1,"")</f>
        <v>1.9374975098801928E-2</v>
      </c>
    </row>
    <row r="396" spans="1:4" x14ac:dyDescent="0.2">
      <c r="A396" s="36">
        <v>34151</v>
      </c>
      <c r="B396" s="37">
        <f>VLOOKUP(A396,Data!$E:$BG,MATCH(Country!$A$1,Data!$E$1:$BG$1,),)</f>
        <v>28.603660000000001</v>
      </c>
      <c r="C396" s="65">
        <f>IF(B384&gt;0,(Table2[[#This Row],[Country]]-B384)/B384,0)</f>
        <v>1.4172487957356386E-2</v>
      </c>
      <c r="D396" s="65">
        <f>IF(Table2[[#This Row],[Country]]&gt;0,(((Table2[[#This Row],[Country]]-B395)/B395)+1)^12-1,"")</f>
        <v>-1.3959674334057537E-3</v>
      </c>
    </row>
    <row r="397" spans="1:4" x14ac:dyDescent="0.2">
      <c r="A397" s="36">
        <v>34182</v>
      </c>
      <c r="B397" s="37">
        <f>VLOOKUP(A397,Data!$E:$BG,MATCH(Country!$A$1,Data!$E$1:$BG$1,),)</f>
        <v>28.634409999999999</v>
      </c>
      <c r="C397" s="65">
        <f>IF(B385&gt;0,(Table2[[#This Row],[Country]]-B385)/B385,0)</f>
        <v>1.3799068567297301E-2</v>
      </c>
      <c r="D397" s="65">
        <f>IF(Table2[[#This Row],[Country]]&gt;0,(((Table2[[#This Row],[Country]]-B396)/B396)+1)^12-1,"")</f>
        <v>1.2976997537679447E-2</v>
      </c>
    </row>
    <row r="398" spans="1:4" x14ac:dyDescent="0.2">
      <c r="A398" s="36">
        <v>34213</v>
      </c>
      <c r="B398" s="37">
        <f>VLOOKUP(A398,Data!$E:$BG,MATCH(Country!$A$1,Data!$E$1:$BG$1,),)</f>
        <v>28.68843</v>
      </c>
      <c r="C398" s="65">
        <f>IF(B386&gt;0,(Table2[[#This Row],[Country]]-B386)/B386,0)</f>
        <v>1.2286421105262804E-2</v>
      </c>
      <c r="D398" s="65">
        <f>IF(Table2[[#This Row],[Country]]&gt;0,(((Table2[[#This Row],[Country]]-B397)/B397)+1)^12-1,"")</f>
        <v>2.2874876797248866E-2</v>
      </c>
    </row>
    <row r="399" spans="1:4" x14ac:dyDescent="0.2">
      <c r="A399" s="36">
        <v>34243</v>
      </c>
      <c r="B399" s="37">
        <f>VLOOKUP(A399,Data!$E:$BG,MATCH(Country!$A$1,Data!$E$1:$BG$1,),)</f>
        <v>28.725819999999999</v>
      </c>
      <c r="C399" s="65">
        <f>IF(B387&gt;0,(Table2[[#This Row],[Country]]-B387)/B387,0)</f>
        <v>9.6090244696232785E-3</v>
      </c>
      <c r="D399" s="65">
        <f>IF(Table2[[#This Row],[Country]]&gt;0,(((Table2[[#This Row],[Country]]-B398)/B398)+1)^12-1,"")</f>
        <v>1.575235211207926E-2</v>
      </c>
    </row>
    <row r="400" spans="1:4" x14ac:dyDescent="0.2">
      <c r="A400" s="36">
        <v>34274</v>
      </c>
      <c r="B400" s="37">
        <f>VLOOKUP(A400,Data!$E:$BG,MATCH(Country!$A$1,Data!$E$1:$BG$1,),)</f>
        <v>28.83718</v>
      </c>
      <c r="C400" s="65">
        <f>IF(B388&gt;0,(Table2[[#This Row],[Country]]-B388)/B388,0)</f>
        <v>1.2724562201381221E-2</v>
      </c>
      <c r="D400" s="65">
        <f>IF(Table2[[#This Row],[Country]]&gt;0,(((Table2[[#This Row],[Country]]-B399)/B399)+1)^12-1,"")</f>
        <v>4.7524626828322702E-2</v>
      </c>
    </row>
    <row r="401" spans="1:4" x14ac:dyDescent="0.2">
      <c r="A401" s="36">
        <v>34304</v>
      </c>
      <c r="B401" s="37">
        <f>VLOOKUP(A401,Data!$E:$BG,MATCH(Country!$A$1,Data!$E$1:$BG$1,),)</f>
        <v>28.873740000000002</v>
      </c>
      <c r="C401" s="65">
        <f>IF(B389&gt;0,(Table2[[#This Row],[Country]]-B389)/B389,0)</f>
        <v>1.4541517904672155E-2</v>
      </c>
      <c r="D401" s="65">
        <f>IF(Table2[[#This Row],[Country]]&gt;0,(((Table2[[#This Row],[Country]]-B400)/B400)+1)^12-1,"")</f>
        <v>1.5320226681177829E-2</v>
      </c>
    </row>
    <row r="402" spans="1:4" x14ac:dyDescent="0.2">
      <c r="A402" s="36">
        <v>34335</v>
      </c>
      <c r="B402" s="37">
        <f>VLOOKUP(A402,Data!$E:$BG,MATCH(Country!$A$1,Data!$E$1:$BG$1,),)</f>
        <v>28.87707</v>
      </c>
      <c r="C402" s="65">
        <f>IF(B390&gt;0,(Table2[[#This Row],[Country]]-B390)/B390,0)</f>
        <v>1.6320139539991008E-2</v>
      </c>
      <c r="D402" s="65">
        <f>IF(Table2[[#This Row],[Country]]&gt;0,(((Table2[[#This Row],[Country]]-B401)/B401)+1)^12-1,"")</f>
        <v>1.3848346944311807E-3</v>
      </c>
    </row>
    <row r="403" spans="1:4" x14ac:dyDescent="0.2">
      <c r="A403" s="36">
        <v>34366</v>
      </c>
      <c r="B403" s="37">
        <f>VLOOKUP(A403,Data!$E:$BG,MATCH(Country!$A$1,Data!$E$1:$BG$1,),)</f>
        <v>28.883710000000001</v>
      </c>
      <c r="C403" s="65">
        <f>IF(B391&gt;0,(Table2[[#This Row],[Country]]-B391)/B391,0)</f>
        <v>1.79234421128644E-2</v>
      </c>
      <c r="D403" s="65">
        <f>IF(Table2[[#This Row],[Country]]&gt;0,(((Table2[[#This Row],[Country]]-B402)/B402)+1)^12-1,"")</f>
        <v>2.7627749726957251E-3</v>
      </c>
    </row>
    <row r="404" spans="1:4" x14ac:dyDescent="0.2">
      <c r="A404" s="36">
        <v>34394</v>
      </c>
      <c r="B404" s="37">
        <f>VLOOKUP(A404,Data!$E:$BG,MATCH(Country!$A$1,Data!$E$1:$BG$1,),)</f>
        <v>28.920280000000002</v>
      </c>
      <c r="C404" s="65">
        <f>IF(B392&gt;0,(Table2[[#This Row],[Country]]-B392)/B392,0)</f>
        <v>2.004877281419996E-2</v>
      </c>
      <c r="D404" s="65">
        <f>IF(Table2[[#This Row],[Country]]&gt;0,(((Table2[[#This Row],[Country]]-B403)/B403)+1)^12-1,"")</f>
        <v>1.5299587419967953E-2</v>
      </c>
    </row>
    <row r="405" spans="1:4" x14ac:dyDescent="0.2">
      <c r="A405" s="36">
        <v>34425</v>
      </c>
      <c r="B405" s="37">
        <f>VLOOKUP(A405,Data!$E:$BG,MATCH(Country!$A$1,Data!$E$1:$BG$1,),)</f>
        <v>28.930250000000001</v>
      </c>
      <c r="C405" s="65">
        <f>IF(B393&gt;0,(Table2[[#This Row],[Country]]-B393)/B393,0)</f>
        <v>2.0519928010401985E-2</v>
      </c>
      <c r="D405" s="65">
        <f>IF(Table2[[#This Row],[Country]]&gt;0,(((Table2[[#This Row],[Country]]-B404)/B404)+1)^12-1,"")</f>
        <v>4.1447422780929166E-3</v>
      </c>
    </row>
    <row r="406" spans="1:4" x14ac:dyDescent="0.2">
      <c r="A406" s="36">
        <v>34455</v>
      </c>
      <c r="B406" s="37">
        <f>VLOOKUP(A406,Data!$E:$BG,MATCH(Country!$A$1,Data!$E$1:$BG$1,),)</f>
        <v>29.0092</v>
      </c>
      <c r="C406" s="65">
        <f>IF(B394&gt;0,(Table2[[#This Row],[Country]]-B394)/B394,0)</f>
        <v>1.5682770520088731E-2</v>
      </c>
      <c r="D406" s="65">
        <f>IF(Table2[[#This Row],[Country]]&gt;0,(((Table2[[#This Row],[Country]]-B405)/B405)+1)^12-1,"")</f>
        <v>3.3243751195236371E-2</v>
      </c>
    </row>
    <row r="407" spans="1:4" x14ac:dyDescent="0.2">
      <c r="A407" s="36">
        <v>34486</v>
      </c>
      <c r="B407" s="37">
        <f>VLOOKUP(A407,Data!$E:$BG,MATCH(Country!$A$1,Data!$E$1:$BG$1,),)</f>
        <v>28.915289999999999</v>
      </c>
      <c r="C407" s="65">
        <f>IF(B395&gt;0,(Table2[[#This Row],[Country]]-B395)/B395,0)</f>
        <v>1.0777086299537251E-2</v>
      </c>
      <c r="D407" s="65">
        <f>IF(Table2[[#This Row],[Country]]&gt;0,(((Table2[[#This Row],[Country]]-B406)/B406)+1)^12-1,"")</f>
        <v>-3.8162730537076306E-2</v>
      </c>
    </row>
    <row r="408" spans="1:4" x14ac:dyDescent="0.2">
      <c r="A408" s="36">
        <v>34516</v>
      </c>
      <c r="B408" s="37">
        <f>VLOOKUP(A408,Data!$E:$BG,MATCH(Country!$A$1,Data!$E$1:$BG$1,),)</f>
        <v>28.987590000000001</v>
      </c>
      <c r="C408" s="65">
        <f>IF(B396&gt;0,(Table2[[#This Row],[Country]]-B396)/B396,0)</f>
        <v>1.3422408181330621E-2</v>
      </c>
      <c r="D408" s="65">
        <f>IF(Table2[[#This Row],[Country]]&gt;0,(((Table2[[#This Row],[Country]]-B407)/B407)+1)^12-1,"")</f>
        <v>3.0420979689087746E-2</v>
      </c>
    </row>
    <row r="409" spans="1:4" x14ac:dyDescent="0.2">
      <c r="A409" s="36">
        <v>34547</v>
      </c>
      <c r="B409" s="37">
        <f>VLOOKUP(A409,Data!$E:$BG,MATCH(Country!$A$1,Data!$E$1:$BG$1,),)</f>
        <v>28.966819999999998</v>
      </c>
      <c r="C409" s="65">
        <f>IF(B397&gt;0,(Table2[[#This Row],[Country]]-B397)/B397,0)</f>
        <v>1.1608760229388329E-2</v>
      </c>
      <c r="D409" s="65">
        <f>IF(Table2[[#This Row],[Country]]&gt;0,(((Table2[[#This Row],[Country]]-B408)/B408)+1)^12-1,"")</f>
        <v>-8.564359129459409E-3</v>
      </c>
    </row>
    <row r="410" spans="1:4" x14ac:dyDescent="0.2">
      <c r="A410" s="36">
        <v>34578</v>
      </c>
      <c r="B410" s="37">
        <f>VLOOKUP(A410,Data!$E:$BG,MATCH(Country!$A$1,Data!$E$1:$BG$1,),)</f>
        <v>28.970140000000001</v>
      </c>
      <c r="C410" s="65">
        <f>IF(B398&gt;0,(Table2[[#This Row],[Country]]-B398)/B398,0)</f>
        <v>9.8196380910353185E-3</v>
      </c>
      <c r="D410" s="65">
        <f>IF(Table2[[#This Row],[Country]]&gt;0,(((Table2[[#This Row],[Country]]-B409)/B409)+1)^12-1,"")</f>
        <v>1.3762340427239117E-3</v>
      </c>
    </row>
    <row r="411" spans="1:4" x14ac:dyDescent="0.2">
      <c r="A411" s="36">
        <v>34608</v>
      </c>
      <c r="B411" s="37">
        <f>VLOOKUP(A411,Data!$E:$BG,MATCH(Country!$A$1,Data!$E$1:$BG$1,),)</f>
        <v>28.955179999999999</v>
      </c>
      <c r="C411" s="65">
        <f>IF(B399&gt;0,(Table2[[#This Row],[Country]]-B399)/B399,0)</f>
        <v>7.9844544037385116E-3</v>
      </c>
      <c r="D411" s="65">
        <f>IF(Table2[[#This Row],[Country]]&gt;0,(((Table2[[#This Row],[Country]]-B410)/B410)+1)^12-1,"")</f>
        <v>-6.1791558501871346E-3</v>
      </c>
    </row>
    <row r="412" spans="1:4" x14ac:dyDescent="0.2">
      <c r="A412" s="36">
        <v>34639</v>
      </c>
      <c r="B412" s="37">
        <f>VLOOKUP(A412,Data!$E:$BG,MATCH(Country!$A$1,Data!$E$1:$BG$1,),)</f>
        <v>28.979279999999999</v>
      </c>
      <c r="C412" s="65">
        <f>IF(B400&gt;0,(Table2[[#This Row],[Country]]-B400)/B400,0)</f>
        <v>4.9276662974673396E-3</v>
      </c>
      <c r="D412" s="65">
        <f>IF(Table2[[#This Row],[Country]]&gt;0,(((Table2[[#This Row],[Country]]-B411)/B411)+1)^12-1,"")</f>
        <v>1.0033699304682786E-2</v>
      </c>
    </row>
    <row r="413" spans="1:4" x14ac:dyDescent="0.2">
      <c r="A413" s="36">
        <v>34669</v>
      </c>
      <c r="B413" s="37">
        <f>VLOOKUP(A413,Data!$E:$BG,MATCH(Country!$A$1,Data!$E$1:$BG$1,),)</f>
        <v>28.972629999999999</v>
      </c>
      <c r="C413" s="65">
        <f>IF(B401&gt;0,(Table2[[#This Row],[Country]]-B401)/B401,0)</f>
        <v>3.4249113554391379E-3</v>
      </c>
      <c r="D413" s="65">
        <f>IF(Table2[[#This Row],[Country]]&gt;0,(((Table2[[#This Row],[Country]]-B412)/B412)+1)^12-1,"")</f>
        <v>-2.7502188021639729E-3</v>
      </c>
    </row>
    <row r="414" spans="1:4" x14ac:dyDescent="0.2">
      <c r="A414" s="36">
        <v>34700</v>
      </c>
      <c r="B414" s="37">
        <f>VLOOKUP(A414,Data!$E:$BG,MATCH(Country!$A$1,Data!$E$1:$BG$1,),)</f>
        <v>29.022490000000001</v>
      </c>
      <c r="C414" s="65">
        <f>IF(B402&gt;0,(Table2[[#This Row],[Country]]-B402)/B402,0)</f>
        <v>5.035829466078153E-3</v>
      </c>
      <c r="D414" s="65">
        <f>IF(Table2[[#This Row],[Country]]&gt;0,(((Table2[[#This Row],[Country]]-B413)/B413)+1)^12-1,"")</f>
        <v>2.0847806887971165E-2</v>
      </c>
    </row>
    <row r="415" spans="1:4" x14ac:dyDescent="0.2">
      <c r="A415" s="36">
        <v>34731</v>
      </c>
      <c r="B415" s="37">
        <f>VLOOKUP(A415,Data!$E:$BG,MATCH(Country!$A$1,Data!$E$1:$BG$1,),)</f>
        <v>29.001719999999999</v>
      </c>
      <c r="C415" s="65">
        <f>IF(B403&gt;0,(Table2[[#This Row],[Country]]-B403)/B403,0)</f>
        <v>4.0856939776780119E-3</v>
      </c>
      <c r="D415" s="65">
        <f>IF(Table2[[#This Row],[Country]]&gt;0,(((Table2[[#This Row],[Country]]-B414)/B414)+1)^12-1,"")</f>
        <v>-8.5541008561577092E-3</v>
      </c>
    </row>
    <row r="416" spans="1:4" x14ac:dyDescent="0.2">
      <c r="A416" s="36">
        <v>34759</v>
      </c>
      <c r="B416" s="37">
        <f>VLOOKUP(A416,Data!$E:$BG,MATCH(Country!$A$1,Data!$E$1:$BG$1,),)</f>
        <v>29.011690000000002</v>
      </c>
      <c r="C416" s="65">
        <f>IF(B404&gt;0,(Table2[[#This Row],[Country]]-B404)/B404,0)</f>
        <v>3.160757779661876E-3</v>
      </c>
      <c r="D416" s="65">
        <f>IF(Table2[[#This Row],[Country]]&gt;0,(((Table2[[#This Row],[Country]]-B415)/B415)+1)^12-1,"")</f>
        <v>4.1330813737019412E-3</v>
      </c>
    </row>
    <row r="417" spans="1:4" x14ac:dyDescent="0.2">
      <c r="A417" s="36">
        <v>34790</v>
      </c>
      <c r="B417" s="37">
        <f>VLOOKUP(A417,Data!$E:$BG,MATCH(Country!$A$1,Data!$E$1:$BG$1,),)</f>
        <v>29.079000000000001</v>
      </c>
      <c r="C417" s="65">
        <f>IF(B405&gt;0,(Table2[[#This Row],[Country]]-B405)/B405,0)</f>
        <v>5.1416769644230418E-3</v>
      </c>
      <c r="D417" s="65">
        <f>IF(Table2[[#This Row],[Country]]&gt;0,(((Table2[[#This Row],[Country]]-B416)/B416)+1)^12-1,"")</f>
        <v>2.8199221631419968E-2</v>
      </c>
    </row>
    <row r="418" spans="1:4" x14ac:dyDescent="0.2">
      <c r="A418" s="36">
        <v>34820</v>
      </c>
      <c r="B418" s="37">
        <f>VLOOKUP(A418,Data!$E:$BG,MATCH(Country!$A$1,Data!$E$1:$BG$1,),)</f>
        <v>29.286760000000001</v>
      </c>
      <c r="C418" s="65">
        <f>IF(B406&gt;0,(Table2[[#This Row],[Country]]-B406)/B406,0)</f>
        <v>9.567999117521377E-3</v>
      </c>
      <c r="D418" s="65">
        <f>IF(Table2[[#This Row],[Country]]&gt;0,(((Table2[[#This Row],[Country]]-B417)/B417)+1)^12-1,"")</f>
        <v>8.9186700068791591E-2</v>
      </c>
    </row>
    <row r="419" spans="1:4" x14ac:dyDescent="0.2">
      <c r="A419" s="36">
        <v>34851</v>
      </c>
      <c r="B419" s="37">
        <f>VLOOKUP(A419,Data!$E:$BG,MATCH(Country!$A$1,Data!$E$1:$BG$1,),)</f>
        <v>29.49202</v>
      </c>
      <c r="C419" s="65">
        <f>IF(B407&gt;0,(Table2[[#This Row],[Country]]-B407)/B407,0)</f>
        <v>1.9945502881001758E-2</v>
      </c>
      <c r="D419" s="65">
        <f>IF(Table2[[#This Row],[Country]]&gt;0,(((Table2[[#This Row],[Country]]-B418)/B418)+1)^12-1,"")</f>
        <v>8.7422457699903866E-2</v>
      </c>
    </row>
    <row r="420" spans="1:4" x14ac:dyDescent="0.2">
      <c r="A420" s="36">
        <v>34881</v>
      </c>
      <c r="B420" s="37">
        <f>VLOOKUP(A420,Data!$E:$BG,MATCH(Country!$A$1,Data!$E$1:$BG$1,),)</f>
        <v>29.645759999999999</v>
      </c>
      <c r="C420" s="65">
        <f>IF(B408&gt;0,(Table2[[#This Row],[Country]]-B408)/B408,0)</f>
        <v>2.2705233515445691E-2</v>
      </c>
      <c r="D420" s="65">
        <f>IF(Table2[[#This Row],[Country]]&gt;0,(((Table2[[#This Row],[Country]]-B419)/B419)+1)^12-1,"")</f>
        <v>6.4380290615900337E-2</v>
      </c>
    </row>
    <row r="421" spans="1:4" x14ac:dyDescent="0.2">
      <c r="A421" s="36">
        <v>34912</v>
      </c>
      <c r="B421" s="37">
        <f>VLOOKUP(A421,Data!$E:$BG,MATCH(Country!$A$1,Data!$E$1:$BG$1,),)</f>
        <v>29.82526</v>
      </c>
      <c r="C421" s="65">
        <f>IF(B409&gt;0,(Table2[[#This Row],[Country]]-B409)/B409,0)</f>
        <v>2.9635286165343718E-2</v>
      </c>
      <c r="D421" s="65">
        <f>IF(Table2[[#This Row],[Country]]&gt;0,(((Table2[[#This Row],[Country]]-B420)/B420)+1)^12-1,"")</f>
        <v>7.5127074249770498E-2</v>
      </c>
    </row>
    <row r="422" spans="1:4" x14ac:dyDescent="0.2">
      <c r="A422" s="36">
        <v>34943</v>
      </c>
      <c r="B422" s="37">
        <f>VLOOKUP(A422,Data!$E:$BG,MATCH(Country!$A$1,Data!$E$1:$BG$1,),)</f>
        <v>29.93412</v>
      </c>
      <c r="C422" s="65">
        <f>IF(B410&gt;0,(Table2[[#This Row],[Country]]-B410)/B410,0)</f>
        <v>3.3274951380973632E-2</v>
      </c>
      <c r="D422" s="65">
        <f>IF(Table2[[#This Row],[Country]]&gt;0,(((Table2[[#This Row],[Country]]-B421)/B421)+1)^12-1,"")</f>
        <v>4.4689150408521172E-2</v>
      </c>
    </row>
    <row r="423" spans="1:4" x14ac:dyDescent="0.2">
      <c r="A423" s="36">
        <v>34973</v>
      </c>
      <c r="B423" s="37">
        <f>VLOOKUP(A423,Data!$E:$BG,MATCH(Country!$A$1,Data!$E$1:$BG$1,),)</f>
        <v>30.028030000000001</v>
      </c>
      <c r="C423" s="65">
        <f>IF(B411&gt;0,(Table2[[#This Row],[Country]]-B411)/B411,0)</f>
        <v>3.7052092233583162E-2</v>
      </c>
      <c r="D423" s="65">
        <f>IF(Table2[[#This Row],[Country]]&gt;0,(((Table2[[#This Row],[Country]]-B422)/B422)+1)^12-1,"")</f>
        <v>3.8303096201078413E-2</v>
      </c>
    </row>
    <row r="424" spans="1:4" x14ac:dyDescent="0.2">
      <c r="A424" s="36">
        <v>35004</v>
      </c>
      <c r="B424" s="37">
        <f>VLOOKUP(A424,Data!$E:$BG,MATCH(Country!$A$1,Data!$E$1:$BG$1,),)</f>
        <v>30.082039999999999</v>
      </c>
      <c r="C424" s="65">
        <f>IF(B412&gt;0,(Table2[[#This Row],[Country]]-B412)/B412,0)</f>
        <v>3.8053395391465905E-2</v>
      </c>
      <c r="D424" s="65">
        <f>IF(Table2[[#This Row],[Country]]&gt;0,(((Table2[[#This Row],[Country]]-B423)/B423)+1)^12-1,"")</f>
        <v>2.1798638885079491E-2</v>
      </c>
    </row>
    <row r="425" spans="1:4" x14ac:dyDescent="0.2">
      <c r="A425" s="36">
        <v>35034</v>
      </c>
      <c r="B425" s="37">
        <f>VLOOKUP(A425,Data!$E:$BG,MATCH(Country!$A$1,Data!$E$1:$BG$1,),)</f>
        <v>30.161819999999999</v>
      </c>
      <c r="C425" s="65">
        <f>IF(B413&gt;0,(Table2[[#This Row],[Country]]-B413)/B413,0)</f>
        <v>4.1045289985755525E-2</v>
      </c>
      <c r="D425" s="65">
        <f>IF(Table2[[#This Row],[Country]]&gt;0,(((Table2[[#This Row],[Country]]-B424)/B424)+1)^12-1,"")</f>
        <v>3.229331081992437E-2</v>
      </c>
    </row>
    <row r="426" spans="1:4" x14ac:dyDescent="0.2">
      <c r="A426" s="36">
        <v>35065</v>
      </c>
      <c r="B426" s="37">
        <f>VLOOKUP(A426,Data!$E:$BG,MATCH(Country!$A$1,Data!$E$1:$BG$1,),)</f>
        <v>30.314730000000001</v>
      </c>
      <c r="C426" s="65">
        <f>IF(B414&gt;0,(Table2[[#This Row],[Country]]-B414)/B414,0)</f>
        <v>4.4525469730543436E-2</v>
      </c>
      <c r="D426" s="65">
        <f>IF(Table2[[#This Row],[Country]]&gt;0,(((Table2[[#This Row],[Country]]-B425)/B425)+1)^12-1,"")</f>
        <v>6.2561138485667689E-2</v>
      </c>
    </row>
    <row r="427" spans="1:4" x14ac:dyDescent="0.2">
      <c r="A427" s="36">
        <v>35096</v>
      </c>
      <c r="B427" s="37">
        <f>VLOOKUP(A427,Data!$E:$BG,MATCH(Country!$A$1,Data!$E$1:$BG$1,),)</f>
        <v>30.430240000000001</v>
      </c>
      <c r="C427" s="65">
        <f>IF(B415&gt;0,(Table2[[#This Row],[Country]]-B415)/B415,0)</f>
        <v>4.9256388931415186E-2</v>
      </c>
      <c r="D427" s="65">
        <f>IF(Table2[[#This Row],[Country]]&gt;0,(((Table2[[#This Row],[Country]]-B426)/B426)+1)^12-1,"")</f>
        <v>4.6694825204930845E-2</v>
      </c>
    </row>
    <row r="428" spans="1:4" x14ac:dyDescent="0.2">
      <c r="A428" s="36">
        <v>35125</v>
      </c>
      <c r="B428" s="37">
        <f>VLOOKUP(A428,Data!$E:$BG,MATCH(Country!$A$1,Data!$E$1:$BG$1,),)</f>
        <v>30.639659999999999</v>
      </c>
      <c r="C428" s="65">
        <f>IF(B416&gt;0,(Table2[[#This Row],[Country]]-B416)/B416,0)</f>
        <v>5.6114276693291484E-2</v>
      </c>
      <c r="D428" s="65">
        <f>IF(Table2[[#This Row],[Country]]&gt;0,(((Table2[[#This Row],[Country]]-B427)/B427)+1)^12-1,"")</f>
        <v>8.5782329828528514E-2</v>
      </c>
    </row>
    <row r="429" spans="1:4" x14ac:dyDescent="0.2">
      <c r="A429" s="36">
        <v>35156</v>
      </c>
      <c r="B429" s="37">
        <f>VLOOKUP(A429,Data!$E:$BG,MATCH(Country!$A$1,Data!$E$1:$BG$1,),)</f>
        <v>30.729410000000001</v>
      </c>
      <c r="C429" s="65">
        <f>IF(B417&gt;0,(Table2[[#This Row],[Country]]-B417)/B417,0)</f>
        <v>5.675607826954162E-2</v>
      </c>
      <c r="D429" s="65">
        <f>IF(Table2[[#This Row],[Country]]&gt;0,(((Table2[[#This Row],[Country]]-B428)/B428)+1)^12-1,"")</f>
        <v>3.572238448555809E-2</v>
      </c>
    </row>
    <row r="430" spans="1:4" x14ac:dyDescent="0.2">
      <c r="A430" s="36">
        <v>35186</v>
      </c>
      <c r="B430" s="37">
        <f>VLOOKUP(A430,Data!$E:$BG,MATCH(Country!$A$1,Data!$E$1:$BG$1,),)</f>
        <v>30.827470000000002</v>
      </c>
      <c r="C430" s="65">
        <f>IF(B418&gt;0,(Table2[[#This Row],[Country]]-B418)/B418,0)</f>
        <v>5.2607731275156437E-2</v>
      </c>
      <c r="D430" s="65">
        <f>IF(Table2[[#This Row],[Country]]&gt;0,(((Table2[[#This Row],[Country]]-B429)/B429)+1)^12-1,"")</f>
        <v>3.8972235587352522E-2</v>
      </c>
    </row>
    <row r="431" spans="1:4" x14ac:dyDescent="0.2">
      <c r="A431" s="36">
        <v>35217</v>
      </c>
      <c r="B431" s="37">
        <f>VLOOKUP(A431,Data!$E:$BG,MATCH(Country!$A$1,Data!$E$1:$BG$1,),)</f>
        <v>30.934670000000001</v>
      </c>
      <c r="C431" s="65">
        <f>IF(B419&gt;0,(Table2[[#This Row],[Country]]-B419)/B419,0)</f>
        <v>4.8916622191358894E-2</v>
      </c>
      <c r="D431" s="65">
        <f>IF(Table2[[#This Row],[Country]]&gt;0,(((Table2[[#This Row],[Country]]-B430)/B430)+1)^12-1,"")</f>
        <v>4.2536441034300543E-2</v>
      </c>
    </row>
    <row r="432" spans="1:4" x14ac:dyDescent="0.2">
      <c r="A432" s="36">
        <v>35247</v>
      </c>
      <c r="B432" s="37">
        <f>VLOOKUP(A432,Data!$E:$BG,MATCH(Country!$A$1,Data!$E$1:$BG$1,),)</f>
        <v>31.056830000000001</v>
      </c>
      <c r="C432" s="65">
        <f>IF(B420&gt;0,(Table2[[#This Row],[Country]]-B420)/B420,0)</f>
        <v>4.759770031195025E-2</v>
      </c>
      <c r="D432" s="65">
        <f>IF(Table2[[#This Row],[Country]]&gt;0,(((Table2[[#This Row],[Country]]-B431)/B431)+1)^12-1,"")</f>
        <v>4.8430503193568342E-2</v>
      </c>
    </row>
    <row r="433" spans="1:4" x14ac:dyDescent="0.2">
      <c r="A433" s="36">
        <v>35278</v>
      </c>
      <c r="B433" s="37">
        <f>VLOOKUP(A433,Data!$E:$BG,MATCH(Country!$A$1,Data!$E$1:$BG$1,),)</f>
        <v>31.114170000000001</v>
      </c>
      <c r="C433" s="65">
        <f>IF(B421&gt;0,(Table2[[#This Row],[Country]]-B421)/B421,0)</f>
        <v>4.3215381860879046E-2</v>
      </c>
      <c r="D433" s="65">
        <f>IF(Table2[[#This Row],[Country]]&gt;0,(((Table2[[#This Row],[Country]]-B432)/B432)+1)^12-1,"")</f>
        <v>2.2381883939248892E-2</v>
      </c>
    </row>
    <row r="434" spans="1:4" x14ac:dyDescent="0.2">
      <c r="A434" s="36">
        <v>35309</v>
      </c>
      <c r="B434" s="37">
        <f>VLOOKUP(A434,Data!$E:$BG,MATCH(Country!$A$1,Data!$E$1:$BG$1,),)</f>
        <v>31.19228</v>
      </c>
      <c r="C434" s="65">
        <f>IF(B422&gt;0,(Table2[[#This Row],[Country]]-B422)/B422,0)</f>
        <v>4.2030966669472834E-2</v>
      </c>
      <c r="D434" s="65">
        <f>IF(Table2[[#This Row],[Country]]&gt;0,(((Table2[[#This Row],[Country]]-B433)/B433)+1)^12-1,"")</f>
        <v>3.0544631014085555E-2</v>
      </c>
    </row>
    <row r="435" spans="1:4" x14ac:dyDescent="0.2">
      <c r="A435" s="36">
        <v>35339</v>
      </c>
      <c r="B435" s="37">
        <f>VLOOKUP(A435,Data!$E:$BG,MATCH(Country!$A$1,Data!$E$1:$BG$1,),)</f>
        <v>31.336880000000001</v>
      </c>
      <c r="C435" s="65">
        <f>IF(B423&gt;0,(Table2[[#This Row],[Country]]-B423)/B423,0)</f>
        <v>4.3587607978278944E-2</v>
      </c>
      <c r="D435" s="65">
        <f>IF(Table2[[#This Row],[Country]]&gt;0,(((Table2[[#This Row],[Country]]-B434)/B434)+1)^12-1,"")</f>
        <v>5.7069656196342633E-2</v>
      </c>
    </row>
    <row r="436" spans="1:4" x14ac:dyDescent="0.2">
      <c r="A436" s="36">
        <v>35370</v>
      </c>
      <c r="B436" s="37">
        <f>VLOOKUP(A436,Data!$E:$BG,MATCH(Country!$A$1,Data!$E$1:$BG$1,),)</f>
        <v>31.495609999999999</v>
      </c>
      <c r="C436" s="65">
        <f>IF(B424&gt;0,(Table2[[#This Row],[Country]]-B424)/B424,0)</f>
        <v>4.6990496655147061E-2</v>
      </c>
      <c r="D436" s="65">
        <f>IF(Table2[[#This Row],[Country]]&gt;0,(((Table2[[#This Row],[Country]]-B435)/B435)+1)^12-1,"")</f>
        <v>6.2505616853797852E-2</v>
      </c>
    </row>
    <row r="437" spans="1:4" x14ac:dyDescent="0.2">
      <c r="A437" s="36">
        <v>35400</v>
      </c>
      <c r="B437" s="37">
        <f>VLOOKUP(A437,Data!$E:$BG,MATCH(Country!$A$1,Data!$E$1:$BG$1,),)</f>
        <v>31.665130000000001</v>
      </c>
      <c r="C437" s="65">
        <f>IF(B425&gt;0,(Table2[[#This Row],[Country]]-B425)/B425,0)</f>
        <v>4.9841488345199414E-2</v>
      </c>
      <c r="D437" s="65">
        <f>IF(Table2[[#This Row],[Country]]&gt;0,(((Table2[[#This Row],[Country]]-B436)/B436)+1)^12-1,"")</f>
        <v>6.6534761919339269E-2</v>
      </c>
    </row>
    <row r="438" spans="1:4" x14ac:dyDescent="0.2">
      <c r="A438" s="36">
        <v>35431</v>
      </c>
      <c r="B438" s="37">
        <f>VLOOKUP(A438,Data!$E:$BG,MATCH(Country!$A$1,Data!$E$1:$BG$1,),)</f>
        <v>31.78314</v>
      </c>
      <c r="C438" s="65">
        <f>IF(B426&gt;0,(Table2[[#This Row],[Country]]-B426)/B426,0)</f>
        <v>4.8438828252799833E-2</v>
      </c>
      <c r="D438" s="65">
        <f>IF(Table2[[#This Row],[Country]]&gt;0,(((Table2[[#This Row],[Country]]-B437)/B437)+1)^12-1,"")</f>
        <v>4.564991550858899E-2</v>
      </c>
    </row>
    <row r="439" spans="1:4" x14ac:dyDescent="0.2">
      <c r="A439" s="36">
        <v>35462</v>
      </c>
      <c r="B439" s="37">
        <f>VLOOKUP(A439,Data!$E:$BG,MATCH(Country!$A$1,Data!$E$1:$BG$1,),)</f>
        <v>31.880369999999999</v>
      </c>
      <c r="C439" s="65">
        <f>IF(B427&gt;0,(Table2[[#This Row],[Country]]-B427)/B427,0)</f>
        <v>4.7654241307331056E-2</v>
      </c>
      <c r="D439" s="65">
        <f>IF(Table2[[#This Row],[Country]]&gt;0,(((Table2[[#This Row],[Country]]-B438)/B438)+1)^12-1,"")</f>
        <v>3.7334033318762838E-2</v>
      </c>
    </row>
    <row r="440" spans="1:4" x14ac:dyDescent="0.2">
      <c r="A440" s="36">
        <v>35490</v>
      </c>
      <c r="B440" s="37">
        <f>VLOOKUP(A440,Data!$E:$BG,MATCH(Country!$A$1,Data!$E$1:$BG$1,),)</f>
        <v>32.004190000000001</v>
      </c>
      <c r="C440" s="65">
        <f>IF(B428&gt;0,(Table2[[#This Row],[Country]]-B428)/B428,0)</f>
        <v>4.4534763114212172E-2</v>
      </c>
      <c r="D440" s="65">
        <f>IF(Table2[[#This Row],[Country]]&gt;0,(((Table2[[#This Row],[Country]]-B439)/B439)+1)^12-1,"")</f>
        <v>4.7615324991034269E-2</v>
      </c>
    </row>
    <row r="441" spans="1:4" x14ac:dyDescent="0.2">
      <c r="A441" s="36">
        <v>35521</v>
      </c>
      <c r="B441" s="37">
        <f>VLOOKUP(A441,Data!$E:$BG,MATCH(Country!$A$1,Data!$E$1:$BG$1,),)</f>
        <v>32.137149999999998</v>
      </c>
      <c r="C441" s="65">
        <f>IF(B429&gt;0,(Table2[[#This Row],[Country]]-B429)/B429,0)</f>
        <v>4.581083724028534E-2</v>
      </c>
      <c r="D441" s="65">
        <f>IF(Table2[[#This Row],[Country]]&gt;0,(((Table2[[#This Row],[Country]]-B440)/B440)+1)^12-1,"")</f>
        <v>5.1008522921081045E-2</v>
      </c>
    </row>
    <row r="442" spans="1:4" x14ac:dyDescent="0.2">
      <c r="A442" s="36">
        <v>35551</v>
      </c>
      <c r="B442" s="37">
        <f>VLOOKUP(A442,Data!$E:$BG,MATCH(Country!$A$1,Data!$E$1:$BG$1,),)</f>
        <v>32.236040000000003</v>
      </c>
      <c r="C442" s="65">
        <f>IF(B430&gt;0,(Table2[[#This Row],[Country]]-B430)/B430,0)</f>
        <v>4.5692040248518639E-2</v>
      </c>
      <c r="D442" s="65">
        <f>IF(Table2[[#This Row],[Country]]&gt;0,(((Table2[[#This Row],[Country]]-B441)/B441)+1)^12-1,"")</f>
        <v>3.7556877989364246E-2</v>
      </c>
    </row>
    <row r="443" spans="1:4" x14ac:dyDescent="0.2">
      <c r="A443" s="36">
        <v>35582</v>
      </c>
      <c r="B443" s="37">
        <f>VLOOKUP(A443,Data!$E:$BG,MATCH(Country!$A$1,Data!$E$1:$BG$1,),)</f>
        <v>32.37482</v>
      </c>
      <c r="C443" s="65">
        <f>IF(B431&gt;0,(Table2[[#This Row],[Country]]-B431)/B431,0)</f>
        <v>4.6554561597068889E-2</v>
      </c>
      <c r="D443" s="65">
        <f>IF(Table2[[#This Row],[Country]]&gt;0,(((Table2[[#This Row],[Country]]-B442)/B442)+1)^12-1,"")</f>
        <v>5.2902405143088194E-2</v>
      </c>
    </row>
    <row r="444" spans="1:4" x14ac:dyDescent="0.2">
      <c r="A444" s="36">
        <v>35612</v>
      </c>
      <c r="B444" s="37">
        <f>VLOOKUP(A444,Data!$E:$BG,MATCH(Country!$A$1,Data!$E$1:$BG$1,),)</f>
        <v>32.524410000000003</v>
      </c>
      <c r="C444" s="65">
        <f>IF(B432&gt;0,(Table2[[#This Row],[Country]]-B432)/B432,0)</f>
        <v>4.7254661856989316E-2</v>
      </c>
      <c r="D444" s="65">
        <f>IF(Table2[[#This Row],[Country]]&gt;0,(((Table2[[#This Row],[Country]]-B443)/B443)+1)^12-1,"")</f>
        <v>5.6877800220280328E-2</v>
      </c>
    </row>
    <row r="445" spans="1:4" x14ac:dyDescent="0.2">
      <c r="A445" s="36">
        <v>35643</v>
      </c>
      <c r="B445" s="37">
        <f>VLOOKUP(A445,Data!$E:$BG,MATCH(Country!$A$1,Data!$E$1:$BG$1,),)</f>
        <v>32.802799999999998</v>
      </c>
      <c r="C445" s="65">
        <f>IF(B433&gt;0,(Table2[[#This Row],[Country]]-B433)/B433,0)</f>
        <v>5.4272056750991469E-2</v>
      </c>
      <c r="D445" s="65">
        <f>IF(Table2[[#This Row],[Country]]&gt;0,(((Table2[[#This Row],[Country]]-B444)/B444)+1)^12-1,"")</f>
        <v>0.10768906214020157</v>
      </c>
    </row>
    <row r="446" spans="1:4" x14ac:dyDescent="0.2">
      <c r="A446" s="36">
        <v>35674</v>
      </c>
      <c r="B446" s="37">
        <f>VLOOKUP(A446,Data!$E:$BG,MATCH(Country!$A$1,Data!$E$1:$BG$1,),)</f>
        <v>32.93327</v>
      </c>
      <c r="C446" s="65">
        <f>IF(B434&gt;0,(Table2[[#This Row],[Country]]-B434)/B434,0)</f>
        <v>5.5814772116690413E-2</v>
      </c>
      <c r="D446" s="65">
        <f>IF(Table2[[#This Row],[Country]]&gt;0,(((Table2[[#This Row],[Country]]-B445)/B445)+1)^12-1,"")</f>
        <v>4.8786923026786333E-2</v>
      </c>
    </row>
    <row r="447" spans="1:4" x14ac:dyDescent="0.2">
      <c r="A447" s="36">
        <v>35704</v>
      </c>
      <c r="B447" s="37">
        <f>VLOOKUP(A447,Data!$E:$BG,MATCH(Country!$A$1,Data!$E$1:$BG$1,),)</f>
        <v>33.091990000000003</v>
      </c>
      <c r="C447" s="65">
        <f>IF(B435&gt;0,(Table2[[#This Row],[Country]]-B435)/B435,0)</f>
        <v>5.6007809328816459E-2</v>
      </c>
      <c r="D447" s="65">
        <f>IF(Table2[[#This Row],[Country]]&gt;0,(((Table2[[#This Row],[Country]]-B446)/B446)+1)^12-1,"")</f>
        <v>5.9391189503737785E-2</v>
      </c>
    </row>
    <row r="448" spans="1:4" x14ac:dyDescent="0.2">
      <c r="A448" s="36">
        <v>35735</v>
      </c>
      <c r="B448" s="37">
        <f>VLOOKUP(A448,Data!$E:$BG,MATCH(Country!$A$1,Data!$E$1:$BG$1,),)</f>
        <v>33.278970000000001</v>
      </c>
      <c r="C448" s="65">
        <f>IF(B436&gt;0,(Table2[[#This Row],[Country]]-B436)/B436,0)</f>
        <v>5.6622494373025377E-2</v>
      </c>
      <c r="D448" s="65">
        <f>IF(Table2[[#This Row],[Country]]&gt;0,(((Table2[[#This Row],[Country]]-B447)/B447)+1)^12-1,"")</f>
        <v>6.9951030755381449E-2</v>
      </c>
    </row>
    <row r="449" spans="1:4" x14ac:dyDescent="0.2">
      <c r="A449" s="36">
        <v>35765</v>
      </c>
      <c r="B449" s="37">
        <f>VLOOKUP(A449,Data!$E:$BG,MATCH(Country!$A$1,Data!$E$1:$BG$1,),)</f>
        <v>33.430219999999998</v>
      </c>
      <c r="C449" s="65">
        <f>IF(B437&gt;0,(Table2[[#This Row],[Country]]-B437)/B437,0)</f>
        <v>5.5742389183306595E-2</v>
      </c>
      <c r="D449" s="65">
        <f>IF(Table2[[#This Row],[Country]]&gt;0,(((Table2[[#This Row],[Country]]-B448)/B448)+1)^12-1,"")</f>
        <v>5.5923125117969708E-2</v>
      </c>
    </row>
    <row r="450" spans="1:4" x14ac:dyDescent="0.2">
      <c r="A450" s="36">
        <v>35796</v>
      </c>
      <c r="B450" s="37">
        <f>VLOOKUP(A450,Data!$E:$BG,MATCH(Country!$A$1,Data!$E$1:$BG$1,),)</f>
        <v>33.623840000000001</v>
      </c>
      <c r="C450" s="65">
        <f>IF(B438&gt;0,(Table2[[#This Row],[Country]]-B438)/B438,0)</f>
        <v>5.7914353333245294E-2</v>
      </c>
      <c r="D450" s="65">
        <f>IF(Table2[[#This Row],[Country]]&gt;0,(((Table2[[#This Row],[Country]]-B449)/B449)+1)^12-1,"")</f>
        <v>7.1758432373163039E-2</v>
      </c>
    </row>
    <row r="451" spans="1:4" x14ac:dyDescent="0.2">
      <c r="A451" s="36">
        <v>35827</v>
      </c>
      <c r="B451" s="37">
        <f>VLOOKUP(A451,Data!$E:$BG,MATCH(Country!$A$1,Data!$E$1:$BG$1,),)</f>
        <v>33.895589999999999</v>
      </c>
      <c r="C451" s="65">
        <f>IF(B439&gt;0,(Table2[[#This Row],[Country]]-B439)/B439,0)</f>
        <v>6.3211938882767021E-2</v>
      </c>
      <c r="D451" s="65">
        <f>IF(Table2[[#This Row],[Country]]&gt;0,(((Table2[[#This Row],[Country]]-B450)/B450)+1)^12-1,"")</f>
        <v>0.10141414324401143</v>
      </c>
    </row>
    <row r="452" spans="1:4" x14ac:dyDescent="0.2">
      <c r="A452" s="36">
        <v>35855</v>
      </c>
      <c r="B452" s="37">
        <f>VLOOKUP(A452,Data!$E:$BG,MATCH(Country!$A$1,Data!$E$1:$BG$1,),)</f>
        <v>34.107500000000002</v>
      </c>
      <c r="C452" s="65">
        <f>IF(B440&gt;0,(Table2[[#This Row],[Country]]-B440)/B440,0)</f>
        <v>6.5719832309456994E-2</v>
      </c>
      <c r="D452" s="65">
        <f>IF(Table2[[#This Row],[Country]]&gt;0,(((Table2[[#This Row],[Country]]-B451)/B451)+1)^12-1,"")</f>
        <v>7.7656319220162251E-2</v>
      </c>
    </row>
    <row r="453" spans="1:4" x14ac:dyDescent="0.2">
      <c r="A453" s="36">
        <v>35886</v>
      </c>
      <c r="B453" s="37">
        <f>VLOOKUP(A453,Data!$E:$BG,MATCH(Country!$A$1,Data!$E$1:$BG$1,),)</f>
        <v>34.321899999999999</v>
      </c>
      <c r="C453" s="65">
        <f>IF(B441&gt;0,(Table2[[#This Row],[Country]]-B441)/B441,0)</f>
        <v>6.798207059431223E-2</v>
      </c>
      <c r="D453" s="65">
        <f>IF(Table2[[#This Row],[Country]]&gt;0,(((Table2[[#This Row],[Country]]-B452)/B452)+1)^12-1,"")</f>
        <v>7.8095431767134293E-2</v>
      </c>
    </row>
    <row r="454" spans="1:4" x14ac:dyDescent="0.2">
      <c r="A454" s="36">
        <v>35916</v>
      </c>
      <c r="B454" s="37">
        <f>VLOOKUP(A454,Data!$E:$BG,MATCH(Country!$A$1,Data!$E$1:$BG$1,),)</f>
        <v>34.520510000000002</v>
      </c>
      <c r="C454" s="65">
        <f>IF(B442&gt;0,(Table2[[#This Row],[Country]]-B442)/B442,0)</f>
        <v>7.0866955122279252E-2</v>
      </c>
      <c r="D454" s="65">
        <f>IF(Table2[[#This Row],[Country]]&gt;0,(((Table2[[#This Row],[Country]]-B453)/B453)+1)^12-1,"")</f>
        <v>7.1693458740158533E-2</v>
      </c>
    </row>
    <row r="455" spans="1:4" x14ac:dyDescent="0.2">
      <c r="A455" s="36">
        <v>35947</v>
      </c>
      <c r="B455" s="37">
        <f>VLOOKUP(A455,Data!$E:$BG,MATCH(Country!$A$1,Data!$E$1:$BG$1,),)</f>
        <v>34.685049999999997</v>
      </c>
      <c r="C455" s="65">
        <f>IF(B443&gt;0,(Table2[[#This Row],[Country]]-B443)/B443,0)</f>
        <v>7.1358852342653864E-2</v>
      </c>
      <c r="D455" s="65">
        <f>IF(Table2[[#This Row],[Country]]&gt;0,(((Table2[[#This Row],[Country]]-B454)/B454)+1)^12-1,"")</f>
        <v>5.8720833737711198E-2</v>
      </c>
    </row>
    <row r="456" spans="1:4" x14ac:dyDescent="0.2">
      <c r="A456" s="36">
        <v>35977</v>
      </c>
      <c r="B456" s="37">
        <f>VLOOKUP(A456,Data!$E:$BG,MATCH(Country!$A$1,Data!$E$1:$BG$1,),)</f>
        <v>34.848770000000002</v>
      </c>
      <c r="C456" s="65">
        <f>IF(B444&gt;0,(Table2[[#This Row],[Country]]-B444)/B444,0)</f>
        <v>7.1465093448274647E-2</v>
      </c>
      <c r="D456" s="65">
        <f>IF(Table2[[#This Row],[Country]]&gt;0,(((Table2[[#This Row],[Country]]-B455)/B455)+1)^12-1,"")</f>
        <v>5.8136147520293946E-2</v>
      </c>
    </row>
    <row r="457" spans="1:4" x14ac:dyDescent="0.2">
      <c r="A457" s="36">
        <v>36008</v>
      </c>
      <c r="B457" s="37">
        <f>VLOOKUP(A457,Data!$E:$BG,MATCH(Country!$A$1,Data!$E$1:$BG$1,),)</f>
        <v>35.056519999999999</v>
      </c>
      <c r="C457" s="65">
        <f>IF(B445&gt;0,(Table2[[#This Row],[Country]]-B445)/B445,0)</f>
        <v>6.870511053934425E-2</v>
      </c>
      <c r="D457" s="65">
        <f>IF(Table2[[#This Row],[Country]]&gt;0,(((Table2[[#This Row],[Country]]-B456)/B456)+1)^12-1,"")</f>
        <v>7.393050172277893E-2</v>
      </c>
    </row>
    <row r="458" spans="1:4" x14ac:dyDescent="0.2">
      <c r="A458" s="36">
        <v>36039</v>
      </c>
      <c r="B458" s="37">
        <f>VLOOKUP(A458,Data!$E:$BG,MATCH(Country!$A$1,Data!$E$1:$BG$1,),)</f>
        <v>35.37979</v>
      </c>
      <c r="C458" s="65">
        <f>IF(B446&gt;0,(Table2[[#This Row],[Country]]-B446)/B446,0)</f>
        <v>7.4287187394388707E-2</v>
      </c>
      <c r="D458" s="65">
        <f>IF(Table2[[#This Row],[Country]]&gt;0,(((Table2[[#This Row],[Country]]-B457)/B457)+1)^12-1,"")</f>
        <v>0.1164451273368039</v>
      </c>
    </row>
    <row r="459" spans="1:4" x14ac:dyDescent="0.2">
      <c r="A459" s="36">
        <v>36069</v>
      </c>
      <c r="B459" s="37">
        <f>VLOOKUP(A459,Data!$E:$BG,MATCH(Country!$A$1,Data!$E$1:$BG$1,),)</f>
        <v>35.71302</v>
      </c>
      <c r="C459" s="65">
        <f>IF(B447&gt;0,(Table2[[#This Row],[Country]]-B447)/B447,0)</f>
        <v>7.9204363351977239E-2</v>
      </c>
      <c r="D459" s="65">
        <f>IF(Table2[[#This Row],[Country]]&gt;0,(((Table2[[#This Row],[Country]]-B458)/B458)+1)^12-1,"")</f>
        <v>0.1190665499503567</v>
      </c>
    </row>
    <row r="460" spans="1:4" x14ac:dyDescent="0.2">
      <c r="A460" s="36">
        <v>36100</v>
      </c>
      <c r="B460" s="37">
        <f>VLOOKUP(A460,Data!$E:$BG,MATCH(Country!$A$1,Data!$E$1:$BG$1,),)</f>
        <v>36.033799999999999</v>
      </c>
      <c r="C460" s="65">
        <f>IF(B448&gt;0,(Table2[[#This Row],[Country]]-B448)/B448,0)</f>
        <v>8.2779905748284824E-2</v>
      </c>
      <c r="D460" s="65">
        <f>IF(Table2[[#This Row],[Country]]&gt;0,(((Table2[[#This Row],[Country]]-B459)/B459)+1)^12-1,"")</f>
        <v>0.113273421921394</v>
      </c>
    </row>
    <row r="461" spans="1:4" x14ac:dyDescent="0.2">
      <c r="A461" s="36">
        <v>36130</v>
      </c>
      <c r="B461" s="37">
        <f>VLOOKUP(A461,Data!$E:$BG,MATCH(Country!$A$1,Data!$E$1:$BG$1,),)</f>
        <v>36.273960000000002</v>
      </c>
      <c r="C461" s="65">
        <f>IF(B449&gt;0,(Table2[[#This Row],[Country]]-B449)/B449,0)</f>
        <v>8.5064950215703164E-2</v>
      </c>
      <c r="D461" s="65">
        <f>IF(Table2[[#This Row],[Country]]&gt;0,(((Table2[[#This Row],[Country]]-B460)/B460)+1)^12-1,"")</f>
        <v>8.2976099887694943E-2</v>
      </c>
    </row>
    <row r="462" spans="1:4" x14ac:dyDescent="0.2">
      <c r="A462" s="36">
        <v>36161</v>
      </c>
      <c r="B462" s="37">
        <f>VLOOKUP(A462,Data!$E:$BG,MATCH(Country!$A$1,Data!$E$1:$BG$1,),)</f>
        <v>36.501660000000001</v>
      </c>
      <c r="C462" s="65">
        <f>IF(B450&gt;0,(Table2[[#This Row],[Country]]-B450)/B450,0)</f>
        <v>8.5588677557352152E-2</v>
      </c>
      <c r="D462" s="65">
        <f>IF(Table2[[#This Row],[Country]]&gt;0,(((Table2[[#This Row],[Country]]-B461)/B461)+1)^12-1,"")</f>
        <v>7.7982594614764089E-2</v>
      </c>
    </row>
    <row r="463" spans="1:4" x14ac:dyDescent="0.2">
      <c r="A463" s="36">
        <v>36192</v>
      </c>
      <c r="B463" s="37">
        <f>VLOOKUP(A463,Data!$E:$BG,MATCH(Country!$A$1,Data!$E$1:$BG$1,),)</f>
        <v>36.691130000000001</v>
      </c>
      <c r="C463" s="65">
        <f>IF(B451&gt;0,(Table2[[#This Row],[Country]]-B451)/B451,0)</f>
        <v>8.2475035837995522E-2</v>
      </c>
      <c r="D463" s="65">
        <f>IF(Table2[[#This Row],[Country]]&gt;0,(((Table2[[#This Row],[Country]]-B462)/B462)+1)^12-1,"")</f>
        <v>6.4098082670254408E-2</v>
      </c>
    </row>
    <row r="464" spans="1:4" x14ac:dyDescent="0.2">
      <c r="A464" s="36">
        <v>36220</v>
      </c>
      <c r="B464" s="37">
        <f>VLOOKUP(A464,Data!$E:$BG,MATCH(Country!$A$1,Data!$E$1:$BG$1,),)</f>
        <v>36.747639999999997</v>
      </c>
      <c r="C464" s="65">
        <f>IF(B452&gt;0,(Table2[[#This Row],[Country]]-B452)/B452,0)</f>
        <v>7.7406435534706303E-2</v>
      </c>
      <c r="D464" s="65">
        <f>IF(Table2[[#This Row],[Country]]&gt;0,(((Table2[[#This Row],[Country]]-B463)/B463)+1)^12-1,"")</f>
        <v>1.863921455343065E-2</v>
      </c>
    </row>
    <row r="465" spans="1:4" x14ac:dyDescent="0.2">
      <c r="A465" s="36">
        <v>36251</v>
      </c>
      <c r="B465" s="37">
        <f>VLOOKUP(A465,Data!$E:$BG,MATCH(Country!$A$1,Data!$E$1:$BG$1,),)</f>
        <v>36.985309999999998</v>
      </c>
      <c r="C465" s="65">
        <f>IF(B453&gt;0,(Table2[[#This Row],[Country]]-B453)/B453,0)</f>
        <v>7.7600890393597063E-2</v>
      </c>
      <c r="D465" s="65">
        <f>IF(Table2[[#This Row],[Country]]&gt;0,(((Table2[[#This Row],[Country]]-B464)/B464)+1)^12-1,"")</f>
        <v>8.0432701523667882E-2</v>
      </c>
    </row>
    <row r="466" spans="1:4" x14ac:dyDescent="0.2">
      <c r="A466" s="36">
        <v>36281</v>
      </c>
      <c r="B466" s="37">
        <f>VLOOKUP(A466,Data!$E:$BG,MATCH(Country!$A$1,Data!$E$1:$BG$1,),)</f>
        <v>37.187249999999999</v>
      </c>
      <c r="C466" s="65">
        <f>IF(B454&gt;0,(Table2[[#This Row],[Country]]-B454)/B454,0)</f>
        <v>7.7250886501966431E-2</v>
      </c>
      <c r="D466" s="65">
        <f>IF(Table2[[#This Row],[Country]]&gt;0,(((Table2[[#This Row],[Country]]-B465)/B465)+1)^12-1,"")</f>
        <v>6.7523890529041175E-2</v>
      </c>
    </row>
    <row r="467" spans="1:4" x14ac:dyDescent="0.2">
      <c r="A467" s="36">
        <v>36312</v>
      </c>
      <c r="B467" s="37">
        <f>VLOOKUP(A467,Data!$E:$BG,MATCH(Country!$A$1,Data!$E$1:$BG$1,),)</f>
        <v>37.368409999999997</v>
      </c>
      <c r="C467" s="65">
        <f>IF(B455&gt;0,(Table2[[#This Row],[Country]]-B455)/B455,0)</f>
        <v>7.7363590365301493E-2</v>
      </c>
      <c r="D467" s="65">
        <f>IF(Table2[[#This Row],[Country]]&gt;0,(((Table2[[#This Row],[Country]]-B466)/B466)+1)^12-1,"")</f>
        <v>6.0050781445620149E-2</v>
      </c>
    </row>
    <row r="468" spans="1:4" x14ac:dyDescent="0.2">
      <c r="A468" s="36">
        <v>36342</v>
      </c>
      <c r="B468" s="37">
        <f>VLOOKUP(A468,Data!$E:$BG,MATCH(Country!$A$1,Data!$E$1:$BG$1,),)</f>
        <v>37.594450000000002</v>
      </c>
      <c r="C468" s="65">
        <f>IF(B456&gt;0,(Table2[[#This Row],[Country]]-B456)/B456,0)</f>
        <v>7.8788433565947946E-2</v>
      </c>
      <c r="D468" s="65">
        <f>IF(Table2[[#This Row],[Country]]&gt;0,(((Table2[[#This Row],[Country]]-B467)/B467)+1)^12-1,"")</f>
        <v>7.5051810556725274E-2</v>
      </c>
    </row>
    <row r="469" spans="1:4" x14ac:dyDescent="0.2">
      <c r="A469" s="36">
        <v>36373</v>
      </c>
      <c r="B469" s="37">
        <f>VLOOKUP(A469,Data!$E:$BG,MATCH(Country!$A$1,Data!$E$1:$BG$1,),)</f>
        <v>37.738219999999998</v>
      </c>
      <c r="C469" s="65">
        <f>IF(B457&gt;0,(Table2[[#This Row],[Country]]-B457)/B457,0)</f>
        <v>7.6496469130421366E-2</v>
      </c>
      <c r="D469" s="65">
        <f>IF(Table2[[#This Row],[Country]]&gt;0,(((Table2[[#This Row],[Country]]-B468)/B468)+1)^12-1,"")</f>
        <v>4.6868462022081836E-2</v>
      </c>
    </row>
    <row r="470" spans="1:4" x14ac:dyDescent="0.2">
      <c r="A470" s="36">
        <v>36404</v>
      </c>
      <c r="B470" s="37">
        <f>VLOOKUP(A470,Data!$E:$BG,MATCH(Country!$A$1,Data!$E$1:$BG$1,),)</f>
        <v>37.871180000000003</v>
      </c>
      <c r="C470" s="65">
        <f>IF(B458&gt;0,(Table2[[#This Row],[Country]]-B458)/B458,0)</f>
        <v>7.0418450759600404E-2</v>
      </c>
      <c r="D470" s="65">
        <f>IF(Table2[[#This Row],[Country]]&gt;0,(((Table2[[#This Row],[Country]]-B469)/B469)+1)^12-1,"")</f>
        <v>4.3107584399137977E-2</v>
      </c>
    </row>
    <row r="471" spans="1:4" x14ac:dyDescent="0.2">
      <c r="A471" s="36">
        <v>36434</v>
      </c>
      <c r="B471" s="37">
        <f>VLOOKUP(A471,Data!$E:$BG,MATCH(Country!$A$1,Data!$E$1:$BG$1,),)</f>
        <v>38.068129999999996</v>
      </c>
      <c r="C471" s="65">
        <f>IF(B459&gt;0,(Table2[[#This Row],[Country]]-B459)/B459,0)</f>
        <v>6.5945417105582119E-2</v>
      </c>
      <c r="D471" s="65">
        <f>IF(Table2[[#This Row],[Country]]&gt;0,(((Table2[[#This Row],[Country]]-B470)/B470)+1)^12-1,"")</f>
        <v>6.4222602448372301E-2</v>
      </c>
    </row>
    <row r="472" spans="1:4" x14ac:dyDescent="0.2">
      <c r="A472" s="36">
        <v>36465</v>
      </c>
      <c r="B472" s="37">
        <f>VLOOKUP(A472,Data!$E:$BG,MATCH(Country!$A$1,Data!$E$1:$BG$1,),)</f>
        <v>38.226019999999998</v>
      </c>
      <c r="C472" s="65">
        <f>IF(B460&gt;0,(Table2[[#This Row],[Country]]-B460)/B460,0)</f>
        <v>6.0837879990453377E-2</v>
      </c>
      <c r="D472" s="65">
        <f>IF(Table2[[#This Row],[Country]]&gt;0,(((Table2[[#This Row],[Country]]-B471)/B471)+1)^12-1,"")</f>
        <v>5.0921961050332865E-2</v>
      </c>
    </row>
    <row r="473" spans="1:4" x14ac:dyDescent="0.2">
      <c r="A473" s="36">
        <v>36495</v>
      </c>
      <c r="B473" s="37">
        <f>VLOOKUP(A473,Data!$E:$BG,MATCH(Country!$A$1,Data!$E$1:$BG$1,),)</f>
        <v>38.454560000000001</v>
      </c>
      <c r="C473" s="65">
        <f>IF(B461&gt;0,(Table2[[#This Row],[Country]]-B461)/B461,0)</f>
        <v>6.0114748982465611E-2</v>
      </c>
      <c r="D473" s="65">
        <f>IF(Table2[[#This Row],[Country]]&gt;0,(((Table2[[#This Row],[Country]]-B472)/B472)+1)^12-1,"")</f>
        <v>7.4150575793695328E-2</v>
      </c>
    </row>
    <row r="474" spans="1:4" x14ac:dyDescent="0.2">
      <c r="A474" s="36">
        <v>36526</v>
      </c>
      <c r="B474" s="37">
        <f>VLOOKUP(A474,Data!$E:$BG,MATCH(Country!$A$1,Data!$E$1:$BG$1,),)</f>
        <v>38.689729999999997</v>
      </c>
      <c r="C474" s="65">
        <f>IF(B462&gt;0,(Table2[[#This Row],[Country]]-B462)/B462,0)</f>
        <v>5.9944397049339571E-2</v>
      </c>
      <c r="D474" s="65">
        <f>IF(Table2[[#This Row],[Country]]&gt;0,(((Table2[[#This Row],[Country]]-B473)/B473)+1)^12-1,"")</f>
        <v>7.5905752948292937E-2</v>
      </c>
    </row>
    <row r="475" spans="1:4" x14ac:dyDescent="0.2">
      <c r="A475" s="36">
        <v>36557</v>
      </c>
      <c r="B475" s="37">
        <f>VLOOKUP(A475,Data!$E:$BG,MATCH(Country!$A$1,Data!$E$1:$BG$1,),)</f>
        <v>38.800260000000002</v>
      </c>
      <c r="C475" s="65">
        <f>IF(B463&gt;0,(Table2[[#This Row],[Country]]-B463)/B463,0)</f>
        <v>5.7483375409806137E-2</v>
      </c>
      <c r="D475" s="65">
        <f>IF(Table2[[#This Row],[Country]]&gt;0,(((Table2[[#This Row],[Country]]-B474)/B474)+1)^12-1,"")</f>
        <v>3.482578612476539E-2</v>
      </c>
    </row>
    <row r="476" spans="1:4" x14ac:dyDescent="0.2">
      <c r="A476" s="36">
        <v>36586</v>
      </c>
      <c r="B476" s="37">
        <f>VLOOKUP(A476,Data!$E:$BG,MATCH(Country!$A$1,Data!$E$1:$BG$1,),)</f>
        <v>39.05621</v>
      </c>
      <c r="C476" s="65">
        <f>IF(B464&gt;0,(Table2[[#This Row],[Country]]-B464)/B464,0)</f>
        <v>6.2822265593110285E-2</v>
      </c>
      <c r="D476" s="65">
        <f>IF(Table2[[#This Row],[Country]]&gt;0,(((Table2[[#This Row],[Country]]-B475)/B475)+1)^12-1,"")</f>
        <v>8.2095365508134233E-2</v>
      </c>
    </row>
    <row r="477" spans="1:4" x14ac:dyDescent="0.2">
      <c r="A477" s="36">
        <v>36617</v>
      </c>
      <c r="B477" s="37">
        <f>VLOOKUP(A477,Data!$E:$BG,MATCH(Country!$A$1,Data!$E$1:$BG$1,),)</f>
        <v>39.519919999999999</v>
      </c>
      <c r="C477" s="65">
        <f>IF(B465&gt;0,(Table2[[#This Row],[Country]]-B465)/B465,0)</f>
        <v>6.8530181307118979E-2</v>
      </c>
      <c r="D477" s="65">
        <f>IF(Table2[[#This Row],[Country]]&gt;0,(((Table2[[#This Row],[Country]]-B476)/B476)+1)^12-1,"")</f>
        <v>0.15215660706046097</v>
      </c>
    </row>
    <row r="478" spans="1:4" x14ac:dyDescent="0.2">
      <c r="A478" s="36">
        <v>36647</v>
      </c>
      <c r="B478" s="37">
        <f>VLOOKUP(A478,Data!$E:$BG,MATCH(Country!$A$1,Data!$E$1:$BG$1,),)</f>
        <v>39.416040000000002</v>
      </c>
      <c r="C478" s="65">
        <f>IF(B466&gt;0,(Table2[[#This Row],[Country]]-B466)/B466,0)</f>
        <v>5.9934251658834779E-2</v>
      </c>
      <c r="D478" s="65">
        <f>IF(Table2[[#This Row],[Country]]&gt;0,(((Table2[[#This Row],[Country]]-B477)/B477)+1)^12-1,"")</f>
        <v>-3.1090534530035852E-2</v>
      </c>
    </row>
    <row r="479" spans="1:4" x14ac:dyDescent="0.2">
      <c r="A479" s="36">
        <v>36678</v>
      </c>
      <c r="B479" s="37">
        <f>VLOOKUP(A479,Data!$E:$BG,MATCH(Country!$A$1,Data!$E$1:$BG$1,),)</f>
        <v>39.563960000000002</v>
      </c>
      <c r="C479" s="65">
        <f>IF(B467&gt;0,(Table2[[#This Row],[Country]]-B467)/B467,0)</f>
        <v>5.8754172307572211E-2</v>
      </c>
      <c r="D479" s="65">
        <f>IF(Table2[[#This Row],[Country]]&gt;0,(((Table2[[#This Row],[Country]]-B478)/B478)+1)^12-1,"")</f>
        <v>4.5974674503602042E-2</v>
      </c>
    </row>
    <row r="480" spans="1:4" x14ac:dyDescent="0.2">
      <c r="A480" s="36">
        <v>36708</v>
      </c>
      <c r="B480" s="37">
        <f>VLOOKUP(A480,Data!$E:$BG,MATCH(Country!$A$1,Data!$E$1:$BG$1,),)</f>
        <v>39.709389999999999</v>
      </c>
      <c r="C480" s="65">
        <f>IF(B468&gt;0,(Table2[[#This Row],[Country]]-B468)/B468,0)</f>
        <v>5.6256708104520665E-2</v>
      </c>
      <c r="D480" s="65">
        <f>IF(Table2[[#This Row],[Country]]&gt;0,(((Table2[[#This Row],[Country]]-B479)/B479)+1)^12-1,"")</f>
        <v>4.5012628026165125E-2</v>
      </c>
    </row>
    <row r="481" spans="1:4" x14ac:dyDescent="0.2">
      <c r="A481" s="36">
        <v>36739</v>
      </c>
      <c r="B481" s="37">
        <f>VLOOKUP(A481,Data!$E:$BG,MATCH(Country!$A$1,Data!$E$1:$BG$1,),)</f>
        <v>39.943739999999998</v>
      </c>
      <c r="C481" s="65">
        <f>IF(B469&gt;0,(Table2[[#This Row],[Country]]-B469)/B469,0)</f>
        <v>5.8442608050936158E-2</v>
      </c>
      <c r="D481" s="65">
        <f>IF(Table2[[#This Row],[Country]]&gt;0,(((Table2[[#This Row],[Country]]-B480)/B480)+1)^12-1,"")</f>
        <v>7.3164075596346967E-2</v>
      </c>
    </row>
    <row r="482" spans="1:4" x14ac:dyDescent="0.2">
      <c r="A482" s="36">
        <v>36770</v>
      </c>
      <c r="B482" s="37">
        <f>VLOOKUP(A482,Data!$E:$BG,MATCH(Country!$A$1,Data!$E$1:$BG$1,),)</f>
        <v>40.239579999999997</v>
      </c>
      <c r="C482" s="65">
        <f>IF(B470&gt;0,(Table2[[#This Row],[Country]]-B470)/B470,0)</f>
        <v>6.2538320696635119E-2</v>
      </c>
      <c r="D482" s="65">
        <f>IF(Table2[[#This Row],[Country]]&gt;0,(((Table2[[#This Row],[Country]]-B481)/B481)+1)^12-1,"")</f>
        <v>9.2588325176144792E-2</v>
      </c>
    </row>
    <row r="483" spans="1:4" x14ac:dyDescent="0.2">
      <c r="A483" s="36">
        <v>36800</v>
      </c>
      <c r="B483" s="37">
        <f>VLOOKUP(A483,Data!$E:$BG,MATCH(Country!$A$1,Data!$E$1:$BG$1,),)</f>
        <v>40.372549999999997</v>
      </c>
      <c r="C483" s="65">
        <f>IF(B471&gt;0,(Table2[[#This Row],[Country]]-B471)/B471,0)</f>
        <v>6.0534100309103722E-2</v>
      </c>
      <c r="D483" s="65">
        <f>IF(Table2[[#This Row],[Country]]&gt;0,(((Table2[[#This Row],[Country]]-B482)/B482)+1)^12-1,"")</f>
        <v>4.0382176142200965E-2</v>
      </c>
    </row>
    <row r="484" spans="1:4" x14ac:dyDescent="0.2">
      <c r="A484" s="36">
        <v>36831</v>
      </c>
      <c r="B484" s="37">
        <f>VLOOKUP(A484,Data!$E:$BG,MATCH(Country!$A$1,Data!$E$1:$BG$1,),)</f>
        <v>40.462299999999999</v>
      </c>
      <c r="C484" s="65">
        <f>IF(B472&gt;0,(Table2[[#This Row],[Country]]-B472)/B472,0)</f>
        <v>5.8501512843869195E-2</v>
      </c>
      <c r="D484" s="65">
        <f>IF(Table2[[#This Row],[Country]]&gt;0,(((Table2[[#This Row],[Country]]-B483)/B483)+1)^12-1,"")</f>
        <v>2.700513779642133E-2</v>
      </c>
    </row>
    <row r="485" spans="1:4" x14ac:dyDescent="0.2">
      <c r="A485" s="36">
        <v>36861</v>
      </c>
      <c r="B485" s="37">
        <f>VLOOKUP(A485,Data!$E:$BG,MATCH(Country!$A$1,Data!$E$1:$BG$1,),)</f>
        <v>40.833759999999998</v>
      </c>
      <c r="C485" s="65">
        <f>IF(B473&gt;0,(Table2[[#This Row],[Country]]-B473)/B473,0)</f>
        <v>6.1870425770051647E-2</v>
      </c>
      <c r="D485" s="65">
        <f>IF(Table2[[#This Row],[Country]]&gt;0,(((Table2[[#This Row],[Country]]-B484)/B484)+1)^12-1,"")</f>
        <v>0.115901017688542</v>
      </c>
    </row>
    <row r="486" spans="1:4" x14ac:dyDescent="0.2">
      <c r="A486" s="36">
        <v>36892</v>
      </c>
      <c r="B486" s="37">
        <f>VLOOKUP(A486,Data!$E:$BG,MATCH(Country!$A$1,Data!$E$1:$BG$1,),)</f>
        <v>41.254260000000002</v>
      </c>
      <c r="C486" s="65">
        <f>IF(B474&gt;0,(Table2[[#This Row],[Country]]-B474)/B474,0)</f>
        <v>6.6284515296436683E-2</v>
      </c>
      <c r="D486" s="65">
        <f>IF(Table2[[#This Row],[Country]]&gt;0,(((Table2[[#This Row],[Country]]-B485)/B485)+1)^12-1,"")</f>
        <v>0.13081914728727639</v>
      </c>
    </row>
    <row r="487" spans="1:4" x14ac:dyDescent="0.2">
      <c r="A487" s="36">
        <v>36923</v>
      </c>
      <c r="B487" s="37">
        <f>VLOOKUP(A487,Data!$E:$BG,MATCH(Country!$A$1,Data!$E$1:$BG$1,),)</f>
        <v>41.572539999999996</v>
      </c>
      <c r="C487" s="65">
        <f>IF(B475&gt;0,(Table2[[#This Row],[Country]]-B475)/B475,0)</f>
        <v>7.1450036675011833E-2</v>
      </c>
      <c r="D487" s="65">
        <f>IF(Table2[[#This Row],[Country]]&gt;0,(((Table2[[#This Row],[Country]]-B486)/B486)+1)^12-1,"")</f>
        <v>9.6612272943452648E-2</v>
      </c>
    </row>
    <row r="488" spans="1:4" x14ac:dyDescent="0.2">
      <c r="A488" s="36">
        <v>36951</v>
      </c>
      <c r="B488" s="37">
        <f>VLOOKUP(A488,Data!$E:$BG,MATCH(Country!$A$1,Data!$E$1:$BG$1,),)</f>
        <v>42.052860000000003</v>
      </c>
      <c r="C488" s="65">
        <f>IF(B476&gt;0,(Table2[[#This Row],[Country]]-B476)/B476,0)</f>
        <v>7.6726594823204874E-2</v>
      </c>
      <c r="D488" s="65">
        <f>IF(Table2[[#This Row],[Country]]&gt;0,(((Table2[[#This Row],[Country]]-B487)/B487)+1)^12-1,"")</f>
        <v>0.14780398971141118</v>
      </c>
    </row>
    <row r="489" spans="1:4" x14ac:dyDescent="0.2">
      <c r="A489" s="36">
        <v>36982</v>
      </c>
      <c r="B489" s="37">
        <f>VLOOKUP(A489,Data!$E:$BG,MATCH(Country!$A$1,Data!$E$1:$BG$1,),)</f>
        <v>42.584719999999997</v>
      </c>
      <c r="C489" s="65">
        <f>IF(B477&gt;0,(Table2[[#This Row],[Country]]-B477)/B477,0)</f>
        <v>7.7550764272802122E-2</v>
      </c>
      <c r="D489" s="65">
        <f>IF(Table2[[#This Row],[Country]]&gt;0,(((Table2[[#This Row],[Country]]-B488)/B488)+1)^12-1,"")</f>
        <v>0.16278415304543503</v>
      </c>
    </row>
    <row r="490" spans="1:4" x14ac:dyDescent="0.2">
      <c r="A490" s="36">
        <v>37012</v>
      </c>
      <c r="B490" s="37">
        <f>VLOOKUP(A490,Data!$E:$BG,MATCH(Country!$A$1,Data!$E$1:$BG$1,),)</f>
        <v>42.557290000000002</v>
      </c>
      <c r="C490" s="65">
        <f>IF(B478&gt;0,(Table2[[#This Row],[Country]]-B478)/B478,0)</f>
        <v>7.9694713116792035E-2</v>
      </c>
      <c r="D490" s="65">
        <f>IF(Table2[[#This Row],[Country]]&gt;0,(((Table2[[#This Row],[Country]]-B489)/B489)+1)^12-1,"")</f>
        <v>-7.7022083069401281E-3</v>
      </c>
    </row>
    <row r="491" spans="1:4" x14ac:dyDescent="0.2">
      <c r="A491" s="36">
        <v>37043</v>
      </c>
      <c r="B491" s="37">
        <f>VLOOKUP(A491,Data!$E:$BG,MATCH(Country!$A$1,Data!$E$1:$BG$1,),)</f>
        <v>42.891359999999999</v>
      </c>
      <c r="C491" s="65">
        <f>IF(B479&gt;0,(Table2[[#This Row],[Country]]-B479)/B479,0)</f>
        <v>8.410179365260699E-2</v>
      </c>
      <c r="D491" s="65">
        <f>IF(Table2[[#This Row],[Country]]&gt;0,(((Table2[[#This Row],[Country]]-B490)/B490)+1)^12-1,"")</f>
        <v>9.8373958112236703E-2</v>
      </c>
    </row>
    <row r="492" spans="1:4" x14ac:dyDescent="0.2">
      <c r="A492" s="36">
        <v>37073</v>
      </c>
      <c r="B492" s="37">
        <f>VLOOKUP(A492,Data!$E:$BG,MATCH(Country!$A$1,Data!$E$1:$BG$1,),)</f>
        <v>43.14067</v>
      </c>
      <c r="C492" s="65">
        <f>IF(B480&gt;0,(Table2[[#This Row],[Country]]-B480)/B480,0)</f>
        <v>8.6409788717479702E-2</v>
      </c>
      <c r="D492" s="65">
        <f>IF(Table2[[#This Row],[Country]]&gt;0,(((Table2[[#This Row],[Country]]-B491)/B491)+1)^12-1,"")</f>
        <v>7.2024777213029134E-2</v>
      </c>
    </row>
    <row r="493" spans="1:4" x14ac:dyDescent="0.2">
      <c r="A493" s="36">
        <v>37104</v>
      </c>
      <c r="B493" s="37">
        <f>VLOOKUP(A493,Data!$E:$BG,MATCH(Country!$A$1,Data!$E$1:$BG$1,),)</f>
        <v>43.422379999999997</v>
      </c>
      <c r="C493" s="65">
        <f>IF(B481&gt;0,(Table2[[#This Row],[Country]]-B481)/B481,0)</f>
        <v>8.7088489961130305E-2</v>
      </c>
      <c r="D493" s="65">
        <f>IF(Table2[[#This Row],[Country]]&gt;0,(((Table2[[#This Row],[Country]]-B492)/B492)+1)^12-1,"")</f>
        <v>8.1236892592232657E-2</v>
      </c>
    </row>
    <row r="494" spans="1:4" x14ac:dyDescent="0.2">
      <c r="A494" s="36">
        <v>37135</v>
      </c>
      <c r="B494" s="37">
        <f>VLOOKUP(A494,Data!$E:$BG,MATCH(Country!$A$1,Data!$E$1:$BG$1,),)</f>
        <v>44.345649999999999</v>
      </c>
      <c r="C494" s="65">
        <f>IF(B482&gt;0,(Table2[[#This Row],[Country]]-B482)/B482,0)</f>
        <v>0.10204057795831872</v>
      </c>
      <c r="D494" s="65">
        <f>IF(Table2[[#This Row],[Country]]&gt;0,(((Table2[[#This Row],[Country]]-B493)/B493)+1)^12-1,"")</f>
        <v>0.28720825450810361</v>
      </c>
    </row>
    <row r="495" spans="1:4" x14ac:dyDescent="0.2">
      <c r="A495" s="36">
        <v>37165</v>
      </c>
      <c r="B495" s="37">
        <f>VLOOKUP(A495,Data!$E:$BG,MATCH(Country!$A$1,Data!$E$1:$BG$1,),)</f>
        <v>44.250909999999998</v>
      </c>
      <c r="C495" s="65">
        <f>IF(B483&gt;0,(Table2[[#This Row],[Country]]-B483)/B483,0)</f>
        <v>9.6064281300041757E-2</v>
      </c>
      <c r="D495" s="65">
        <f>IF(Table2[[#This Row],[Country]]&gt;0,(((Table2[[#This Row],[Country]]-B494)/B494)+1)^12-1,"")</f>
        <v>-2.5337685076128325E-2</v>
      </c>
    </row>
    <row r="496" spans="1:4" x14ac:dyDescent="0.2">
      <c r="A496" s="36">
        <v>37196</v>
      </c>
      <c r="B496" s="37">
        <f>VLOOKUP(A496,Data!$E:$BG,MATCH(Country!$A$1,Data!$E$1:$BG$1,),)</f>
        <v>44.613230000000001</v>
      </c>
      <c r="C496" s="65">
        <f>IF(B484&gt;0,(Table2[[#This Row],[Country]]-B484)/B484,0)</f>
        <v>0.10258759388368932</v>
      </c>
      <c r="D496" s="65">
        <f>IF(Table2[[#This Row],[Country]]&gt;0,(((Table2[[#This Row],[Country]]-B495)/B495)+1)^12-1,"")</f>
        <v>0.10280197067631103</v>
      </c>
    </row>
    <row r="497" spans="1:4" x14ac:dyDescent="0.2">
      <c r="A497" s="36">
        <v>37226</v>
      </c>
      <c r="B497" s="37">
        <f>VLOOKUP(A497,Data!$E:$BG,MATCH(Country!$A$1,Data!$E$1:$BG$1,),)</f>
        <v>45.054499999999997</v>
      </c>
      <c r="C497" s="65">
        <f>IF(B485&gt;0,(Table2[[#This Row],[Country]]-B485)/B485,0)</f>
        <v>0.10336398117635993</v>
      </c>
      <c r="D497" s="65">
        <f>IF(Table2[[#This Row],[Country]]&gt;0,(((Table2[[#This Row],[Country]]-B496)/B496)+1)^12-1,"")</f>
        <v>0.12536676428525584</v>
      </c>
    </row>
    <row r="498" spans="1:4" x14ac:dyDescent="0.2">
      <c r="A498" s="36">
        <v>37257</v>
      </c>
      <c r="B498" s="37">
        <f>VLOOKUP(A498,Data!$E:$BG,MATCH(Country!$A$1,Data!$E$1:$BG$1,),)</f>
        <v>45.224029999999999</v>
      </c>
      <c r="C498" s="65">
        <f>IF(B486&gt;0,(Table2[[#This Row],[Country]]-B486)/B486,0)</f>
        <v>9.6226910869325902E-2</v>
      </c>
      <c r="D498" s="65">
        <f>IF(Table2[[#This Row],[Country]]&gt;0,(((Table2[[#This Row],[Country]]-B497)/B497)+1)^12-1,"")</f>
        <v>4.6099594683313816E-2</v>
      </c>
    </row>
    <row r="499" spans="1:4" x14ac:dyDescent="0.2">
      <c r="A499" s="36">
        <v>37288</v>
      </c>
      <c r="B499" s="37">
        <f>VLOOKUP(A499,Data!$E:$BG,MATCH(Country!$A$1,Data!$E$1:$BG$1,),)</f>
        <v>45.468350000000001</v>
      </c>
      <c r="C499" s="65">
        <f>IF(B487&gt;0,(Table2[[#This Row],[Country]]-B487)/B487,0)</f>
        <v>9.3711137207397113E-2</v>
      </c>
      <c r="D499" s="65">
        <f>IF(Table2[[#This Row],[Country]]&gt;0,(((Table2[[#This Row],[Country]]-B498)/B498)+1)^12-1,"")</f>
        <v>6.6790663430462915E-2</v>
      </c>
    </row>
    <row r="500" spans="1:4" x14ac:dyDescent="0.2">
      <c r="A500" s="36">
        <v>37316</v>
      </c>
      <c r="B500" s="37">
        <f>VLOOKUP(A500,Data!$E:$BG,MATCH(Country!$A$1,Data!$E$1:$BG$1,),)</f>
        <v>45.568069999999999</v>
      </c>
      <c r="C500" s="65">
        <f>IF(B488&gt;0,(Table2[[#This Row],[Country]]-B488)/B488,0)</f>
        <v>8.3590271862603302E-2</v>
      </c>
      <c r="D500" s="65">
        <f>IF(Table2[[#This Row],[Country]]&gt;0,(((Table2[[#This Row],[Country]]-B499)/B499)+1)^12-1,"")</f>
        <v>2.6637880297480931E-2</v>
      </c>
    </row>
    <row r="501" spans="1:4" x14ac:dyDescent="0.2">
      <c r="A501" s="36">
        <v>37347</v>
      </c>
      <c r="B501" s="37">
        <f>VLOOKUP(A501,Data!$E:$BG,MATCH(Country!$A$1,Data!$E$1:$BG$1,),)</f>
        <v>45.568899999999999</v>
      </c>
      <c r="C501" s="65">
        <f>IF(B489&gt;0,(Table2[[#This Row],[Country]]-B489)/B489,0)</f>
        <v>7.0076309061090511E-2</v>
      </c>
      <c r="D501" s="65">
        <f>IF(Table2[[#This Row],[Country]]&gt;0,(((Table2[[#This Row],[Country]]-B500)/B500)+1)^12-1,"")</f>
        <v>2.1859600047546834E-4</v>
      </c>
    </row>
    <row r="502" spans="1:4" x14ac:dyDescent="0.2">
      <c r="A502" s="36">
        <v>37377</v>
      </c>
      <c r="B502" s="37">
        <f>VLOOKUP(A502,Data!$E:$BG,MATCH(Country!$A$1,Data!$E$1:$BG$1,),)</f>
        <v>45.784140000000001</v>
      </c>
      <c r="C502" s="65">
        <f>IF(B490&gt;0,(Table2[[#This Row],[Country]]-B490)/B490,0)</f>
        <v>7.5823672043027146E-2</v>
      </c>
      <c r="D502" s="65">
        <f>IF(Table2[[#This Row],[Country]]&gt;0,(((Table2[[#This Row],[Country]]-B501)/B501)+1)^12-1,"")</f>
        <v>5.8176686225767327E-2</v>
      </c>
    </row>
    <row r="503" spans="1:4" x14ac:dyDescent="0.2">
      <c r="A503" s="36">
        <v>37408</v>
      </c>
      <c r="B503" s="37">
        <f>VLOOKUP(A503,Data!$E:$BG,MATCH(Country!$A$1,Data!$E$1:$BG$1,),)</f>
        <v>45.991059999999997</v>
      </c>
      <c r="C503" s="65">
        <f>IF(B491&gt;0,(Table2[[#This Row],[Country]]-B491)/B491,0)</f>
        <v>7.2268634055903072E-2</v>
      </c>
      <c r="D503" s="65">
        <f>IF(Table2[[#This Row],[Country]]&gt;0,(((Table2[[#This Row],[Country]]-B502)/B502)+1)^12-1,"")</f>
        <v>5.5602234059566102E-2</v>
      </c>
    </row>
    <row r="504" spans="1:4" x14ac:dyDescent="0.2">
      <c r="A504" s="36">
        <v>37438</v>
      </c>
      <c r="B504" s="37">
        <f>VLOOKUP(A504,Data!$E:$BG,MATCH(Country!$A$1,Data!$E$1:$BG$1,),)</f>
        <v>46.345080000000003</v>
      </c>
      <c r="C504" s="65">
        <f>IF(B492&gt;0,(Table2[[#This Row],[Country]]-B492)/B492,0)</f>
        <v>7.4278169532369404E-2</v>
      </c>
      <c r="D504" s="65">
        <f>IF(Table2[[#This Row],[Country]]&gt;0,(((Table2[[#This Row],[Country]]-B503)/B503)+1)^12-1,"")</f>
        <v>9.6383781488724729E-2</v>
      </c>
    </row>
    <row r="505" spans="1:4" x14ac:dyDescent="0.2">
      <c r="A505" s="36">
        <v>37469</v>
      </c>
      <c r="B505" s="37">
        <f>VLOOKUP(A505,Data!$E:$BG,MATCH(Country!$A$1,Data!$E$1:$BG$1,),)</f>
        <v>46.698259999999998</v>
      </c>
      <c r="C505" s="65">
        <f>IF(B493&gt;0,(Table2[[#This Row],[Country]]-B493)/B493,0)</f>
        <v>7.54422028456294E-2</v>
      </c>
      <c r="D505" s="65">
        <f>IF(Table2[[#This Row],[Country]]&gt;0,(((Table2[[#This Row],[Country]]-B504)/B504)+1)^12-1,"")</f>
        <v>9.5379861331760907E-2</v>
      </c>
    </row>
    <row r="506" spans="1:4" x14ac:dyDescent="0.2">
      <c r="A506" s="36">
        <v>37500</v>
      </c>
      <c r="B506" s="37">
        <f>VLOOKUP(A506,Data!$E:$BG,MATCH(Country!$A$1,Data!$E$1:$BG$1,),)</f>
        <v>46.900199999999998</v>
      </c>
      <c r="C506" s="65">
        <f>IF(B494&gt;0,(Table2[[#This Row],[Country]]-B494)/B494,0)</f>
        <v>5.760542465833738E-2</v>
      </c>
      <c r="D506" s="65">
        <f>IF(Table2[[#This Row],[Country]]&gt;0,(((Table2[[#This Row],[Country]]-B505)/B505)+1)^12-1,"")</f>
        <v>5.3144467096696513E-2</v>
      </c>
    </row>
    <row r="507" spans="1:4" x14ac:dyDescent="0.2">
      <c r="A507" s="36">
        <v>37530</v>
      </c>
      <c r="B507" s="37">
        <f>VLOOKUP(A507,Data!$E:$BG,MATCH(Country!$A$1,Data!$E$1:$BG$1,),)</f>
        <v>47.270829999999997</v>
      </c>
      <c r="C507" s="65">
        <f>IF(B495&gt;0,(Table2[[#This Row],[Country]]-B495)/B495,0)</f>
        <v>6.8245376196783281E-2</v>
      </c>
      <c r="D507" s="65">
        <f>IF(Table2[[#This Row],[Country]]&gt;0,(((Table2[[#This Row],[Country]]-B506)/B506)+1)^12-1,"")</f>
        <v>9.9062520402867893E-2</v>
      </c>
    </row>
    <row r="508" spans="1:4" x14ac:dyDescent="0.2">
      <c r="A508" s="36">
        <v>37561</v>
      </c>
      <c r="B508" s="37">
        <f>VLOOKUP(A508,Data!$E:$BG,MATCH(Country!$A$1,Data!$E$1:$BG$1,),)</f>
        <v>47.687170000000002</v>
      </c>
      <c r="C508" s="65">
        <f>IF(B496&gt;0,(Table2[[#This Row],[Country]]-B496)/B496,0)</f>
        <v>6.890198266299033E-2</v>
      </c>
      <c r="D508" s="65">
        <f>IF(Table2[[#This Row],[Country]]&gt;0,(((Table2[[#This Row],[Country]]-B507)/B507)+1)^12-1,"")</f>
        <v>0.11096368943215218</v>
      </c>
    </row>
    <row r="509" spans="1:4" x14ac:dyDescent="0.2">
      <c r="A509" s="36">
        <v>37591</v>
      </c>
      <c r="B509" s="37">
        <f>VLOOKUP(A509,Data!$E:$BG,MATCH(Country!$A$1,Data!$E$1:$BG$1,),)</f>
        <v>47.864179999999998</v>
      </c>
      <c r="C509" s="65">
        <f>IF(B497&gt;0,(Table2[[#This Row],[Country]]-B497)/B497,0)</f>
        <v>6.2361806256866693E-2</v>
      </c>
      <c r="D509" s="65">
        <f>IF(Table2[[#This Row],[Country]]&gt;0,(((Table2[[#This Row],[Country]]-B508)/B508)+1)^12-1,"")</f>
        <v>4.5463505707139307E-2</v>
      </c>
    </row>
    <row r="510" spans="1:4" x14ac:dyDescent="0.2">
      <c r="A510" s="36">
        <v>37622</v>
      </c>
      <c r="B510" s="37">
        <f>VLOOKUP(A510,Data!$E:$BG,MATCH(Country!$A$1,Data!$E$1:$BG$1,),)</f>
        <v>48.135089999999998</v>
      </c>
      <c r="C510" s="65">
        <f>IF(B498&gt;0,(Table2[[#This Row],[Country]]-B498)/B498,0)</f>
        <v>6.4369760943463E-2</v>
      </c>
      <c r="D510" s="65">
        <f>IF(Table2[[#This Row],[Country]]&gt;0,(((Table2[[#This Row],[Country]]-B509)/B509)+1)^12-1,"")</f>
        <v>7.0074417161226643E-2</v>
      </c>
    </row>
    <row r="511" spans="1:4" x14ac:dyDescent="0.2">
      <c r="A511" s="36">
        <v>37653</v>
      </c>
      <c r="B511" s="37">
        <f>VLOOKUP(A511,Data!$E:$BG,MATCH(Country!$A$1,Data!$E$1:$BG$1,),)</f>
        <v>48.435920000000003</v>
      </c>
      <c r="C511" s="65">
        <f>IF(B499&gt;0,(Table2[[#This Row],[Country]]-B499)/B499,0)</f>
        <v>6.526671849759233E-2</v>
      </c>
      <c r="D511" s="65">
        <f>IF(Table2[[#This Row],[Country]]&gt;0,(((Table2[[#This Row],[Country]]-B510)/B510)+1)^12-1,"")</f>
        <v>7.7628777662102966E-2</v>
      </c>
    </row>
    <row r="512" spans="1:4" x14ac:dyDescent="0.2">
      <c r="A512" s="36">
        <v>37681</v>
      </c>
      <c r="B512" s="37">
        <f>VLOOKUP(A512,Data!$E:$BG,MATCH(Country!$A$1,Data!$E$1:$BG$1,),)</f>
        <v>48.60877</v>
      </c>
      <c r="C512" s="65">
        <f>IF(B500&gt;0,(Table2[[#This Row],[Country]]-B500)/B500,0)</f>
        <v>6.672874229696367E-2</v>
      </c>
      <c r="D512" s="65">
        <f>IF(Table2[[#This Row],[Country]]&gt;0,(((Table2[[#This Row],[Country]]-B511)/B511)+1)^12-1,"")</f>
        <v>4.3674188633245459E-2</v>
      </c>
    </row>
    <row r="513" spans="1:4" x14ac:dyDescent="0.2">
      <c r="A513" s="36">
        <v>37712</v>
      </c>
      <c r="B513" s="37">
        <f>VLOOKUP(A513,Data!$E:$BG,MATCH(Country!$A$1,Data!$E$1:$BG$1,),)</f>
        <v>48.917909999999999</v>
      </c>
      <c r="C513" s="65">
        <f>IF(B501&gt;0,(Table2[[#This Row],[Country]]-B501)/B501,0)</f>
        <v>7.3493325491727907E-2</v>
      </c>
      <c r="D513" s="65">
        <f>IF(Table2[[#This Row],[Country]]&gt;0,(((Table2[[#This Row],[Country]]-B512)/B512)+1)^12-1,"")</f>
        <v>7.9043971469024532E-2</v>
      </c>
    </row>
    <row r="514" spans="1:4" x14ac:dyDescent="0.2">
      <c r="A514" s="36">
        <v>37742</v>
      </c>
      <c r="B514" s="37">
        <f>VLOOKUP(A514,Data!$E:$BG,MATCH(Country!$A$1,Data!$E$1:$BG$1,),)</f>
        <v>49.417349999999999</v>
      </c>
      <c r="C514" s="65">
        <f>IF(B502&gt;0,(Table2[[#This Row],[Country]]-B502)/B502,0)</f>
        <v>7.9355209030900181E-2</v>
      </c>
      <c r="D514" s="65">
        <f>IF(Table2[[#This Row],[Country]]&gt;0,(((Table2[[#This Row],[Country]]-B513)/B513)+1)^12-1,"")</f>
        <v>0.12963647809395717</v>
      </c>
    </row>
    <row r="515" spans="1:4" x14ac:dyDescent="0.2">
      <c r="A515" s="36">
        <v>37773</v>
      </c>
      <c r="B515" s="37">
        <f>VLOOKUP(A515,Data!$E:$BG,MATCH(Country!$A$1,Data!$E$1:$BG$1,),)</f>
        <v>49.722340000000003</v>
      </c>
      <c r="C515" s="65">
        <f>IF(B503&gt;0,(Table2[[#This Row],[Country]]-B503)/B503,0)</f>
        <v>8.1130550154747585E-2</v>
      </c>
      <c r="D515" s="65">
        <f>IF(Table2[[#This Row],[Country]]&gt;0,(((Table2[[#This Row],[Country]]-B514)/B514)+1)^12-1,"")</f>
        <v>7.6627019401505514E-2</v>
      </c>
    </row>
    <row r="516" spans="1:4" x14ac:dyDescent="0.2">
      <c r="A516" s="36">
        <v>37803</v>
      </c>
      <c r="B516" s="37">
        <f>VLOOKUP(A516,Data!$E:$BG,MATCH(Country!$A$1,Data!$E$1:$BG$1,),)</f>
        <v>50.110419999999998</v>
      </c>
      <c r="C516" s="65">
        <f>IF(B504&gt;0,(Table2[[#This Row],[Country]]-B504)/B504,0)</f>
        <v>8.1245733096155931E-2</v>
      </c>
      <c r="D516" s="65">
        <f>IF(Table2[[#This Row],[Country]]&gt;0,(((Table2[[#This Row],[Country]]-B515)/B515)+1)^12-1,"")</f>
        <v>9.7786299255647302E-2</v>
      </c>
    </row>
    <row r="517" spans="1:4" x14ac:dyDescent="0.2">
      <c r="A517" s="36">
        <v>37834</v>
      </c>
      <c r="B517" s="37">
        <f>VLOOKUP(A517,Data!$E:$BG,MATCH(Country!$A$1,Data!$E$1:$BG$1,),)</f>
        <v>50.594070000000002</v>
      </c>
      <c r="C517" s="65">
        <f>IF(B505&gt;0,(Table2[[#This Row],[Country]]-B505)/B505,0)</f>
        <v>8.3425164021100673E-2</v>
      </c>
      <c r="D517" s="65">
        <f>IF(Table2[[#This Row],[Country]]&gt;0,(((Table2[[#This Row],[Country]]-B516)/B516)+1)^12-1,"")</f>
        <v>0.12217061972767196</v>
      </c>
    </row>
    <row r="518" spans="1:4" x14ac:dyDescent="0.2">
      <c r="A518" s="36">
        <v>37865</v>
      </c>
      <c r="B518" s="37">
        <f>VLOOKUP(A518,Data!$E:$BG,MATCH(Country!$A$1,Data!$E$1:$BG$1,),)</f>
        <v>50.36056</v>
      </c>
      <c r="C518" s="65">
        <f>IF(B506&gt;0,(Table2[[#This Row],[Country]]-B506)/B506,0)</f>
        <v>7.3781348480390307E-2</v>
      </c>
      <c r="D518" s="65">
        <f>IF(Table2[[#This Row],[Country]]&gt;0,(((Table2[[#This Row],[Country]]-B517)/B517)+1)^12-1,"")</f>
        <v>-5.3999858533435807E-2</v>
      </c>
    </row>
    <row r="519" spans="1:4" x14ac:dyDescent="0.2">
      <c r="A519" s="36">
        <v>37895</v>
      </c>
      <c r="B519" s="37">
        <f>VLOOKUP(A519,Data!$E:$BG,MATCH(Country!$A$1,Data!$E$1:$BG$1,),)</f>
        <v>50.284100000000002</v>
      </c>
      <c r="C519" s="65">
        <f>IF(B507&gt;0,(Table2[[#This Row],[Country]]-B507)/B507,0)</f>
        <v>6.3744808373366962E-2</v>
      </c>
      <c r="D519" s="65">
        <f>IF(Table2[[#This Row],[Country]]&gt;0,(((Table2[[#This Row],[Country]]-B518)/B518)+1)^12-1,"")</f>
        <v>-1.8067650521465195E-2</v>
      </c>
    </row>
    <row r="520" spans="1:4" x14ac:dyDescent="0.2">
      <c r="A520" s="36">
        <v>37926</v>
      </c>
      <c r="B520" s="37">
        <f>VLOOKUP(A520,Data!$E:$BG,MATCH(Country!$A$1,Data!$E$1:$BG$1,),)</f>
        <v>50.32732</v>
      </c>
      <c r="C520" s="65">
        <f>IF(B508&gt;0,(Table2[[#This Row],[Country]]-B508)/B508,0)</f>
        <v>5.536394799691402E-2</v>
      </c>
      <c r="D520" s="65">
        <f>IF(Table2[[#This Row],[Country]]&gt;0,(((Table2[[#This Row],[Country]]-B519)/B519)+1)^12-1,"")</f>
        <v>1.0363093410031832E-2</v>
      </c>
    </row>
    <row r="521" spans="1:4" x14ac:dyDescent="0.2">
      <c r="A521" s="36">
        <v>37956</v>
      </c>
      <c r="B521" s="37">
        <f>VLOOKUP(A521,Data!$E:$BG,MATCH(Country!$A$1,Data!$E$1:$BG$1,),)</f>
        <v>50.311529999999998</v>
      </c>
      <c r="C521" s="65">
        <f>IF(B509&gt;0,(Table2[[#This Row],[Country]]-B509)/B509,0)</f>
        <v>5.1131138149655968E-2</v>
      </c>
      <c r="D521" s="65">
        <f>IF(Table2[[#This Row],[Country]]&gt;0,(((Table2[[#This Row],[Country]]-B520)/B520)+1)^12-1,"")</f>
        <v>-3.7584630843634503E-3</v>
      </c>
    </row>
    <row r="522" spans="1:4" x14ac:dyDescent="0.2">
      <c r="A522" s="36">
        <v>37987</v>
      </c>
      <c r="B522" s="37">
        <f>VLOOKUP(A522,Data!$E:$BG,MATCH(Country!$A$1,Data!$E$1:$BG$1,),)</f>
        <v>50.382159999999999</v>
      </c>
      <c r="C522" s="65">
        <f>IF(B510&gt;0,(Table2[[#This Row],[Country]]-B510)/B510,0)</f>
        <v>4.6682576058339163E-2</v>
      </c>
      <c r="D522" s="65">
        <f>IF(Table2[[#This Row],[Country]]&gt;0,(((Table2[[#This Row],[Country]]-B521)/B521)+1)^12-1,"")</f>
        <v>1.6976921478159213E-2</v>
      </c>
    </row>
    <row r="523" spans="1:4" x14ac:dyDescent="0.2">
      <c r="A523" s="36">
        <v>38018</v>
      </c>
      <c r="B523" s="37">
        <f>VLOOKUP(A523,Data!$E:$BG,MATCH(Country!$A$1,Data!$E$1:$BG$1,),)</f>
        <v>50.70543</v>
      </c>
      <c r="C523" s="65">
        <f>IF(B511&gt;0,(Table2[[#This Row],[Country]]-B511)/B511,0)</f>
        <v>4.685592841015504E-2</v>
      </c>
      <c r="D523" s="65">
        <f>IF(Table2[[#This Row],[Country]]&gt;0,(((Table2[[#This Row],[Country]]-B522)/B522)+1)^12-1,"")</f>
        <v>7.9772461892379631E-2</v>
      </c>
    </row>
    <row r="524" spans="1:4" x14ac:dyDescent="0.2">
      <c r="A524" s="36">
        <v>38047</v>
      </c>
      <c r="B524" s="37">
        <f>VLOOKUP(A524,Data!$E:$BG,MATCH(Country!$A$1,Data!$E$1:$BG$1,),)</f>
        <v>51.002940000000002</v>
      </c>
      <c r="C524" s="65">
        <f>IF(B512&gt;0,(Table2[[#This Row],[Country]]-B512)/B512,0)</f>
        <v>4.925386920919831E-2</v>
      </c>
      <c r="D524" s="65">
        <f>IF(Table2[[#This Row],[Country]]&gt;0,(((Table2[[#This Row],[Country]]-B523)/B523)+1)^12-1,"")</f>
        <v>7.2726214308854287E-2</v>
      </c>
    </row>
    <row r="525" spans="1:4" x14ac:dyDescent="0.2">
      <c r="A525" s="36">
        <v>38078</v>
      </c>
      <c r="B525" s="37">
        <f>VLOOKUP(A525,Data!$E:$BG,MATCH(Country!$A$1,Data!$E$1:$BG$1,),)</f>
        <v>51.343649999999997</v>
      </c>
      <c r="C525" s="65">
        <f>IF(B513&gt;0,(Table2[[#This Row],[Country]]-B513)/B513,0)</f>
        <v>4.9587972993940209E-2</v>
      </c>
      <c r="D525" s="65">
        <f>IF(Table2[[#This Row],[Country]]&gt;0,(((Table2[[#This Row],[Country]]-B524)/B524)+1)^12-1,"")</f>
        <v>8.3174274643118107E-2</v>
      </c>
    </row>
    <row r="526" spans="1:4" x14ac:dyDescent="0.2">
      <c r="A526" s="36">
        <v>38108</v>
      </c>
      <c r="B526" s="37">
        <f>VLOOKUP(A526,Data!$E:$BG,MATCH(Country!$A$1,Data!$E$1:$BG$1,),)</f>
        <v>51.98021</v>
      </c>
      <c r="C526" s="65">
        <f>IF(B514&gt;0,(Table2[[#This Row],[Country]]-B514)/B514,0)</f>
        <v>5.1861542555398064E-2</v>
      </c>
      <c r="D526" s="65">
        <f>IF(Table2[[#This Row],[Country]]&gt;0,(((Table2[[#This Row],[Country]]-B525)/B525)+1)^12-1,"")</f>
        <v>0.15935245372165885</v>
      </c>
    </row>
    <row r="527" spans="1:4" x14ac:dyDescent="0.2">
      <c r="A527" s="36">
        <v>38139</v>
      </c>
      <c r="B527" s="37">
        <f>VLOOKUP(A527,Data!$E:$BG,MATCH(Country!$A$1,Data!$E$1:$BG$1,),)</f>
        <v>51.99933</v>
      </c>
      <c r="C527" s="65">
        <f>IF(B515&gt;0,(Table2[[#This Row],[Country]]-B515)/B515,0)</f>
        <v>4.5794103817318285E-2</v>
      </c>
      <c r="D527" s="65">
        <f>IF(Table2[[#This Row],[Country]]&gt;0,(((Table2[[#This Row],[Country]]-B526)/B526)+1)^12-1,"")</f>
        <v>4.4229283515957452E-3</v>
      </c>
    </row>
    <row r="528" spans="1:4" x14ac:dyDescent="0.2">
      <c r="A528" s="36">
        <v>38169</v>
      </c>
      <c r="B528" s="37">
        <f>VLOOKUP(A528,Data!$E:$BG,MATCH(Country!$A$1,Data!$E$1:$BG$1,),)</f>
        <v>52.11318</v>
      </c>
      <c r="C528" s="65">
        <f>IF(B516&gt;0,(Table2[[#This Row],[Country]]-B516)/B516,0)</f>
        <v>3.9966937016293259E-2</v>
      </c>
      <c r="D528" s="65">
        <f>IF(Table2[[#This Row],[Country]]&gt;0,(((Table2[[#This Row],[Country]]-B527)/B527)+1)^12-1,"")</f>
        <v>2.659211988321597E-2</v>
      </c>
    </row>
    <row r="529" spans="1:4" x14ac:dyDescent="0.2">
      <c r="A529" s="36">
        <v>38200</v>
      </c>
      <c r="B529" s="37">
        <f>VLOOKUP(A529,Data!$E:$BG,MATCH(Country!$A$1,Data!$E$1:$BG$1,),)</f>
        <v>52.330069999999999</v>
      </c>
      <c r="C529" s="65">
        <f>IF(B517&gt;0,(Table2[[#This Row],[Country]]-B517)/B517,0)</f>
        <v>3.4312321582351389E-2</v>
      </c>
      <c r="D529" s="65">
        <f>IF(Table2[[#This Row],[Country]]&gt;0,(((Table2[[#This Row],[Country]]-B528)/B528)+1)^12-1,"")</f>
        <v>5.110206011088203E-2</v>
      </c>
    </row>
    <row r="530" spans="1:4" x14ac:dyDescent="0.2">
      <c r="A530" s="36">
        <v>38231</v>
      </c>
      <c r="B530" s="37">
        <f>VLOOKUP(A530,Data!$E:$BG,MATCH(Country!$A$1,Data!$E$1:$BG$1,),)</f>
        <v>52.617600000000003</v>
      </c>
      <c r="C530" s="65">
        <f>IF(B518&gt;0,(Table2[[#This Row],[Country]]-B518)/B518,0)</f>
        <v>4.4817611241813105E-2</v>
      </c>
      <c r="D530" s="65">
        <f>IF(Table2[[#This Row],[Country]]&gt;0,(((Table2[[#This Row],[Country]]-B529)/B529)+1)^12-1,"")</f>
        <v>6.7964048882884098E-2</v>
      </c>
    </row>
    <row r="531" spans="1:4" x14ac:dyDescent="0.2">
      <c r="A531" s="36">
        <v>38261</v>
      </c>
      <c r="B531" s="37">
        <f>VLOOKUP(A531,Data!$E:$BG,MATCH(Country!$A$1,Data!$E$1:$BG$1,),)</f>
        <v>52.851950000000002</v>
      </c>
      <c r="C531" s="65">
        <f>IF(B519&gt;0,(Table2[[#This Row],[Country]]-B519)/B519,0)</f>
        <v>5.1066838225204386E-2</v>
      </c>
      <c r="D531" s="65">
        <f>IF(Table2[[#This Row],[Country]]&gt;0,(((Table2[[#This Row],[Country]]-B530)/B530)+1)^12-1,"")</f>
        <v>5.4774845653291493E-2</v>
      </c>
    </row>
    <row r="532" spans="1:4" x14ac:dyDescent="0.2">
      <c r="A532" s="36">
        <v>38292</v>
      </c>
      <c r="B532" s="37">
        <f>VLOOKUP(A532,Data!$E:$BG,MATCH(Country!$A$1,Data!$E$1:$BG$1,),)</f>
        <v>53.07217</v>
      </c>
      <c r="C532" s="65">
        <f>IF(B520&gt;0,(Table2[[#This Row],[Country]]-B520)/B520,0)</f>
        <v>5.4539959608419432E-2</v>
      </c>
      <c r="D532" s="65">
        <f>IF(Table2[[#This Row],[Country]]&gt;0,(((Table2[[#This Row],[Country]]-B531)/B531)+1)^12-1,"")</f>
        <v>5.1162739648707767E-2</v>
      </c>
    </row>
    <row r="533" spans="1:4" x14ac:dyDescent="0.2">
      <c r="A533" s="36">
        <v>38322</v>
      </c>
      <c r="B533" s="37">
        <f>VLOOKUP(A533,Data!$E:$BG,MATCH(Country!$A$1,Data!$E$1:$BG$1,),)</f>
        <v>53.226739999999999</v>
      </c>
      <c r="C533" s="65">
        <f>IF(B521&gt;0,(Table2[[#This Row],[Country]]-B521)/B521,0)</f>
        <v>5.7943179227505144E-2</v>
      </c>
      <c r="D533" s="65">
        <f>IF(Table2[[#This Row],[Country]]&gt;0,(((Table2[[#This Row],[Country]]-B532)/B532)+1)^12-1,"")</f>
        <v>3.5514697161936004E-2</v>
      </c>
    </row>
    <row r="534" spans="1:4" x14ac:dyDescent="0.2">
      <c r="A534" s="36">
        <v>38353</v>
      </c>
      <c r="B534" s="37">
        <f>VLOOKUP(A534,Data!$E:$BG,MATCH(Country!$A$1,Data!$E$1:$BG$1,),)</f>
        <v>53.278260000000003</v>
      </c>
      <c r="C534" s="65">
        <f>IF(B522&gt;0,(Table2[[#This Row],[Country]]-B522)/B522,0)</f>
        <v>5.7482648620067189E-2</v>
      </c>
      <c r="D534" s="65">
        <f>IF(Table2[[#This Row],[Country]]&gt;0,(((Table2[[#This Row],[Country]]-B533)/B533)+1)^12-1,"")</f>
        <v>1.167724962115102E-2</v>
      </c>
    </row>
    <row r="535" spans="1:4" x14ac:dyDescent="0.2">
      <c r="A535" s="36">
        <v>38384</v>
      </c>
      <c r="B535" s="37">
        <f>VLOOKUP(A535,Data!$E:$BG,MATCH(Country!$A$1,Data!$E$1:$BG$1,),)</f>
        <v>53.34807</v>
      </c>
      <c r="C535" s="65">
        <f>IF(B523&gt;0,(Table2[[#This Row],[Country]]-B523)/B523,0)</f>
        <v>5.2117495108512046E-2</v>
      </c>
      <c r="D535" s="65">
        <f>IF(Table2[[#This Row],[Country]]&gt;0,(((Table2[[#This Row],[Country]]-B534)/B534)+1)^12-1,"")</f>
        <v>1.5837295682043395E-2</v>
      </c>
    </row>
    <row r="536" spans="1:4" x14ac:dyDescent="0.2">
      <c r="A536" s="36">
        <v>38412</v>
      </c>
      <c r="B536" s="37">
        <f>VLOOKUP(A536,Data!$E:$BG,MATCH(Country!$A$1,Data!$E$1:$BG$1,),)</f>
        <v>53.42286</v>
      </c>
      <c r="C536" s="65">
        <f>IF(B524&gt;0,(Table2[[#This Row],[Country]]-B524)/B524,0)</f>
        <v>4.7446676603348698E-2</v>
      </c>
      <c r="D536" s="65">
        <f>IF(Table2[[#This Row],[Country]]&gt;0,(((Table2[[#This Row],[Country]]-B535)/B535)+1)^12-1,"")</f>
        <v>1.6953425665624744E-2</v>
      </c>
    </row>
    <row r="537" spans="1:4" x14ac:dyDescent="0.2">
      <c r="A537" s="36">
        <v>38443</v>
      </c>
      <c r="B537" s="37">
        <f>VLOOKUP(A537,Data!$E:$BG,MATCH(Country!$A$1,Data!$E$1:$BG$1,),)</f>
        <v>53.539200000000001</v>
      </c>
      <c r="C537" s="65">
        <f>IF(B525&gt;0,(Table2[[#This Row],[Country]]-B525)/B525,0)</f>
        <v>4.2761860522187348E-2</v>
      </c>
      <c r="D537" s="65">
        <f>IF(Table2[[#This Row],[Country]]&gt;0,(((Table2[[#This Row],[Country]]-B536)/B536)+1)^12-1,"")</f>
        <v>2.6447918871179921E-2</v>
      </c>
    </row>
    <row r="538" spans="1:4" x14ac:dyDescent="0.2">
      <c r="A538" s="36">
        <v>38473</v>
      </c>
      <c r="B538" s="37">
        <f>VLOOKUP(A538,Data!$E:$BG,MATCH(Country!$A$1,Data!$E$1:$BG$1,),)</f>
        <v>53.682969999999997</v>
      </c>
      <c r="C538" s="65">
        <f>IF(B526&gt;0,(Table2[[#This Row],[Country]]-B526)/B526,0)</f>
        <v>3.2757851497714187E-2</v>
      </c>
      <c r="D538" s="65">
        <f>IF(Table2[[#This Row],[Country]]&gt;0,(((Table2[[#This Row],[Country]]-B537)/B537)+1)^12-1,"")</f>
        <v>3.2704074785383286E-2</v>
      </c>
    </row>
    <row r="539" spans="1:4" x14ac:dyDescent="0.2">
      <c r="A539" s="36">
        <v>38504</v>
      </c>
      <c r="B539" s="37">
        <f>VLOOKUP(A539,Data!$E:$BG,MATCH(Country!$A$1,Data!$E$1:$BG$1,),)</f>
        <v>53.952219999999997</v>
      </c>
      <c r="C539" s="65">
        <f>IF(B527&gt;0,(Table2[[#This Row],[Country]]-B527)/B527,0)</f>
        <v>3.7556060818475859E-2</v>
      </c>
      <c r="D539" s="65">
        <f>IF(Table2[[#This Row],[Country]]&gt;0,(((Table2[[#This Row],[Country]]-B538)/B538)+1)^12-1,"")</f>
        <v>6.1875041808370668E-2</v>
      </c>
    </row>
    <row r="540" spans="1:4" x14ac:dyDescent="0.2">
      <c r="A540" s="36">
        <v>38534</v>
      </c>
      <c r="B540" s="37">
        <f>VLOOKUP(A540,Data!$E:$BG,MATCH(Country!$A$1,Data!$E$1:$BG$1,),)</f>
        <v>54.214820000000003</v>
      </c>
      <c r="C540" s="65">
        <f>IF(B528&gt;0,(Table2[[#This Row],[Country]]-B528)/B528,0)</f>
        <v>4.0328377581256861E-2</v>
      </c>
      <c r="D540" s="65">
        <f>IF(Table2[[#This Row],[Country]]&gt;0,(((Table2[[#This Row],[Country]]-B539)/B539)+1)^12-1,"")</f>
        <v>5.9996443377425823E-2</v>
      </c>
    </row>
    <row r="541" spans="1:4" x14ac:dyDescent="0.2">
      <c r="A541" s="36">
        <v>38565</v>
      </c>
      <c r="B541" s="37">
        <f>VLOOKUP(A541,Data!$E:$BG,MATCH(Country!$A$1,Data!$E$1:$BG$1,),)</f>
        <v>54.486559999999997</v>
      </c>
      <c r="C541" s="65">
        <f>IF(B529&gt;0,(Table2[[#This Row],[Country]]-B529)/B529,0)</f>
        <v>4.1209384967381052E-2</v>
      </c>
      <c r="D541" s="65">
        <f>IF(Table2[[#This Row],[Country]]&gt;0,(((Table2[[#This Row],[Country]]-B540)/B540)+1)^12-1,"")</f>
        <v>6.1833526026472185E-2</v>
      </c>
    </row>
    <row r="542" spans="1:4" x14ac:dyDescent="0.2">
      <c r="A542" s="36">
        <v>38596</v>
      </c>
      <c r="B542" s="37">
        <f>VLOOKUP(A542,Data!$E:$BG,MATCH(Country!$A$1,Data!$E$1:$BG$1,),)</f>
        <v>54.769939999999998</v>
      </c>
      <c r="C542" s="65">
        <f>IF(B530&gt;0,(Table2[[#This Row],[Country]]-B530)/B530,0)</f>
        <v>4.0905324454174934E-2</v>
      </c>
      <c r="D542" s="65">
        <f>IF(Table2[[#This Row],[Country]]&gt;0,(((Table2[[#This Row],[Country]]-B541)/B541)+1)^12-1,"")</f>
        <v>6.4227571063051103E-2</v>
      </c>
    </row>
    <row r="543" spans="1:4" x14ac:dyDescent="0.2">
      <c r="A543" s="36">
        <v>38626</v>
      </c>
      <c r="B543" s="37">
        <f>VLOOKUP(A543,Data!$E:$BG,MATCH(Country!$A$1,Data!$E$1:$BG$1,),)</f>
        <v>55.052489999999999</v>
      </c>
      <c r="C543" s="65">
        <f>IF(B531&gt;0,(Table2[[#This Row],[Country]]-B531)/B531,0)</f>
        <v>4.1635928286468081E-2</v>
      </c>
      <c r="D543" s="65">
        <f>IF(Table2[[#This Row],[Country]]&gt;0,(((Table2[[#This Row],[Country]]-B542)/B542)+1)^12-1,"")</f>
        <v>6.3693287125085929E-2</v>
      </c>
    </row>
    <row r="544" spans="1:4" x14ac:dyDescent="0.2">
      <c r="A544" s="36">
        <v>38657</v>
      </c>
      <c r="B544" s="37">
        <f>VLOOKUP(A544,Data!$E:$BG,MATCH(Country!$A$1,Data!$E$1:$BG$1,),)</f>
        <v>55.189610000000002</v>
      </c>
      <c r="C544" s="65">
        <f>IF(B532&gt;0,(Table2[[#This Row],[Country]]-B532)/B532,0)</f>
        <v>3.9897369939838563E-2</v>
      </c>
      <c r="D544" s="65">
        <f>IF(Table2[[#This Row],[Country]]&gt;0,(((Table2[[#This Row],[Country]]-B543)/B543)+1)^12-1,"")</f>
        <v>3.03014260773109E-2</v>
      </c>
    </row>
    <row r="545" spans="1:4" x14ac:dyDescent="0.2">
      <c r="A545" s="36">
        <v>38687</v>
      </c>
      <c r="B545" s="37">
        <f>VLOOKUP(A545,Data!$E:$BG,MATCH(Country!$A$1,Data!$E$1:$BG$1,),)</f>
        <v>55.412320000000001</v>
      </c>
      <c r="C545" s="65">
        <f>IF(B533&gt;0,(Table2[[#This Row],[Country]]-B533)/B533,0)</f>
        <v>4.1061691924021676E-2</v>
      </c>
      <c r="D545" s="65">
        <f>IF(Table2[[#This Row],[Country]]&gt;0,(((Table2[[#This Row],[Country]]-B544)/B544)+1)^12-1,"")</f>
        <v>4.951367401521467E-2</v>
      </c>
    </row>
    <row r="546" spans="1:4" x14ac:dyDescent="0.2">
      <c r="A546" s="36">
        <v>38718</v>
      </c>
      <c r="B546" s="37">
        <f>VLOOKUP(A546,Data!$E:$BG,MATCH(Country!$A$1,Data!$E$1:$BG$1,),)</f>
        <v>55.765500000000003</v>
      </c>
      <c r="C546" s="65">
        <f>IF(B534&gt;0,(Table2[[#This Row],[Country]]-B534)/B534,0)</f>
        <v>4.6683957021118931E-2</v>
      </c>
      <c r="D546" s="65">
        <f>IF(Table2[[#This Row],[Country]]&gt;0,(((Table2[[#This Row],[Country]]-B545)/B545)+1)^12-1,"")</f>
        <v>7.9223027046682937E-2</v>
      </c>
    </row>
    <row r="547" spans="1:4" x14ac:dyDescent="0.2">
      <c r="A547" s="36">
        <v>38749</v>
      </c>
      <c r="B547" s="37">
        <f>VLOOKUP(A547,Data!$E:$BG,MATCH(Country!$A$1,Data!$E$1:$BG$1,),)</f>
        <v>55.967440000000003</v>
      </c>
      <c r="C547" s="65">
        <f>IF(B535&gt;0,(Table2[[#This Row],[Country]]-B535)/B535,0)</f>
        <v>4.9099620661066157E-2</v>
      </c>
      <c r="D547" s="65">
        <f>IF(Table2[[#This Row],[Country]]&gt;0,(((Table2[[#This Row],[Country]]-B546)/B546)+1)^12-1,"")</f>
        <v>4.4330837668042911E-2</v>
      </c>
    </row>
    <row r="548" spans="1:4" x14ac:dyDescent="0.2">
      <c r="A548" s="36">
        <v>38777</v>
      </c>
      <c r="B548" s="37">
        <f>VLOOKUP(A548,Data!$E:$BG,MATCH(Country!$A$1,Data!$E$1:$BG$1,),)</f>
        <v>56.087940000000003</v>
      </c>
      <c r="C548" s="65">
        <f>IF(B536&gt;0,(Table2[[#This Row],[Country]]-B536)/B536,0)</f>
        <v>4.9886509258396182E-2</v>
      </c>
      <c r="D548" s="65">
        <f>IF(Table2[[#This Row],[Country]]&gt;0,(((Table2[[#This Row],[Country]]-B547)/B547)+1)^12-1,"")</f>
        <v>2.6144604684442019E-2</v>
      </c>
    </row>
    <row r="549" spans="1:4" x14ac:dyDescent="0.2">
      <c r="A549" s="36">
        <v>38808</v>
      </c>
      <c r="B549" s="37">
        <f>VLOOKUP(A549,Data!$E:$BG,MATCH(Country!$A$1,Data!$E$1:$BG$1,),)</f>
        <v>56.396250000000002</v>
      </c>
      <c r="C549" s="65">
        <f>IF(B537&gt;0,(Table2[[#This Row],[Country]]-B537)/B537,0)</f>
        <v>5.3363703604088236E-2</v>
      </c>
      <c r="D549" s="65">
        <f>IF(Table2[[#This Row],[Country]]&gt;0,(((Table2[[#This Row],[Country]]-B548)/B548)+1)^12-1,"")</f>
        <v>6.7994092657235994E-2</v>
      </c>
    </row>
    <row r="550" spans="1:4" x14ac:dyDescent="0.2">
      <c r="A550" s="36">
        <v>38838</v>
      </c>
      <c r="B550" s="37">
        <f>VLOOKUP(A550,Data!$E:$BG,MATCH(Country!$A$1,Data!$E$1:$BG$1,),)</f>
        <v>56.451090000000001</v>
      </c>
      <c r="C550" s="65">
        <f>IF(B538&gt;0,(Table2[[#This Row],[Country]]-B538)/B538,0)</f>
        <v>5.1564211145545845E-2</v>
      </c>
      <c r="D550" s="65">
        <f>IF(Table2[[#This Row],[Country]]&gt;0,(((Table2[[#This Row],[Country]]-B549)/B549)+1)^12-1,"")</f>
        <v>1.1731471418308104E-2</v>
      </c>
    </row>
    <row r="551" spans="1:4" x14ac:dyDescent="0.2">
      <c r="A551" s="36">
        <v>38869</v>
      </c>
      <c r="B551" s="37">
        <f>VLOOKUP(A551,Data!$E:$BG,MATCH(Country!$A$1,Data!$E$1:$BG$1,),)</f>
        <v>56.76688</v>
      </c>
      <c r="C551" s="65">
        <f>IF(B539&gt;0,(Table2[[#This Row],[Country]]-B539)/B539,0)</f>
        <v>5.2169493674217735E-2</v>
      </c>
      <c r="D551" s="65">
        <f>IF(Table2[[#This Row],[Country]]&gt;0,(((Table2[[#This Row],[Country]]-B550)/B550)+1)^12-1,"")</f>
        <v>6.9232915976670473E-2</v>
      </c>
    </row>
    <row r="552" spans="1:4" x14ac:dyDescent="0.2">
      <c r="A552" s="36">
        <v>38899</v>
      </c>
      <c r="B552" s="37">
        <f>VLOOKUP(A552,Data!$E:$BG,MATCH(Country!$A$1,Data!$E$1:$BG$1,),)</f>
        <v>57.111750000000001</v>
      </c>
      <c r="C552" s="65">
        <f>IF(B540&gt;0,(Table2[[#This Row],[Country]]-B540)/B540,0)</f>
        <v>5.3434282360432024E-2</v>
      </c>
      <c r="D552" s="65">
        <f>IF(Table2[[#This Row],[Country]]&gt;0,(((Table2[[#This Row],[Country]]-B551)/B551)+1)^12-1,"")</f>
        <v>7.5388308012232619E-2</v>
      </c>
    </row>
    <row r="553" spans="1:4" x14ac:dyDescent="0.2">
      <c r="A553" s="36">
        <v>38930</v>
      </c>
      <c r="B553" s="37">
        <f>VLOOKUP(A553,Data!$E:$BG,MATCH(Country!$A$1,Data!$E$1:$BG$1,),)</f>
        <v>57.367710000000002</v>
      </c>
      <c r="C553" s="65">
        <f>IF(B541&gt;0,(Table2[[#This Row],[Country]]-B541)/B541,0)</f>
        <v>5.287817766436357E-2</v>
      </c>
      <c r="D553" s="65">
        <f>IF(Table2[[#This Row],[Country]]&gt;0,(((Table2[[#This Row],[Country]]-B552)/B552)+1)^12-1,"")</f>
        <v>5.5126557968032674E-2</v>
      </c>
    </row>
    <row r="554" spans="1:4" x14ac:dyDescent="0.2">
      <c r="A554" s="36">
        <v>38961</v>
      </c>
      <c r="B554" s="37">
        <f>VLOOKUP(A554,Data!$E:$BG,MATCH(Country!$A$1,Data!$E$1:$BG$1,),)</f>
        <v>57.593739999999997</v>
      </c>
      <c r="C554" s="65">
        <f>IF(B542&gt;0,(Table2[[#This Row],[Country]]-B542)/B542,0)</f>
        <v>5.1557478427034953E-2</v>
      </c>
      <c r="D554" s="65">
        <f>IF(Table2[[#This Row],[Country]]&gt;0,(((Table2[[#This Row],[Country]]-B553)/B553)+1)^12-1,"")</f>
        <v>4.8318400542520124E-2</v>
      </c>
    </row>
    <row r="555" spans="1:4" x14ac:dyDescent="0.2">
      <c r="A555" s="36">
        <v>38991</v>
      </c>
      <c r="B555" s="37">
        <f>VLOOKUP(A555,Data!$E:$BG,MATCH(Country!$A$1,Data!$E$1:$BG$1,),)</f>
        <v>58.00094</v>
      </c>
      <c r="C555" s="65">
        <f>IF(B543&gt;0,(Table2[[#This Row],[Country]]-B543)/B543,0)</f>
        <v>5.3557068899154264E-2</v>
      </c>
      <c r="D555" s="65">
        <f>IF(Table2[[#This Row],[Country]]&gt;0,(((Table2[[#This Row],[Country]]-B554)/B554)+1)^12-1,"")</f>
        <v>8.8220760647410135E-2</v>
      </c>
    </row>
    <row r="556" spans="1:4" x14ac:dyDescent="0.2">
      <c r="A556" s="36">
        <v>39022</v>
      </c>
      <c r="B556" s="37">
        <f>VLOOKUP(A556,Data!$E:$BG,MATCH(Country!$A$1,Data!$E$1:$BG$1,),)</f>
        <v>58.290140000000001</v>
      </c>
      <c r="C556" s="65">
        <f>IF(B544&gt;0,(Table2[[#This Row],[Country]]-B544)/B544,0)</f>
        <v>5.6179596123255793E-2</v>
      </c>
      <c r="D556" s="65">
        <f>IF(Table2[[#This Row],[Country]]&gt;0,(((Table2[[#This Row],[Country]]-B555)/B555)+1)^12-1,"")</f>
        <v>6.1501949090105201E-2</v>
      </c>
    </row>
    <row r="557" spans="1:4" x14ac:dyDescent="0.2">
      <c r="A557" s="36">
        <v>39052</v>
      </c>
      <c r="B557" s="37">
        <f>VLOOKUP(A557,Data!$E:$BG,MATCH(Country!$A$1,Data!$E$1:$BG$1,),)</f>
        <v>58.649140000000003</v>
      </c>
      <c r="C557" s="65">
        <f>IF(B545&gt;0,(Table2[[#This Row],[Country]]-B545)/B545,0)</f>
        <v>5.84133636707505E-2</v>
      </c>
      <c r="D557" s="65">
        <f>IF(Table2[[#This Row],[Country]]&gt;0,(((Table2[[#This Row],[Country]]-B556)/B556)+1)^12-1,"")</f>
        <v>7.6461738572746185E-2</v>
      </c>
    </row>
    <row r="558" spans="1:4" x14ac:dyDescent="0.2">
      <c r="A558" s="36">
        <v>39083</v>
      </c>
      <c r="B558" s="37">
        <f>VLOOKUP(A558,Data!$E:$BG,MATCH(Country!$A$1,Data!$E$1:$BG$1,),)</f>
        <v>58.964919999999999</v>
      </c>
      <c r="C558" s="65">
        <f>IF(B546&gt;0,(Table2[[#This Row],[Country]]-B546)/B546,0)</f>
        <v>5.7372748383857336E-2</v>
      </c>
      <c r="D558" s="65">
        <f>IF(Table2[[#This Row],[Country]]&gt;0,(((Table2[[#This Row],[Country]]-B557)/B557)+1)^12-1,"")</f>
        <v>6.6558754990196478E-2</v>
      </c>
    </row>
    <row r="559" spans="1:4" x14ac:dyDescent="0.2">
      <c r="A559" s="36">
        <v>39114</v>
      </c>
      <c r="B559" s="37">
        <f>VLOOKUP(A559,Data!$E:$BG,MATCH(Country!$A$1,Data!$E$1:$BG$1,),)</f>
        <v>59.096229999999998</v>
      </c>
      <c r="C559" s="65">
        <f>IF(B547&gt;0,(Table2[[#This Row],[Country]]-B547)/B547,0)</f>
        <v>5.5903754039848791E-2</v>
      </c>
      <c r="D559" s="65">
        <f>IF(Table2[[#This Row],[Country]]&gt;0,(((Table2[[#This Row],[Country]]-B558)/B558)+1)^12-1,"")</f>
        <v>2.7052753929738493E-2</v>
      </c>
    </row>
    <row r="560" spans="1:4" x14ac:dyDescent="0.2">
      <c r="A560" s="36">
        <v>39142</v>
      </c>
      <c r="B560" s="37">
        <f>VLOOKUP(A560,Data!$E:$BG,MATCH(Country!$A$1,Data!$E$1:$BG$1,),)</f>
        <v>59.377110000000002</v>
      </c>
      <c r="C560" s="65">
        <f>IF(B548&gt;0,(Table2[[#This Row],[Country]]-B548)/B548,0)</f>
        <v>5.8643087979340987E-2</v>
      </c>
      <c r="D560" s="65">
        <f>IF(Table2[[#This Row],[Country]]&gt;0,(((Table2[[#This Row],[Country]]-B559)/B559)+1)^12-1,"")</f>
        <v>5.8549946393050778E-2</v>
      </c>
    </row>
    <row r="561" spans="1:4" x14ac:dyDescent="0.2">
      <c r="A561" s="36">
        <v>39173</v>
      </c>
      <c r="B561" s="37">
        <f>VLOOKUP(A561,Data!$E:$BG,MATCH(Country!$A$1,Data!$E$1:$BG$1,),)</f>
        <v>59.977939999999997</v>
      </c>
      <c r="C561" s="65">
        <f>IF(B549&gt;0,(Table2[[#This Row],[Country]]-B549)/B549,0)</f>
        <v>6.3509364541081983E-2</v>
      </c>
      <c r="D561" s="65">
        <f>IF(Table2[[#This Row],[Country]]&gt;0,(((Table2[[#This Row],[Country]]-B560)/B560)+1)^12-1,"")</f>
        <v>0.1284176623764357</v>
      </c>
    </row>
    <row r="562" spans="1:4" x14ac:dyDescent="0.2">
      <c r="A562" s="36">
        <v>39203</v>
      </c>
      <c r="B562" s="37">
        <f>VLOOKUP(A562,Data!$E:$BG,MATCH(Country!$A$1,Data!$E$1:$BG$1,),)</f>
        <v>60.090949999999999</v>
      </c>
      <c r="C562" s="65">
        <f>IF(B550&gt;0,(Table2[[#This Row],[Country]]-B550)/B550,0)</f>
        <v>6.4478117251588918E-2</v>
      </c>
      <c r="D562" s="65">
        <f>IF(Table2[[#This Row],[Country]]&gt;0,(((Table2[[#This Row],[Country]]-B561)/B561)+1)^12-1,"")</f>
        <v>2.2846102980563332E-2</v>
      </c>
    </row>
    <row r="563" spans="1:4" x14ac:dyDescent="0.2">
      <c r="A563" s="36">
        <v>39234</v>
      </c>
      <c r="B563" s="37">
        <f>VLOOKUP(A563,Data!$E:$BG,MATCH(Country!$A$1,Data!$E$1:$BG$1,),)</f>
        <v>60.366849999999999</v>
      </c>
      <c r="C563" s="65">
        <f>IF(B551&gt;0,(Table2[[#This Row],[Country]]-B551)/B551,0)</f>
        <v>6.3416731728078046E-2</v>
      </c>
      <c r="D563" s="65">
        <f>IF(Table2[[#This Row],[Country]]&gt;0,(((Table2[[#This Row],[Country]]-B562)/B562)+1)^12-1,"")</f>
        <v>5.6509325135021715E-2</v>
      </c>
    </row>
    <row r="564" spans="1:4" x14ac:dyDescent="0.2">
      <c r="A564" s="36">
        <v>39264</v>
      </c>
      <c r="B564" s="37">
        <f>VLOOKUP(A564,Data!$E:$BG,MATCH(Country!$A$1,Data!$E$1:$BG$1,),)</f>
        <v>60.618650000000002</v>
      </c>
      <c r="C564" s="65">
        <f>IF(B552&gt;0,(Table2[[#This Row],[Country]]-B552)/B552,0)</f>
        <v>6.1404176898799311E-2</v>
      </c>
      <c r="D564" s="65">
        <f>IF(Table2[[#This Row],[Country]]&gt;0,(((Table2[[#This Row],[Country]]-B563)/B563)+1)^12-1,"")</f>
        <v>5.1218386430297302E-2</v>
      </c>
    </row>
    <row r="565" spans="1:4" x14ac:dyDescent="0.2">
      <c r="A565" s="36">
        <v>39295</v>
      </c>
      <c r="B565" s="37">
        <f>VLOOKUP(A565,Data!$E:$BG,MATCH(Country!$A$1,Data!$E$1:$BG$1,),)</f>
        <v>61.253549999999997</v>
      </c>
      <c r="C565" s="65">
        <f>IF(B553&gt;0,(Table2[[#This Row],[Country]]-B553)/B553,0)</f>
        <v>6.7735665237465367E-2</v>
      </c>
      <c r="D565" s="65">
        <f>IF(Table2[[#This Row],[Country]]&gt;0,(((Table2[[#This Row],[Country]]-B564)/B564)+1)^12-1,"")</f>
        <v>0.13318297507619703</v>
      </c>
    </row>
    <row r="566" spans="1:4" x14ac:dyDescent="0.2">
      <c r="A566" s="36">
        <v>39326</v>
      </c>
      <c r="B566" s="37">
        <f>VLOOKUP(A566,Data!$E:$BG,MATCH(Country!$A$1,Data!$E$1:$BG$1,),)</f>
        <v>61.405630000000002</v>
      </c>
      <c r="C566" s="65">
        <f>IF(B554&gt;0,(Table2[[#This Row],[Country]]-B554)/B554,0)</f>
        <v>6.6185838947080106E-2</v>
      </c>
      <c r="D566" s="65">
        <f>IF(Table2[[#This Row],[Country]]&gt;0,(((Table2[[#This Row],[Country]]-B565)/B565)+1)^12-1,"")</f>
        <v>3.0203766242922203E-2</v>
      </c>
    </row>
    <row r="567" spans="1:4" x14ac:dyDescent="0.2">
      <c r="A567" s="36">
        <v>39356</v>
      </c>
      <c r="B567" s="37">
        <f>VLOOKUP(A567,Data!$E:$BG,MATCH(Country!$A$1,Data!$E$1:$BG$1,),)</f>
        <v>61.518650000000001</v>
      </c>
      <c r="C567" s="65">
        <f>IF(B555&gt;0,(Table2[[#This Row],[Country]]-B555)/B555,0)</f>
        <v>6.0649189478653297E-2</v>
      </c>
      <c r="D567" s="65">
        <f>IF(Table2[[#This Row],[Country]]&gt;0,(((Table2[[#This Row],[Country]]-B566)/B566)+1)^12-1,"")</f>
        <v>2.231153423966914E-2</v>
      </c>
    </row>
    <row r="568" spans="1:4" x14ac:dyDescent="0.2">
      <c r="A568" s="36">
        <v>39387</v>
      </c>
      <c r="B568" s="37">
        <f>VLOOKUP(A568,Data!$E:$BG,MATCH(Country!$A$1,Data!$E$1:$BG$1,),)</f>
        <v>61.726399999999998</v>
      </c>
      <c r="C568" s="65">
        <f>IF(B556&gt;0,(Table2[[#This Row],[Country]]-B556)/B556,0)</f>
        <v>5.8950964948788889E-2</v>
      </c>
      <c r="D568" s="65">
        <f>IF(Table2[[#This Row],[Country]]&gt;0,(((Table2[[#This Row],[Country]]-B567)/B567)+1)^12-1,"")</f>
        <v>4.1285517308346842E-2</v>
      </c>
    </row>
    <row r="569" spans="1:4" x14ac:dyDescent="0.2">
      <c r="A569" s="36">
        <v>39417</v>
      </c>
      <c r="B569" s="37">
        <f>VLOOKUP(A569,Data!$E:$BG,MATCH(Country!$A$1,Data!$E$1:$BG$1,),)</f>
        <v>61.977370000000001</v>
      </c>
      <c r="C569" s="65">
        <f>IF(B557&gt;0,(Table2[[#This Row],[Country]]-B557)/B557,0)</f>
        <v>5.6748146690641973E-2</v>
      </c>
      <c r="D569" s="65">
        <f>IF(Table2[[#This Row],[Country]]&gt;0,(((Table2[[#This Row],[Country]]-B568)/B568)+1)^12-1,"")</f>
        <v>4.989612041650382E-2</v>
      </c>
    </row>
    <row r="570" spans="1:4" x14ac:dyDescent="0.2">
      <c r="A570" s="36">
        <v>39448</v>
      </c>
      <c r="B570" s="37">
        <f>VLOOKUP(A570,Data!$E:$BG,MATCH(Country!$A$1,Data!$E$1:$BG$1,),)</f>
        <v>62.258249999999997</v>
      </c>
      <c r="C570" s="65">
        <f>IF(B558&gt;0,(Table2[[#This Row],[Country]]-B558)/B558,0)</f>
        <v>5.5852361030931566E-2</v>
      </c>
      <c r="D570" s="65">
        <f>IF(Table2[[#This Row],[Country]]&gt;0,(((Table2[[#This Row],[Country]]-B569)/B569)+1)^12-1,"")</f>
        <v>5.575997095026386E-2</v>
      </c>
    </row>
    <row r="571" spans="1:4" x14ac:dyDescent="0.2">
      <c r="A571" s="36">
        <v>39479</v>
      </c>
      <c r="B571" s="37">
        <f>VLOOKUP(A571,Data!$E:$BG,MATCH(Country!$A$1,Data!$E$1:$BG$1,),)</f>
        <v>62.962119999999999</v>
      </c>
      <c r="C571" s="65">
        <f>IF(B559&gt;0,(Table2[[#This Row],[Country]]-B559)/B559,0)</f>
        <v>6.5416863309216172E-2</v>
      </c>
      <c r="D571" s="65">
        <f>IF(Table2[[#This Row],[Country]]&gt;0,(((Table2[[#This Row],[Country]]-B570)/B570)+1)^12-1,"")</f>
        <v>0.14442992207889538</v>
      </c>
    </row>
    <row r="572" spans="1:4" x14ac:dyDescent="0.2">
      <c r="A572" s="36">
        <v>39508</v>
      </c>
      <c r="B572" s="37">
        <f>VLOOKUP(A572,Data!$E:$BG,MATCH(Country!$A$1,Data!$E$1:$BG$1,),)</f>
        <v>63.510599999999997</v>
      </c>
      <c r="C572" s="65">
        <f>IF(B560&gt;0,(Table2[[#This Row],[Country]]-B560)/B560,0)</f>
        <v>6.9614199815383318E-2</v>
      </c>
      <c r="D572" s="65">
        <f>IF(Table2[[#This Row],[Country]]&gt;0,(((Table2[[#This Row],[Country]]-B571)/B571)+1)^12-1,"")</f>
        <v>0.10969205026143691</v>
      </c>
    </row>
    <row r="573" spans="1:4" x14ac:dyDescent="0.2">
      <c r="A573" s="36">
        <v>39539</v>
      </c>
      <c r="B573" s="37">
        <f>VLOOKUP(A573,Data!$E:$BG,MATCH(Country!$A$1,Data!$E$1:$BG$1,),)</f>
        <v>63.86544</v>
      </c>
      <c r="C573" s="65">
        <f>IF(B561&gt;0,(Table2[[#This Row],[Country]]-B561)/B561,0)</f>
        <v>6.4815497164457517E-2</v>
      </c>
      <c r="D573" s="65">
        <f>IF(Table2[[#This Row],[Country]]&gt;0,(((Table2[[#This Row],[Country]]-B572)/B572)+1)^12-1,"")</f>
        <v>6.9144276399097704E-2</v>
      </c>
    </row>
    <row r="574" spans="1:4" x14ac:dyDescent="0.2">
      <c r="A574" s="36">
        <v>39569</v>
      </c>
      <c r="B574" s="37">
        <f>VLOOKUP(A574,Data!$E:$BG,MATCH(Country!$A$1,Data!$E$1:$BG$1,),)</f>
        <v>63.964329999999997</v>
      </c>
      <c r="C574" s="65">
        <f>IF(B562&gt;0,(Table2[[#This Row],[Country]]-B562)/B562,0)</f>
        <v>6.4458624801238748E-2</v>
      </c>
      <c r="D574" s="65">
        <f>IF(Table2[[#This Row],[Country]]&gt;0,(((Table2[[#This Row],[Country]]-B573)/B573)+1)^12-1,"")</f>
        <v>1.8740001236446258E-2</v>
      </c>
    </row>
    <row r="575" spans="1:4" x14ac:dyDescent="0.2">
      <c r="A575" s="36">
        <v>39600</v>
      </c>
      <c r="B575" s="37">
        <f>VLOOKUP(A575,Data!$E:$BG,MATCH(Country!$A$1,Data!$E$1:$BG$1,),)</f>
        <v>64.109759999999994</v>
      </c>
      <c r="C575" s="65">
        <f>IF(B563&gt;0,(Table2[[#This Row],[Country]]-B563)/B563,0)</f>
        <v>6.2002738257835137E-2</v>
      </c>
      <c r="D575" s="65">
        <f>IF(Table2[[#This Row],[Country]]&gt;0,(((Table2[[#This Row],[Country]]-B574)/B574)+1)^12-1,"")</f>
        <v>2.7627104368382005E-2</v>
      </c>
    </row>
    <row r="576" spans="1:4" x14ac:dyDescent="0.2">
      <c r="A576" s="36">
        <v>39630</v>
      </c>
      <c r="B576" s="37">
        <f>VLOOKUP(A576,Data!$E:$BG,MATCH(Country!$A$1,Data!$E$1:$BG$1,),)</f>
        <v>64.495350000000002</v>
      </c>
      <c r="C576" s="65">
        <f>IF(B564&gt;0,(Table2[[#This Row],[Country]]-B564)/B564,0)</f>
        <v>6.3952265515645756E-2</v>
      </c>
      <c r="D576" s="65">
        <f>IF(Table2[[#This Row],[Country]]&gt;0,(((Table2[[#This Row],[Country]]-B575)/B575)+1)^12-1,"")</f>
        <v>7.461038683957133E-2</v>
      </c>
    </row>
    <row r="577" spans="1:4" x14ac:dyDescent="0.2">
      <c r="A577" s="36">
        <v>39661</v>
      </c>
      <c r="B577" s="37">
        <f>VLOOKUP(A577,Data!$E:$BG,MATCH(Country!$A$1,Data!$E$1:$BG$1,),)</f>
        <v>64.62</v>
      </c>
      <c r="C577" s="65">
        <f>IF(B565&gt;0,(Table2[[#This Row],[Country]]-B565)/B565,0)</f>
        <v>5.495926358553925E-2</v>
      </c>
      <c r="D577" s="65">
        <f>IF(Table2[[#This Row],[Country]]&gt;0,(((Table2[[#This Row],[Country]]-B576)/B576)+1)^12-1,"")</f>
        <v>2.3440495932385286E-2</v>
      </c>
    </row>
    <row r="578" spans="1:4" x14ac:dyDescent="0.2">
      <c r="A578" s="36">
        <v>39692</v>
      </c>
      <c r="B578" s="37">
        <f>VLOOKUP(A578,Data!$E:$BG,MATCH(Country!$A$1,Data!$E$1:$BG$1,),)</f>
        <v>65.200890000000001</v>
      </c>
      <c r="C578" s="65">
        <f>IF(B566&gt;0,(Table2[[#This Row],[Country]]-B566)/B566,0)</f>
        <v>6.1806384854287771E-2</v>
      </c>
      <c r="D578" s="65">
        <f>IF(Table2[[#This Row],[Country]]&gt;0,(((Table2[[#This Row],[Country]]-B577)/B577)+1)^12-1,"")</f>
        <v>0.11336827771608249</v>
      </c>
    </row>
    <row r="579" spans="1:4" x14ac:dyDescent="0.2">
      <c r="A579" s="36">
        <v>39722</v>
      </c>
      <c r="B579" s="37">
        <f>VLOOKUP(A579,Data!$E:$BG,MATCH(Country!$A$1,Data!$E$1:$BG$1,),)</f>
        <v>66.099220000000003</v>
      </c>
      <c r="C579" s="65">
        <f>IF(B567&gt;0,(Table2[[#This Row],[Country]]-B567)/B567,0)</f>
        <v>7.4458233397514437E-2</v>
      </c>
      <c r="D579" s="65">
        <f>IF(Table2[[#This Row],[Country]]&gt;0,(((Table2[[#This Row],[Country]]-B578)/B578)+1)^12-1,"")</f>
        <v>0.17845696747751205</v>
      </c>
    </row>
    <row r="580" spans="1:4" x14ac:dyDescent="0.2">
      <c r="A580" s="36">
        <v>39753</v>
      </c>
      <c r="B580" s="37">
        <f>VLOOKUP(A580,Data!$E:$BG,MATCH(Country!$A$1,Data!$E$1:$BG$1,),)</f>
        <v>66.519710000000003</v>
      </c>
      <c r="C580" s="65">
        <f>IF(B568&gt;0,(Table2[[#This Row],[Country]]-B568)/B568,0)</f>
        <v>7.7654131781539265E-2</v>
      </c>
      <c r="D580" s="65">
        <f>IF(Table2[[#This Row],[Country]]&gt;0,(((Table2[[#This Row],[Country]]-B579)/B579)+1)^12-1,"")</f>
        <v>7.9066352542687346E-2</v>
      </c>
    </row>
    <row r="581" spans="1:4" x14ac:dyDescent="0.2">
      <c r="A581" s="36">
        <v>39783</v>
      </c>
      <c r="B581" s="37">
        <f>VLOOKUP(A581,Data!$E:$BG,MATCH(Country!$A$1,Data!$E$1:$BG$1,),)</f>
        <v>67.98563</v>
      </c>
      <c r="C581" s="65">
        <f>IF(B569&gt;0,(Table2[[#This Row],[Country]]-B569)/B569,0)</f>
        <v>9.6942803478108214E-2</v>
      </c>
      <c r="D581" s="65">
        <f>IF(Table2[[#This Row],[Country]]&gt;0,(((Table2[[#This Row],[Country]]-B580)/B580)+1)^12-1,"")</f>
        <v>0.29897666679064949</v>
      </c>
    </row>
    <row r="582" spans="1:4" x14ac:dyDescent="0.2">
      <c r="A582" s="36">
        <v>39814</v>
      </c>
      <c r="B582" s="37">
        <f>VLOOKUP(A582,Data!$E:$BG,MATCH(Country!$A$1,Data!$E$1:$BG$1,),)</f>
        <v>68.662080000000003</v>
      </c>
      <c r="C582" s="65">
        <f>IF(B570&gt;0,(Table2[[#This Row],[Country]]-B570)/B570,0)</f>
        <v>0.1028591391502332</v>
      </c>
      <c r="D582" s="65">
        <f>IF(Table2[[#This Row],[Country]]&gt;0,(((Table2[[#This Row],[Country]]-B581)/B581)+1)^12-1,"")</f>
        <v>0.12615442999682713</v>
      </c>
    </row>
    <row r="583" spans="1:4" x14ac:dyDescent="0.2">
      <c r="A583" s="36">
        <v>39845</v>
      </c>
      <c r="B583" s="37">
        <f>VLOOKUP(A583,Data!$E:$BG,MATCH(Country!$A$1,Data!$E$1:$BG$1,),)</f>
        <v>68.904740000000004</v>
      </c>
      <c r="C583" s="65">
        <f>IF(B571&gt;0,(Table2[[#This Row],[Country]]-B571)/B571,0)</f>
        <v>9.4384051871188659E-2</v>
      </c>
      <c r="D583" s="65">
        <f>IF(Table2[[#This Row],[Country]]&gt;0,(((Table2[[#This Row],[Country]]-B582)/B582)+1)^12-1,"")</f>
        <v>4.3243563510898975E-2</v>
      </c>
    </row>
    <row r="584" spans="1:4" x14ac:dyDescent="0.2">
      <c r="A584" s="36">
        <v>39873</v>
      </c>
      <c r="B584" s="37">
        <f>VLOOKUP(A584,Data!$E:$BG,MATCH(Country!$A$1,Data!$E$1:$BG$1,),)</f>
        <v>69.453209999999999</v>
      </c>
      <c r="C584" s="65">
        <f>IF(B572&gt;0,(Table2[[#This Row],[Country]]-B572)/B572,0)</f>
        <v>9.3568790091732759E-2</v>
      </c>
      <c r="D584" s="65">
        <f>IF(Table2[[#This Row],[Country]]&gt;0,(((Table2[[#This Row],[Country]]-B583)/B583)+1)^12-1,"")</f>
        <v>9.981260819789961E-2</v>
      </c>
    </row>
    <row r="585" spans="1:4" x14ac:dyDescent="0.2">
      <c r="A585" s="36">
        <v>39904</v>
      </c>
      <c r="B585" s="37">
        <f>VLOOKUP(A585,Data!$E:$BG,MATCH(Country!$A$1,Data!$E$1:$BG$1,),)</f>
        <v>69.478970000000004</v>
      </c>
      <c r="C585" s="65">
        <f>IF(B573&gt;0,(Table2[[#This Row],[Country]]-B573)/B573,0)</f>
        <v>8.7896208027377631E-2</v>
      </c>
      <c r="D585" s="65">
        <f>IF(Table2[[#This Row],[Country]]&gt;0,(((Table2[[#This Row],[Country]]-B584)/B584)+1)^12-1,"")</f>
        <v>4.4598567123661503E-3</v>
      </c>
    </row>
    <row r="586" spans="1:4" x14ac:dyDescent="0.2">
      <c r="A586" s="36">
        <v>39934</v>
      </c>
      <c r="B586" s="37">
        <f>VLOOKUP(A586,Data!$E:$BG,MATCH(Country!$A$1,Data!$E$1:$BG$1,),)</f>
        <v>69.956810000000004</v>
      </c>
      <c r="C586" s="65">
        <f>IF(B574&gt;0,(Table2[[#This Row],[Country]]-B574)/B574,0)</f>
        <v>9.3684714590147475E-2</v>
      </c>
      <c r="D586" s="65">
        <f>IF(Table2[[#This Row],[Country]]&gt;0,(((Table2[[#This Row],[Country]]-B585)/B585)+1)^12-1,"")</f>
        <v>8.5724186435692351E-2</v>
      </c>
    </row>
    <row r="587" spans="1:4" x14ac:dyDescent="0.2">
      <c r="A587" s="36">
        <v>39965</v>
      </c>
      <c r="B587" s="37">
        <f>VLOOKUP(A587,Data!$E:$BG,MATCH(Country!$A$1,Data!$E$1:$BG$1,),)</f>
        <v>70.036580000000001</v>
      </c>
      <c r="C587" s="65">
        <f>IF(B575&gt;0,(Table2[[#This Row],[Country]]-B575)/B575,0)</f>
        <v>9.2448014155723041E-2</v>
      </c>
      <c r="D587" s="65">
        <f>IF(Table2[[#This Row],[Country]]&gt;0,(((Table2[[#This Row],[Country]]-B586)/B586)+1)^12-1,"")</f>
        <v>1.3769441736477539E-2</v>
      </c>
    </row>
    <row r="588" spans="1:4" x14ac:dyDescent="0.2">
      <c r="A588" s="36">
        <v>39995</v>
      </c>
      <c r="B588" s="37">
        <f>VLOOKUP(A588,Data!$E:$BG,MATCH(Country!$A$1,Data!$E$1:$BG$1,),)</f>
        <v>70.075649999999996</v>
      </c>
      <c r="C588" s="65">
        <f>IF(B576&gt;0,(Table2[[#This Row],[Country]]-B576)/B576,0)</f>
        <v>8.6522516739578809E-2</v>
      </c>
      <c r="D588" s="65">
        <f>IF(Table2[[#This Row],[Country]]&gt;0,(((Table2[[#This Row],[Country]]-B587)/B587)+1)^12-1,"")</f>
        <v>6.7147933958924266E-3</v>
      </c>
    </row>
    <row r="589" spans="1:4" x14ac:dyDescent="0.2">
      <c r="A589" s="36">
        <v>40026</v>
      </c>
      <c r="B589" s="37">
        <f>VLOOKUP(A589,Data!$E:$BG,MATCH(Country!$A$1,Data!$E$1:$BG$1,),)</f>
        <v>70.073149999999998</v>
      </c>
      <c r="C589" s="65">
        <f>IF(B577&gt;0,(Table2[[#This Row],[Country]]-B577)/B577,0)</f>
        <v>8.4387960383782004E-2</v>
      </c>
      <c r="D589" s="65">
        <f>IF(Table2[[#This Row],[Country]]&gt;0,(((Table2[[#This Row],[Country]]-B588)/B588)+1)^12-1,"")</f>
        <v>-4.2802477329018096E-4</v>
      </c>
    </row>
    <row r="590" spans="1:4" x14ac:dyDescent="0.2">
      <c r="A590" s="36">
        <v>40057</v>
      </c>
      <c r="B590" s="37">
        <f>VLOOKUP(A590,Data!$E:$BG,MATCH(Country!$A$1,Data!$E$1:$BG$1,),)</f>
        <v>70.067340000000002</v>
      </c>
      <c r="C590" s="65">
        <f>IF(B578&gt;0,(Table2[[#This Row],[Country]]-B578)/B578,0)</f>
        <v>7.4637784852323336E-2</v>
      </c>
      <c r="D590" s="65">
        <f>IF(Table2[[#This Row],[Country]]&gt;0,(((Table2[[#This Row],[Country]]-B589)/B589)+1)^12-1,"")</f>
        <v>-9.9450666667866283E-4</v>
      </c>
    </row>
    <row r="591" spans="1:4" x14ac:dyDescent="0.2">
      <c r="A591" s="36">
        <v>40087</v>
      </c>
      <c r="B591" s="37">
        <f>VLOOKUP(A591,Data!$E:$BG,MATCH(Country!$A$1,Data!$E$1:$BG$1,),)</f>
        <v>70.290049999999994</v>
      </c>
      <c r="C591" s="65">
        <f>IF(B579&gt;0,(Table2[[#This Row],[Country]]-B579)/B579,0)</f>
        <v>6.3402109737452139E-2</v>
      </c>
      <c r="D591" s="65">
        <f>IF(Table2[[#This Row],[Country]]&gt;0,(((Table2[[#This Row],[Country]]-B590)/B590)+1)^12-1,"")</f>
        <v>3.8816074538733369E-2</v>
      </c>
    </row>
    <row r="592" spans="1:4" x14ac:dyDescent="0.2">
      <c r="A592" s="36">
        <v>40118</v>
      </c>
      <c r="B592" s="37">
        <f>VLOOKUP(A592,Data!$E:$BG,MATCH(Country!$A$1,Data!$E$1:$BG$1,),)</f>
        <v>70.540180000000007</v>
      </c>
      <c r="C592" s="65">
        <f>IF(B580&gt;0,(Table2[[#This Row],[Country]]-B580)/B580,0)</f>
        <v>6.0440281534600841E-2</v>
      </c>
      <c r="D592" s="65">
        <f>IF(Table2[[#This Row],[Country]]&gt;0,(((Table2[[#This Row],[Country]]-B591)/B591)+1)^12-1,"")</f>
        <v>4.3548253316732399E-2</v>
      </c>
    </row>
    <row r="593" spans="1:4" x14ac:dyDescent="0.2">
      <c r="A593" s="36">
        <v>40148</v>
      </c>
      <c r="B593" s="37">
        <f>VLOOKUP(A593,Data!$E:$BG,MATCH(Country!$A$1,Data!$E$1:$BG$1,),)</f>
        <v>70.498630000000006</v>
      </c>
      <c r="C593" s="65">
        <f>IF(B581&gt;0,(Table2[[#This Row],[Country]]-B581)/B581,0)</f>
        <v>3.6963693651143707E-2</v>
      </c>
      <c r="D593" s="65">
        <f>IF(Table2[[#This Row],[Country]]&gt;0,(((Table2[[#This Row],[Country]]-B592)/B592)+1)^12-1,"")</f>
        <v>-7.0454580820218382E-3</v>
      </c>
    </row>
    <row r="594" spans="1:4" x14ac:dyDescent="0.2">
      <c r="A594" s="36">
        <v>40179</v>
      </c>
      <c r="B594" s="37">
        <f>VLOOKUP(A594,Data!$E:$BG,MATCH(Country!$A$1,Data!$E$1:$BG$1,),)</f>
        <v>70.185339999999997</v>
      </c>
      <c r="C594" s="65">
        <f>IF(B582&gt;0,(Table2[[#This Row],[Country]]-B582)/B582,0)</f>
        <v>2.218487992207625E-2</v>
      </c>
      <c r="D594" s="65">
        <f>IF(Table2[[#This Row],[Country]]&gt;0,(((Table2[[#This Row],[Country]]-B593)/B593)+1)^12-1,"")</f>
        <v>-5.2042715502624404E-2</v>
      </c>
    </row>
    <row r="595" spans="1:4" x14ac:dyDescent="0.2">
      <c r="A595" s="36">
        <v>40210</v>
      </c>
      <c r="B595" s="37">
        <f>VLOOKUP(A595,Data!$E:$BG,MATCH(Country!$A$1,Data!$E$1:$BG$1,),)</f>
        <v>70.597530000000006</v>
      </c>
      <c r="C595" s="65">
        <f>IF(B583&gt;0,(Table2[[#This Row],[Country]]-B583)/B583,0)</f>
        <v>2.4567105252846208E-2</v>
      </c>
      <c r="D595" s="65">
        <f>IF(Table2[[#This Row],[Country]]&gt;0,(((Table2[[#This Row],[Country]]-B594)/B594)+1)^12-1,"")</f>
        <v>7.2796090571912719E-2</v>
      </c>
    </row>
    <row r="596" spans="1:4" x14ac:dyDescent="0.2">
      <c r="A596" s="36">
        <v>40238</v>
      </c>
      <c r="B596" s="37">
        <f>VLOOKUP(A596,Data!$E:$BG,MATCH(Country!$A$1,Data!$E$1:$BG$1,),)</f>
        <v>70.573430000000002</v>
      </c>
      <c r="C596" s="65">
        <f>IF(B584&gt;0,(Table2[[#This Row],[Country]]-B584)/B584,0)</f>
        <v>1.6129132116427785E-2</v>
      </c>
      <c r="D596" s="65">
        <f>IF(Table2[[#This Row],[Country]]&gt;0,(((Table2[[#This Row],[Country]]-B595)/B595)+1)^12-1,"")</f>
        <v>-4.0887780569673904E-3</v>
      </c>
    </row>
    <row r="597" spans="1:4" x14ac:dyDescent="0.2">
      <c r="A597" s="36">
        <v>40269</v>
      </c>
      <c r="B597" s="37">
        <f>VLOOKUP(A597,Data!$E:$BG,MATCH(Country!$A$1,Data!$E$1:$BG$1,),)</f>
        <v>70.826049999999995</v>
      </c>
      <c r="C597" s="65">
        <f>IF(B585&gt;0,(Table2[[#This Row],[Country]]-B585)/B585,0)</f>
        <v>1.9388312751325919E-2</v>
      </c>
      <c r="D597" s="65">
        <f>IF(Table2[[#This Row],[Country]]&gt;0,(((Table2[[#This Row],[Country]]-B596)/B596)+1)^12-1,"")</f>
        <v>4.3810243573219276E-2</v>
      </c>
    </row>
    <row r="598" spans="1:4" x14ac:dyDescent="0.2">
      <c r="A598" s="36">
        <v>40299</v>
      </c>
      <c r="B598" s="37">
        <f>VLOOKUP(A598,Data!$E:$BG,MATCH(Country!$A$1,Data!$E$1:$BG$1,),)</f>
        <v>71.280619999999999</v>
      </c>
      <c r="C598" s="65">
        <f>IF(B586&gt;0,(Table2[[#This Row],[Country]]-B586)/B586,0)</f>
        <v>1.8923247072014784E-2</v>
      </c>
      <c r="D598" s="65">
        <f>IF(Table2[[#This Row],[Country]]&gt;0,(((Table2[[#This Row],[Country]]-B597)/B597)+1)^12-1,"")</f>
        <v>7.9795124968897513E-2</v>
      </c>
    </row>
    <row r="599" spans="1:4" x14ac:dyDescent="0.2">
      <c r="A599" s="36">
        <v>40330</v>
      </c>
      <c r="B599" s="37">
        <f>VLOOKUP(A599,Data!$E:$BG,MATCH(Country!$A$1,Data!$E$1:$BG$1,),)</f>
        <v>71.439350000000005</v>
      </c>
      <c r="C599" s="65">
        <f>IF(B587&gt;0,(Table2[[#This Row],[Country]]-B587)/B587,0)</f>
        <v>2.0029104790668016E-2</v>
      </c>
      <c r="D599" s="65">
        <f>IF(Table2[[#This Row],[Country]]&gt;0,(((Table2[[#This Row],[Country]]-B598)/B598)+1)^12-1,"")</f>
        <v>2.7051711002323398E-2</v>
      </c>
    </row>
    <row r="600" spans="1:4" x14ac:dyDescent="0.2">
      <c r="A600" s="36">
        <v>40360</v>
      </c>
      <c r="B600" s="37">
        <f>VLOOKUP(A600,Data!$E:$BG,MATCH(Country!$A$1,Data!$E$1:$BG$1,),)</f>
        <v>71.519120000000001</v>
      </c>
      <c r="C600" s="65">
        <f>IF(B588&gt;0,(Table2[[#This Row],[Country]]-B588)/B588,0)</f>
        <v>2.0598738648874539E-2</v>
      </c>
      <c r="D600" s="65">
        <f>IF(Table2[[#This Row],[Country]]&gt;0,(((Table2[[#This Row],[Country]]-B599)/B599)+1)^12-1,"")</f>
        <v>1.3481935300520886E-2</v>
      </c>
    </row>
    <row r="601" spans="1:4" x14ac:dyDescent="0.2">
      <c r="A601" s="36">
        <v>40391</v>
      </c>
      <c r="B601" s="37">
        <f>VLOOKUP(A601,Data!$E:$BG,MATCH(Country!$A$1,Data!$E$1:$BG$1,),)</f>
        <v>71.937129999999996</v>
      </c>
      <c r="C601" s="65">
        <f>IF(B589&gt;0,(Table2[[#This Row],[Country]]-B589)/B589,0)</f>
        <v>2.6600488204112389E-2</v>
      </c>
      <c r="D601" s="65">
        <f>IF(Table2[[#This Row],[Country]]&gt;0,(((Table2[[#This Row],[Country]]-B600)/B600)+1)^12-1,"")</f>
        <v>7.2435895475447154E-2</v>
      </c>
    </row>
    <row r="602" spans="1:4" x14ac:dyDescent="0.2">
      <c r="A602" s="36">
        <v>40422</v>
      </c>
      <c r="B602" s="37">
        <f>VLOOKUP(A602,Data!$E:$BG,MATCH(Country!$A$1,Data!$E$1:$BG$1,),)</f>
        <v>72.196399999999997</v>
      </c>
      <c r="C602" s="65">
        <f>IF(B590&gt;0,(Table2[[#This Row],[Country]]-B590)/B590,0)</f>
        <v>3.0385911610173805E-2</v>
      </c>
      <c r="D602" s="65">
        <f>IF(Table2[[#This Row],[Country]]&gt;0,(((Table2[[#This Row],[Country]]-B601)/B601)+1)^12-1,"")</f>
        <v>4.4117134051881557E-2</v>
      </c>
    </row>
    <row r="603" spans="1:4" x14ac:dyDescent="0.2">
      <c r="A603" s="36">
        <v>40452</v>
      </c>
      <c r="B603" s="37">
        <f>VLOOKUP(A603,Data!$E:$BG,MATCH(Country!$A$1,Data!$E$1:$BG$1,),)</f>
        <v>72.6036</v>
      </c>
      <c r="C603" s="65">
        <f>IF(B591&gt;0,(Table2[[#This Row],[Country]]-B591)/B591,0)</f>
        <v>3.2914331402524352E-2</v>
      </c>
      <c r="D603" s="65">
        <f>IF(Table2[[#This Row],[Country]]&gt;0,(((Table2[[#This Row],[Country]]-B602)/B602)+1)^12-1,"")</f>
        <v>6.9821583974034374E-2</v>
      </c>
    </row>
    <row r="604" spans="1:4" x14ac:dyDescent="0.2">
      <c r="A604" s="36">
        <v>40483</v>
      </c>
      <c r="B604" s="37">
        <f>VLOOKUP(A604,Data!$E:$BG,MATCH(Country!$A$1,Data!$E$1:$BG$1,),)</f>
        <v>72.775620000000004</v>
      </c>
      <c r="C604" s="65">
        <f>IF(B592&gt;0,(Table2[[#This Row],[Country]]-B592)/B592,0)</f>
        <v>3.1690307566552806E-2</v>
      </c>
      <c r="D604" s="65">
        <f>IF(Table2[[#This Row],[Country]]&gt;0,(((Table2[[#This Row],[Country]]-B603)/B603)+1)^12-1,"")</f>
        <v>2.8805087443478872E-2</v>
      </c>
    </row>
    <row r="605" spans="1:4" x14ac:dyDescent="0.2">
      <c r="A605" s="36">
        <v>40513</v>
      </c>
      <c r="B605" s="37">
        <f>VLOOKUP(A605,Data!$E:$BG,MATCH(Country!$A$1,Data!$E$1:$BG$1,),)</f>
        <v>73.040719999999993</v>
      </c>
      <c r="C605" s="65">
        <f>IF(B593&gt;0,(Table2[[#This Row],[Country]]-B593)/B593,0)</f>
        <v>3.6058714899849645E-2</v>
      </c>
      <c r="D605" s="65">
        <f>IF(Table2[[#This Row],[Country]]&gt;0,(((Table2[[#This Row],[Country]]-B604)/B604)+1)^12-1,"")</f>
        <v>4.4598935689205588E-2</v>
      </c>
    </row>
    <row r="606" spans="1:4" x14ac:dyDescent="0.2">
      <c r="A606" s="36">
        <v>40544</v>
      </c>
      <c r="B606" s="37">
        <f>VLOOKUP(A606,Data!$E:$BG,MATCH(Country!$A$1,Data!$E$1:$BG$1,),)</f>
        <v>73.34487</v>
      </c>
      <c r="C606" s="65">
        <f>IF(B594&gt;0,(Table2[[#This Row],[Country]]-B594)/B594,0)</f>
        <v>4.5016950833322231E-2</v>
      </c>
      <c r="D606" s="65">
        <f>IF(Table2[[#This Row],[Country]]&gt;0,(((Table2[[#This Row],[Country]]-B605)/B605)+1)^12-1,"")</f>
        <v>5.1129852570435341E-2</v>
      </c>
    </row>
    <row r="607" spans="1:4" x14ac:dyDescent="0.2">
      <c r="A607" s="36">
        <v>40575</v>
      </c>
      <c r="B607" s="37">
        <f>VLOOKUP(A607,Data!$E:$BG,MATCH(Country!$A$1,Data!$E$1:$BG$1,),)</f>
        <v>73.722980000000007</v>
      </c>
      <c r="C607" s="65">
        <f>IF(B595&gt;0,(Table2[[#This Row],[Country]]-B595)/B595,0)</f>
        <v>4.4271378899516746E-2</v>
      </c>
      <c r="D607" s="65">
        <f>IF(Table2[[#This Row],[Country]]&gt;0,(((Table2[[#This Row],[Country]]-B606)/B606)+1)^12-1,"")</f>
        <v>6.3647352728692042E-2</v>
      </c>
    </row>
    <row r="608" spans="1:4" x14ac:dyDescent="0.2">
      <c r="A608" s="36">
        <v>40603</v>
      </c>
      <c r="B608" s="37">
        <f>VLOOKUP(A608,Data!$E:$BG,MATCH(Country!$A$1,Data!$E$1:$BG$1,),)</f>
        <v>74.091130000000007</v>
      </c>
      <c r="C608" s="65">
        <f>IF(B596&gt;0,(Table2[[#This Row],[Country]]-B596)/B596,0)</f>
        <v>4.9844537809767851E-2</v>
      </c>
      <c r="D608" s="65">
        <f>IF(Table2[[#This Row],[Country]]&gt;0,(((Table2[[#This Row],[Country]]-B607)/B607)+1)^12-1,"")</f>
        <v>6.1597874541157616E-2</v>
      </c>
    </row>
    <row r="609" spans="1:4" x14ac:dyDescent="0.2">
      <c r="A609" s="36">
        <v>40634</v>
      </c>
      <c r="B609" s="37">
        <f>VLOOKUP(A609,Data!$E:$BG,MATCH(Country!$A$1,Data!$E$1:$BG$1,),)</f>
        <v>74.608019999999996</v>
      </c>
      <c r="C609" s="65">
        <f>IF(B597&gt;0,(Table2[[#This Row],[Country]]-B597)/B597,0)</f>
        <v>5.339800821872745E-2</v>
      </c>
      <c r="D609" s="65">
        <f>IF(Table2[[#This Row],[Country]]&gt;0,(((Table2[[#This Row],[Country]]-B608)/B608)+1)^12-1,"")</f>
        <v>8.7005027460122619E-2</v>
      </c>
    </row>
    <row r="610" spans="1:4" x14ac:dyDescent="0.2">
      <c r="A610" s="36">
        <v>40664</v>
      </c>
      <c r="B610" s="37">
        <f>VLOOKUP(A610,Data!$E:$BG,MATCH(Country!$A$1,Data!$E$1:$BG$1,),)</f>
        <v>75.034329999999997</v>
      </c>
      <c r="C610" s="65">
        <f>IF(B598&gt;0,(Table2[[#This Row],[Country]]-B598)/B598,0)</f>
        <v>5.2661017819429716E-2</v>
      </c>
      <c r="D610" s="65">
        <f>IF(Table2[[#This Row],[Country]]&gt;0,(((Table2[[#This Row],[Country]]-B609)/B609)+1)^12-1,"")</f>
        <v>7.0764423723552961E-2</v>
      </c>
    </row>
    <row r="611" spans="1:4" x14ac:dyDescent="0.2">
      <c r="A611" s="36">
        <v>40695</v>
      </c>
      <c r="B611" s="37">
        <f>VLOOKUP(A611,Data!$E:$BG,MATCH(Country!$A$1,Data!$E$1:$BG$1,),)</f>
        <v>75.734049999999996</v>
      </c>
      <c r="C611" s="65">
        <f>IF(B599&gt;0,(Table2[[#This Row],[Country]]-B599)/B599,0)</f>
        <v>6.0116728385686484E-2</v>
      </c>
      <c r="D611" s="65">
        <f>IF(Table2[[#This Row],[Country]]&gt;0,(((Table2[[#This Row],[Country]]-B610)/B610)+1)^12-1,"")</f>
        <v>0.11782566542253181</v>
      </c>
    </row>
    <row r="612" spans="1:4" x14ac:dyDescent="0.2">
      <c r="A612" s="36">
        <v>40725</v>
      </c>
      <c r="B612" s="37">
        <f>VLOOKUP(A612,Data!$E:$BG,MATCH(Country!$A$1,Data!$E$1:$BG$1,),)</f>
        <v>77.296360000000007</v>
      </c>
      <c r="C612" s="65">
        <f>IF(B600&gt;0,(Table2[[#This Row],[Country]]-B600)/B600,0)</f>
        <v>8.0778958130357389E-2</v>
      </c>
      <c r="D612" s="65">
        <f>IF(Table2[[#This Row],[Country]]&gt;0,(((Table2[[#This Row],[Country]]-B611)/B611)+1)^12-1,"")</f>
        <v>0.27765714934607666</v>
      </c>
    </row>
    <row r="613" spans="1:4" x14ac:dyDescent="0.2">
      <c r="A613" s="36">
        <v>40756</v>
      </c>
      <c r="B613" s="37">
        <f>VLOOKUP(A613,Data!$E:$BG,MATCH(Country!$A$1,Data!$E$1:$BG$1,),)</f>
        <v>79.072249999999997</v>
      </c>
      <c r="C613" s="65">
        <f>IF(B601&gt;0,(Table2[[#This Row],[Country]]-B601)/B601,0)</f>
        <v>9.9185497113938259E-2</v>
      </c>
      <c r="D613" s="65">
        <f>IF(Table2[[#This Row],[Country]]&gt;0,(((Table2[[#This Row],[Country]]-B612)/B612)+1)^12-1,"")</f>
        <v>0.31335051238882627</v>
      </c>
    </row>
    <row r="614" spans="1:4" x14ac:dyDescent="0.2">
      <c r="A614" s="36">
        <v>40787</v>
      </c>
      <c r="B614" s="37">
        <f>VLOOKUP(A614,Data!$E:$BG,MATCH(Country!$A$1,Data!$E$1:$BG$1,),)</f>
        <v>79.276679999999999</v>
      </c>
      <c r="C614" s="65">
        <f>IF(B602&gt;0,(Table2[[#This Row],[Country]]-B602)/B602,0)</f>
        <v>9.8069709847028411E-2</v>
      </c>
      <c r="D614" s="65">
        <f>IF(Table2[[#This Row],[Country]]&gt;0,(((Table2[[#This Row],[Country]]-B613)/B613)+1)^12-1,"")</f>
        <v>3.1469257410675411E-2</v>
      </c>
    </row>
    <row r="615" spans="1:4" x14ac:dyDescent="0.2">
      <c r="A615" s="36">
        <v>40817</v>
      </c>
      <c r="B615" s="37">
        <f>VLOOKUP(A615,Data!$E:$BG,MATCH(Country!$A$1,Data!$E$1:$BG$1,),)</f>
        <v>79.539280000000005</v>
      </c>
      <c r="C615" s="65">
        <f>IF(B603&gt;0,(Table2[[#This Row],[Country]]-B603)/B603,0)</f>
        <v>9.5528045441272955E-2</v>
      </c>
      <c r="D615" s="65">
        <f>IF(Table2[[#This Row],[Country]]&gt;0,(((Table2[[#This Row],[Country]]-B614)/B614)+1)^12-1,"")</f>
        <v>4.0481623252737187E-2</v>
      </c>
    </row>
    <row r="616" spans="1:4" x14ac:dyDescent="0.2">
      <c r="A616" s="36">
        <v>40848</v>
      </c>
      <c r="B616" s="37">
        <f>VLOOKUP(A616,Data!$E:$BG,MATCH(Country!$A$1,Data!$E$1:$BG$1,),)</f>
        <v>79.88</v>
      </c>
      <c r="C616" s="65">
        <f>IF(B604&gt;0,(Table2[[#This Row],[Country]]-B604)/B604,0)</f>
        <v>9.7620329445492759E-2</v>
      </c>
      <c r="D616" s="65">
        <f>IF(Table2[[#This Row],[Country]]&gt;0,(((Table2[[#This Row],[Country]]-B615)/B615)+1)^12-1,"")</f>
        <v>5.263258517135383E-2</v>
      </c>
    </row>
    <row r="617" spans="1:4" x14ac:dyDescent="0.2">
      <c r="A617" s="36">
        <v>40878</v>
      </c>
      <c r="B617" s="37">
        <f>VLOOKUP(A617,Data!$E:$BG,MATCH(Country!$A$1,Data!$E$1:$BG$1,),)</f>
        <v>80.202439999999996</v>
      </c>
      <c r="C617" s="65">
        <f>IF(B605&gt;0,(Table2[[#This Row],[Country]]-B605)/B605,0)</f>
        <v>9.8051059737636809E-2</v>
      </c>
      <c r="D617" s="65">
        <f>IF(Table2[[#This Row],[Country]]&gt;0,(((Table2[[#This Row],[Country]]-B616)/B616)+1)^12-1,"")</f>
        <v>4.9528648957651633E-2</v>
      </c>
    </row>
    <row r="618" spans="1:4" x14ac:dyDescent="0.2">
      <c r="A618" s="36">
        <v>40909</v>
      </c>
      <c r="B618" s="37">
        <f>VLOOKUP(A618,Data!$E:$BG,MATCH(Country!$A$1,Data!$E$1:$BG$1,),)</f>
        <v>80.860600000000005</v>
      </c>
      <c r="C618" s="65">
        <f>IF(B606&gt;0,(Table2[[#This Row],[Country]]-B606)/B606,0)</f>
        <v>0.10247110670453169</v>
      </c>
      <c r="D618" s="65">
        <f>IF(Table2[[#This Row],[Country]]&gt;0,(((Table2[[#This Row],[Country]]-B617)/B617)+1)^12-1,"")</f>
        <v>0.1030432522817768</v>
      </c>
    </row>
    <row r="619" spans="1:4" x14ac:dyDescent="0.2">
      <c r="A619" s="36">
        <v>40940</v>
      </c>
      <c r="B619" s="37">
        <f>VLOOKUP(A619,Data!$E:$BG,MATCH(Country!$A$1,Data!$E$1:$BG$1,),)</f>
        <v>81.216279999999998</v>
      </c>
      <c r="C619" s="65">
        <f>IF(B607&gt;0,(Table2[[#This Row],[Country]]-B607)/B607,0)</f>
        <v>0.10164130641490604</v>
      </c>
      <c r="D619" s="65">
        <f>IF(Table2[[#This Row],[Country]]&gt;0,(((Table2[[#This Row],[Country]]-B618)/B618)+1)^12-1,"")</f>
        <v>5.4080078646928875E-2</v>
      </c>
    </row>
    <row r="620" spans="1:4" x14ac:dyDescent="0.2">
      <c r="A620" s="36">
        <v>40969</v>
      </c>
      <c r="B620" s="37">
        <f>VLOOKUP(A620,Data!$E:$BG,MATCH(Country!$A$1,Data!$E$1:$BG$1,),)</f>
        <v>81.58775</v>
      </c>
      <c r="C620" s="65">
        <f>IF(B608&gt;0,(Table2[[#This Row],[Country]]-B608)/B608,0)</f>
        <v>0.1011810725521394</v>
      </c>
      <c r="D620" s="65">
        <f>IF(Table2[[#This Row],[Country]]&gt;0,(((Table2[[#This Row],[Country]]-B619)/B619)+1)^12-1,"")</f>
        <v>5.6288027732490642E-2</v>
      </c>
    </row>
    <row r="621" spans="1:4" x14ac:dyDescent="0.2">
      <c r="A621" s="36">
        <v>41000</v>
      </c>
      <c r="B621" s="37">
        <f>VLOOKUP(A621,Data!$E:$BG,MATCH(Country!$A$1,Data!$E$1:$BG$1,),)</f>
        <v>82.038989999999998</v>
      </c>
      <c r="C621" s="65">
        <f>IF(B609&gt;0,(Table2[[#This Row],[Country]]-B609)/B609,0)</f>
        <v>9.9600150225136685E-2</v>
      </c>
      <c r="D621" s="65">
        <f>IF(Table2[[#This Row],[Country]]&gt;0,(((Table2[[#This Row],[Country]]-B620)/B620)+1)^12-1,"")</f>
        <v>6.8425347722679053E-2</v>
      </c>
    </row>
    <row r="622" spans="1:4" x14ac:dyDescent="0.2">
      <c r="A622" s="36">
        <v>41030</v>
      </c>
      <c r="B622" s="37">
        <f>VLOOKUP(A622,Data!$E:$BG,MATCH(Country!$A$1,Data!$E$1:$BG$1,),)</f>
        <v>82.302419999999998</v>
      </c>
      <c r="C622" s="65">
        <f>IF(B610&gt;0,(Table2[[#This Row],[Country]]-B610)/B610,0)</f>
        <v>9.6863529000658782E-2</v>
      </c>
      <c r="D622" s="65">
        <f>IF(Table2[[#This Row],[Country]]&gt;0,(((Table2[[#This Row],[Country]]-B621)/B621)+1)^12-1,"")</f>
        <v>3.9220255570789009E-2</v>
      </c>
    </row>
    <row r="623" spans="1:4" x14ac:dyDescent="0.2">
      <c r="A623" s="36">
        <v>41061</v>
      </c>
      <c r="B623" s="37">
        <f>VLOOKUP(A623,Data!$E:$BG,MATCH(Country!$A$1,Data!$E$1:$BG$1,),)</f>
        <v>82.882469999999998</v>
      </c>
      <c r="C623" s="65">
        <f>IF(B611&gt;0,(Table2[[#This Row],[Country]]-B611)/B611,0)</f>
        <v>9.4388455390937126E-2</v>
      </c>
      <c r="D623" s="65">
        <f>IF(Table2[[#This Row],[Country]]&gt;0,(((Table2[[#This Row],[Country]]-B622)/B622)+1)^12-1,"")</f>
        <v>8.7930012776100908E-2</v>
      </c>
    </row>
    <row r="624" spans="1:4" x14ac:dyDescent="0.2">
      <c r="A624" s="36">
        <v>41091</v>
      </c>
      <c r="B624" s="37">
        <f>VLOOKUP(A624,Data!$E:$BG,MATCH(Country!$A$1,Data!$E$1:$BG$1,),)</f>
        <v>83.490780000000001</v>
      </c>
      <c r="C624" s="65">
        <f>IF(B612&gt;0,(Table2[[#This Row],[Country]]-B612)/B612,0)</f>
        <v>8.0138573148851935E-2</v>
      </c>
      <c r="D624" s="65">
        <f>IF(Table2[[#This Row],[Country]]&gt;0,(((Table2[[#This Row],[Country]]-B623)/B623)+1)^12-1,"")</f>
        <v>9.1716815136968943E-2</v>
      </c>
    </row>
    <row r="625" spans="1:4" x14ac:dyDescent="0.2">
      <c r="A625" s="36">
        <v>41122</v>
      </c>
      <c r="B625" s="37">
        <f>VLOOKUP(A625,Data!$E:$BG,MATCH(Country!$A$1,Data!$E$1:$BG$1,),)</f>
        <v>84.081630000000004</v>
      </c>
      <c r="C625" s="65">
        <f>IF(B613&gt;0,(Table2[[#This Row],[Country]]-B613)/B613,0)</f>
        <v>6.3351934464998871E-2</v>
      </c>
      <c r="D625" s="65">
        <f>IF(Table2[[#This Row],[Country]]&gt;0,(((Table2[[#This Row],[Country]]-B624)/B624)+1)^12-1,"")</f>
        <v>8.8306559479010893E-2</v>
      </c>
    </row>
    <row r="626" spans="1:4" x14ac:dyDescent="0.2">
      <c r="A626" s="36">
        <v>41153</v>
      </c>
      <c r="B626" s="37">
        <f>VLOOKUP(A626,Data!$E:$BG,MATCH(Country!$A$1,Data!$E$1:$BG$1,),)</f>
        <v>84.765559999999994</v>
      </c>
      <c r="C626" s="65">
        <f>IF(B614&gt;0,(Table2[[#This Row],[Country]]-B614)/B614,0)</f>
        <v>6.9237006393305003E-2</v>
      </c>
      <c r="D626" s="65">
        <f>IF(Table2[[#This Row],[Country]]&gt;0,(((Table2[[#This Row],[Country]]-B625)/B625)+1)^12-1,"")</f>
        <v>0.10209684344805181</v>
      </c>
    </row>
    <row r="627" spans="1:4" x14ac:dyDescent="0.2">
      <c r="A627" s="36">
        <v>41183</v>
      </c>
      <c r="B627" s="37">
        <f>VLOOKUP(A627,Data!$E:$BG,MATCH(Country!$A$1,Data!$E$1:$BG$1,),)</f>
        <v>85.273319999999998</v>
      </c>
      <c r="C627" s="65">
        <f>IF(B615&gt;0,(Table2[[#This Row],[Country]]-B615)/B615,0)</f>
        <v>7.2090670169506099E-2</v>
      </c>
      <c r="D627" s="65">
        <f>IF(Table2[[#This Row],[Country]]&gt;0,(((Table2[[#This Row],[Country]]-B626)/B626)+1)^12-1,"")</f>
        <v>7.4298173999703732E-2</v>
      </c>
    </row>
    <row r="628" spans="1:4" x14ac:dyDescent="0.2">
      <c r="A628" s="36">
        <v>41214</v>
      </c>
      <c r="B628" s="37">
        <f>VLOOKUP(A628,Data!$E:$BG,MATCH(Country!$A$1,Data!$E$1:$BG$1,),)</f>
        <v>85.760289999999998</v>
      </c>
      <c r="C628" s="65">
        <f>IF(B616&gt;0,(Table2[[#This Row],[Country]]-B616)/B616,0)</f>
        <v>7.3614046069103684E-2</v>
      </c>
      <c r="D628" s="65">
        <f>IF(Table2[[#This Row],[Country]]&gt;0,(((Table2[[#This Row],[Country]]-B627)/B627)+1)^12-1,"")</f>
        <v>7.0722249654700864E-2</v>
      </c>
    </row>
    <row r="629" spans="1:4" x14ac:dyDescent="0.2">
      <c r="A629" s="36">
        <v>41244</v>
      </c>
      <c r="B629" s="37">
        <f>VLOOKUP(A629,Data!$E:$BG,MATCH(Country!$A$1,Data!$E$1:$BG$1,),)</f>
        <v>86.805710000000005</v>
      </c>
      <c r="C629" s="65">
        <f>IF(B617&gt;0,(Table2[[#This Row],[Country]]-B617)/B617,0)</f>
        <v>8.2332532526441959E-2</v>
      </c>
      <c r="D629" s="65">
        <f>IF(Table2[[#This Row],[Country]]&gt;0,(((Table2[[#This Row],[Country]]-B628)/B628)+1)^12-1,"")</f>
        <v>0.15649732398335425</v>
      </c>
    </row>
    <row r="630" spans="1:4" x14ac:dyDescent="0.2">
      <c r="A630" s="36">
        <v>41275</v>
      </c>
      <c r="B630" s="37">
        <f>VLOOKUP(A630,Data!$E:$BG,MATCH(Country!$A$1,Data!$E$1:$BG$1,),)</f>
        <v>87.017619999999994</v>
      </c>
      <c r="C630" s="65">
        <f>IF(B618&gt;0,(Table2[[#This Row],[Country]]-B618)/B618,0)</f>
        <v>7.6143634848121186E-2</v>
      </c>
      <c r="D630" s="65">
        <f>IF(Table2[[#This Row],[Country]]&gt;0,(((Table2[[#This Row],[Country]]-B629)/B629)+1)^12-1,"")</f>
        <v>2.9690928356397972E-2</v>
      </c>
    </row>
    <row r="631" spans="1:4" x14ac:dyDescent="0.2">
      <c r="A631" s="36">
        <v>41306</v>
      </c>
      <c r="B631" s="37">
        <f>VLOOKUP(A631,Data!$E:$BG,MATCH(Country!$A$1,Data!$E$1:$BG$1,),)</f>
        <v>86.992689999999996</v>
      </c>
      <c r="C631" s="65">
        <f>IF(B619&gt;0,(Table2[[#This Row],[Country]]-B619)/B619,0)</f>
        <v>7.1123794391961787E-2</v>
      </c>
      <c r="D631" s="65">
        <f>IF(Table2[[#This Row],[Country]]&gt;0,(((Table2[[#This Row],[Country]]-B630)/B630)+1)^12-1,"")</f>
        <v>-3.4325123908566235E-3</v>
      </c>
    </row>
    <row r="632" spans="1:4" x14ac:dyDescent="0.2">
      <c r="A632" s="36">
        <v>41334</v>
      </c>
      <c r="B632" s="37">
        <f>VLOOKUP(A632,Data!$E:$BG,MATCH(Country!$A$1,Data!$E$1:$BG$1,),)</f>
        <v>87.586870000000005</v>
      </c>
      <c r="C632" s="65">
        <f>IF(B620&gt;0,(Table2[[#This Row],[Country]]-B620)/B620,0)</f>
        <v>7.3529665911855696E-2</v>
      </c>
      <c r="D632" s="65">
        <f>IF(Table2[[#This Row],[Country]]&gt;0,(((Table2[[#This Row],[Country]]-B631)/B631)+1)^12-1,"")</f>
        <v>8.5112973628299837E-2</v>
      </c>
    </row>
    <row r="633" spans="1:4" x14ac:dyDescent="0.2">
      <c r="A633" s="36">
        <v>41365</v>
      </c>
      <c r="B633" s="37">
        <f>VLOOKUP(A633,Data!$E:$BG,MATCH(Country!$A$1,Data!$E$1:$BG$1,),)</f>
        <v>87.881050000000002</v>
      </c>
      <c r="C633" s="65">
        <f>IF(B621&gt;0,(Table2[[#This Row],[Country]]-B621)/B621,0)</f>
        <v>7.1210774291589937E-2</v>
      </c>
      <c r="D633" s="65">
        <f>IF(Table2[[#This Row],[Country]]&gt;0,(((Table2[[#This Row],[Country]]-B632)/B632)+1)^12-1,"")</f>
        <v>4.1057617485394271E-2</v>
      </c>
    </row>
    <row r="634" spans="1:4" x14ac:dyDescent="0.2">
      <c r="A634" s="36">
        <v>41395</v>
      </c>
      <c r="B634" s="37">
        <f>VLOOKUP(A634,Data!$E:$BG,MATCH(Country!$A$1,Data!$E$1:$BG$1,),)</f>
        <v>88.181880000000007</v>
      </c>
      <c r="C634" s="65">
        <f>IF(B622&gt;0,(Table2[[#This Row],[Country]]-B622)/B622,0)</f>
        <v>7.1437267579738353E-2</v>
      </c>
      <c r="D634" s="65">
        <f>IF(Table2[[#This Row],[Country]]&gt;0,(((Table2[[#This Row],[Country]]-B633)/B633)+1)^12-1,"")</f>
        <v>4.1860075831860577E-2</v>
      </c>
    </row>
    <row r="635" spans="1:4" x14ac:dyDescent="0.2">
      <c r="A635" s="36">
        <v>41426</v>
      </c>
      <c r="B635" s="37">
        <f>VLOOKUP(A635,Data!$E:$BG,MATCH(Country!$A$1,Data!$E$1:$BG$1,),)</f>
        <v>88.63561</v>
      </c>
      <c r="C635" s="65">
        <f>IF(B623&gt;0,(Table2[[#This Row],[Country]]-B623)/B623,0)</f>
        <v>6.9413230566125764E-2</v>
      </c>
      <c r="D635" s="65">
        <f>IF(Table2[[#This Row],[Country]]&gt;0,(((Table2[[#This Row],[Country]]-B634)/B634)+1)^12-1,"")</f>
        <v>6.3522328178331255E-2</v>
      </c>
    </row>
    <row r="636" spans="1:4" x14ac:dyDescent="0.2">
      <c r="A636" s="36">
        <v>41456</v>
      </c>
      <c r="B636" s="37">
        <f>VLOOKUP(A636,Data!$E:$BG,MATCH(Country!$A$1,Data!$E$1:$BG$1,),)</f>
        <v>89.100980000000007</v>
      </c>
      <c r="C636" s="65">
        <f>IF(B624&gt;0,(Table2[[#This Row],[Country]]-B624)/B624,0)</f>
        <v>6.7195443616648518E-2</v>
      </c>
      <c r="D636" s="65">
        <f>IF(Table2[[#This Row],[Country]]&gt;0,(((Table2[[#This Row],[Country]]-B635)/B635)+1)^12-1,"")</f>
        <v>6.4856078357072855E-2</v>
      </c>
    </row>
    <row r="637" spans="1:4" x14ac:dyDescent="0.2">
      <c r="A637" s="36">
        <v>41487</v>
      </c>
      <c r="B637" s="37">
        <f>VLOOKUP(A637,Data!$E:$BG,MATCH(Country!$A$1,Data!$E$1:$BG$1,),)</f>
        <v>89.587130000000002</v>
      </c>
      <c r="C637" s="65">
        <f>IF(B625&gt;0,(Table2[[#This Row],[Country]]-B625)/B625,0)</f>
        <v>6.5478036046637031E-2</v>
      </c>
      <c r="D637" s="65">
        <f>IF(Table2[[#This Row],[Country]]&gt;0,(((Table2[[#This Row],[Country]]-B636)/B636)+1)^12-1,"")</f>
        <v>6.74750096954293E-2</v>
      </c>
    </row>
    <row r="638" spans="1:4" x14ac:dyDescent="0.2">
      <c r="A638" s="36">
        <v>41518</v>
      </c>
      <c r="B638" s="37">
        <f>VLOOKUP(A638,Data!$E:$BG,MATCH(Country!$A$1,Data!$E$1:$BG$1,),)</f>
        <v>90.020920000000004</v>
      </c>
      <c r="C638" s="65">
        <f>IF(B626&gt;0,(Table2[[#This Row],[Country]]-B626)/B626,0)</f>
        <v>6.1998764592601174E-2</v>
      </c>
      <c r="D638" s="65">
        <f>IF(Table2[[#This Row],[Country]]&gt;0,(((Table2[[#This Row],[Country]]-B637)/B637)+1)^12-1,"")</f>
        <v>5.9677904121552272E-2</v>
      </c>
    </row>
    <row r="639" spans="1:4" x14ac:dyDescent="0.2">
      <c r="A639" s="36">
        <v>41548</v>
      </c>
      <c r="B639" s="37">
        <f>VLOOKUP(A639,Data!$E:$BG,MATCH(Country!$A$1,Data!$E$1:$BG$1,),)</f>
        <v>90.956649999999996</v>
      </c>
      <c r="C639" s="65">
        <f>IF(B627&gt;0,(Table2[[#This Row],[Country]]-B627)/B627,0)</f>
        <v>6.6648396004752697E-2</v>
      </c>
      <c r="D639" s="65">
        <f>IF(Table2[[#This Row],[Country]]&gt;0,(((Table2[[#This Row],[Country]]-B638)/B638)+1)^12-1,"")</f>
        <v>0.132119092343705</v>
      </c>
    </row>
    <row r="640" spans="1:4" x14ac:dyDescent="0.2">
      <c r="A640" s="36">
        <v>41579</v>
      </c>
      <c r="B640" s="37">
        <f>VLOOKUP(A640,Data!$E:$BG,MATCH(Country!$A$1,Data!$E$1:$BG$1,),)</f>
        <v>91.021469999999994</v>
      </c>
      <c r="C640" s="65">
        <f>IF(B628&gt;0,(Table2[[#This Row],[Country]]-B628)/B628,0)</f>
        <v>6.1347507103812218E-2</v>
      </c>
      <c r="D640" s="65">
        <f>IF(Table2[[#This Row],[Country]]&gt;0,(((Table2[[#This Row],[Country]]-B639)/B639)+1)^12-1,"")</f>
        <v>8.5853650518821212E-3</v>
      </c>
    </row>
    <row r="641" spans="1:4" x14ac:dyDescent="0.2">
      <c r="A641" s="36">
        <v>41609</v>
      </c>
      <c r="B641" s="37">
        <f>VLOOKUP(A641,Data!$E:$BG,MATCH(Country!$A$1,Data!$E$1:$BG$1,),)</f>
        <v>91.536699999999996</v>
      </c>
      <c r="C641" s="65">
        <f>IF(B629&gt;0,(Table2[[#This Row],[Country]]-B629)/B629,0)</f>
        <v>5.4500907831984684E-2</v>
      </c>
      <c r="D641" s="65">
        <f>IF(Table2[[#This Row],[Country]]&gt;0,(((Table2[[#This Row],[Country]]-B640)/B640)+1)^12-1,"")</f>
        <v>7.0081553806556451E-2</v>
      </c>
    </row>
    <row r="642" spans="1:4" x14ac:dyDescent="0.2">
      <c r="A642" s="36">
        <v>41640</v>
      </c>
      <c r="B642" s="37">
        <f>VLOOKUP(A642,Data!$E:$BG,MATCH(Country!$A$1,Data!$E$1:$BG$1,),)</f>
        <v>91.957189999999997</v>
      </c>
      <c r="C642" s="65">
        <f>IF(B630&gt;0,(Table2[[#This Row],[Country]]-B630)/B630,0)</f>
        <v>5.6765170088540734E-2</v>
      </c>
      <c r="D642" s="65">
        <f>IF(Table2[[#This Row],[Country]]&gt;0,(((Table2[[#This Row],[Country]]-B641)/B641)+1)^12-1,"")</f>
        <v>5.6538390485376011E-2</v>
      </c>
    </row>
    <row r="643" spans="1:4" x14ac:dyDescent="0.2">
      <c r="A643" s="36">
        <v>41671</v>
      </c>
      <c r="B643" s="37">
        <f>VLOOKUP(A643,Data!$E:$BG,MATCH(Country!$A$1,Data!$E$1:$BG$1,),)</f>
        <v>92.647769999999994</v>
      </c>
      <c r="C643" s="65">
        <f>IF(B631&gt;0,(Table2[[#This Row],[Country]]-B631)/B631,0)</f>
        <v>6.5006381570681379E-2</v>
      </c>
      <c r="D643" s="65">
        <f>IF(Table2[[#This Row],[Country]]&gt;0,(((Table2[[#This Row],[Country]]-B642)/B642)+1)^12-1,"")</f>
        <v>9.3934563693908402E-2</v>
      </c>
    </row>
    <row r="644" spans="1:4" x14ac:dyDescent="0.2">
      <c r="A644" s="36">
        <v>41699</v>
      </c>
      <c r="B644" s="37">
        <f>VLOOKUP(A644,Data!$E:$BG,MATCH(Country!$A$1,Data!$E$1:$BG$1,),)</f>
        <v>92.993480000000005</v>
      </c>
      <c r="C644" s="65">
        <f>IF(B632&gt;0,(Table2[[#This Row],[Country]]-B632)/B632,0)</f>
        <v>6.1728544472476297E-2</v>
      </c>
      <c r="D644" s="65">
        <f>IF(Table2[[#This Row],[Country]]&gt;0,(((Table2[[#This Row],[Country]]-B643)/B643)+1)^12-1,"")</f>
        <v>4.5707821894463985E-2</v>
      </c>
    </row>
    <row r="645" spans="1:4" x14ac:dyDescent="0.2">
      <c r="A645" s="36">
        <v>41730</v>
      </c>
      <c r="B645" s="37">
        <f>VLOOKUP(A645,Data!$E:$BG,MATCH(Country!$A$1,Data!$E$1:$BG$1,),)</f>
        <v>93.460509999999999</v>
      </c>
      <c r="C645" s="65">
        <f>IF(B633&gt;0,(Table2[[#This Row],[Country]]-B633)/B633,0)</f>
        <v>6.3488772607974045E-2</v>
      </c>
      <c r="D645" s="65">
        <f>IF(Table2[[#This Row],[Country]]&gt;0,(((Table2[[#This Row],[Country]]-B644)/B644)+1)^12-1,"")</f>
        <v>6.1959016940232647E-2</v>
      </c>
    </row>
    <row r="646" spans="1:4" x14ac:dyDescent="0.2">
      <c r="A646" s="36">
        <v>41760</v>
      </c>
      <c r="B646" s="37">
        <f>VLOOKUP(A646,Data!$E:$BG,MATCH(Country!$A$1,Data!$E$1:$BG$1,),)</f>
        <v>94.028090000000006</v>
      </c>
      <c r="C646" s="65">
        <f>IF(B634&gt;0,(Table2[[#This Row],[Country]]-B634)/B634,0)</f>
        <v>6.6297180327749866E-2</v>
      </c>
      <c r="D646" s="65">
        <f>IF(Table2[[#This Row],[Country]]&gt;0,(((Table2[[#This Row],[Country]]-B645)/B645)+1)^12-1,"")</f>
        <v>7.5359344149452445E-2</v>
      </c>
    </row>
    <row r="647" spans="1:4" x14ac:dyDescent="0.2">
      <c r="A647" s="36">
        <v>41791</v>
      </c>
      <c r="B647" s="37">
        <f>VLOOKUP(A647,Data!$E:$BG,MATCH(Country!$A$1,Data!$E$1:$BG$1,),)</f>
        <v>94.462720000000004</v>
      </c>
      <c r="C647" s="65">
        <f>IF(B635&gt;0,(Table2[[#This Row],[Country]]-B635)/B635,0)</f>
        <v>6.5742312824382934E-2</v>
      </c>
      <c r="D647" s="65">
        <f>IF(Table2[[#This Row],[Country]]&gt;0,(((Table2[[#This Row],[Country]]-B646)/B646)+1)^12-1,"")</f>
        <v>5.690021951443458E-2</v>
      </c>
    </row>
    <row r="648" spans="1:4" x14ac:dyDescent="0.2">
      <c r="A648" s="36">
        <v>41821</v>
      </c>
      <c r="B648" s="37">
        <f>VLOOKUP(A648,Data!$E:$BG,MATCH(Country!$A$1,Data!$E$1:$BG$1,),)</f>
        <v>94.972130000000007</v>
      </c>
      <c r="C648" s="65">
        <f>IF(B636&gt;0,(Table2[[#This Row],[Country]]-B636)/B636,0)</f>
        <v>6.5893214642532547E-2</v>
      </c>
      <c r="D648" s="65">
        <f>IF(Table2[[#This Row],[Country]]&gt;0,(((Table2[[#This Row],[Country]]-B647)/B647)+1)^12-1,"")</f>
        <v>6.6666804050481421E-2</v>
      </c>
    </row>
    <row r="649" spans="1:4" x14ac:dyDescent="0.2">
      <c r="A649" s="36">
        <v>41852</v>
      </c>
      <c r="B649" s="37">
        <f>VLOOKUP(A649,Data!$E:$BG,MATCH(Country!$A$1,Data!$E$1:$BG$1,),)</f>
        <v>95.214789999999994</v>
      </c>
      <c r="C649" s="65">
        <f>IF(B637&gt;0,(Table2[[#This Row],[Country]]-B637)/B637,0)</f>
        <v>6.281772839469231E-2</v>
      </c>
      <c r="D649" s="65">
        <f>IF(Table2[[#This Row],[Country]]&gt;0,(((Table2[[#This Row],[Country]]-B648)/B648)+1)^12-1,"")</f>
        <v>3.1095346942479063E-2</v>
      </c>
    </row>
    <row r="650" spans="1:4" x14ac:dyDescent="0.2">
      <c r="A650" s="36">
        <v>41883</v>
      </c>
      <c r="B650" s="37">
        <f>VLOOKUP(A650,Data!$E:$BG,MATCH(Country!$A$1,Data!$E$1:$BG$1,),)</f>
        <v>95.500659999999996</v>
      </c>
      <c r="C650" s="65">
        <f>IF(B638&gt;0,(Table2[[#This Row],[Country]]-B638)/B638,0)</f>
        <v>6.0871850676487115E-2</v>
      </c>
      <c r="D650" s="65">
        <f>IF(Table2[[#This Row],[Country]]&gt;0,(((Table2[[#This Row],[Country]]-B649)/B649)+1)^12-1,"")</f>
        <v>3.662936961114438E-2</v>
      </c>
    </row>
    <row r="651" spans="1:4" x14ac:dyDescent="0.2">
      <c r="A651" s="36">
        <v>41913</v>
      </c>
      <c r="B651" s="37">
        <f>VLOOKUP(A651,Data!$E:$BG,MATCH(Country!$A$1,Data!$E$1:$BG$1,),)</f>
        <v>95.994290000000007</v>
      </c>
      <c r="C651" s="65">
        <f>IF(B639&gt;0,(Table2[[#This Row],[Country]]-B639)/B639,0)</f>
        <v>5.5385065303086803E-2</v>
      </c>
      <c r="D651" s="65">
        <f>IF(Table2[[#This Row],[Country]]&gt;0,(((Table2[[#This Row],[Country]]-B650)/B650)+1)^12-1,"")</f>
        <v>6.3820448102334337E-2</v>
      </c>
    </row>
    <row r="652" spans="1:4" x14ac:dyDescent="0.2">
      <c r="A652" s="36">
        <v>41944</v>
      </c>
      <c r="B652" s="37">
        <f>VLOOKUP(A652,Data!$E:$BG,MATCH(Country!$A$1,Data!$E$1:$BG$1,),)</f>
        <v>96.320049999999995</v>
      </c>
      <c r="C652" s="65">
        <f>IF(B640&gt;0,(Table2[[#This Row],[Country]]-B640)/B640,0)</f>
        <v>5.8212419553320786E-2</v>
      </c>
      <c r="D652" s="65">
        <f>IF(Table2[[#This Row],[Country]]&gt;0,(((Table2[[#This Row],[Country]]-B651)/B651)+1)^12-1,"")</f>
        <v>4.1491147136543782E-2</v>
      </c>
    </row>
    <row r="653" spans="1:4" x14ac:dyDescent="0.2">
      <c r="A653" s="36">
        <v>41974</v>
      </c>
      <c r="B653" s="37">
        <f>VLOOKUP(A653,Data!$E:$BG,MATCH(Country!$A$1,Data!$E$1:$BG$1,),)</f>
        <v>96.963250000000002</v>
      </c>
      <c r="C653" s="65">
        <f>IF(B641&gt;0,(Table2[[#This Row],[Country]]-B641)/B641,0)</f>
        <v>5.9282779475336188E-2</v>
      </c>
      <c r="D653" s="65">
        <f>IF(Table2[[#This Row],[Country]]&gt;0,(((Table2[[#This Row],[Country]]-B652)/B652)+1)^12-1,"")</f>
        <v>8.3142437787524281E-2</v>
      </c>
    </row>
    <row r="654" spans="1:4" x14ac:dyDescent="0.2">
      <c r="A654" s="36">
        <v>42005</v>
      </c>
      <c r="B654" s="37">
        <f>VLOOKUP(A654,Data!$E:$BG,MATCH(Country!$A$1,Data!$E$1:$BG$1,),)</f>
        <v>97.495930000000001</v>
      </c>
      <c r="C654" s="65">
        <f>IF(B642&gt;0,(Table2[[#This Row],[Country]]-B642)/B642,0)</f>
        <v>6.0231723044168753E-2</v>
      </c>
      <c r="D654" s="65">
        <f>IF(Table2[[#This Row],[Country]]&gt;0,(((Table2[[#This Row],[Country]]-B653)/B653)+1)^12-1,"")</f>
        <v>6.7952339578482901E-2</v>
      </c>
    </row>
    <row r="655" spans="1:4" x14ac:dyDescent="0.2">
      <c r="A655" s="36">
        <v>42036</v>
      </c>
      <c r="B655" s="37">
        <f>VLOOKUP(A655,Data!$E:$BG,MATCH(Country!$A$1,Data!$E$1:$BG$1,),)</f>
        <v>98.496480000000005</v>
      </c>
      <c r="C655" s="65">
        <f>IF(B643&gt;0,(Table2[[#This Row],[Country]]-B643)/B643,0)</f>
        <v>6.3128448747336405E-2</v>
      </c>
      <c r="D655" s="65">
        <f>IF(Table2[[#This Row],[Country]]&gt;0,(((Table2[[#This Row],[Country]]-B654)/B654)+1)^12-1,"")</f>
        <v>0.13034414049974363</v>
      </c>
    </row>
    <row r="656" spans="1:4" x14ac:dyDescent="0.2">
      <c r="A656" s="36">
        <v>42064</v>
      </c>
      <c r="B656" s="37">
        <f>VLOOKUP(A656,Data!$E:$BG,MATCH(Country!$A$1,Data!$E$1:$BG$1,),)</f>
        <v>98.636920000000003</v>
      </c>
      <c r="C656" s="65">
        <f>IF(B644&gt;0,(Table2[[#This Row],[Country]]-B644)/B644,0)</f>
        <v>6.0686405111412087E-2</v>
      </c>
      <c r="D656" s="65">
        <f>IF(Table2[[#This Row],[Country]]&gt;0,(((Table2[[#This Row],[Country]]-B655)/B655)+1)^12-1,"")</f>
        <v>1.7244871723056665E-2</v>
      </c>
    </row>
    <row r="657" spans="1:4" x14ac:dyDescent="0.2">
      <c r="A657" s="36">
        <v>42095</v>
      </c>
      <c r="B657" s="37">
        <f>VLOOKUP(A657,Data!$E:$BG,MATCH(Country!$A$1,Data!$E$1:$BG$1,),)</f>
        <v>99.029160000000005</v>
      </c>
      <c r="C657" s="65">
        <f>IF(B645&gt;0,(Table2[[#This Row],[Country]]-B645)/B645,0)</f>
        <v>5.9582919031792199E-2</v>
      </c>
      <c r="D657" s="65">
        <f>IF(Table2[[#This Row],[Country]]&gt;0,(((Table2[[#This Row],[Country]]-B656)/B656)+1)^12-1,"")</f>
        <v>4.8776893725351433E-2</v>
      </c>
    </row>
    <row r="658" spans="1:4" x14ac:dyDescent="0.2">
      <c r="A658" s="36">
        <v>42125</v>
      </c>
      <c r="B658" s="37">
        <f>VLOOKUP(A658,Data!$E:$BG,MATCH(Country!$A$1,Data!$E$1:$BG$1,),)</f>
        <v>99.300899999999999</v>
      </c>
      <c r="C658" s="65">
        <f>IF(B646&gt;0,(Table2[[#This Row],[Country]]-B646)/B646,0)</f>
        <v>5.6076965936455718E-2</v>
      </c>
      <c r="D658" s="65">
        <f>IF(Table2[[#This Row],[Country]]&gt;0,(((Table2[[#This Row],[Country]]-B657)/B657)+1)^12-1,"")</f>
        <v>3.3430020653693049E-2</v>
      </c>
    </row>
    <row r="659" spans="1:4" x14ac:dyDescent="0.2">
      <c r="A659" s="36">
        <v>42156</v>
      </c>
      <c r="B659" s="37">
        <f>VLOOKUP(A659,Data!$E:$BG,MATCH(Country!$A$1,Data!$E$1:$BG$1,),)</f>
        <v>99.677359999999993</v>
      </c>
      <c r="C659" s="65">
        <f>IF(B647&gt;0,(Table2[[#This Row],[Country]]-B647)/B647,0)</f>
        <v>5.5203153159256779E-2</v>
      </c>
      <c r="D659" s="65">
        <f>IF(Table2[[#This Row],[Country]]&gt;0,(((Table2[[#This Row],[Country]]-B658)/B658)+1)^12-1,"")</f>
        <v>4.64539161818871E-2</v>
      </c>
    </row>
    <row r="660" spans="1:4" x14ac:dyDescent="0.2">
      <c r="A660" s="36">
        <v>42186</v>
      </c>
      <c r="B660" s="37">
        <f>VLOOKUP(A660,Data!$E:$BG,MATCH(Country!$A$1,Data!$E$1:$BG$1,),)</f>
        <v>100.1095</v>
      </c>
      <c r="C660" s="65">
        <f>IF(B648&gt;0,(Table2[[#This Row],[Country]]-B648)/B648,0)</f>
        <v>5.409344825687272E-2</v>
      </c>
      <c r="D660" s="65">
        <f>IF(Table2[[#This Row],[Country]]&gt;0,(((Table2[[#This Row],[Country]]-B659)/B659)+1)^12-1,"")</f>
        <v>5.3283264088751725E-2</v>
      </c>
    </row>
    <row r="661" spans="1:4" x14ac:dyDescent="0.2">
      <c r="A661" s="36">
        <v>42217</v>
      </c>
      <c r="B661" s="37">
        <f>VLOOKUP(A661,Data!$E:$BG,MATCH(Country!$A$1,Data!$E$1:$BG$1,),)</f>
        <v>100.5333</v>
      </c>
      <c r="C661" s="65">
        <f>IF(B649&gt;0,(Table2[[#This Row],[Country]]-B649)/B649,0)</f>
        <v>5.585802373769877E-2</v>
      </c>
      <c r="D661" s="65">
        <f>IF(Table2[[#This Row],[Country]]&gt;0,(((Table2[[#This Row],[Country]]-B660)/B660)+1)^12-1,"")</f>
        <v>5.2000035281723811E-2</v>
      </c>
    </row>
    <row r="662" spans="1:4" x14ac:dyDescent="0.2">
      <c r="A662" s="36">
        <v>42248</v>
      </c>
      <c r="B662" s="37">
        <f>VLOOKUP(A662,Data!$E:$BG,MATCH(Country!$A$1,Data!$E$1:$BG$1,),)</f>
        <v>100.9945</v>
      </c>
      <c r="C662" s="65">
        <f>IF(B650&gt;0,(Table2[[#This Row],[Country]]-B650)/B650,0)</f>
        <v>5.752672285196779E-2</v>
      </c>
      <c r="D662" s="65">
        <f>IF(Table2[[#This Row],[Country]]&gt;0,(((Table2[[#This Row],[Country]]-B661)/B661)+1)^12-1,"")</f>
        <v>5.6460878607294651E-2</v>
      </c>
    </row>
    <row r="663" spans="1:4" x14ac:dyDescent="0.2">
      <c r="A663" s="36">
        <v>42278</v>
      </c>
      <c r="B663" s="37">
        <f>VLOOKUP(A663,Data!$E:$BG,MATCH(Country!$A$1,Data!$E$1:$BG$1,),)</f>
        <v>101.25960000000001</v>
      </c>
      <c r="C663" s="65">
        <f>IF(B651&gt;0,(Table2[[#This Row],[Country]]-B651)/B651,0)</f>
        <v>5.4850241613329284E-2</v>
      </c>
      <c r="D663" s="65">
        <f>IF(Table2[[#This Row],[Country]]&gt;0,(((Table2[[#This Row],[Country]]-B662)/B662)+1)^12-1,"")</f>
        <v>3.1957492451742953E-2</v>
      </c>
    </row>
    <row r="664" spans="1:4" x14ac:dyDescent="0.2">
      <c r="A664" s="36">
        <v>42309</v>
      </c>
      <c r="B664" s="37">
        <f>VLOOKUP(A664,Data!$E:$BG,MATCH(Country!$A$1,Data!$E$1:$BG$1,),)</f>
        <v>102.0009</v>
      </c>
      <c r="C664" s="65">
        <f>IF(B652&gt;0,(Table2[[#This Row],[Country]]-B652)/B652,0)</f>
        <v>5.8978893802484604E-2</v>
      </c>
      <c r="D664" s="65">
        <f>IF(Table2[[#This Row],[Country]]&gt;0,(((Table2[[#This Row],[Country]]-B663)/B663)+1)^12-1,"")</f>
        <v>9.1474403105044289E-2</v>
      </c>
    </row>
    <row r="665" spans="1:4" x14ac:dyDescent="0.2">
      <c r="A665" s="36">
        <v>42339</v>
      </c>
      <c r="B665" s="37">
        <f>VLOOKUP(A665,Data!$E:$BG,MATCH(Country!$A$1,Data!$E$1:$BG$1,),)</f>
        <v>102.4654</v>
      </c>
      <c r="C665" s="65">
        <f>IF(B653&gt;0,(Table2[[#This Row],[Country]]-B653)/B653,0)</f>
        <v>5.6744694510549101E-2</v>
      </c>
      <c r="D665" s="65">
        <f>IF(Table2[[#This Row],[Country]]&gt;0,(((Table2[[#This Row],[Country]]-B664)/B664)+1)^12-1,"")</f>
        <v>5.6036264523028123E-2</v>
      </c>
    </row>
    <row r="666" spans="1:4" x14ac:dyDescent="0.2">
      <c r="A666" s="36">
        <v>42370</v>
      </c>
      <c r="B666" s="37">
        <f>VLOOKUP(A666,Data!$E:$BG,MATCH(Country!$A$1,Data!$E$1:$BG$1,),)</f>
        <v>103.5283</v>
      </c>
      <c r="C666" s="65">
        <f>IF(B654&gt;0,(Table2[[#This Row],[Country]]-B654)/B654,0)</f>
        <v>6.1873044341440718E-2</v>
      </c>
      <c r="D666" s="65">
        <f>IF(Table2[[#This Row],[Country]]&gt;0,(((Table2[[#This Row],[Country]]-B665)/B665)+1)^12-1,"")</f>
        <v>0.13183238155700816</v>
      </c>
    </row>
    <row r="667" spans="1:4" x14ac:dyDescent="0.2">
      <c r="A667" s="36">
        <v>42401</v>
      </c>
      <c r="B667" s="37">
        <f>VLOOKUP(A667,Data!$E:$BG,MATCH(Country!$A$1,Data!$E$1:$BG$1,),)</f>
        <v>104.16240000000001</v>
      </c>
      <c r="C667" s="65">
        <f>IF(B655&gt;0,(Table2[[#This Row],[Country]]-B655)/B655,0)</f>
        <v>5.752408613993109E-2</v>
      </c>
      <c r="D667" s="65">
        <f>IF(Table2[[#This Row],[Country]]&gt;0,(((Table2[[#This Row],[Country]]-B666)/B666)+1)^12-1,"")</f>
        <v>7.6025943652420436E-2</v>
      </c>
    </row>
    <row r="668" spans="1:4" x14ac:dyDescent="0.2">
      <c r="A668" s="36">
        <v>42430</v>
      </c>
      <c r="B668" s="37">
        <f>VLOOKUP(A668,Data!$E:$BG,MATCH(Country!$A$1,Data!$E$1:$BG$1,),)</f>
        <v>104.6909</v>
      </c>
      <c r="C668" s="65">
        <f>IF(B656&gt;0,(Table2[[#This Row],[Country]]-B656)/B656,0)</f>
        <v>6.1376409563477806E-2</v>
      </c>
      <c r="D668" s="65">
        <f>IF(Table2[[#This Row],[Country]]&gt;0,(((Table2[[#This Row],[Country]]-B667)/B667)+1)^12-1,"")</f>
        <v>6.2613833207064484E-2</v>
      </c>
    </row>
    <row r="669" spans="1:4" x14ac:dyDescent="0.2">
      <c r="A669" s="36">
        <v>42461</v>
      </c>
      <c r="B669" s="37">
        <f>VLOOKUP(A669,Data!$E:$BG,MATCH(Country!$A$1,Data!$E$1:$BG$1,),)</f>
        <v>105.43300000000001</v>
      </c>
      <c r="C669" s="65">
        <f>IF(B657&gt;0,(Table2[[#This Row],[Country]]-B657)/B657,0)</f>
        <v>6.4666205388392697E-2</v>
      </c>
      <c r="D669" s="65">
        <f>IF(Table2[[#This Row],[Country]]&gt;0,(((Table2[[#This Row],[Country]]-B668)/B668)+1)^12-1,"")</f>
        <v>8.8457734426966361E-2</v>
      </c>
    </row>
    <row r="670" spans="1:4" x14ac:dyDescent="0.2">
      <c r="A670" s="36">
        <v>42491</v>
      </c>
      <c r="B670" s="37">
        <f>VLOOKUP(A670,Data!$E:$BG,MATCH(Country!$A$1,Data!$E$1:$BG$1,),)</f>
        <v>106.0047</v>
      </c>
      <c r="C670" s="65">
        <f>IF(B658&gt;0,(Table2[[#This Row],[Country]]-B658)/B658,0)</f>
        <v>6.7509962145358204E-2</v>
      </c>
      <c r="D670" s="65">
        <f>IF(Table2[[#This Row],[Country]]&gt;0,(((Table2[[#This Row],[Country]]-B669)/B669)+1)^12-1,"")</f>
        <v>6.7044878649123341E-2</v>
      </c>
    </row>
    <row r="671" spans="1:4" x14ac:dyDescent="0.2">
      <c r="A671" s="36">
        <v>42522</v>
      </c>
      <c r="B671" s="37">
        <f>VLOOKUP(A671,Data!$E:$BG,MATCH(Country!$A$1,Data!$E$1:$BG$1,),)</f>
        <v>106.5665</v>
      </c>
      <c r="C671" s="65">
        <f>IF(B659&gt;0,(Table2[[#This Row],[Country]]-B659)/B659,0)</f>
        <v>6.9114390670057993E-2</v>
      </c>
      <c r="D671" s="65">
        <f>IF(Table2[[#This Row],[Country]]&gt;0,(((Table2[[#This Row],[Country]]-B670)/B670)+1)^12-1,"")</f>
        <v>6.5484098155080384E-2</v>
      </c>
    </row>
    <row r="672" spans="1:4" x14ac:dyDescent="0.2">
      <c r="A672" s="36">
        <v>42552</v>
      </c>
      <c r="B672" s="37">
        <f>VLOOKUP(A672,Data!$E:$BG,MATCH(Country!$A$1,Data!$E$1:$BG$1,),)</f>
        <v>107.0543</v>
      </c>
      <c r="C672" s="65">
        <f>IF(B660&gt;0,(Table2[[#This Row],[Country]]-B660)/B660,0)</f>
        <v>6.9372037618807419E-2</v>
      </c>
      <c r="D672" s="65">
        <f>IF(Table2[[#This Row],[Country]]&gt;0,(((Table2[[#This Row],[Country]]-B671)/B671)+1)^12-1,"")</f>
        <v>5.6333286107614899E-2</v>
      </c>
    </row>
    <row r="673" spans="1:4" x14ac:dyDescent="0.2">
      <c r="A673" s="36">
        <v>42583</v>
      </c>
      <c r="B673" s="37">
        <f>VLOOKUP(A673,Data!$E:$BG,MATCH(Country!$A$1,Data!$E$1:$BG$1,),)</f>
        <v>107.78060000000001</v>
      </c>
      <c r="C673" s="65">
        <f>IF(B661&gt;0,(Table2[[#This Row],[Country]]-B661)/B661,0)</f>
        <v>7.2088551753498695E-2</v>
      </c>
      <c r="D673" s="65">
        <f>IF(Table2[[#This Row],[Country]]&gt;0,(((Table2[[#This Row],[Country]]-B672)/B672)+1)^12-1,"")</f>
        <v>8.4520511172644586E-2</v>
      </c>
    </row>
    <row r="674" spans="1:4" x14ac:dyDescent="0.2">
      <c r="A674" s="36">
        <v>42614</v>
      </c>
      <c r="B674" s="37">
        <f>VLOOKUP(A674,Data!$E:$BG,MATCH(Country!$A$1,Data!$E$1:$BG$1,),)</f>
        <v>108.28749999999999</v>
      </c>
      <c r="C674" s="65">
        <f>IF(B662&gt;0,(Table2[[#This Row],[Country]]-B662)/B662,0)</f>
        <v>7.2211853120714417E-2</v>
      </c>
      <c r="D674" s="65">
        <f>IF(Table2[[#This Row],[Country]]&gt;0,(((Table2[[#This Row],[Country]]-B673)/B673)+1)^12-1,"")</f>
        <v>5.7919849521504974E-2</v>
      </c>
    </row>
    <row r="675" spans="1:4" x14ac:dyDescent="0.2">
      <c r="A675" s="36">
        <v>42644</v>
      </c>
      <c r="B675" s="37">
        <f>VLOOKUP(A675,Data!$E:$BG,MATCH(Country!$A$1,Data!$E$1:$BG$1,),)</f>
        <v>108.85760000000001</v>
      </c>
      <c r="C675" s="65">
        <f>IF(B663&gt;0,(Table2[[#This Row],[Country]]-B663)/B663,0)</f>
        <v>7.5034860892201807E-2</v>
      </c>
      <c r="D675" s="65">
        <f>IF(Table2[[#This Row],[Country]]&gt;0,(((Table2[[#This Row],[Country]]-B674)/B674)+1)^12-1,"")</f>
        <v>6.5038071676897458E-2</v>
      </c>
    </row>
    <row r="676" spans="1:4" x14ac:dyDescent="0.2">
      <c r="A676" s="36">
        <v>42675</v>
      </c>
      <c r="B676" s="37">
        <f>VLOOKUP(A676,Data!$E:$BG,MATCH(Country!$A$1,Data!$E$1:$BG$1,),)</f>
        <v>109.4418</v>
      </c>
      <c r="C676" s="65">
        <f>IF(B664&gt;0,(Table2[[#This Row],[Country]]-B664)/B664,0)</f>
        <v>7.2949356329208848E-2</v>
      </c>
      <c r="D676" s="65">
        <f>IF(Table2[[#This Row],[Country]]&gt;0,(((Table2[[#This Row],[Country]]-B675)/B675)+1)^12-1,"")</f>
        <v>6.6335005151894721E-2</v>
      </c>
    </row>
    <row r="677" spans="1:4" x14ac:dyDescent="0.2">
      <c r="A677" s="36">
        <v>42705</v>
      </c>
      <c r="B677" s="37">
        <f>VLOOKUP(A677,Data!$E:$BG,MATCH(Country!$A$1,Data!$E$1:$BG$1,),)</f>
        <v>109.6853</v>
      </c>
      <c r="C677" s="65">
        <f>IF(B665&gt;0,(Table2[[#This Row],[Country]]-B665)/B665,0)</f>
        <v>7.0461833945897792E-2</v>
      </c>
      <c r="D677" s="65">
        <f>IF(Table2[[#This Row],[Country]]&gt;0,(((Table2[[#This Row],[Country]]-B676)/B676)+1)^12-1,"")</f>
        <v>2.7028277306652582E-2</v>
      </c>
    </row>
    <row r="678" spans="1:4" x14ac:dyDescent="0.2">
      <c r="A678" s="36">
        <v>42736</v>
      </c>
      <c r="B678" s="37">
        <f>VLOOKUP(A678,Data!$E:$BG,MATCH(Country!$A$1,Data!$E$1:$BG$1,),)</f>
        <v>110.321</v>
      </c>
      <c r="C678" s="65">
        <f>IF(B666&gt;0,(Table2[[#This Row],[Country]]-B666)/B666,0)</f>
        <v>6.5612011401713313E-2</v>
      </c>
      <c r="D678" s="65">
        <f>IF(Table2[[#This Row],[Country]]&gt;0,(((Table2[[#This Row],[Country]]-B677)/B677)+1)^12-1,"")</f>
        <v>7.1808381482405759E-2</v>
      </c>
    </row>
    <row r="679" spans="1:4" x14ac:dyDescent="0.2">
      <c r="A679" s="36">
        <v>42767</v>
      </c>
      <c r="B679" s="37">
        <f>VLOOKUP(A679,Data!$E:$BG,MATCH(Country!$A$1,Data!$E$1:$BG$1,),)</f>
        <v>110.867</v>
      </c>
      <c r="C679" s="65">
        <f>IF(B667&gt;0,(Table2[[#This Row],[Country]]-B667)/B667,0)</f>
        <v>6.4366796463983147E-2</v>
      </c>
      <c r="D679" s="65">
        <f>IF(Table2[[#This Row],[Country]]&gt;0,(((Table2[[#This Row],[Country]]-B678)/B678)+1)^12-1,"")</f>
        <v>6.1033932357418497E-2</v>
      </c>
    </row>
    <row r="680" spans="1:4" x14ac:dyDescent="0.2">
      <c r="A680" s="36">
        <v>42795</v>
      </c>
      <c r="B680" s="37">
        <f>VLOOKUP(A680,Data!$E:$BG,MATCH(Country!$A$1,Data!$E$1:$BG$1,),)</f>
        <v>111.4512</v>
      </c>
      <c r="C680" s="65">
        <f>IF(B668&gt;0,(Table2[[#This Row],[Country]]-B668)/B668,0)</f>
        <v>6.4573902793843604E-2</v>
      </c>
      <c r="D680" s="65">
        <f>IF(Table2[[#This Row],[Country]]&gt;0,(((Table2[[#This Row],[Country]]-B679)/B679)+1)^12-1,"")</f>
        <v>6.5097673113619692E-2</v>
      </c>
    </row>
    <row r="681" spans="1:4" x14ac:dyDescent="0.2">
      <c r="A681" s="36">
        <v>42826</v>
      </c>
      <c r="B681" s="37">
        <f>VLOOKUP(A681,Data!$E:$BG,MATCH(Country!$A$1,Data!$E$1:$BG$1,),)</f>
        <v>111.99469999999999</v>
      </c>
      <c r="C681" s="65">
        <f>IF(B669&gt;0,(Table2[[#This Row],[Country]]-B669)/B669,0)</f>
        <v>6.2235732645376567E-2</v>
      </c>
      <c r="D681" s="65">
        <f>IF(Table2[[#This Row],[Country]]&gt;0,(((Table2[[#This Row],[Country]]-B680)/B680)+1)^12-1,"")</f>
        <v>6.011422500079755E-2</v>
      </c>
    </row>
    <row r="682" spans="1:4" x14ac:dyDescent="0.2">
      <c r="A682" s="36">
        <v>42856</v>
      </c>
      <c r="B682" s="37">
        <f>VLOOKUP(A682,Data!$E:$BG,MATCH(Country!$A$1,Data!$E$1:$BG$1,),)</f>
        <v>112.441</v>
      </c>
      <c r="C682" s="65">
        <f>IF(B670&gt;0,(Table2[[#This Row],[Country]]-B670)/B670,0)</f>
        <v>6.0717119146603903E-2</v>
      </c>
      <c r="D682" s="65">
        <f>IF(Table2[[#This Row],[Country]]&gt;0,(((Table2[[#This Row],[Country]]-B681)/B681)+1)^12-1,"")</f>
        <v>4.8882268100934878E-2</v>
      </c>
    </row>
    <row r="683" spans="1:4" x14ac:dyDescent="0.2">
      <c r="A683" s="36">
        <v>42887</v>
      </c>
      <c r="B683" s="37">
        <f>VLOOKUP(A683,Data!$E:$BG,MATCH(Country!$A$1,Data!$E$1:$BG$1,),)</f>
        <v>112.6703</v>
      </c>
      <c r="C683" s="65">
        <f>IF(B671&gt;0,(Table2[[#This Row],[Country]]-B671)/B671,0)</f>
        <v>5.7276911599799113E-2</v>
      </c>
      <c r="D683" s="65">
        <f>IF(Table2[[#This Row],[Country]]&gt;0,(((Table2[[#This Row],[Country]]-B682)/B682)+1)^12-1,"")</f>
        <v>2.4747849886296303E-2</v>
      </c>
    </row>
    <row r="684" spans="1:4" x14ac:dyDescent="0.2">
      <c r="A684" s="36">
        <v>42917</v>
      </c>
      <c r="B684" s="37">
        <f>VLOOKUP(A684,Data!$E:$BG,MATCH(Country!$A$1,Data!$E$1:$BG$1,),)</f>
        <v>113.1698</v>
      </c>
      <c r="C684" s="65">
        <f>IF(B672&gt;0,(Table2[[#This Row],[Country]]-B672)/B672,0)</f>
        <v>5.7125215895111145E-2</v>
      </c>
      <c r="D684" s="65">
        <f>IF(Table2[[#This Row],[Country]]&gt;0,(((Table2[[#This Row],[Country]]-B683)/B683)+1)^12-1,"")</f>
        <v>5.4515996841354664E-2</v>
      </c>
    </row>
    <row r="685" spans="1:4" x14ac:dyDescent="0.2">
      <c r="A685" s="36">
        <v>42948</v>
      </c>
      <c r="B685" s="37">
        <f>VLOOKUP(A685,Data!$E:$BG,MATCH(Country!$A$1,Data!$E$1:$BG$1,),)</f>
        <v>113.631</v>
      </c>
      <c r="C685" s="65">
        <f>IF(B673&gt;0,(Table2[[#This Row],[Country]]-B673)/B673,0)</f>
        <v>5.4280640486321224E-2</v>
      </c>
      <c r="D685" s="65">
        <f>IF(Table2[[#This Row],[Country]]&gt;0,(((Table2[[#This Row],[Country]]-B684)/B684)+1)^12-1,"")</f>
        <v>5.0014662047245917E-2</v>
      </c>
    </row>
    <row r="686" spans="1:4" x14ac:dyDescent="0.2">
      <c r="A686" s="36">
        <v>42979</v>
      </c>
      <c r="B686" s="37">
        <f>VLOOKUP(A686,Data!$E:$BG,MATCH(Country!$A$1,Data!$E$1:$BG$1,),)</f>
        <v>113.9858</v>
      </c>
      <c r="C686" s="65">
        <f>IF(B674&gt;0,(Table2[[#This Row],[Country]]-B674)/B674,0)</f>
        <v>5.2621955442687322E-2</v>
      </c>
      <c r="D686" s="65">
        <f>IF(Table2[[#This Row],[Country]]&gt;0,(((Table2[[#This Row],[Country]]-B685)/B685)+1)^12-1,"")</f>
        <v>3.8118846840800025E-2</v>
      </c>
    </row>
    <row r="687" spans="1:4" x14ac:dyDescent="0.2">
      <c r="A687" s="36">
        <v>43009</v>
      </c>
      <c r="B687" s="37">
        <f>VLOOKUP(A687,Data!$E:$BG,MATCH(Country!$A$1,Data!$E$1:$BG$1,),)</f>
        <v>114.4221</v>
      </c>
      <c r="C687" s="65">
        <f>IF(B675&gt;0,(Table2[[#This Row],[Country]]-B675)/B675,0)</f>
        <v>5.1117239402669129E-2</v>
      </c>
      <c r="D687" s="65">
        <f>IF(Table2[[#This Row],[Country]]&gt;0,(((Table2[[#This Row],[Country]]-B686)/B686)+1)^12-1,"")</f>
        <v>4.6911451207755084E-2</v>
      </c>
    </row>
    <row r="688" spans="1:4" x14ac:dyDescent="0.2">
      <c r="A688" s="36">
        <v>43040</v>
      </c>
      <c r="B688" s="37">
        <f>VLOOKUP(A688,Data!$E:$BG,MATCH(Country!$A$1,Data!$E$1:$BG$1,),)</f>
        <v>114.62990000000001</v>
      </c>
      <c r="C688" s="65">
        <f>IF(B676&gt;0,(Table2[[#This Row],[Country]]-B676)/B676,0)</f>
        <v>4.7405104813700118E-2</v>
      </c>
      <c r="D688" s="65">
        <f>IF(Table2[[#This Row],[Country]]&gt;0,(((Table2[[#This Row],[Country]]-B687)/B687)+1)^12-1,"")</f>
        <v>2.201199425532252E-2</v>
      </c>
    </row>
    <row r="689" spans="1:4" x14ac:dyDescent="0.2">
      <c r="A689" s="36">
        <v>43070</v>
      </c>
      <c r="B689" s="37">
        <f>VLOOKUP(A689,Data!$E:$BG,MATCH(Country!$A$1,Data!$E$1:$BG$1,),)</f>
        <v>114.9764</v>
      </c>
      <c r="C689" s="65">
        <f>IF(B677&gt;0,(Table2[[#This Row],[Country]]-B677)/B677,0)</f>
        <v>4.8238916244929812E-2</v>
      </c>
      <c r="D689" s="65">
        <f>IF(Table2[[#This Row],[Country]]&gt;0,(((Table2[[#This Row],[Country]]-B688)/B688)+1)^12-1,"")</f>
        <v>3.6882428122827937E-2</v>
      </c>
    </row>
    <row r="690" spans="1:4" x14ac:dyDescent="0.2">
      <c r="A690" s="36">
        <v>43101</v>
      </c>
      <c r="B690" s="37">
        <f>VLOOKUP(A690,Data!$E:$BG,MATCH(Country!$A$1,Data!$E$1:$BG$1,),)</f>
        <v>115.1651</v>
      </c>
      <c r="C690" s="65">
        <f>IF(B678&gt;0,(Table2[[#This Row],[Country]]-B678)/B678,0)</f>
        <v>4.3909137879460824E-2</v>
      </c>
      <c r="D690" s="65">
        <f>IF(Table2[[#This Row],[Country]]&gt;0,(((Table2[[#This Row],[Country]]-B689)/B689)+1)^12-1,"")</f>
        <v>1.9873227434088259E-2</v>
      </c>
    </row>
    <row r="691" spans="1:4" x14ac:dyDescent="0.2">
      <c r="A691" s="36">
        <v>43132</v>
      </c>
      <c r="B691" s="37">
        <f>VLOOKUP(A691,Data!$E:$BG,MATCH(Country!$A$1,Data!$E$1:$BG$1,),)</f>
        <v>115.45180000000001</v>
      </c>
      <c r="C691" s="65">
        <f>IF(B679&gt;0,(Table2[[#This Row],[Country]]-B679)/B679,0)</f>
        <v>4.135405485852419E-2</v>
      </c>
      <c r="D691" s="65">
        <f>IF(Table2[[#This Row],[Country]]&gt;0,(((Table2[[#This Row],[Country]]-B690)/B690)+1)^12-1,"")</f>
        <v>3.0286079167201052E-2</v>
      </c>
    </row>
    <row r="692" spans="1:4" x14ac:dyDescent="0.2">
      <c r="A692" s="36">
        <v>43160</v>
      </c>
      <c r="B692" s="37">
        <f>VLOOKUP(A692,Data!$E:$BG,MATCH(Country!$A$1,Data!$E$1:$BG$1,),)</f>
        <v>115.9487</v>
      </c>
      <c r="C692" s="65">
        <f>IF(B680&gt;0,(Table2[[#This Row],[Country]]-B680)/B680,0)</f>
        <v>4.0353984524168447E-2</v>
      </c>
      <c r="D692" s="65">
        <f>IF(Table2[[#This Row],[Country]]&gt;0,(((Table2[[#This Row],[Country]]-B691)/B691)+1)^12-1,"")</f>
        <v>5.2887827394203946E-2</v>
      </c>
    </row>
    <row r="693" spans="1:4" x14ac:dyDescent="0.2">
      <c r="A693" s="36">
        <v>43191</v>
      </c>
      <c r="B693" s="37">
        <f>VLOOKUP(A693,Data!$E:$BG,MATCH(Country!$A$1,Data!$E$1:$BG$1,),)</f>
        <v>116.252</v>
      </c>
      <c r="C693" s="65">
        <f>IF(B681&gt;0,(Table2[[#This Row],[Country]]-B681)/B681,0)</f>
        <v>3.8013405991533536E-2</v>
      </c>
      <c r="D693" s="65">
        <f>IF(Table2[[#This Row],[Country]]&gt;0,(((Table2[[#This Row],[Country]]-B692)/B692)+1)^12-1,"")</f>
        <v>3.1845308059369248E-2</v>
      </c>
    </row>
    <row r="694" spans="1:4" x14ac:dyDescent="0.2">
      <c r="A694" s="36">
        <v>43221</v>
      </c>
      <c r="B694" s="37">
        <f>VLOOKUP(A694,Data!$E:$BG,MATCH(Country!$A$1,Data!$E$1:$BG$1,),)</f>
        <v>116.7988</v>
      </c>
      <c r="C694" s="65">
        <f>IF(B682&gt;0,(Table2[[#This Row],[Country]]-B682)/B682,0)</f>
        <v>3.8756325539616311E-2</v>
      </c>
      <c r="D694" s="65">
        <f>IF(Table2[[#This Row],[Country]]&gt;0,(((Table2[[#This Row],[Country]]-B693)/B693)+1)^12-1,"")</f>
        <v>5.792619601004545E-2</v>
      </c>
    </row>
    <row r="695" spans="1:4" x14ac:dyDescent="0.2">
      <c r="A695" s="36">
        <v>43252</v>
      </c>
      <c r="B695" s="37">
        <f>VLOOKUP(A695,Data!$E:$BG,MATCH(Country!$A$1,Data!$E$1:$BG$1,),)</f>
        <v>117.3398</v>
      </c>
      <c r="C695" s="65">
        <f>IF(B683&gt;0,(Table2[[#This Row],[Country]]-B683)/B683,0)</f>
        <v>4.1443929766761957E-2</v>
      </c>
      <c r="D695" s="65">
        <f>IF(Table2[[#This Row],[Country]]&gt;0,(((Table2[[#This Row],[Country]]-B694)/B694)+1)^12-1,"")</f>
        <v>5.7020849804129803E-2</v>
      </c>
    </row>
    <row r="696" spans="1:4" x14ac:dyDescent="0.2">
      <c r="A696" s="36">
        <v>43282</v>
      </c>
      <c r="B696" s="37">
        <f>VLOOKUP(A696,Data!$E:$BG,MATCH(Country!$A$1,Data!$E$1:$BG$1,),)</f>
        <v>117.61409999999999</v>
      </c>
      <c r="C696" s="65">
        <f>IF(B684&gt;0,(Table2[[#This Row],[Country]]-B684)/B684,0)</f>
        <v>3.9271077619647633E-2</v>
      </c>
      <c r="D696" s="65">
        <f>IF(Table2[[#This Row],[Country]]&gt;0,(((Table2[[#This Row],[Country]]-B695)/B695)+1)^12-1,"")</f>
        <v>2.8415353979442282E-2</v>
      </c>
    </row>
    <row r="697" spans="1:4" x14ac:dyDescent="0.2">
      <c r="A697" s="36">
        <v>43313</v>
      </c>
      <c r="B697" s="37">
        <f>VLOOKUP(A697,Data!$E:$BG,MATCH(Country!$A$1,Data!$E$1:$BG$1,),)</f>
        <v>117.97969999999999</v>
      </c>
      <c r="C697" s="65">
        <f>IF(B685&gt;0,(Table2[[#This Row],[Country]]-B685)/B685,0)</f>
        <v>3.8270366361292198E-2</v>
      </c>
      <c r="D697" s="65">
        <f>IF(Table2[[#This Row],[Country]]&gt;0,(((Table2[[#This Row],[Country]]-B696)/B696)+1)^12-1,"")</f>
        <v>3.7946035400832523E-2</v>
      </c>
    </row>
    <row r="698" spans="1:4" x14ac:dyDescent="0.2">
      <c r="A698" s="36">
        <v>43344</v>
      </c>
      <c r="B698" s="37">
        <f>VLOOKUP(A698,Data!$E:$BG,MATCH(Country!$A$1,Data!$E$1:$BG$1,),)</f>
        <v>118.2415</v>
      </c>
      <c r="C698" s="65">
        <f>IF(B686&gt;0,(Table2[[#This Row],[Country]]-B686)/B686,0)</f>
        <v>3.7335352298268773E-2</v>
      </c>
      <c r="D698" s="65">
        <f>IF(Table2[[#This Row],[Country]]&gt;0,(((Table2[[#This Row],[Country]]-B697)/B697)+1)^12-1,"")</f>
        <v>2.6955714681024423E-2</v>
      </c>
    </row>
    <row r="699" spans="1:4" x14ac:dyDescent="0.2">
      <c r="A699" s="36">
        <v>43374</v>
      </c>
      <c r="B699" s="37">
        <f>VLOOKUP(A699,Data!$E:$BG,MATCH(Country!$A$1,Data!$E$1:$BG$1,),)</f>
        <v>118.2988</v>
      </c>
      <c r="C699" s="65">
        <f>IF(B687&gt;0,(Table2[[#This Row],[Country]]-B687)/B687,0)</f>
        <v>3.3880692628434537E-2</v>
      </c>
      <c r="D699" s="65">
        <f>IF(Table2[[#This Row],[Country]]&gt;0,(((Table2[[#This Row],[Country]]-B698)/B698)+1)^12-1,"")</f>
        <v>5.8307415695286746E-3</v>
      </c>
    </row>
    <row r="700" spans="1:4" x14ac:dyDescent="0.2">
      <c r="A700" s="36">
        <v>43405</v>
      </c>
      <c r="B700" s="37">
        <f>VLOOKUP(A700,Data!$E:$BG,MATCH(Country!$A$1,Data!$E$1:$BG$1,),)</f>
        <v>118.3819</v>
      </c>
      <c r="C700" s="65">
        <f>IF(B688&gt;0,(Table2[[#This Row],[Country]]-B688)/B688,0)</f>
        <v>3.2731425221517209E-2</v>
      </c>
      <c r="D700" s="65">
        <f>IF(Table2[[#This Row],[Country]]&gt;0,(((Table2[[#This Row],[Country]]-B699)/B699)+1)^12-1,"")</f>
        <v>8.4621461882159466E-3</v>
      </c>
    </row>
    <row r="701" spans="1:4" x14ac:dyDescent="0.2">
      <c r="A701" s="36">
        <v>43435</v>
      </c>
      <c r="B701" s="37">
        <f>VLOOKUP(A701,Data!$E:$BG,MATCH(Country!$A$1,Data!$E$1:$BG$1,),)</f>
        <v>119.2653</v>
      </c>
      <c r="C701" s="65">
        <f>IF(B689&gt;0,(Table2[[#This Row],[Country]]-B689)/B689,0)</f>
        <v>3.7302437717653347E-2</v>
      </c>
      <c r="D701" s="65">
        <f>IF(Table2[[#This Row],[Country]]&gt;0,(((Table2[[#This Row],[Country]]-B700)/B700)+1)^12-1,"")</f>
        <v>9.3315706392942177E-2</v>
      </c>
    </row>
    <row r="702" spans="1:4" x14ac:dyDescent="0.2">
      <c r="A702" s="36">
        <v>43466</v>
      </c>
      <c r="B702" s="37">
        <f>VLOOKUP(A702,Data!$E:$BG,MATCH(Country!$A$1,Data!$E$1:$BG$1,),)</f>
        <v>119.9542</v>
      </c>
      <c r="C702" s="65">
        <f>IF(B690&gt;0,(Table2[[#This Row],[Country]]-B690)/B690,0)</f>
        <v>4.1584646737596764E-2</v>
      </c>
      <c r="D702" s="65">
        <f>IF(Table2[[#This Row],[Country]]&gt;0,(((Table2[[#This Row],[Country]]-B701)/B701)+1)^12-1,"")</f>
        <v>7.1559386437387795E-2</v>
      </c>
    </row>
    <row r="703" spans="1:4" x14ac:dyDescent="0.2">
      <c r="A703" s="36">
        <v>43497</v>
      </c>
      <c r="B703" s="37">
        <f>VLOOKUP(A703,Data!$E:$BG,MATCH(Country!$A$1,Data!$E$1:$BG$1,),)</f>
        <v>120.20189999999999</v>
      </c>
      <c r="C703" s="65">
        <f>IF(B691&gt;0,(Table2[[#This Row],[Country]]-B691)/B691,0)</f>
        <v>4.1143576800015146E-2</v>
      </c>
      <c r="D703" s="65">
        <f>IF(Table2[[#This Row],[Country]]&gt;0,(((Table2[[#This Row],[Country]]-B702)/B702)+1)^12-1,"")</f>
        <v>2.5062830160121896E-2</v>
      </c>
    </row>
    <row r="704" spans="1:4" x14ac:dyDescent="0.2">
      <c r="A704" s="36">
        <v>43525</v>
      </c>
      <c r="B704" s="37">
        <f>VLOOKUP(A704,Data!$E:$BG,MATCH(Country!$A$1,Data!$E$1:$BG$1,),)</f>
        <v>120.5958</v>
      </c>
      <c r="C704" s="65">
        <f>IF(B692&gt;0,(Table2[[#This Row],[Country]]-B692)/B692,0)</f>
        <v>4.0078931458481161E-2</v>
      </c>
      <c r="D704" s="65">
        <f>IF(Table2[[#This Row],[Country]]&gt;0,(((Table2[[#This Row],[Country]]-B703)/B703)+1)^12-1,"")</f>
        <v>4.0040387171141223E-2</v>
      </c>
    </row>
    <row r="705" spans="1:4" x14ac:dyDescent="0.2">
      <c r="A705" s="36">
        <v>43556</v>
      </c>
      <c r="B705" s="37">
        <f>VLOOKUP(A705,Data!$E:$BG,MATCH(Country!$A$1,Data!$E$1:$BG$1,),)</f>
        <v>120.98220000000001</v>
      </c>
      <c r="C705" s="65">
        <f>IF(B693&gt;0,(Table2[[#This Row],[Country]]-B693)/B693,0)</f>
        <v>4.0689192444001057E-2</v>
      </c>
      <c r="D705" s="65">
        <f>IF(Table2[[#This Row],[Country]]&gt;0,(((Table2[[#This Row],[Country]]-B704)/B704)+1)^12-1,"")</f>
        <v>3.9133958737603836E-2</v>
      </c>
    </row>
    <row r="706" spans="1:4" x14ac:dyDescent="0.2">
      <c r="A706" s="36">
        <v>43586</v>
      </c>
      <c r="B706" s="37">
        <f>VLOOKUP(A706,Data!$E:$BG,MATCH(Country!$A$1,Data!$E$1:$BG$1,),)</f>
        <v>121.77079999999999</v>
      </c>
      <c r="C706" s="65">
        <f>IF(B694&gt;0,(Table2[[#This Row],[Country]]-B694)/B694,0)</f>
        <v>4.2568930502710593E-2</v>
      </c>
      <c r="D706" s="65">
        <f>IF(Table2[[#This Row],[Country]]&gt;0,(((Table2[[#This Row],[Country]]-B705)/B705)+1)^12-1,"")</f>
        <v>8.1085839580145924E-2</v>
      </c>
    </row>
    <row r="707" spans="1:4" x14ac:dyDescent="0.2">
      <c r="A707" s="36">
        <v>43617</v>
      </c>
      <c r="B707" s="37">
        <f>VLOOKUP(A707,Data!$E:$BG,MATCH(Country!$A$1,Data!$E$1:$BG$1,),)</f>
        <v>122.8304</v>
      </c>
      <c r="C707" s="65">
        <f>IF(B695&gt;0,(Table2[[#This Row],[Country]]-B695)/B695,0)</f>
        <v>4.6792307469417885E-2</v>
      </c>
      <c r="D707" s="65">
        <f>IF(Table2[[#This Row],[Country]]&gt;0,(((Table2[[#This Row],[Country]]-B706)/B706)+1)^12-1,"")</f>
        <v>0.10956432006628014</v>
      </c>
    </row>
    <row r="708" spans="1:4" x14ac:dyDescent="0.2">
      <c r="A708" s="36">
        <v>43647</v>
      </c>
      <c r="B708" s="37">
        <f>VLOOKUP(A708,Data!$E:$BG,MATCH(Country!$A$1,Data!$E$1:$BG$1,),)</f>
        <v>123.49679999999999</v>
      </c>
      <c r="C708" s="65">
        <f>IF(B696&gt;0,(Table2[[#This Row],[Country]]-B696)/B696,0)</f>
        <v>5.001696225197489E-2</v>
      </c>
      <c r="D708" s="65">
        <f>IF(Table2[[#This Row],[Country]]&gt;0,(((Table2[[#This Row],[Country]]-B707)/B707)+1)^12-1,"")</f>
        <v>6.708265338914754E-2</v>
      </c>
    </row>
    <row r="709" spans="1:4" x14ac:dyDescent="0.2">
      <c r="A709" s="36">
        <v>43678</v>
      </c>
      <c r="B709" s="37">
        <f>VLOOKUP(A709,Data!$E:$BG,MATCH(Country!$A$1,Data!$E$1:$BG$1,),)</f>
        <v>124.1027</v>
      </c>
      <c r="C709" s="65">
        <f>IF(B697&gt;0,(Table2[[#This Row],[Country]]-B697)/B697,0)</f>
        <v>5.1898758854277513E-2</v>
      </c>
      <c r="D709" s="65">
        <f>IF(Table2[[#This Row],[Country]]&gt;0,(((Table2[[#This Row],[Country]]-B708)/B708)+1)^12-1,"")</f>
        <v>6.0489342902909859E-2</v>
      </c>
    </row>
    <row r="710" spans="1:4" x14ac:dyDescent="0.2">
      <c r="A710" s="36">
        <v>43709</v>
      </c>
      <c r="B710" s="37">
        <f>VLOOKUP(A710,Data!$E:$BG,MATCH(Country!$A$1,Data!$E$1:$BG$1,),)</f>
        <v>124.8614</v>
      </c>
      <c r="C710" s="65">
        <f>IF(B698&gt;0,(Table2[[#This Row],[Country]]-B698)/B698,0)</f>
        <v>5.5986265397512724E-2</v>
      </c>
      <c r="D710" s="65">
        <f>IF(Table2[[#This Row],[Country]]&gt;0,(((Table2[[#This Row],[Country]]-B709)/B709)+1)^12-1,"")</f>
        <v>7.5879516637185507E-2</v>
      </c>
    </row>
    <row r="711" spans="1:4" x14ac:dyDescent="0.2">
      <c r="A711" s="36">
        <v>43739</v>
      </c>
      <c r="B711" s="37">
        <f>VLOOKUP(A711,Data!$E:$BG,MATCH(Country!$A$1,Data!$E$1:$BG$1,),)</f>
        <v>125.9392</v>
      </c>
      <c r="C711" s="65">
        <f>IF(B699&gt;0,(Table2[[#This Row],[Country]]-B699)/B699,0)</f>
        <v>6.4585608645227166E-2</v>
      </c>
      <c r="D711" s="65">
        <f>IF(Table2[[#This Row],[Country]]&gt;0,(((Table2[[#This Row],[Country]]-B710)/B710)+1)^12-1,"")</f>
        <v>0.10864565991857367</v>
      </c>
    </row>
    <row r="712" spans="1:4" x14ac:dyDescent="0.2">
      <c r="A712" s="36">
        <v>43770</v>
      </c>
      <c r="B712" s="37">
        <f>VLOOKUP(A712,Data!$E:$BG,MATCH(Country!$A$1,Data!$E$1:$BG$1,),)</f>
        <v>126.8068</v>
      </c>
      <c r="C712" s="65">
        <f>IF(B700&gt;0,(Table2[[#This Row],[Country]]-B700)/B700,0)</f>
        <v>7.1167129434482751E-2</v>
      </c>
      <c r="D712" s="65">
        <f>IF(Table2[[#This Row],[Country]]&gt;0,(((Table2[[#This Row],[Country]]-B711)/B711)+1)^12-1,"")</f>
        <v>8.5873801843129538E-2</v>
      </c>
    </row>
    <row r="713" spans="1:4" x14ac:dyDescent="0.2">
      <c r="A713" s="36">
        <v>43800</v>
      </c>
      <c r="B713" s="37">
        <f>VLOOKUP(A713,Data!$E:$BG,MATCH(Country!$A$1,Data!$E$1:$BG$1,),)</f>
        <v>127.2988</v>
      </c>
      <c r="C713" s="65">
        <f>IF(B701&gt;0,(Table2[[#This Row],[Country]]-B701)/B701,0)</f>
        <v>6.7358234121743743E-2</v>
      </c>
      <c r="D713" s="65">
        <f>IF(Table2[[#This Row],[Country]]&gt;0,(((Table2[[#This Row],[Country]]-B712)/B712)+1)^12-1,"")</f>
        <v>4.7565528296855897E-2</v>
      </c>
    </row>
    <row r="714" spans="1:4" x14ac:dyDescent="0.2">
      <c r="A714" s="36">
        <v>43831</v>
      </c>
      <c r="B714" s="37">
        <f>VLOOKUP(A714,Data!$E:$BG,MATCH(Country!$A$1,Data!$E$1:$BG$1,),)</f>
        <v>128.29849999999999</v>
      </c>
      <c r="C714" s="65">
        <f>IF(B702&gt;0,(Table2[[#This Row],[Country]]-B702)/B702,0)</f>
        <v>6.9562382976169151E-2</v>
      </c>
      <c r="D714" s="65">
        <f>IF(Table2[[#This Row],[Country]]&gt;0,(((Table2[[#This Row],[Country]]-B713)/B713)+1)^12-1,"")</f>
        <v>9.8416958742367333E-2</v>
      </c>
    </row>
    <row r="715" spans="1:4" x14ac:dyDescent="0.2">
      <c r="A715" s="36">
        <v>43862</v>
      </c>
      <c r="B715" s="37">
        <f>VLOOKUP(A715,Data!$E:$BG,MATCH(Country!$A$1,Data!$E$1:$BG$1,),)</f>
        <v>129.1062</v>
      </c>
      <c r="C715" s="65">
        <f>IF(B703&gt;0,(Table2[[#This Row],[Country]]-B703)/B703,0)</f>
        <v>7.4077863993830442E-2</v>
      </c>
      <c r="D715" s="65">
        <f>IF(Table2[[#This Row],[Country]]&gt;0,(((Table2[[#This Row],[Country]]-B714)/B714)+1)^12-1,"")</f>
        <v>7.8217155747160483E-2</v>
      </c>
    </row>
  </sheetData>
  <conditionalFormatting sqref="D7:D7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Velocity</vt:lpstr>
      <vt:lpstr>DB Money Supply</vt:lpstr>
      <vt:lpstr>Data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2022-01-08T16:13:58Z</dcterms:modified>
</cp:coreProperties>
</file>