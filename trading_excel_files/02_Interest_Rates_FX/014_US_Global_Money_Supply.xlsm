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5760" yWindow="4000" windowWidth="42720" windowHeight="228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169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Monthly'!$A$6:$A$772</f>
              <numCache>
                <formatCode>yyyy\-mm\-dd</formatCode>
                <ptCount val="76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M1 Real Monthly'!$B$6:$B$772</f>
              <numCache>
                <formatCode>0.0</formatCode>
                <ptCount val="767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6905.7</v>
                </pt>
                <pt idx="745">
                  <v>6974.5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7247.2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</v>
                </pt>
                <pt idx="761">
                  <v>6960.7</v>
                </pt>
                <pt idx="762">
                  <v>6953.8</v>
                </pt>
                <pt idx="763">
                  <v>6925.4</v>
                </pt>
                <pt idx="764">
                  <v>6835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3.473183054799844</v>
                </pt>
                <pt idx="733">
                  <v>3.512779035910709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0.09875981685314891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0.05732945248128365</v>
                </pt>
                <pt idx="745">
                  <v>0.04242598035701479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-0.01302577262077424</v>
                </pt>
                <pt idx="749">
                  <v>-0.02377212420408965</v>
                </pt>
                <pt idx="750">
                  <v>-0.02897518606956838</v>
                </pt>
                <pt idx="751">
                  <v>-0.04136098114670139</v>
                </pt>
                <pt idx="752">
                  <v>-0.05687713875703718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805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7448.3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7629.5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7327.6</v>
                </pt>
                <pt idx="763">
                  <v>7317.6</v>
                </pt>
                <pt idx="764">
                  <v>7246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0.2479559010790163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0.07883201357466063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0.02560315776754425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-0.03253234750462102</v>
                </pt>
                <pt idx="763">
                  <formatCode>0.0%</formatCode>
                  <v>-0.04088079166393599</v>
                </pt>
                <pt idx="764">
                  <formatCode>0.0%</formatCode>
                  <v>-0.05229014622407076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  <pt idx="2405">
                  <formatCode>m/d/yy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0.1669134762188873</v>
                </pt>
                <pt idx="744">
                  <v>0.1610714584022874</v>
                </pt>
                <pt idx="745">
                  <v>0.1562833756623279</v>
                </pt>
                <pt idx="746">
                  <v>0.1668173375109097</v>
                </pt>
                <pt idx="747">
                  <v>0.2001533024909028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0.1359813799096654</v>
                </pt>
                <pt idx="751">
                  <v>0.07774247092874709</v>
                </pt>
                <pt idx="752">
                  <v>0.106837031922095</v>
                </pt>
                <pt idx="753">
                  <v>0.1230065487292553</v>
                </pt>
                <pt idx="754">
                  <v>0.08195424600696732</v>
                </pt>
                <pt idx="755">
                  <v>0.09291303719573141</v>
                </pt>
                <pt idx="756">
                  <v>0.03314006794974622</v>
                </pt>
                <pt idx="757">
                  <v>0.01732744935375785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-0.0227621775343837</v>
                </pt>
                <pt idx="761">
                  <v>0.01594301711371782</v>
                </pt>
                <pt idx="762">
                  <v>-0.002105544290451733</v>
                </pt>
                <pt idx="763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19124.7</v>
                </pt>
                <pt idx="743">
                  <v>19372.3</v>
                </pt>
                <pt idx="744">
                  <v>19614.9</v>
                </pt>
                <pt idx="745">
                  <v>19853.7</v>
                </pt>
                <pt idx="746">
                  <v>20110.6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20835.5</v>
                </pt>
                <pt idx="751">
                  <v>20965.9</v>
                </pt>
                <pt idx="752">
                  <v>21144</v>
                </pt>
                <pt idx="753">
                  <v>21349.4</v>
                </pt>
                <pt idx="754">
                  <v>21490</v>
                </pt>
                <pt idx="755">
                  <v>21649.7</v>
                </pt>
                <pt idx="756">
                  <v>21708.6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21607.7</v>
                </pt>
                <pt idx="761">
                  <v>21636.2</v>
                </pt>
                <pt idx="762">
                  <v>21632.4</v>
                </pt>
                <pt idx="763">
                  <v>21503.4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0.1669134762188873</v>
                </pt>
                <pt idx="744">
                  <v>0.1610714584022874</v>
                </pt>
                <pt idx="745">
                  <v>0.1562833756623279</v>
                </pt>
                <pt idx="746">
                  <v>0.1668173375109097</v>
                </pt>
                <pt idx="747">
                  <v>0.2001533024909028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0.1359813799096654</v>
                </pt>
                <pt idx="751">
                  <v>0.07774247092874709</v>
                </pt>
                <pt idx="752">
                  <v>0.106837031922095</v>
                </pt>
                <pt idx="753">
                  <v>0.1230065487292553</v>
                </pt>
                <pt idx="754">
                  <v>0.08195424600696732</v>
                </pt>
                <pt idx="755">
                  <v>0.09291303719573141</v>
                </pt>
                <pt idx="756">
                  <v>0.03314006794974622</v>
                </pt>
                <pt idx="757">
                  <v>0.01732744935375785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-0.0227621775343837</v>
                </pt>
                <pt idx="761">
                  <v>0.01594301711371782</v>
                </pt>
                <pt idx="762">
                  <v>-0.002105544290451733</v>
                </pt>
                <pt idx="763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Country!$A$474:$A$751</f>
              <numCache>
                <formatCode>m/d/yy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Country!$B$474:$B$751</f>
              <numCache>
                <formatCode>0.00</formatCode>
                <ptCount val="278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160.8311</v>
                </pt>
                <pt idx="253">
                  <v>162.8452</v>
                </pt>
                <pt idx="254">
                  <v>164.8278</v>
                </pt>
                <pt idx="255">
                  <v>166.9606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172.9788</v>
                </pt>
                <pt idx="260">
                  <v>174.0614</v>
                </pt>
                <pt idx="261">
                  <v>175.54</v>
                </pt>
                <pt idx="262">
                  <v>177.2453</v>
                </pt>
                <pt idx="263">
                  <v>178.4126</v>
                </pt>
                <pt idx="264">
                  <v>179.7384</v>
                </pt>
                <pt idx="265">
                  <v>180.2274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179.3897</v>
                </pt>
                <pt idx="270">
                  <v>179.6263</v>
                </pt>
                <pt idx="271">
                  <v>179.5948</v>
                </pt>
                <pt idx="272">
                  <v>178.5238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Country!$A$474:$A$750</f>
              <numCache>
                <formatCode>m/d/yy</formatCode>
                <ptCount val="27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Country!$D$474:$D$750</f>
              <numCache>
                <formatCode>0.0%</formatCode>
                <ptCount val="277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0.1669131098292937</v>
                </pt>
                <pt idx="253">
                  <v>0.1610720085731949</v>
                </pt>
                <pt idx="254">
                  <v>0.1562879548261158</v>
                </pt>
                <pt idx="255">
                  <v>0.1668161105951298</v>
                </pt>
                <pt idx="256">
                  <v>0.2001547509901653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0.1359792613346869</v>
                </pt>
                <pt idx="260">
                  <v>0.07774274473162479</v>
                </pt>
                <pt idx="261">
                  <v>0.1068364703767966</v>
                </pt>
                <pt idx="262">
                  <v>0.1230099547246728</v>
                </pt>
                <pt idx="263">
                  <v>0.08195583251762573</v>
                </pt>
                <pt idx="264">
                  <v>0.09290947129636407</v>
                </pt>
                <pt idx="265">
                  <v>0.03314042235362913</v>
                </pt>
                <pt idx="266">
                  <v>0.01732772472697386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-0.02276622634866954</v>
                </pt>
                <pt idx="270">
                  <v>0.01594231154433978</v>
                </pt>
                <pt idx="271">
                  <v>-0.002102340420742421</v>
                </pt>
                <pt idx="272">
                  <v>-0.06926000776680974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0" headerRowCount="1" totalsRowShown="0" headerRowDxfId="33" dataDxfId="31" headerRowBorderDxfId="32">
  <autoFilter ref="A5:C770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0" headerRowCount="1" totalsRowShown="0" headerRowDxfId="27" dataDxfId="26" tableBorderDxfId="25">
  <autoFilter ref="A5:C770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0" headerRowCount="1" totalsRowShown="0" headerRowDxfId="12" dataDxfId="10" headerRowBorderDxfId="11" dataCellStyle="Normal 2">
  <autoFilter ref="A5:D770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6" headerRowCount="1" totalsRowShown="0" headerRowDxfId="5" headerRowBorderDxfId="4">
  <autoFilter ref="A5:D74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O13" sqref="O13"/>
    </sheetView>
  </sheetViews>
  <sheetFormatPr baseColWidth="10" defaultColWidth="9.1640625" defaultRowHeight="15"/>
  <cols>
    <col width="9.1640625" customWidth="1" style="77" min="1" max="1"/>
    <col width="12.83203125" customWidth="1" style="77" min="2" max="10"/>
    <col width="3.33203125" customWidth="1" style="77" min="11" max="13"/>
    <col width="21.33203125" customWidth="1" style="77" min="14" max="14"/>
    <col width="15.6640625" customWidth="1" style="77" min="15" max="15"/>
    <col width="16.83203125" customWidth="1" style="77" min="16" max="16"/>
    <col width="23" customWidth="1" style="77" min="17" max="17"/>
    <col width="9.1640625" customWidth="1" style="77" min="18" max="42"/>
    <col width="9.1640625" customWidth="1" style="77" min="43" max="16384"/>
  </cols>
  <sheetData>
    <row r="1">
      <c r="B1" s="83" t="n"/>
    </row>
    <row r="2" ht="16" customHeight="1" s="67" thickBot="1">
      <c r="B2" s="84" t="n"/>
      <c r="C2" s="84" t="n"/>
      <c r="D2" s="84" t="n"/>
      <c r="E2" s="84" t="n"/>
      <c r="F2" s="84" t="n"/>
      <c r="G2" s="84" t="n"/>
      <c r="H2" s="84" t="n"/>
      <c r="I2" s="84" t="n"/>
      <c r="J2" s="84" t="n"/>
    </row>
    <row r="3" ht="16" customHeight="1" s="67" thickBot="1">
      <c r="B3" s="85" t="inlineStr">
        <is>
          <t>Money Supply</t>
        </is>
      </c>
      <c r="C3" s="86" t="n"/>
      <c r="D3" s="86" t="n"/>
      <c r="E3" s="86" t="n"/>
      <c r="F3" s="86" t="n"/>
      <c r="G3" s="86" t="n"/>
      <c r="H3" s="86" t="n"/>
      <c r="I3" s="86" t="n"/>
      <c r="J3" s="87" t="n"/>
    </row>
    <row r="5">
      <c r="B5" s="80" t="inlineStr">
        <is>
          <t>Definition</t>
        </is>
      </c>
      <c r="C5" s="81" t="n"/>
      <c r="D5" s="81" t="n"/>
      <c r="E5" s="81" t="n"/>
      <c r="F5" s="81" t="n"/>
      <c r="G5" s="81" t="n"/>
      <c r="H5" s="81" t="n"/>
      <c r="I5" s="81" t="n"/>
      <c r="J5" s="82" t="n"/>
    </row>
    <row r="7" ht="100.5" customHeight="1" s="67">
      <c r="B7" s="88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8" t="n"/>
    </row>
    <row r="9">
      <c r="B9" s="42" t="n"/>
      <c r="C9" s="42" t="n"/>
      <c r="D9" s="42" t="n"/>
      <c r="E9" s="42" t="n"/>
    </row>
    <row r="10">
      <c r="B10" s="80" t="inlineStr">
        <is>
          <t>Process / TO DO LIST</t>
        </is>
      </c>
      <c r="C10" s="81" t="n"/>
      <c r="D10" s="81" t="n"/>
      <c r="E10" s="81" t="n"/>
      <c r="F10" s="81" t="n"/>
      <c r="G10" s="81" t="n"/>
      <c r="H10" s="81" t="n"/>
      <c r="I10" s="81" t="n"/>
      <c r="J10" s="82" t="n"/>
    </row>
    <row r="11" ht="16" customHeight="1" s="67"/>
    <row r="12" ht="16" customHeight="1" s="67">
      <c r="B12" s="80" t="inlineStr">
        <is>
          <t>TO DO LIST</t>
        </is>
      </c>
      <c r="C12" s="81" t="n"/>
      <c r="D12" s="81" t="n"/>
      <c r="E12" s="81" t="n"/>
      <c r="F12" s="82" t="n"/>
      <c r="G12" s="80" t="inlineStr">
        <is>
          <t>Comments</t>
        </is>
      </c>
      <c r="H12" s="81" t="n"/>
      <c r="I12" s="81" t="n"/>
      <c r="J12" s="82" t="n"/>
    </row>
    <row r="14" ht="19.5" customHeight="1" s="67">
      <c r="B14" s="1" t="inlineStr">
        <is>
          <t>https://fred.stlouisfed.org/series/M2REAL</t>
        </is>
      </c>
      <c r="G14" s="77" t="inlineStr">
        <is>
          <t>U.S.</t>
        </is>
      </c>
    </row>
    <row r="15" ht="16" customHeight="1" s="67" thickBot="1">
      <c r="B15" s="78" t="inlineStr">
        <is>
          <t>https://fred.stlouisfed.org/series/M1REAL</t>
        </is>
      </c>
      <c r="G15" s="76" t="inlineStr">
        <is>
          <t>U.S.</t>
        </is>
      </c>
    </row>
    <row r="16" ht="18" customHeight="1" s="67">
      <c r="B16" s="78" t="inlineStr">
        <is>
          <t>https://fred.stlouisfed.org/series/M1</t>
        </is>
      </c>
      <c r="G16" s="76" t="inlineStr">
        <is>
          <t xml:space="preserve">U.S. </t>
        </is>
      </c>
      <c r="Z16" s="43" t="inlineStr">
        <is>
          <t>DGORDER</t>
        </is>
      </c>
      <c r="AA16" s="77" t="inlineStr">
        <is>
          <t>Durable Goods New Orders</t>
        </is>
      </c>
    </row>
    <row r="17" ht="18" customHeight="1" s="67">
      <c r="B17" s="78" t="inlineStr">
        <is>
          <t>https://fred.stlouisfed.org/series/M2</t>
        </is>
      </c>
      <c r="G17" s="79" t="inlineStr">
        <is>
          <t>U.S. discontinued</t>
        </is>
      </c>
      <c r="Z17" s="44" t="inlineStr">
        <is>
          <t>ADXTNO</t>
        </is>
      </c>
      <c r="AA17" s="77" t="inlineStr">
        <is>
          <t>New Orders ex Transport</t>
        </is>
      </c>
    </row>
    <row r="18" ht="33.75" customHeight="1" s="67">
      <c r="B18" s="78" t="inlineStr">
        <is>
          <t>https://fred.stlouisfed.org/series/M2SL</t>
        </is>
      </c>
      <c r="G18" s="79" t="inlineStr">
        <is>
          <t>U.S.</t>
        </is>
      </c>
      <c r="Z18" s="45" t="inlineStr">
        <is>
          <t>NEWORDER</t>
        </is>
      </c>
      <c r="AA18" s="77" t="inlineStr">
        <is>
          <t>New Orders Nondefense Ex Aircraft &amp; Parts = Core</t>
        </is>
      </c>
    </row>
    <row r="19" ht="18" customHeight="1" s="67">
      <c r="B19" s="78" t="inlineStr">
        <is>
          <t>https://tradingeconomics.com/country-list/money-supply-m2?continent=g20</t>
        </is>
      </c>
      <c r="G19" s="79" t="inlineStr">
        <is>
          <t>Quick Country View</t>
        </is>
      </c>
      <c r="Z19" s="44" t="inlineStr">
        <is>
          <t>AMTUNO</t>
        </is>
      </c>
      <c r="AA19" s="77" t="inlineStr">
        <is>
          <t>New Orders - Manufacturing</t>
        </is>
      </c>
    </row>
    <row r="20" ht="18" customHeight="1" s="67">
      <c r="B20" s="78" t="inlineStr">
        <is>
          <t>https://data.oecd.org/money/broad-money-m3.htm</t>
        </is>
      </c>
      <c r="G20" s="77" t="inlineStr">
        <is>
          <t>Table</t>
        </is>
      </c>
      <c r="Z20" s="45" t="inlineStr">
        <is>
          <t>A36SNO</t>
        </is>
      </c>
      <c r="AA20" s="77" t="inlineStr">
        <is>
          <t>New Orders - Transportation Equipment</t>
        </is>
      </c>
    </row>
    <row r="21" ht="18" customHeight="1" s="67">
      <c r="B21" s="78" t="n"/>
      <c r="G21" s="77" t="inlineStr">
        <is>
          <t>Monthly</t>
        </is>
      </c>
      <c r="Z21" s="45" t="inlineStr">
        <is>
          <t>A32SNO</t>
        </is>
      </c>
      <c r="AA21" s="77" t="inlineStr">
        <is>
          <t>New Orders - Fabricated Metal Products</t>
        </is>
      </c>
    </row>
    <row r="22" ht="18" customHeight="1" s="67">
      <c r="B22" s="78" t="n"/>
      <c r="G22" s="77" t="inlineStr">
        <is>
          <t>from beginning</t>
        </is>
      </c>
      <c r="Z22" s="45" t="inlineStr">
        <is>
          <t>A33SNO</t>
        </is>
      </c>
      <c r="AA22" s="77" t="inlineStr">
        <is>
          <t>New Orders - Machinery</t>
        </is>
      </c>
    </row>
    <row r="23" ht="18" customHeight="1" s="67">
      <c r="B23" s="78" t="n"/>
      <c r="G23" s="77" t="inlineStr">
        <is>
          <t>download Select data only</t>
        </is>
      </c>
      <c r="Z23" s="45" t="inlineStr">
        <is>
          <t>A34SNO</t>
        </is>
      </c>
      <c r="AA23" s="77" t="inlineStr">
        <is>
          <t>New Orders - Computers</t>
        </is>
      </c>
    </row>
    <row r="24" ht="18" customHeight="1" s="67">
      <c r="B24" s="78" t="n"/>
      <c r="G24" s="79" t="inlineStr">
        <is>
          <t>Data</t>
        </is>
      </c>
      <c r="Z24" s="45" t="inlineStr">
        <is>
          <t>A31SNO</t>
        </is>
      </c>
      <c r="AA24" s="77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7" t="inlineStr">
        <is>
          <t>New Orders - Electrical Equipment</t>
        </is>
      </c>
    </row>
    <row r="35" ht="16" customHeight="1" s="67"/>
    <row r="39">
      <c r="B39" s="40" t="n"/>
    </row>
    <row r="40">
      <c r="B40" s="76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19124.8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17659.6</v>
      </c>
    </row>
    <row r="3069">
      <c r="A3069" s="90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18141.9</v>
      </c>
    </row>
    <row r="3072">
      <c r="A3072" s="90" t="n">
        <v>44214</v>
      </c>
      <c r="D3072" t="n">
        <v>18151</v>
      </c>
    </row>
    <row r="3073">
      <c r="A3073" s="90" t="n">
        <v>44221</v>
      </c>
      <c r="D3073" t="n">
        <v>18107.6</v>
      </c>
    </row>
    <row r="3074">
      <c r="A3074" s="90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90" t="n">
        <v>44256</v>
      </c>
      <c r="B3075" t="n">
        <v>7033.7</v>
      </c>
      <c r="C3075" t="n">
        <v>7491.2</v>
      </c>
      <c r="E3075" t="n">
        <v>19853.8</v>
      </c>
    </row>
    <row r="3076">
      <c r="A3076" s="90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90" t="n">
        <v>44317</v>
      </c>
      <c r="B3077" t="n">
        <v>7170.4</v>
      </c>
      <c r="C3077" t="n">
        <v>7601.9</v>
      </c>
      <c r="E3077" t="n">
        <v>20418.7</v>
      </c>
    </row>
    <row r="3078">
      <c r="A3078" s="90" t="n">
        <v>44348</v>
      </c>
      <c r="B3078" t="n">
        <v>7130.2</v>
      </c>
      <c r="C3078" t="n">
        <v>7551.1</v>
      </c>
      <c r="E3078" t="n">
        <v>20460.1</v>
      </c>
    </row>
    <row r="3079">
      <c r="A3079" s="90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90" t="n">
        <v>44409</v>
      </c>
      <c r="B3080" t="n">
        <v>7224.2</v>
      </c>
      <c r="C3080" t="n">
        <v>7629.4</v>
      </c>
      <c r="E3080" t="n">
        <v>20835.3</v>
      </c>
    </row>
    <row r="3081">
      <c r="A3081" s="90" t="n">
        <v>44440</v>
      </c>
      <c r="B3081" t="n">
        <v>7247.1</v>
      </c>
      <c r="C3081" t="n">
        <v>7645.8</v>
      </c>
      <c r="E3081" t="n">
        <v>20965.8</v>
      </c>
    </row>
    <row r="3082">
      <c r="A3082" s="90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90" t="n">
        <v>44501</v>
      </c>
      <c r="B3083" t="n">
        <v>7281.1</v>
      </c>
      <c r="C3083" t="n">
        <v>7665.2</v>
      </c>
      <c r="E3083" t="n">
        <v>21349.3</v>
      </c>
    </row>
    <row r="3084">
      <c r="A3084" s="90" t="n">
        <v>44531</v>
      </c>
      <c r="B3084" t="n">
        <v>7293.4</v>
      </c>
      <c r="C3084" t="n">
        <v>7671.5</v>
      </c>
      <c r="E3084" t="n">
        <v>21489.9</v>
      </c>
    </row>
    <row r="3085">
      <c r="A3085" s="90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90" t="n">
        <v>44593</v>
      </c>
      <c r="B3086" t="n">
        <v>7270.4</v>
      </c>
      <c r="C3086" t="n">
        <v>7638.9</v>
      </c>
      <c r="E3086" t="n">
        <v>21708.4</v>
      </c>
    </row>
    <row r="3087">
      <c r="A3087" s="90" t="n">
        <v>44621</v>
      </c>
      <c r="B3087" t="n">
        <v>7194.5</v>
      </c>
      <c r="C3087" t="n">
        <v>7556.2</v>
      </c>
      <c r="E3087" t="n">
        <v>21739.7</v>
      </c>
    </row>
    <row r="3088">
      <c r="A3088" s="90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90" t="n">
        <v>44682</v>
      </c>
      <c r="B3089" t="n">
        <v>7077.1</v>
      </c>
      <c r="C3089" t="n">
        <v>7427.5</v>
      </c>
      <c r="E3089" t="n">
        <v>21649.2</v>
      </c>
    </row>
    <row r="3090">
      <c r="A3090" s="90" t="n">
        <v>44713</v>
      </c>
      <c r="B3090" t="n">
        <v>6960.6</v>
      </c>
      <c r="C3090" t="n">
        <v>7316.5</v>
      </c>
      <c r="E3090" t="n">
        <v>21607.6</v>
      </c>
    </row>
    <row r="3091">
      <c r="A3091" s="90" t="n">
        <v>44743</v>
      </c>
      <c r="B3091" t="n">
        <v>6953.8</v>
      </c>
      <c r="C3091" t="n">
        <v>7327.5</v>
      </c>
      <c r="E3091" t="n">
        <v>21636.1</v>
      </c>
      <c r="F3091" t="n">
        <v>1.19</v>
      </c>
    </row>
    <row r="3092">
      <c r="A3092" s="90" t="n">
        <v>44774</v>
      </c>
      <c r="B3092" t="n">
        <v>6925.3</v>
      </c>
      <c r="C3092" t="n">
        <v>7317.6</v>
      </c>
      <c r="E3092" t="n">
        <v>21632.3</v>
      </c>
    </row>
    <row r="3093">
      <c r="A3093" s="90" t="n">
        <v>44805</v>
      </c>
      <c r="B3093" t="n">
        <v>6835</v>
      </c>
      <c r="C3093" t="n">
        <v>7246.1</v>
      </c>
      <c r="E3093" t="n">
        <v>21503.5</v>
      </c>
    </row>
    <row r="3094">
      <c r="A3094" s="90" t="n">
        <v>44835</v>
      </c>
      <c r="B3094" t="n">
        <v>6743.5</v>
      </c>
      <c r="C3094" t="n">
        <v>7184.8</v>
      </c>
      <c r="E3094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7" min="1" max="1"/>
    <col width="9.1640625" customWidth="1" style="77" min="2" max="3"/>
    <col width="10.6640625" bestFit="1" customWidth="1" style="77" min="4" max="4"/>
    <col width="9.1640625" customWidth="1" style="77" min="5" max="29"/>
    <col width="9.1640625" customWidth="1" style="77" min="3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0.394589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0.3977549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0.4003325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0.4047872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0.4070285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0.4082052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0.4096901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0.4099703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0.4107547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0.4103345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0.4091858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0.407897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0.4071966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0.4070285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0.4090737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0.4121836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0.4138086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0.4156297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0.4170585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0.4196921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0.4231382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0.424455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0.4264441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0.4296661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0.4324397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0.4358578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0.4392198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0.4415452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0.4440667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0.4482132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0.4506227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0.452752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0.4560019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0.4583553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0.4639867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0.4669565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0.4707388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0.4747732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0.477883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0.4817213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0.486148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0.4900984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0.4941048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0.4972707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0.5021456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0.5085895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0.5132683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0.5172186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0.5236906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0.5301344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0.5353175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0.541033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0.5457118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0.5506988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0.5552095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0.5590478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0.5636706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0.5669485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0.569414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0.5732523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0.5791919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90" t="n">
        <v>23863</v>
      </c>
      <c r="B174" t="n">
        <v>0.58275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90" t="n">
        <v>23894</v>
      </c>
      <c r="B175" t="n">
        <v>0.5855517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90" t="n">
        <v>23924</v>
      </c>
      <c r="B176" t="n">
        <v>0.5883534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90" t="n">
        <v>23955</v>
      </c>
      <c r="B177" t="n">
        <v>0.5883534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90" t="n">
        <v>23986</v>
      </c>
      <c r="B178" t="n">
        <v>0.5883534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90" t="n">
        <v>24016</v>
      </c>
      <c r="B179" t="n">
        <v>0.5911551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90" t="n">
        <v>24047</v>
      </c>
      <c r="B180" t="n">
        <v>0.5939568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90" t="n">
        <v>24077</v>
      </c>
      <c r="B181" t="n">
        <v>0.5967584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90" t="n">
        <v>24108</v>
      </c>
      <c r="B182" t="n">
        <v>0.5995601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90" t="n">
        <v>24139</v>
      </c>
      <c r="B183" t="n">
        <v>0.6051635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90" t="n">
        <v>24167</v>
      </c>
      <c r="B184" t="n">
        <v>0.6107669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90" t="n">
        <v>24198</v>
      </c>
      <c r="B185" t="n">
        <v>0.6107669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90" t="n">
        <v>24228</v>
      </c>
      <c r="B186" t="n">
        <v>0.6135685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90" t="n">
        <v>24259</v>
      </c>
      <c r="B187" t="n">
        <v>0.6191719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90" t="n">
        <v>24289</v>
      </c>
      <c r="B188" t="n">
        <v>0.6219736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90" t="n">
        <v>24320</v>
      </c>
      <c r="B189" t="n">
        <v>0.6247753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90" t="n">
        <v>24351</v>
      </c>
      <c r="B190" t="n">
        <v>0.6303787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90" t="n">
        <v>24381</v>
      </c>
      <c r="B191" t="n">
        <v>0.635982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90" t="n">
        <v>24412</v>
      </c>
      <c r="B192" t="n">
        <v>0.6415854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90" t="n">
        <v>24442</v>
      </c>
      <c r="B193" t="n">
        <v>0.6443871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90" t="n">
        <v>24473</v>
      </c>
      <c r="B194" t="n">
        <v>0.6471887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90" t="n">
        <v>24504</v>
      </c>
      <c r="B195" t="n">
        <v>0.6527921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90" t="n">
        <v>24532</v>
      </c>
      <c r="B196" t="n">
        <v>0.6583955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90" t="n">
        <v>24563</v>
      </c>
      <c r="B197" t="n">
        <v>0.6583955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90" t="n">
        <v>24593</v>
      </c>
      <c r="B198" t="n">
        <v>0.6611972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90" t="n">
        <v>24624</v>
      </c>
      <c r="B199" t="n">
        <v>0.6696022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90" t="n">
        <v>24654</v>
      </c>
      <c r="B200" t="n">
        <v>0.6752056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90" t="n">
        <v>24685</v>
      </c>
      <c r="B201" t="n">
        <v>0.680809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90" t="n">
        <v>24716</v>
      </c>
      <c r="B202" t="n">
        <v>0.6864123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90" t="n">
        <v>24746</v>
      </c>
      <c r="B203" t="n">
        <v>0.689214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90" t="n">
        <v>24777</v>
      </c>
      <c r="B204" t="n">
        <v>0.6920156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90" t="n">
        <v>24807</v>
      </c>
      <c r="B205" t="n">
        <v>0.697619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90" t="n">
        <v>24838</v>
      </c>
      <c r="B206" t="n">
        <v>0.7032224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90" t="n">
        <v>24869</v>
      </c>
      <c r="B207" t="n">
        <v>0.7060241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90" t="n">
        <v>24898</v>
      </c>
      <c r="B208" t="n">
        <v>0.7088258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90" t="n">
        <v>24929</v>
      </c>
      <c r="B209" t="n">
        <v>0.7116274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90" t="n">
        <v>24959</v>
      </c>
      <c r="B210" t="n">
        <v>0.7144291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90" t="n">
        <v>24990</v>
      </c>
      <c r="B211" t="n">
        <v>0.7228342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90" t="n">
        <v>25020</v>
      </c>
      <c r="B212" t="n">
        <v>0.7312393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90" t="n">
        <v>25051</v>
      </c>
      <c r="B213" t="n">
        <v>0.7340409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90" t="n">
        <v>25082</v>
      </c>
      <c r="B214" t="n">
        <v>0.7368426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90" t="n">
        <v>25112</v>
      </c>
      <c r="B215" t="n">
        <v>0.7424459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90" t="n">
        <v>25143</v>
      </c>
      <c r="B216" t="n">
        <v>0.7452477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90" t="n">
        <v>25173</v>
      </c>
      <c r="B217" t="n">
        <v>0.7480493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90" t="n">
        <v>25204</v>
      </c>
      <c r="B218" t="n">
        <v>0.7564543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90" t="n">
        <v>25235</v>
      </c>
      <c r="B219" t="n">
        <v>0.7648594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90" t="n">
        <v>25263</v>
      </c>
      <c r="B220" t="n">
        <v>0.7704628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90" t="n">
        <v>25294</v>
      </c>
      <c r="B221" t="n">
        <v>0.7760662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90" t="n">
        <v>25324</v>
      </c>
      <c r="B222" t="n">
        <v>0.7816695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90" t="n">
        <v>25355</v>
      </c>
      <c r="B223" t="n">
        <v>0.7900746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90" t="n">
        <v>25385</v>
      </c>
      <c r="B224" t="n">
        <v>0.7984796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90" t="n">
        <v>25416</v>
      </c>
      <c r="B225" t="n">
        <v>0.804083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90" t="n">
        <v>25447</v>
      </c>
      <c r="B226" t="n">
        <v>0.8068846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90" t="n">
        <v>25477</v>
      </c>
      <c r="B227" t="n">
        <v>0.8096864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90" t="n">
        <v>25508</v>
      </c>
      <c r="B228" t="n">
        <v>0.8152897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90" t="n">
        <v>25538</v>
      </c>
      <c r="B229" t="n">
        <v>0.8208931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90" t="n">
        <v>25569</v>
      </c>
      <c r="B230" t="n">
        <v>0.8236947999999999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90" t="n">
        <v>25600</v>
      </c>
      <c r="B231" t="n">
        <v>0.8264964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90" t="n">
        <v>25628</v>
      </c>
      <c r="B232" t="n">
        <v>0.8320997999999999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90" t="n">
        <v>25659</v>
      </c>
      <c r="B233" t="n">
        <v>0.8349015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90" t="n">
        <v>25689</v>
      </c>
      <c r="B234" t="n">
        <v>0.8377032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90" t="n">
        <v>25720</v>
      </c>
      <c r="B235" t="n">
        <v>0.8405049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90" t="n">
        <v>25750</v>
      </c>
      <c r="B236" t="n">
        <v>0.8433065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90" t="n">
        <v>25781</v>
      </c>
      <c r="B237" t="n">
        <v>0.8461083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90" t="n">
        <v>25812</v>
      </c>
      <c r="B238" t="n">
        <v>0.8489099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90" t="n">
        <v>25842</v>
      </c>
      <c r="B239" t="n">
        <v>0.8517116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90" t="n">
        <v>25873</v>
      </c>
      <c r="B240" t="n">
        <v>0.8545133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90" t="n">
        <v>25903</v>
      </c>
      <c r="B241" t="n">
        <v>0.8601167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90" t="n">
        <v>25934</v>
      </c>
      <c r="B242" t="n">
        <v>0.8629183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90" t="n">
        <v>25965</v>
      </c>
      <c r="B243" t="n">
        <v>0.8685217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90" t="n">
        <v>25993</v>
      </c>
      <c r="B244" t="n">
        <v>0.8769266999999999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90" t="n">
        <v>26024</v>
      </c>
      <c r="B245" t="n">
        <v>0.8825301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90" t="n">
        <v>26054</v>
      </c>
      <c r="B246" t="n">
        <v>0.8909352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90" t="n">
        <v>26085</v>
      </c>
      <c r="B247" t="n">
        <v>0.8993402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90" t="n">
        <v>26115</v>
      </c>
      <c r="B248" t="n">
        <v>0.9021419000000001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90" t="n">
        <v>26146</v>
      </c>
      <c r="B249" t="n">
        <v>0.9077452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90" t="n">
        <v>26177</v>
      </c>
      <c r="B250" t="n">
        <v>0.918952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90" t="n">
        <v>26207</v>
      </c>
      <c r="B251" t="n">
        <v>0.927357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90" t="n">
        <v>26238</v>
      </c>
      <c r="B252" t="n">
        <v>0.9301587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90" t="n">
        <v>26268</v>
      </c>
      <c r="B253" t="n">
        <v>0.9357621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90" t="n">
        <v>26299</v>
      </c>
      <c r="B254" t="n">
        <v>0.9441671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90" t="n">
        <v>26330</v>
      </c>
      <c r="B255" t="n">
        <v>0.9525722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90" t="n">
        <v>26359</v>
      </c>
      <c r="B256" t="n">
        <v>0.9609773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90" t="n">
        <v>26390</v>
      </c>
      <c r="B257" t="n">
        <v>0.9693823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90" t="n">
        <v>26420</v>
      </c>
      <c r="B258" t="n">
        <v>0.980589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90" t="n">
        <v>26451</v>
      </c>
      <c r="B259" t="n">
        <v>0.9917956999999999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90" t="n">
        <v>26481</v>
      </c>
      <c r="B260" t="n">
        <v>1.008606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90" t="n">
        <v>26512</v>
      </c>
      <c r="B261" t="n">
        <v>1.031019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90" t="n">
        <v>26543</v>
      </c>
      <c r="B262" t="n">
        <v>1.050631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90" t="n">
        <v>26573</v>
      </c>
      <c r="B263" t="n">
        <v>1.070243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90" t="n">
        <v>26604</v>
      </c>
      <c r="B264" t="n">
        <v>1.089855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90" t="n">
        <v>26634</v>
      </c>
      <c r="B265" t="n">
        <v>1.112268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90" t="n">
        <v>26665</v>
      </c>
      <c r="B266" t="n">
        <v>1.134682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90" t="n">
        <v>26696</v>
      </c>
      <c r="B267" t="n">
        <v>1.154293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90" t="n">
        <v>26724</v>
      </c>
      <c r="B268" t="n">
        <v>1.171103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90" t="n">
        <v>26755</v>
      </c>
      <c r="B269" t="n">
        <v>1.190715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90" t="n">
        <v>26785</v>
      </c>
      <c r="B270" t="n">
        <v>1.218732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90" t="n">
        <v>26816</v>
      </c>
      <c r="B271" t="n">
        <v>1.243947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90" t="n">
        <v>26846</v>
      </c>
      <c r="B272" t="n">
        <v>1.269162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90" t="n">
        <v>26877</v>
      </c>
      <c r="B273" t="n">
        <v>1.294377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90" t="n">
        <v>26908</v>
      </c>
      <c r="B274" t="n">
        <v>1.316791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90" t="n">
        <v>26938</v>
      </c>
      <c r="B275" t="n">
        <v>1.333601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90" t="n">
        <v>26969</v>
      </c>
      <c r="B276" t="n">
        <v>1.339204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90" t="n">
        <v>26999</v>
      </c>
      <c r="B277" t="n">
        <v>1.350411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90" t="n">
        <v>27030</v>
      </c>
      <c r="B278" t="n">
        <v>1.367221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90" t="n">
        <v>27061</v>
      </c>
      <c r="B279" t="n">
        <v>1.384031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90" t="n">
        <v>27089</v>
      </c>
      <c r="B280" t="n">
        <v>1.400841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90" t="n">
        <v>27120</v>
      </c>
      <c r="B281" t="n">
        <v>1.412048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90" t="n">
        <v>27150</v>
      </c>
      <c r="B282" t="n">
        <v>1.428858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90" t="n">
        <v>27181</v>
      </c>
      <c r="B283" t="n">
        <v>1.428858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90" t="n">
        <v>27211</v>
      </c>
      <c r="B284" t="n">
        <v>1.409246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90" t="n">
        <v>27242</v>
      </c>
      <c r="B285" t="n">
        <v>1.392436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90" t="n">
        <v>27273</v>
      </c>
      <c r="B286" t="n">
        <v>1.386833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90" t="n">
        <v>27303</v>
      </c>
      <c r="B287" t="n">
        <v>1.403643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90" t="n">
        <v>27334</v>
      </c>
      <c r="B288" t="n">
        <v>1.428858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90" t="n">
        <v>27364</v>
      </c>
      <c r="B289" t="n">
        <v>1.44847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90" t="n">
        <v>27395</v>
      </c>
      <c r="B290" t="n">
        <v>1.473685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90" t="n">
        <v>27426</v>
      </c>
      <c r="B291" t="n">
        <v>1.507305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90" t="n">
        <v>27454</v>
      </c>
      <c r="B292" t="n">
        <v>1.540926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90" t="n">
        <v>27485</v>
      </c>
      <c r="B293" t="n">
        <v>1.574546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90" t="n">
        <v>27515</v>
      </c>
      <c r="B294" t="n">
        <v>1.602563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90" t="n">
        <v>27546</v>
      </c>
      <c r="B295" t="n">
        <v>1.624976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90" t="n">
        <v>27576</v>
      </c>
      <c r="B296" t="n">
        <v>1.655795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90" t="n">
        <v>27607</v>
      </c>
      <c r="B297" t="n">
        <v>1.686613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90" t="n">
        <v>27638</v>
      </c>
      <c r="B298" t="n">
        <v>1.706225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90" t="n">
        <v>27668</v>
      </c>
      <c r="B299" t="n">
        <v>1.725837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90" t="n">
        <v>27699</v>
      </c>
      <c r="B300" t="n">
        <v>1.745448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90" t="n">
        <v>27729</v>
      </c>
      <c r="B301" t="n">
        <v>1.76506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90" t="n">
        <v>27760</v>
      </c>
      <c r="B302" t="n">
        <v>1.784672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90" t="n">
        <v>27791</v>
      </c>
      <c r="B303" t="n">
        <v>1.793077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90" t="n">
        <v>27820</v>
      </c>
      <c r="B304" t="n">
        <v>1.804284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90" t="n">
        <v>27851</v>
      </c>
      <c r="B305" t="n">
        <v>1.829499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90" t="n">
        <v>27881</v>
      </c>
      <c r="B306" t="n">
        <v>1.851912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90" t="n">
        <v>27912</v>
      </c>
      <c r="B307" t="n">
        <v>1.868722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90" t="n">
        <v>27942</v>
      </c>
      <c r="B308" t="n">
        <v>1.888334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90" t="n">
        <v>27973</v>
      </c>
      <c r="B309" t="n">
        <v>2.036824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90" t="n">
        <v>28004</v>
      </c>
      <c r="B310" t="n">
        <v>2.188114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90" t="n">
        <v>28034</v>
      </c>
      <c r="B311" t="n">
        <v>2.207726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90" t="n">
        <v>28065</v>
      </c>
      <c r="B312" t="n">
        <v>2.227338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90" t="n">
        <v>28095</v>
      </c>
      <c r="B313" t="n">
        <v>2.258156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90" t="n">
        <v>28126</v>
      </c>
      <c r="B314" t="n">
        <v>2.288975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90" t="n">
        <v>28157</v>
      </c>
      <c r="B315" t="n">
        <v>2.319793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90" t="n">
        <v>28185</v>
      </c>
      <c r="B316" t="n">
        <v>2.345009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90" t="n">
        <v>28216</v>
      </c>
      <c r="B317" t="n">
        <v>2.359017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90" t="n">
        <v>28246</v>
      </c>
      <c r="B318" t="n">
        <v>2.375827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90" t="n">
        <v>28277</v>
      </c>
      <c r="B319" t="n">
        <v>2.392637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90" t="n">
        <v>28307</v>
      </c>
      <c r="B320" t="n">
        <v>2.403844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90" t="n">
        <v>28338</v>
      </c>
      <c r="B321" t="n">
        <v>2.412249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90" t="n">
        <v>28369</v>
      </c>
      <c r="B322" t="n">
        <v>2.417852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90" t="n">
        <v>28399</v>
      </c>
      <c r="B323" t="n">
        <v>2.426257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90" t="n">
        <v>28430</v>
      </c>
      <c r="B324" t="n">
        <v>2.443068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90" t="n">
        <v>28460</v>
      </c>
      <c r="B325" t="n">
        <v>2.465481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90" t="n">
        <v>28491</v>
      </c>
      <c r="B326" t="n">
        <v>2.485093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90" t="n">
        <v>28522</v>
      </c>
      <c r="B327" t="n">
        <v>2.507506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90" t="n">
        <v>28550</v>
      </c>
      <c r="B328" t="n">
        <v>2.538325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90" t="n">
        <v>28581</v>
      </c>
      <c r="B329" t="n">
        <v>2.569143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90" t="n">
        <v>28611</v>
      </c>
      <c r="B330" t="n">
        <v>2.599962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90" t="n">
        <v>28642</v>
      </c>
      <c r="B331" t="n">
        <v>2.625177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90" t="n">
        <v>28672</v>
      </c>
      <c r="B332" t="n">
        <v>2.64759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90" t="n">
        <v>28703</v>
      </c>
      <c r="B333" t="n">
        <v>2.675607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90" t="n">
        <v>28734</v>
      </c>
      <c r="B334" t="n">
        <v>2.703624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90" t="n">
        <v>28764</v>
      </c>
      <c r="B335" t="n">
        <v>2.726038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90" t="n">
        <v>28795</v>
      </c>
      <c r="B336" t="n">
        <v>2.748451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90" t="n">
        <v>28825</v>
      </c>
      <c r="B337" t="n">
        <v>2.773666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90" t="n">
        <v>28856</v>
      </c>
      <c r="B338" t="n">
        <v>2.807286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90" t="n">
        <v>28887</v>
      </c>
      <c r="B339" t="n">
        <v>2.849312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90" t="n">
        <v>28915</v>
      </c>
      <c r="B340" t="n">
        <v>2.885733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90" t="n">
        <v>28946</v>
      </c>
      <c r="B341" t="n">
        <v>2.922155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90" t="n">
        <v>28976</v>
      </c>
      <c r="B342" t="n">
        <v>2.952974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90" t="n">
        <v>29007</v>
      </c>
      <c r="B343" t="n">
        <v>2.972585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90" t="n">
        <v>29037</v>
      </c>
      <c r="B344" t="n">
        <v>2.989396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90" t="n">
        <v>29068</v>
      </c>
      <c r="B345" t="n">
        <v>3.011809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90" t="n">
        <v>29099</v>
      </c>
      <c r="B346" t="n">
        <v>3.037024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90" t="n">
        <v>29129</v>
      </c>
      <c r="B347" t="n">
        <v>3.062239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90" t="n">
        <v>29160</v>
      </c>
      <c r="B348" t="n">
        <v>3.098661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90" t="n">
        <v>29190</v>
      </c>
      <c r="B349" t="n">
        <v>3.137885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90" t="n">
        <v>29221</v>
      </c>
      <c r="B350" t="n">
        <v>3.191117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3.121308</v>
      </c>
      <c r="Y350" t="n">
        <v>0.2636047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90" t="n">
        <v>29252</v>
      </c>
      <c r="B351" t="n">
        <v>3.24715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3.15608</v>
      </c>
      <c r="Y351" t="n">
        <v>0.2695267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90" t="n">
        <v>29281</v>
      </c>
      <c r="B352" t="n">
        <v>3.275167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3.178643</v>
      </c>
      <c r="Y352" t="n">
        <v>0.2718809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90" t="n">
        <v>29312</v>
      </c>
      <c r="B353" t="n">
        <v>3.294779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3.199176</v>
      </c>
      <c r="Y353" t="n">
        <v>0.2754049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90" t="n">
        <v>29342</v>
      </c>
      <c r="B354" t="n">
        <v>3.322796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3.230577</v>
      </c>
      <c r="Y354" t="n">
        <v>0.2792588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90" t="n">
        <v>29373</v>
      </c>
      <c r="B355" t="n">
        <v>3.356416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3.269585</v>
      </c>
      <c r="Y355" t="n">
        <v>0.2828582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90" t="n">
        <v>29403</v>
      </c>
      <c r="B356" t="n">
        <v>3.398441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3.315254</v>
      </c>
      <c r="Y356" t="n">
        <v>0.2942897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90" t="n">
        <v>29434</v>
      </c>
      <c r="B357" t="n">
        <v>3.440467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3.358244</v>
      </c>
      <c r="Y357" t="n">
        <v>0.3064779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90" t="n">
        <v>29465</v>
      </c>
      <c r="B358" t="n">
        <v>3.471285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3.394344</v>
      </c>
      <c r="Y358" t="n">
        <v>0.3139972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90" t="n">
        <v>29495</v>
      </c>
      <c r="B359" t="n">
        <v>3.510509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3.433036</v>
      </c>
      <c r="Y359" t="n">
        <v>0.3235863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90" t="n">
        <v>29526</v>
      </c>
      <c r="B360" t="n">
        <v>3.555336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3.473231</v>
      </c>
      <c r="Y360" t="n">
        <v>0.3311426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90" t="n">
        <v>29556</v>
      </c>
      <c r="B361" t="n">
        <v>3.594559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3.505599</v>
      </c>
      <c r="Y361" t="n">
        <v>0.3370309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90" t="n">
        <v>29587</v>
      </c>
      <c r="B362" t="n">
        <v>3.628179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3.541546</v>
      </c>
      <c r="Y362" t="n">
        <v>0.3425815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90" t="n">
        <v>29618</v>
      </c>
      <c r="B363" t="n">
        <v>3.656196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3.579478</v>
      </c>
      <c r="Y363" t="n">
        <v>0.3475522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90" t="n">
        <v>29646</v>
      </c>
      <c r="B364" t="n">
        <v>3.687015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3.622397</v>
      </c>
      <c r="Y364" t="n">
        <v>0.3527123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90" t="n">
        <v>29677</v>
      </c>
      <c r="B365" t="n">
        <v>3.720635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3.684197</v>
      </c>
      <c r="Y365" t="n">
        <v>0.3644102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90" t="n">
        <v>29707</v>
      </c>
      <c r="B366" t="n">
        <v>3.759858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3.72326</v>
      </c>
      <c r="Y366" t="n">
        <v>0.3779683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90" t="n">
        <v>29738</v>
      </c>
      <c r="B367" t="n">
        <v>3.804685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3.763457</v>
      </c>
      <c r="Y367" t="n">
        <v>0.3856526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90" t="n">
        <v>29768</v>
      </c>
      <c r="B368" t="n">
        <v>3.841107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3.811145</v>
      </c>
      <c r="Y368" t="n">
        <v>0.3988322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90" t="n">
        <v>29799</v>
      </c>
      <c r="B369" t="n">
        <v>3.869124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3.860149</v>
      </c>
      <c r="Y369" t="n">
        <v>0.4108073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90" t="n">
        <v>29830</v>
      </c>
      <c r="B370" t="n">
        <v>3.899943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3.89992</v>
      </c>
      <c r="Y370" t="n">
        <v>0.415379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90" t="n">
        <v>29860</v>
      </c>
      <c r="B371" t="n">
        <v>3.936364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3.95343</v>
      </c>
      <c r="Y371" t="n">
        <v>0.4293053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90" t="n">
        <v>29891</v>
      </c>
      <c r="B372" t="n">
        <v>3.972786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4.000427</v>
      </c>
      <c r="Y372" t="n">
        <v>0.4450052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90" t="n">
        <v>29921</v>
      </c>
      <c r="B373" t="n">
        <v>4.003605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4.059443</v>
      </c>
      <c r="Y373" t="n">
        <v>0.4598673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90" t="n">
        <v>29952</v>
      </c>
      <c r="B374" t="n">
        <v>4.037225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4.11019</v>
      </c>
      <c r="Y374" t="n">
        <v>0.472731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90" t="n">
        <v>29983</v>
      </c>
      <c r="B375" t="n">
        <v>4.073647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0.1771602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4.159522</v>
      </c>
      <c r="Y375" t="n">
        <v>0.4780644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90" t="n">
        <v>30011</v>
      </c>
      <c r="B376" t="n">
        <v>4.107267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0.1804298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4.217952</v>
      </c>
      <c r="Y376" t="n">
        <v>0.4836769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90" t="n">
        <v>30042</v>
      </c>
      <c r="B377" t="n">
        <v>4.149292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0.1843362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4.257179</v>
      </c>
      <c r="Y377" t="n">
        <v>0.4927524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90" t="n">
        <v>30072</v>
      </c>
      <c r="B378" t="n">
        <v>4.210929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0.1894794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4.291299</v>
      </c>
      <c r="Y378" t="n">
        <v>0.5011232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90" t="n">
        <v>30103</v>
      </c>
      <c r="B379" t="n">
        <v>4.252954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0.1929925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4.327039</v>
      </c>
      <c r="Y379" t="n">
        <v>0.5068828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90" t="n">
        <v>30133</v>
      </c>
      <c r="B380" t="n">
        <v>4.269765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0.1952641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4.365263</v>
      </c>
      <c r="Y380" t="n">
        <v>0.5161981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90" t="n">
        <v>30164</v>
      </c>
      <c r="B381" t="n">
        <v>4.292178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0.1968184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4.437092</v>
      </c>
      <c r="Y381" t="n">
        <v>0.5262561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90" t="n">
        <v>30195</v>
      </c>
      <c r="B382" t="n">
        <v>4.3286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0.1985209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4.508682</v>
      </c>
      <c r="Y382" t="n">
        <v>0.5360063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90" t="n">
        <v>30225</v>
      </c>
      <c r="B383" t="n">
        <v>4.36222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4.557351</v>
      </c>
      <c r="Y383" t="n">
        <v>0.5446548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90" t="n">
        <v>30256</v>
      </c>
      <c r="B384" t="n">
        <v>4.395841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0.2011369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4.609124</v>
      </c>
      <c r="Y384" t="n">
        <v>0.5523272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90" t="n">
        <v>30286</v>
      </c>
      <c r="B385" t="n">
        <v>4.449072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0.2044386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4.673555</v>
      </c>
      <c r="Y385" t="n">
        <v>0.5638127000000001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90" t="n">
        <v>30317</v>
      </c>
      <c r="B386" t="n">
        <v>4.493899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0.2080067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4.774269</v>
      </c>
      <c r="Y386" t="n">
        <v>0.5716869999999999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90" t="n">
        <v>30348</v>
      </c>
      <c r="B387" t="n">
        <v>4.535924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0.2107538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4.848263</v>
      </c>
      <c r="Y387" t="n">
        <v>0.5754922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90" t="n">
        <v>30376</v>
      </c>
      <c r="B388" t="n">
        <v>4.608768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4.899871</v>
      </c>
      <c r="Y388" t="n">
        <v>0.5841421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90" t="n">
        <v>30407</v>
      </c>
      <c r="B389" t="n">
        <v>4.670405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0.2164136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4.948092</v>
      </c>
      <c r="Y389" t="n">
        <v>0.5923724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90" t="n">
        <v>30437</v>
      </c>
      <c r="B390" t="n">
        <v>4.718034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0.2239999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5.002801</v>
      </c>
      <c r="Y390" t="n">
        <v>0.6004297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90" t="n">
        <v>30468</v>
      </c>
      <c r="B391" t="n">
        <v>4.776869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0.2301079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5.058341</v>
      </c>
      <c r="Y391" t="n">
        <v>0.6103981000000001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90" t="n">
        <v>30498</v>
      </c>
      <c r="B392" t="n">
        <v>4.824498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0.2363056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5.117202</v>
      </c>
      <c r="Y392" t="n">
        <v>0.6195716999999999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90" t="n">
        <v>30529</v>
      </c>
      <c r="B393" t="n">
        <v>4.872127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0.2426289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5.174607</v>
      </c>
      <c r="Y393" t="n">
        <v>0.6251571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90" t="n">
        <v>30560</v>
      </c>
      <c r="B394" t="n">
        <v>4.922557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0.2478385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5.229511</v>
      </c>
      <c r="Y394" t="n">
        <v>0.6300814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90" t="n">
        <v>30590</v>
      </c>
      <c r="B395" t="n">
        <v>4.970185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0.2550698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5.299479</v>
      </c>
      <c r="Y395" t="n">
        <v>0.6387624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90" t="n">
        <v>30621</v>
      </c>
      <c r="B396" t="n">
        <v>5.020616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0.2631028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5.370055</v>
      </c>
      <c r="Y396" t="n">
        <v>0.6489027000000001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90" t="n">
        <v>30651</v>
      </c>
      <c r="B397" t="n">
        <v>5.082253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0.2669076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5.443465</v>
      </c>
      <c r="Y397" t="n">
        <v>0.6593793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90" t="n">
        <v>30682</v>
      </c>
      <c r="B398" t="n">
        <v>5.146691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0.2689406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5.51683</v>
      </c>
      <c r="Y398" t="n">
        <v>0.667749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90" t="n">
        <v>30713</v>
      </c>
      <c r="B399" t="n">
        <v>5.213932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0.2721787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5.585199</v>
      </c>
      <c r="Y399" t="n">
        <v>0.6768302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90" t="n">
        <v>30742</v>
      </c>
      <c r="B400" t="n">
        <v>5.272767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0.2759508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5.658075</v>
      </c>
      <c r="Y400" t="n">
        <v>0.6907395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90" t="n">
        <v>30773</v>
      </c>
      <c r="B401" t="n">
        <v>5.306387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0.2804758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5.723198</v>
      </c>
      <c r="Y401" t="n">
        <v>0.703072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90" t="n">
        <v>30803</v>
      </c>
      <c r="B402" t="n">
        <v>5.337206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0.2839648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5.788457</v>
      </c>
      <c r="Y402" t="n">
        <v>0.7133692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90" t="n">
        <v>30834</v>
      </c>
      <c r="B403" t="n">
        <v>5.379231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0.2875637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5.857329</v>
      </c>
      <c r="Y403" t="n">
        <v>0.7276662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90" t="n">
        <v>30864</v>
      </c>
      <c r="B404" t="n">
        <v>5.435265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0.2922286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5.921258</v>
      </c>
      <c r="Y404" t="n">
        <v>0.7389858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90" t="n">
        <v>30895</v>
      </c>
      <c r="B405" t="n">
        <v>5.508109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0.2977995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5.986214</v>
      </c>
      <c r="Y405" t="n">
        <v>0.7506048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90" t="n">
        <v>30926</v>
      </c>
      <c r="B406" t="n">
        <v>5.575349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0.3064968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6.0695</v>
      </c>
      <c r="Y406" t="n">
        <v>0.7662395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90" t="n">
        <v>30956</v>
      </c>
      <c r="B407" t="n">
        <v>5.634184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0.3144127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6.152277</v>
      </c>
      <c r="Y407" t="n">
        <v>0.778868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90" t="n">
        <v>30987</v>
      </c>
      <c r="B408" t="n">
        <v>5.70983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0.3203237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6.25516</v>
      </c>
      <c r="Y408" t="n">
        <v>0.7969978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90" t="n">
        <v>31017</v>
      </c>
      <c r="B409" t="n">
        <v>5.79388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0.3286074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6.376673</v>
      </c>
      <c r="Y409" t="n">
        <v>0.8192173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90" t="n">
        <v>31048</v>
      </c>
      <c r="B410" t="n">
        <v>5.886336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0.3373963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6.487885</v>
      </c>
      <c r="Y410" t="n">
        <v>0.8320675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90" t="n">
        <v>31079</v>
      </c>
      <c r="B411" t="n">
        <v>5.975989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0.3438236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6.561763</v>
      </c>
      <c r="Y411" t="n">
        <v>0.8443255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90" t="n">
        <v>31107</v>
      </c>
      <c r="B412" t="n">
        <v>6.051635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0.3510439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6.628424</v>
      </c>
      <c r="Y412" t="n">
        <v>0.8617224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90" t="n">
        <v>31138</v>
      </c>
      <c r="B413" t="n">
        <v>6.124479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0.3577805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6.696743</v>
      </c>
      <c r="Y413" t="n">
        <v>0.8776766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90" t="n">
        <v>31168</v>
      </c>
      <c r="B414" t="n">
        <v>6.200124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0.3643512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6.771735</v>
      </c>
      <c r="Y414" t="n">
        <v>0.894068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90" t="n">
        <v>31199</v>
      </c>
      <c r="B415" t="n">
        <v>6.244951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0.3732317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6.855994</v>
      </c>
      <c r="Y415" t="n">
        <v>0.9104681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90" t="n">
        <v>31229</v>
      </c>
      <c r="B416" t="n">
        <v>6.329001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0.3834624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6.94465</v>
      </c>
      <c r="Y416" t="n">
        <v>0.9286384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90" t="n">
        <v>31260</v>
      </c>
      <c r="B417" t="n">
        <v>6.446672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0.3955098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7.03632</v>
      </c>
      <c r="Y417" t="n">
        <v>0.9519377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90" t="n">
        <v>31291</v>
      </c>
      <c r="B418" t="n">
        <v>6.525119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0.4043901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7.112939</v>
      </c>
      <c r="Y418" t="n">
        <v>0.9725714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90" t="n">
        <v>31321</v>
      </c>
      <c r="B419" t="n">
        <v>6.586756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0.4145186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7.177387</v>
      </c>
      <c r="Y419" t="n">
        <v>0.9845446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90" t="n">
        <v>31352</v>
      </c>
      <c r="B420" t="n">
        <v>6.634385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0.4281403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7.239546</v>
      </c>
      <c r="Y420" t="n">
        <v>0.9961939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90" t="n">
        <v>31382</v>
      </c>
      <c r="B421" t="n">
        <v>6.673609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0.4399306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7.4833</v>
      </c>
      <c r="Y421" t="n">
        <v>1.018159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90" t="n">
        <v>31413</v>
      </c>
      <c r="B422" t="n">
        <v>6.693221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0.4526618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7.714456</v>
      </c>
      <c r="Y422" t="n">
        <v>1.04291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90" t="n">
        <v>31444</v>
      </c>
      <c r="B423" t="n">
        <v>6.707229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0.4650041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7.767271</v>
      </c>
      <c r="Y423" t="n">
        <v>1.059512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90" t="n">
        <v>31472</v>
      </c>
      <c r="B424" t="n">
        <v>6.766064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0.4760328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7.843073</v>
      </c>
      <c r="Y424" t="n">
        <v>1.085409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90" t="n">
        <v>31503</v>
      </c>
      <c r="B425" t="n">
        <v>6.87533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0.4847502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7.923274</v>
      </c>
      <c r="Y425" t="n">
        <v>1.110449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90" t="n">
        <v>31533</v>
      </c>
      <c r="B426" t="n">
        <v>6.964983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8.000328</v>
      </c>
      <c r="Y426" t="n">
        <v>1.134883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90" t="n">
        <v>31564</v>
      </c>
      <c r="B427" t="n">
        <v>7.015414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0.5069458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8.073922</v>
      </c>
      <c r="Y427" t="n">
        <v>1.161105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90" t="n">
        <v>31594</v>
      </c>
      <c r="B428" t="n">
        <v>7.057439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0.5173837999999999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8.146364999999999</v>
      </c>
      <c r="Y428" t="n">
        <v>1.181304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90" t="n">
        <v>31625</v>
      </c>
      <c r="B429" t="n">
        <v>7.105068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0.5252473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8.233212</v>
      </c>
      <c r="Y429" t="n">
        <v>1.197803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90" t="n">
        <v>31656</v>
      </c>
      <c r="B430" t="n">
        <v>7.138688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0.5320979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8.337260000000001</v>
      </c>
      <c r="Y430" t="n">
        <v>1.21262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90" t="n">
        <v>31686</v>
      </c>
      <c r="B431" t="n">
        <v>7.180713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0.5419031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8.447433999999999</v>
      </c>
      <c r="Y431" t="n">
        <v>1.230879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90" t="n">
        <v>31717</v>
      </c>
      <c r="B432" t="n">
        <v>7.211532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0.5543399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8.557179</v>
      </c>
      <c r="Y432" t="n">
        <v>1.252011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90" t="n">
        <v>31747</v>
      </c>
      <c r="B433" t="n">
        <v>7.253557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0.5672228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8.697251</v>
      </c>
      <c r="Y433" t="n">
        <v>1.275737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90" t="n">
        <v>31778</v>
      </c>
      <c r="B434" t="n">
        <v>7.343211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0.5793111</v>
      </c>
      <c r="I434" t="n">
        <v/>
      </c>
      <c r="J434" t="n">
        <v/>
      </c>
      <c r="K434" t="n">
        <v>22.63851</v>
      </c>
      <c r="L434" t="n">
        <v>19.34158</v>
      </c>
      <c r="M434" t="n">
        <v>9.223305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8.815683</v>
      </c>
      <c r="Y434" t="n">
        <v>1.298686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90" t="n">
        <v>31809</v>
      </c>
      <c r="B435" t="n">
        <v>7.421658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0.5926051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9.048500000000001</v>
      </c>
      <c r="Y435" t="n">
        <v>1.443124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90" t="n">
        <v>31837</v>
      </c>
      <c r="B436" t="n">
        <v>7.455278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0.6074627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9.154038</v>
      </c>
      <c r="Y436" t="n">
        <v>1.461772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90" t="n">
        <v>31868</v>
      </c>
      <c r="B437" t="n">
        <v>7.480493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0.6240941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9.286628</v>
      </c>
      <c r="Y437" t="n">
        <v>1.485511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90" t="n">
        <v>31898</v>
      </c>
      <c r="B438" t="n">
        <v>7.561742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0.6405283000000001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9.409667000000001</v>
      </c>
      <c r="Y438" t="n">
        <v>1.509243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90" t="n">
        <v>31929</v>
      </c>
      <c r="B439" t="n">
        <v>7.662603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0.6531698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9.527856</v>
      </c>
      <c r="Y439" t="n">
        <v>1.529595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90" t="n">
        <v>31959</v>
      </c>
      <c r="B440" t="n">
        <v>7.75786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0.6665503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9.665098</v>
      </c>
      <c r="Y440" t="n">
        <v>1.557455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90" t="n">
        <v>31990</v>
      </c>
      <c r="B441" t="n">
        <v>7.847514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0.6823825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9.810288999999999</v>
      </c>
      <c r="Y441" t="n">
        <v>1.58598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90" t="n">
        <v>32021</v>
      </c>
      <c r="B442" t="n">
        <v>7.925961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0.7040808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9.951817</v>
      </c>
      <c r="Y442" t="n">
        <v>1.605817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90" t="n">
        <v>32051</v>
      </c>
      <c r="B443" t="n">
        <v>8.015615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0.7225006</v>
      </c>
      <c r="I443" t="n">
        <v/>
      </c>
      <c r="J443" t="n">
        <v/>
      </c>
      <c r="K443" t="n">
        <v>23.46243</v>
      </c>
      <c r="L443" t="n">
        <v>20.09507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1.631465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90" t="n">
        <v>32082</v>
      </c>
      <c r="B444" t="n">
        <v>8.122078999999999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0.7300134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10.23212</v>
      </c>
      <c r="Y444" t="n">
        <v>1.657866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90" t="n">
        <v>32112</v>
      </c>
      <c r="B445" t="n">
        <v>8.197723999999999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0.7393202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10.36389</v>
      </c>
      <c r="Y445" t="n">
        <v>1.686929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90" t="n">
        <v>32143</v>
      </c>
      <c r="B446" t="n">
        <v>8.234146000000001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0.7532761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10.52895</v>
      </c>
      <c r="Y446" t="n">
        <v>1.718265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90" t="n">
        <v>32174</v>
      </c>
      <c r="B447" t="n">
        <v>8.278973000000001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0.7677739</v>
      </c>
      <c r="I447" t="n">
        <v/>
      </c>
      <c r="J447" t="n">
        <v/>
      </c>
      <c r="K447" t="n">
        <v>23.62288</v>
      </c>
      <c r="L447" t="n">
        <v>20.8135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90" t="n">
        <v>32203</v>
      </c>
      <c r="B448" t="n">
        <v>8.354618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0.7795639</v>
      </c>
      <c r="I448" t="n">
        <v/>
      </c>
      <c r="J448" t="n">
        <v/>
      </c>
      <c r="K448" t="n">
        <v>23.45168</v>
      </c>
      <c r="L448" t="n">
        <v>20.78639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10.81557</v>
      </c>
      <c r="Y448" t="n">
        <v>1.755516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90" t="n">
        <v>32234</v>
      </c>
      <c r="B449" t="n">
        <v>8.444272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0.7908524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1.777837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90" t="n">
        <v>32264</v>
      </c>
      <c r="B450" t="n">
        <v>8.525520999999999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0.8049688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11.07301</v>
      </c>
      <c r="Y450" t="n">
        <v>1.803361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90" t="n">
        <v>32295</v>
      </c>
      <c r="B451" t="n">
        <v>8.631985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0.8258457</v>
      </c>
      <c r="I451" t="n">
        <v/>
      </c>
      <c r="J451" t="n">
        <v/>
      </c>
      <c r="K451" t="n">
        <v>24.00524</v>
      </c>
      <c r="L451" t="n">
        <v>21.27416</v>
      </c>
      <c r="M451" t="n">
        <v>13.54963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11.18868</v>
      </c>
      <c r="Y451" t="n">
        <v>1.833903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90" t="n">
        <v>32325</v>
      </c>
      <c r="B452" t="n">
        <v>8.727242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0.8416772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11.2842</v>
      </c>
      <c r="Y452" t="n">
        <v>1.868347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90" t="n">
        <v>32356</v>
      </c>
      <c r="B453" t="n">
        <v>8.802887999999999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0.8551166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11.37644</v>
      </c>
      <c r="Y453" t="n">
        <v>1.907021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90" t="n">
        <v>32387</v>
      </c>
      <c r="B454" t="n">
        <v>8.917757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0.8723916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11.47192</v>
      </c>
      <c r="Y454" t="n">
        <v>1.944881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90" t="n">
        <v>32417</v>
      </c>
      <c r="B455" t="n">
        <v>9.088659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0.8864498</v>
      </c>
      <c r="I455" t="n">
        <v/>
      </c>
      <c r="J455" t="n">
        <v/>
      </c>
      <c r="K455" t="n">
        <v>24.56776</v>
      </c>
      <c r="L455" t="n">
        <v>21.7571</v>
      </c>
      <c r="M455" t="n">
        <v>14.42639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1.980017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90" t="n">
        <v>32448</v>
      </c>
      <c r="B456" t="n">
        <v>9.276372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0.9108423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11.68379</v>
      </c>
      <c r="Y456" t="n">
        <v>2.015249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90" t="n">
        <v>32478</v>
      </c>
      <c r="B457" t="n">
        <v>9.475291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0.9283664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11.79196</v>
      </c>
      <c r="Y457" t="n">
        <v>2.054008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90" t="n">
        <v>32509</v>
      </c>
      <c r="B458" t="n">
        <v>9.702228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0.9395213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11.87944</v>
      </c>
      <c r="Y458" t="n">
        <v>2.076797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90" t="n">
        <v>32540</v>
      </c>
      <c r="B459" t="n">
        <v>9.917956999999999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0.9619218</v>
      </c>
      <c r="I459" t="n">
        <v/>
      </c>
      <c r="J459" t="n">
        <v/>
      </c>
      <c r="K459" t="n">
        <v>20.39935</v>
      </c>
      <c r="L459" t="n">
        <v>22.59151</v>
      </c>
      <c r="M459" t="n">
        <v>15.15616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11.99057</v>
      </c>
      <c r="Y459" t="n">
        <v>2.107384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90" t="n">
        <v>32568</v>
      </c>
      <c r="B460" t="n">
        <v>10.11408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0.9873362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2.151595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90" t="n">
        <v>32599</v>
      </c>
      <c r="B461" t="n">
        <v>10.29618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1.006974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12.21378</v>
      </c>
      <c r="Y461" t="n">
        <v>2.18277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90" t="n">
        <v>32629</v>
      </c>
      <c r="B462" t="n">
        <v>10.45588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1.036173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12.31836</v>
      </c>
      <c r="Y462" t="n">
        <v>2.216283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90" t="n">
        <v>32660</v>
      </c>
      <c r="B463" t="n">
        <v>10.66601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1.075355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2.265806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90" t="n">
        <v>32690</v>
      </c>
      <c r="B464" t="n">
        <v>10.89855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1.109027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12.65211</v>
      </c>
      <c r="Y464" t="n">
        <v>2.311024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90" t="n">
        <v>32721</v>
      </c>
      <c r="B465" t="n">
        <v>11.09747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1.145248</v>
      </c>
      <c r="I465" t="n">
        <v/>
      </c>
      <c r="J465" t="n">
        <v/>
      </c>
      <c r="K465" t="n">
        <v>19.95938</v>
      </c>
      <c r="L465" t="n">
        <v>23.58496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12.81074</v>
      </c>
      <c r="Y465" t="n">
        <v>2.346443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90" t="n">
        <v>32752</v>
      </c>
      <c r="B466" t="n">
        <v>11.20673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12.94841</v>
      </c>
      <c r="Y466" t="n">
        <v>2.390849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90" t="n">
        <v>32782</v>
      </c>
      <c r="B467" t="n">
        <v>11.26276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1.180009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13.10348</v>
      </c>
      <c r="Y467" t="n">
        <v>2.443386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90" t="n">
        <v>32813</v>
      </c>
      <c r="B468" t="n">
        <v>11.35802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1.208202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13.26669</v>
      </c>
      <c r="Y468" t="n">
        <v>2.495159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90" t="n">
        <v>32843</v>
      </c>
      <c r="B469" t="n">
        <v>11.45048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1.236183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13.43953</v>
      </c>
      <c r="Y469" t="n">
        <v>2.533222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90" t="n">
        <v>32874</v>
      </c>
      <c r="B470" t="n">
        <v>11.55134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1.262644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13.60153</v>
      </c>
      <c r="Y470" t="n">
        <v>2.590232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90" t="n">
        <v>32905</v>
      </c>
      <c r="B471" t="n">
        <v>11.67461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13.75263</v>
      </c>
      <c r="Y471" t="n">
        <v>2.631103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90" t="n">
        <v>32933</v>
      </c>
      <c r="B472" t="n">
        <v>11.79789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1.337721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13.86466</v>
      </c>
      <c r="Y472" t="n">
        <v>2.661974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90" t="n">
        <v>32964</v>
      </c>
      <c r="B473" t="n">
        <v>11.92957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1.371763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14.02087</v>
      </c>
      <c r="Y473" t="n">
        <v>2.703046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90" t="n">
        <v>32994</v>
      </c>
      <c r="B474" t="n">
        <v>12.03043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1.387665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14.10751</v>
      </c>
      <c r="Y474" t="n">
        <v>2.735653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90" t="n">
        <v>33025</v>
      </c>
      <c r="B475" t="n">
        <v>12.09486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18.87737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14.22146</v>
      </c>
      <c r="Y475" t="n">
        <v>2.77231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90" t="n">
        <v>33055</v>
      </c>
      <c r="B476" t="n">
        <v>12.1453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1.445053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18.98499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14.34108</v>
      </c>
      <c r="Y476" t="n">
        <v>2.806752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90" t="n">
        <v>33086</v>
      </c>
      <c r="B477" t="n">
        <v>12.21534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19.07302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14.46723</v>
      </c>
      <c r="Y477" t="n">
        <v>2.83346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90" t="n">
        <v>33117</v>
      </c>
      <c r="B478" t="n">
        <v>12.34702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14.59151</v>
      </c>
      <c r="Y478" t="n">
        <v>2.866549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90" t="n">
        <v>33147</v>
      </c>
      <c r="B479" t="n">
        <v>12.45628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1.563629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14.69248</v>
      </c>
      <c r="Y479" t="n">
        <v>2.893816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90" t="n">
        <v>33178</v>
      </c>
      <c r="B480" t="n">
        <v>12.55994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1.595482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14.77522</v>
      </c>
      <c r="Y480" t="n">
        <v>2.926086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90" t="n">
        <v>33208</v>
      </c>
      <c r="B481" t="n">
        <v>12.67481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1.627679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19.60085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14.90109</v>
      </c>
      <c r="Y481" t="n">
        <v>2.96715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90" t="n">
        <v>33239</v>
      </c>
      <c r="B482" t="n">
        <v>12.66641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15.00737</v>
      </c>
      <c r="Y482" t="n">
        <v>2.993037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90" t="n">
        <v>33270</v>
      </c>
      <c r="B483" t="n">
        <v>12.60197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1.684307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19.72358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15.10145</v>
      </c>
      <c r="Y483" t="n">
        <v>3.013932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90" t="n">
        <v>33298</v>
      </c>
      <c r="B484" t="n">
        <v>12.62158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1.704033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15.21637</v>
      </c>
      <c r="Y484" t="n">
        <v>3.049846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90" t="n">
        <v>33329</v>
      </c>
      <c r="B485" t="n">
        <v>12.6496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1.740004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19.91028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15.32942</v>
      </c>
      <c r="Y485" t="n">
        <v>3.095502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90" t="n">
        <v>33359</v>
      </c>
      <c r="B486" t="n">
        <v>12.70003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1.786224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15.44675</v>
      </c>
      <c r="Y486" t="n">
        <v>3.142663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90" t="n">
        <v>33390</v>
      </c>
      <c r="B487" t="n">
        <v>12.77007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1.814198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20.02426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15.54298</v>
      </c>
      <c r="Y487" t="n">
        <v>3.186063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90" t="n">
        <v>33420</v>
      </c>
      <c r="B488" t="n">
        <v>12.80929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1.814973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20.03482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15.62408</v>
      </c>
      <c r="Y488" t="n">
        <v>3.227599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90" t="n">
        <v>33451</v>
      </c>
      <c r="B489" t="n">
        <v>12.84852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1.812271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20.04687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15.69206</v>
      </c>
      <c r="Y489" t="n">
        <v>3.271176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90" t="n">
        <v>33482</v>
      </c>
      <c r="B490" t="n">
        <v>12.90735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15.78421</v>
      </c>
      <c r="Y490" t="n">
        <v>3.33304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90" t="n">
        <v>33512</v>
      </c>
      <c r="B491" t="n">
        <v>12.93257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1.966895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15.90274</v>
      </c>
      <c r="Y491" t="n">
        <v>3.400369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90" t="n">
        <v>33543</v>
      </c>
      <c r="B492" t="n">
        <v>12.91015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2.067236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20.13504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16.01387</v>
      </c>
      <c r="Y492" t="n">
        <v>3.454366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90" t="n">
        <v>33573</v>
      </c>
      <c r="B493" t="n">
        <v>12.94097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2.150633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16.11954</v>
      </c>
      <c r="Y493" t="n">
        <v>3.508597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90" t="n">
        <v>33604</v>
      </c>
      <c r="B494" t="n">
        <v>12.9886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2.236673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16.23388</v>
      </c>
      <c r="Y494" t="n">
        <v>3.572964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90" t="n">
        <v>33635</v>
      </c>
      <c r="B495" t="n">
        <v>13.01942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20.41514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16.34872</v>
      </c>
      <c r="Y495" t="n">
        <v>3.625677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90" t="n">
        <v>33664</v>
      </c>
      <c r="B496" t="n">
        <v>13.00821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16.44216</v>
      </c>
      <c r="Y496" t="n">
        <v>3.678492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90" t="n">
        <v>33695</v>
      </c>
      <c r="B497" t="n">
        <v>13.03063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2.478043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16.49738</v>
      </c>
      <c r="Y497" t="n">
        <v>3.730611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90" t="n">
        <v>33725</v>
      </c>
      <c r="B498" t="n">
        <v>13.12028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2.542717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20.50238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16.56001</v>
      </c>
      <c r="Y498" t="n">
        <v>3.780309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90" t="n">
        <v>33756</v>
      </c>
      <c r="B499" t="n">
        <v>13.1595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2.618662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16.62457</v>
      </c>
      <c r="Y499" t="n">
        <v>3.834157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90" t="n">
        <v>33786</v>
      </c>
      <c r="B500" t="n">
        <v>13.21554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20.58709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16.7037</v>
      </c>
      <c r="Y500" t="n">
        <v>3.889265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90" t="n">
        <v>33817</v>
      </c>
      <c r="B501" t="n">
        <v>13.3248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2.673824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16.7885</v>
      </c>
      <c r="Y501" t="n">
        <v>3.945343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90" t="n">
        <v>33848</v>
      </c>
      <c r="B502" t="n">
        <v>13.38084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2.722701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16.87754</v>
      </c>
      <c r="Y502" t="n">
        <v>4.000263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90" t="n">
        <v>33878</v>
      </c>
      <c r="B503" t="n">
        <v>13.37804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2.813915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16.99831</v>
      </c>
      <c r="Y503" t="n">
        <v>4.054146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13.41446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2.893695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21.02526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17.09783</v>
      </c>
      <c r="Y504" t="n">
        <v>4.110559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90" t="n">
        <v>33939</v>
      </c>
      <c r="B505" t="n">
        <v>13.47609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2.989666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20.98201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17.1795</v>
      </c>
      <c r="Y505" t="n">
        <v>4.161834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90" t="n">
        <v>33970</v>
      </c>
      <c r="B506" t="n">
        <v>13.56015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3.070398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20.9565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17.26401</v>
      </c>
      <c r="Y506" t="n">
        <v>4.217286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90" t="n">
        <v>34001</v>
      </c>
      <c r="B507" t="n">
        <v>13.66101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3.140599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21.02735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17.34548</v>
      </c>
      <c r="Y507" t="n">
        <v>4.267911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90" t="n">
        <v>34029</v>
      </c>
      <c r="B508" t="n">
        <v>13.73385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3.226202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21.10267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17.4071</v>
      </c>
      <c r="Y508" t="n">
        <v>4.319941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90" t="n">
        <v>34060</v>
      </c>
      <c r="B509" t="n">
        <v>13.77027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3.300756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17.48921</v>
      </c>
      <c r="Y509" t="n">
        <v>4.361985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90" t="n">
        <v>34090</v>
      </c>
      <c r="B510" t="n">
        <v>13.79829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3.395696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17.64259</v>
      </c>
      <c r="Y510" t="n">
        <v>4.413063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90" t="n">
        <v>34121</v>
      </c>
      <c r="B511" t="n">
        <v>13.91036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3.521675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17.74137</v>
      </c>
      <c r="Y511" t="n">
        <v>4.453103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90" t="n">
        <v>34151</v>
      </c>
      <c r="B512" t="n">
        <v>14.02803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3.673386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21.34277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17.82576</v>
      </c>
      <c r="Y512" t="n">
        <v>4.49732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90" t="n">
        <v>34182</v>
      </c>
      <c r="B513" t="n">
        <v>14.03643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3.809705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17.92835</v>
      </c>
      <c r="Y513" t="n">
        <v>4.565278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90" t="n">
        <v>34213</v>
      </c>
      <c r="B514" t="n">
        <v>14.07285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18.02655</v>
      </c>
      <c r="Y514" t="n">
        <v>4.622831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90" t="n">
        <v>34243</v>
      </c>
      <c r="B515" t="n">
        <v>14.16531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4.022388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21.60696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18.13141</v>
      </c>
      <c r="Y515" t="n">
        <v>4.691822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90" t="n">
        <v>34274</v>
      </c>
      <c r="B516" t="n">
        <v>14.23255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4.176898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18.24399</v>
      </c>
      <c r="Y516" t="n">
        <v>4.777122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90" t="n">
        <v>34304</v>
      </c>
      <c r="B517" t="n">
        <v>14.29419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4.319404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18.3541</v>
      </c>
      <c r="Y517" t="n">
        <v>4.850855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90" t="n">
        <v>34335</v>
      </c>
      <c r="B518" t="n">
        <v>14.40625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4.476154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22.06283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18.49449</v>
      </c>
      <c r="Y518" t="n">
        <v>4.964294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90" t="n">
        <v>34366</v>
      </c>
      <c r="B519" t="n">
        <v>14.52392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4.628302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18.62481</v>
      </c>
      <c r="Y519" t="n">
        <v>5.08137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90" t="n">
        <v>34394</v>
      </c>
      <c r="B520" t="n">
        <v>14.6472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4.747706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18.75108</v>
      </c>
      <c r="Y520" t="n">
        <v>5.171556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90" t="n">
        <v>34425</v>
      </c>
      <c r="B521" t="n">
        <v>14.78728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4.888046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22.36515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18.89575</v>
      </c>
      <c r="Y521" t="n">
        <v>5.351661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90" t="n">
        <v>34455</v>
      </c>
      <c r="B522" t="n">
        <v>14.89935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5.068696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22.43817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19.07043</v>
      </c>
      <c r="Y522" t="n">
        <v>5.562435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5.215226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19.20259</v>
      </c>
      <c r="Y523" t="n">
        <v>5.732671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90" t="n">
        <v>34516</v>
      </c>
      <c r="B524" t="n">
        <v>15.04224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5.348237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19.40797</v>
      </c>
      <c r="Y524" t="n">
        <v>5.920443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90" t="n">
        <v>34547</v>
      </c>
      <c r="B525" t="n">
        <v>15.1431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5.514242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22.58616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19.54513</v>
      </c>
      <c r="Y525" t="n">
        <v>6.04748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90" t="n">
        <v>34578</v>
      </c>
      <c r="B526" t="n">
        <v>15.19913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5.684278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22.70085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19.69041</v>
      </c>
      <c r="Y526" t="n">
        <v>6.166388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90" t="n">
        <v>34608</v>
      </c>
      <c r="B527" t="n">
        <v>15.29719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5.849614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19.82463</v>
      </c>
      <c r="Y527" t="n">
        <v>6.303346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90" t="n">
        <v>34639</v>
      </c>
      <c r="B528" t="n">
        <v>15.4905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19.94775</v>
      </c>
      <c r="Y528" t="n">
        <v>6.426569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90" t="n">
        <v>34669</v>
      </c>
      <c r="B529" t="n">
        <v>15.653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6.173739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20.07563</v>
      </c>
      <c r="Y529" t="n">
        <v>6.52704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90" t="n">
        <v>34700</v>
      </c>
      <c r="B530" t="n">
        <v>15.72024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6.332555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20.24086</v>
      </c>
      <c r="Y530" t="n">
        <v>6.66153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90" t="n">
        <v>34731</v>
      </c>
      <c r="B531" t="n">
        <v>15.75106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6.478168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23.25347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20.3388</v>
      </c>
      <c r="Y531" t="n">
        <v>6.782928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90" t="n">
        <v>34759</v>
      </c>
      <c r="B532" t="n">
        <v>15.87994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6.668708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23.53127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20.47979</v>
      </c>
      <c r="Y532" t="n">
        <v>6.931805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90" t="n">
        <v>34790</v>
      </c>
      <c r="B533" t="n">
        <v>16.01162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6.867691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23.72335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20.62511</v>
      </c>
      <c r="Y533" t="n">
        <v>7.070204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90" t="n">
        <v>34820</v>
      </c>
      <c r="B534" t="n">
        <v>16.09847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7.038505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20.79783</v>
      </c>
      <c r="Y534" t="n">
        <v>7.193303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90" t="n">
        <v>34851</v>
      </c>
      <c r="B535" t="n">
        <v>16.1461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7.205766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23.99668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20.98643</v>
      </c>
      <c r="Y535" t="n">
        <v>7.317714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90" t="n">
        <v>34881</v>
      </c>
      <c r="B536" t="n">
        <v>16.20774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7.330547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24.23395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21.15622</v>
      </c>
      <c r="Y536" t="n">
        <v>7.462931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90" t="n">
        <v>34912</v>
      </c>
      <c r="B537" t="n">
        <v>16.33941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7.420648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24.52648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21.3554</v>
      </c>
      <c r="Y537" t="n">
        <v>7.625239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90" t="n">
        <v>34943</v>
      </c>
      <c r="B538" t="n">
        <v>16.50751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7.61343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21.53504</v>
      </c>
      <c r="Y538" t="n">
        <v>7.760314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90" t="n">
        <v>34973</v>
      </c>
      <c r="B539" t="n">
        <v>16.68402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7.881913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24.9387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21.70052</v>
      </c>
      <c r="Y539" t="n">
        <v>7.887898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90" t="n">
        <v>35004</v>
      </c>
      <c r="B540" t="n">
        <v>16.83251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7.999508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25.13871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21.91519</v>
      </c>
      <c r="Y540" t="n">
        <v>8.069058999999999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90" t="n">
        <v>35034</v>
      </c>
      <c r="B541" t="n">
        <v>17.02303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8.049109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25.62245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22.15891</v>
      </c>
      <c r="Y541" t="n">
        <v>8.32551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90" t="n">
        <v>35065</v>
      </c>
      <c r="B542" t="n">
        <v>17.17432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8.161930999999999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26.42798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22.44924</v>
      </c>
      <c r="Y542" t="n">
        <v>8.630746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90" t="n">
        <v>35096</v>
      </c>
      <c r="B543" t="n">
        <v>17.26397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8.321145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22.65967</v>
      </c>
      <c r="Y543" t="n">
        <v>8.853272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90" t="n">
        <v>35125</v>
      </c>
      <c r="B544" t="n">
        <v>17.37043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8.510604000000001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22.88718</v>
      </c>
      <c r="Y544" t="n">
        <v>9.018769000000001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90" t="n">
        <v>35156</v>
      </c>
      <c r="B545" t="n">
        <v>17.46569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8.680263999999999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23.08509</v>
      </c>
      <c r="Y545" t="n">
        <v>9.219621999999999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90" t="n">
        <v>35186</v>
      </c>
      <c r="B546" t="n">
        <v>17.51892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8.818773999999999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23.30062</v>
      </c>
      <c r="Y546" t="n">
        <v>9.421695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90" t="n">
        <v>35217</v>
      </c>
      <c r="B547" t="n">
        <v>17.61418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8.967642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23.49494</v>
      </c>
      <c r="Y547" t="n">
        <v>9.601478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90" t="n">
        <v>35247</v>
      </c>
      <c r="B548" t="n">
        <v>17.8047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9.163498000000001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28.16895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23.68861</v>
      </c>
      <c r="Y548" t="n">
        <v>9.786633999999999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90" t="n">
        <v>35278</v>
      </c>
      <c r="B549" t="n">
        <v>17.95038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9.350896000000001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28.41325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23.88292</v>
      </c>
      <c r="Y549" t="n">
        <v>10.00744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90" t="n">
        <v>35309</v>
      </c>
      <c r="B550" t="n">
        <v>17.96719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9.542047999999999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28.66115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24.10011</v>
      </c>
      <c r="Y550" t="n">
        <v>10.2642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90" t="n">
        <v>35339</v>
      </c>
      <c r="B551" t="n">
        <v>18.12409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9.723091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28.87112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24.36105</v>
      </c>
      <c r="Y551" t="n">
        <v>10.50707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90" t="n">
        <v>35370</v>
      </c>
      <c r="B552" t="n">
        <v>18.40706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9.843090999999999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29.27368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24.62257</v>
      </c>
      <c r="Y552" t="n">
        <v>10.79714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90" t="n">
        <v>35400</v>
      </c>
      <c r="B553" t="n">
        <v>18.56115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10.18248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24.90181</v>
      </c>
      <c r="Y553" t="n">
        <v>11.10778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90" t="n">
        <v>35431</v>
      </c>
      <c r="B554" t="n">
        <v>18.67041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29.82654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25.15746</v>
      </c>
      <c r="Y554" t="n">
        <v>11.38842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90" t="n">
        <v>35462</v>
      </c>
      <c r="B555" t="n">
        <v>18.79929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10.60055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30.31374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25.34551</v>
      </c>
      <c r="Y555" t="n">
        <v>11.60286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90" t="n">
        <v>35490</v>
      </c>
      <c r="B556" t="n">
        <v>18.91416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10.71256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25.55237</v>
      </c>
      <c r="Y556" t="n">
        <v>11.79613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90" t="n">
        <v>35521</v>
      </c>
      <c r="B557" t="n">
        <v>19.02903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25.75884</v>
      </c>
      <c r="Y557" t="n">
        <v>11.96179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19.17752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11.12397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30.79831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25.94041</v>
      </c>
      <c r="Y558" t="n">
        <v>12.14699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90" t="n">
        <v>35582</v>
      </c>
      <c r="B559" t="n">
        <v>19.29239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11.35058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31.35865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26.19041</v>
      </c>
      <c r="Y559" t="n">
        <v>12.42174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90" t="n">
        <v>35612</v>
      </c>
      <c r="B560" t="n">
        <v>19.36523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11.64689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32.03392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26.4643</v>
      </c>
      <c r="Y560" t="n">
        <v>12.75877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90" t="n">
        <v>35643</v>
      </c>
      <c r="B561" t="n">
        <v>19.43247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11.84519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26.77414</v>
      </c>
      <c r="Y561" t="n">
        <v>13.07122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90" t="n">
        <v>35674</v>
      </c>
      <c r="B562" t="n">
        <v>19.46329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31.63608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26.94612</v>
      </c>
      <c r="Y562" t="n">
        <v>13.20245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90" t="n">
        <v>35704</v>
      </c>
      <c r="B563" t="n">
        <v>19.54734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12.39378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27.18109</v>
      </c>
      <c r="Y563" t="n">
        <v>13.43983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90" t="n">
        <v>35735</v>
      </c>
      <c r="B564" t="n">
        <v>19.67622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32.01253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27.48266</v>
      </c>
      <c r="Y564" t="n">
        <v>13.81668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90" t="n">
        <v>35765</v>
      </c>
      <c r="B565" t="n">
        <v>19.77988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13.07161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27.75471</v>
      </c>
      <c r="Y565" t="n">
        <v>14.09515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90" t="n">
        <v>35796</v>
      </c>
      <c r="B566" t="n">
        <v>19.88915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28.03094</v>
      </c>
      <c r="Y566" t="n">
        <v>14.3803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90" t="n">
        <v>35827</v>
      </c>
      <c r="B567" t="n">
        <v>19.9816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33.08441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28.28371</v>
      </c>
      <c r="Y567" t="n">
        <v>14.57931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90" t="n">
        <v>35855</v>
      </c>
      <c r="B568" t="n">
        <v>20.05445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13.57975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33.26125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28.50277</v>
      </c>
      <c r="Y568" t="n">
        <v>14.80556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90" t="n">
        <v>35886</v>
      </c>
      <c r="B569" t="n">
        <v>20.15811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13.74264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28.75539</v>
      </c>
      <c r="Y569" t="n">
        <v>15.09491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90" t="n">
        <v>35916</v>
      </c>
      <c r="B570" t="n">
        <v>20.28418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29.04681</v>
      </c>
      <c r="Y570" t="n">
        <v>15.43905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90" t="n">
        <v>35947</v>
      </c>
      <c r="B571" t="n">
        <v>20.42427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14.14613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33.97687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29.30605</v>
      </c>
      <c r="Y571" t="n">
        <v>15.79076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90" t="n">
        <v>35977</v>
      </c>
      <c r="B572" t="n">
        <v>20.65681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14.22245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34.30387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</v>
      </c>
      <c r="Y572" t="n">
        <v>16.15402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90" t="n">
        <v>36008</v>
      </c>
      <c r="B573" t="n">
        <v>20.87254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14.33693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34.5642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29.83906</v>
      </c>
      <c r="Y573" t="n">
        <v>16.41441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90" t="n">
        <v>36039</v>
      </c>
      <c r="B574" t="n">
        <v>21.01542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14.34125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16.82749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90" t="n">
        <v>36069</v>
      </c>
      <c r="B575" t="n">
        <v>21.12189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14.24595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34.88266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30.43948</v>
      </c>
      <c r="Y575" t="n">
        <v>17.04229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90" t="n">
        <v>36100</v>
      </c>
      <c r="B576" t="n">
        <v>21.19473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14.23278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34.95115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30.64282</v>
      </c>
      <c r="Y576" t="n">
        <v>17.04719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90" t="n">
        <v>36130</v>
      </c>
      <c r="B577" t="n">
        <v>21.318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14.25678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30.93238</v>
      </c>
      <c r="Y577" t="n">
        <v>17.34742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90" t="n">
        <v>36161</v>
      </c>
      <c r="B578" t="n">
        <v>21.49731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31.22057</v>
      </c>
      <c r="Y578" t="n">
        <v>17.72876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90" t="n">
        <v>36192</v>
      </c>
      <c r="B579" t="n">
        <v>21.6486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14.56322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35.01503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31.49372</v>
      </c>
      <c r="Y579" t="n">
        <v>18.06149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90" t="n">
        <v>36220</v>
      </c>
      <c r="B580" t="n">
        <v>21.82231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14.63428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31.70324</v>
      </c>
      <c r="Y580" t="n">
        <v>18.34992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90" t="n">
        <v>36251</v>
      </c>
      <c r="B581" t="n">
        <v>22.05205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31.95331</v>
      </c>
      <c r="Y581" t="n">
        <v>18.63248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90" t="n">
        <v>36281</v>
      </c>
      <c r="B582" t="n">
        <v>22.29019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14.78386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35.16426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32.22696</v>
      </c>
      <c r="Y582" t="n">
        <v>18.98457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90" t="n">
        <v>36312</v>
      </c>
      <c r="B583" t="n">
        <v>22.49751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32.48383</v>
      </c>
      <c r="Y583" t="n">
        <v>19.30258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22.65441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14.83727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32.71812</v>
      </c>
      <c r="Y584" t="n">
        <v>19.53411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90" t="n">
        <v>36373</v>
      </c>
      <c r="B585" t="n">
        <v>22.78889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14.89208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35.4221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32.94925</v>
      </c>
      <c r="Y585" t="n">
        <v>19.85449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90" t="n">
        <v>36404</v>
      </c>
      <c r="B586" t="n">
        <v>22.94298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14.98092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33.15843</v>
      </c>
      <c r="Y586" t="n">
        <v>20.17735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90" t="n">
        <v>36434</v>
      </c>
      <c r="B587" t="n">
        <v>23.12789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15.02836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33.42667</v>
      </c>
      <c r="Y587" t="n">
        <v>20.51678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90" t="n">
        <v>36465</v>
      </c>
      <c r="B588" t="n">
        <v>23.31841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15.08507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35.70214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33.71503</v>
      </c>
      <c r="Y588" t="n">
        <v>21.022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90" t="n">
        <v>36495</v>
      </c>
      <c r="B589" t="n">
        <v>23.41366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15.17107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34.03466</v>
      </c>
      <c r="Y589" t="n">
        <v>21.52895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90" t="n">
        <v>36526</v>
      </c>
      <c r="B590" t="n">
        <v>23.44448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15.33658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35.93224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34.30376</v>
      </c>
      <c r="Y590" t="n">
        <v>21.91813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90" t="n">
        <v>36557</v>
      </c>
      <c r="B591" t="n">
        <v>23.52013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15.20103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36.17014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34.50778</v>
      </c>
      <c r="Y591" t="n">
        <v>22.21313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90" t="n">
        <v>36586</v>
      </c>
      <c r="B592" t="n">
        <v>23.62379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15.01363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36.82878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34.78339</v>
      </c>
      <c r="Y592" t="n">
        <v>22.60145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90" t="n">
        <v>36617</v>
      </c>
      <c r="B593" t="n">
        <v>23.78068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15.07329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37.28976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35.13765</v>
      </c>
      <c r="Y593" t="n">
        <v>22.90911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90" t="n">
        <v>36647</v>
      </c>
      <c r="B594" t="n">
        <v>23.9796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37.7547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35.24326</v>
      </c>
      <c r="Y594" t="n">
        <v>23.249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24.1421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38.31775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35.47104</v>
      </c>
      <c r="Y595" t="n">
        <v>23.64035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24.29059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15.24119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38.47032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35.66721</v>
      </c>
      <c r="Y596" t="n">
        <v>23.84165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90" t="n">
        <v>36739</v>
      </c>
      <c r="B597" t="n">
        <v>24.4671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38.63461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35.8802</v>
      </c>
      <c r="Y597" t="n">
        <v>23.97054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90" t="n">
        <v>36770</v>
      </c>
      <c r="B598" t="n">
        <v>24.60718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38.77076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36.11678</v>
      </c>
      <c r="Y598" t="n">
        <v>24.13907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90" t="n">
        <v>36800</v>
      </c>
      <c r="B599" t="n">
        <v>24.71925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15.54081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38.98712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36.29356</v>
      </c>
      <c r="Y599" t="n">
        <v>24.33367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90" t="n">
        <v>36831</v>
      </c>
      <c r="B600" t="n">
        <v>24.62399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15.73135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39.43516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36.45617</v>
      </c>
      <c r="Y600" t="n">
        <v>24.6222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24.51472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15.79482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39.83875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36.89124</v>
      </c>
      <c r="Y601" t="n">
        <v>24.86897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90" t="n">
        <v>36892</v>
      </c>
      <c r="B602" t="n">
        <v>24.70244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15.82272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40.34298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37.35063</v>
      </c>
      <c r="Y602" t="n">
        <v>25.15886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90" t="n">
        <v>36923</v>
      </c>
      <c r="B603" t="n">
        <v>24.99101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15.95621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40.5233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37.68445</v>
      </c>
      <c r="Y603" t="n">
        <v>25.68138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90" t="n">
        <v>36951</v>
      </c>
      <c r="B604" t="n">
        <v>25.27678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16.03375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40.87006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38.17185</v>
      </c>
      <c r="Y604" t="n">
        <v>26.47847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90" t="n">
        <v>36982</v>
      </c>
      <c r="B605" t="n">
        <v>25.53174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16.03559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41.39342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38.63737</v>
      </c>
      <c r="Y605" t="n">
        <v>27.16197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90" t="n">
        <v>37012</v>
      </c>
      <c r="B606" t="n">
        <v>25.81471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16.11855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41.46165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38.81603</v>
      </c>
      <c r="Y606" t="n">
        <v>27.55502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90" t="n">
        <v>37043</v>
      </c>
      <c r="B607" t="n">
        <v>26.11449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41.56803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39.1515</v>
      </c>
      <c r="Y607" t="n">
        <v>27.98775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90" t="n">
        <v>37073</v>
      </c>
      <c r="B608" t="n">
        <v>26.20414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16.37706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41.95413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39.42712</v>
      </c>
      <c r="Y608" t="n">
        <v>28.37478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90" t="n">
        <v>37104</v>
      </c>
      <c r="B609" t="n">
        <v>26.36664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16.50525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42.44922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39.78471</v>
      </c>
      <c r="Y609" t="n">
        <v>28.94417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90" t="n">
        <v>37135</v>
      </c>
      <c r="B610" t="n">
        <v>26.76448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16.64544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42.7535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40.49869</v>
      </c>
      <c r="Y610" t="n">
        <v>29.65695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90" t="n">
        <v>37165</v>
      </c>
      <c r="B611" t="n">
        <v>27.15951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16.89518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43.10553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40.68011</v>
      </c>
      <c r="Y611" t="n">
        <v>30.16313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90" t="n">
        <v>37196</v>
      </c>
      <c r="B612" t="n">
        <v>27.52654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17.08308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43.53116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40.97651</v>
      </c>
      <c r="Y612" t="n">
        <v>30.40152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90" t="n">
        <v>37226</v>
      </c>
      <c r="B613" t="n">
        <v>27.81231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17.13853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43.70455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41.21476</v>
      </c>
      <c r="Y613" t="n">
        <v>30.44298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90" t="n">
        <v>37257</v>
      </c>
      <c r="B614" t="n">
        <v>28.07566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17.14333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43.44713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41.2318</v>
      </c>
      <c r="Y614" t="n">
        <v>30.09413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90" t="n">
        <v>37288</v>
      </c>
      <c r="B615" t="n">
        <v>28.29139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17.14559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43.2914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41.36969</v>
      </c>
      <c r="Y615" t="n">
        <v>29.97204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90" t="n">
        <v>37316</v>
      </c>
      <c r="B616" t="n">
        <v>28.56316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17.25201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43.55123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41.55074</v>
      </c>
      <c r="Y616" t="n">
        <v>30.19494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90" t="n">
        <v>37347</v>
      </c>
      <c r="B617" t="n">
        <v>28.36424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17.41845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43.66452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41.64084</v>
      </c>
      <c r="Y617" t="n">
        <v>30.32588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90" t="n">
        <v>37377</v>
      </c>
      <c r="B618" t="n">
        <v>28.07566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17.58132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43.86196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41.84584</v>
      </c>
      <c r="Y618" t="n">
        <v>30.65075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90" t="n">
        <v>37408</v>
      </c>
      <c r="B619" t="n">
        <v>27.99442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17.62736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43.99026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42.0581</v>
      </c>
      <c r="Y619" t="n">
        <v>31.00476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90" t="n">
        <v>37438</v>
      </c>
      <c r="B620" t="n">
        <v>28.08687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17.72613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43.96249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</v>
      </c>
      <c r="Y620" t="n">
        <v>31.37526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90" t="n">
        <v>37469</v>
      </c>
      <c r="B621" t="n">
        <v>28.56036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17.87828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44.24023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42.66741</v>
      </c>
      <c r="Y621" t="n">
        <v>31.68961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90" t="n">
        <v>37500</v>
      </c>
      <c r="B622" t="n">
        <v>28.83212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18.05273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44.66819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42.85146</v>
      </c>
      <c r="Y622" t="n">
        <v>31.83716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90" t="n">
        <v>37530</v>
      </c>
      <c r="B623" t="n">
        <v>29.00582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18.20341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45.03992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43.11377</v>
      </c>
      <c r="Y623" t="n">
        <v>32.05033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90" t="n">
        <v>37561</v>
      </c>
      <c r="B624" t="n">
        <v>29.2944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45.33532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43.45634</v>
      </c>
      <c r="Y624" t="n">
        <v>32.24265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90" t="n">
        <v>37591</v>
      </c>
      <c r="B625" t="n">
        <v>29.6362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18.48114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45.44733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43.65197</v>
      </c>
      <c r="Y625" t="n">
        <v>32.46373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90" t="n">
        <v>37622</v>
      </c>
      <c r="B626" t="n">
        <v>29.95559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18.67056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45.36709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43.88774</v>
      </c>
      <c r="Y626" t="n">
        <v>32.75549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90" t="n">
        <v>37653</v>
      </c>
      <c r="B627" t="n">
        <v>30.20774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18.89323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45.65561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44.13456</v>
      </c>
      <c r="Y627" t="n">
        <v>33.05766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90" t="n">
        <v>37681</v>
      </c>
      <c r="B628" t="n">
        <v>30.48511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45.8809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44.29063</v>
      </c>
      <c r="Y628" t="n">
        <v>33.22325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90" t="n">
        <v>37712</v>
      </c>
      <c r="B629" t="n">
        <v>30.83532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19.21268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45.97179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44.47112</v>
      </c>
      <c r="Y629" t="n">
        <v>33.27596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90" t="n">
        <v>37742</v>
      </c>
      <c r="B630" t="n">
        <v>31.28919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19.42822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46.06089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44.78297</v>
      </c>
      <c r="Y630" t="n">
        <v>33.34639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90" t="n">
        <v>37773</v>
      </c>
      <c r="B631" t="n">
        <v>31.60579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46.30514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</v>
      </c>
      <c r="Y631" t="n">
        <v>33.4725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90" t="n">
        <v>37803</v>
      </c>
      <c r="B632" t="n">
        <v>31.44329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20.02832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46.84634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45.27944</v>
      </c>
      <c r="Y632" t="n">
        <v>33.7513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90" t="n">
        <v>37834</v>
      </c>
      <c r="B633" t="n">
        <v>31.62259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47.12627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45.61411</v>
      </c>
      <c r="Y633" t="n">
        <v>33.94255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90" t="n">
        <v>37865</v>
      </c>
      <c r="B634" t="n">
        <v>32.18013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20.29446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47.42658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45.63145</v>
      </c>
      <c r="Y634" t="n">
        <v>34.16099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90" t="n">
        <v>37895</v>
      </c>
      <c r="B635" t="n">
        <v>32.50512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47.78462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45.75268</v>
      </c>
      <c r="Y635" t="n">
        <v>34.59692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90" t="n">
        <v>37926</v>
      </c>
      <c r="B636" t="n">
        <v>32.76848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48.20238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45.91962</v>
      </c>
      <c r="Y636" t="n">
        <v>35.06544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33.09908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20.72436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48.8439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46.06479</v>
      </c>
      <c r="Y637" t="n">
        <v>35.3707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90" t="n">
        <v>37987</v>
      </c>
      <c r="B638" t="n">
        <v>33.32882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21.05402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49.92076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46.34122</v>
      </c>
      <c r="Y638" t="n">
        <v>35.87064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90" t="n">
        <v>38018</v>
      </c>
      <c r="B639" t="n">
        <v>33.59778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21.28078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50.39224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46.63964</v>
      </c>
      <c r="Y639" t="n">
        <v>36.27082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90" t="n">
        <v>38047</v>
      </c>
      <c r="B640" t="n">
        <v>34.01803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50.40281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46.8768</v>
      </c>
      <c r="Y640" t="n">
        <v>36.41119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90" t="n">
        <v>38078</v>
      </c>
      <c r="B641" t="n">
        <v>34.36544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21.70018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50.83695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47.18236</v>
      </c>
      <c r="Y641" t="n">
        <v>36.81582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90" t="n">
        <v>38108</v>
      </c>
      <c r="B642" t="n">
        <v>34.53354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21.71334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50.98989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47.62466</v>
      </c>
      <c r="Y642" t="n">
        <v>37.22299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90" t="n">
        <v>38139</v>
      </c>
      <c r="B643" t="n">
        <v>34.67923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22.16974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51.33303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47.73908</v>
      </c>
      <c r="Y643" t="n">
        <v>37.43144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90" t="n">
        <v>38169</v>
      </c>
      <c r="B644" t="n">
        <v>35.01263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22.60472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51.74911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47.90945</v>
      </c>
      <c r="Y644" t="n">
        <v>37.59307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90" t="n">
        <v>38200</v>
      </c>
      <c r="B645" t="n">
        <v>35.304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22.71755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52.07959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48.14561</v>
      </c>
      <c r="Y645" t="n">
        <v>37.91063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90" t="n">
        <v>38231</v>
      </c>
      <c r="B646" t="n">
        <v>35.40487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23.05387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52.35252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48.37789</v>
      </c>
      <c r="Y646" t="n">
        <v>38.21674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90" t="n">
        <v>38261</v>
      </c>
      <c r="B647" t="n">
        <v>35.53935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23.35348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52.56144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48.63084</v>
      </c>
      <c r="Y647" t="n">
        <v>38.5249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90" t="n">
        <v>38292</v>
      </c>
      <c r="B648" t="n">
        <v>35.86715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23.56961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53.11039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48.90853</v>
      </c>
      <c r="Y648" t="n">
        <v>38.94751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90" t="n">
        <v>38322</v>
      </c>
      <c r="B649" t="n">
        <v>36.15852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24.08909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53.57183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49.09951</v>
      </c>
      <c r="Y649" t="n">
        <v>39.11519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90" t="n">
        <v>38353</v>
      </c>
      <c r="B650" t="n">
        <v>36.39106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24.66473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54.06977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49.23502</v>
      </c>
      <c r="Y650" t="n">
        <v>39.24415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90" t="n">
        <v>38384</v>
      </c>
      <c r="B651" t="n">
        <v>36.632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54.4571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49.4078</v>
      </c>
      <c r="Y651" t="n">
        <v>39.49502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90" t="n">
        <v>38412</v>
      </c>
      <c r="B652" t="n">
        <v>36.80851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25.19955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54.7821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49.60106</v>
      </c>
      <c r="Y652" t="n">
        <v>39.89442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90" t="n">
        <v>38443</v>
      </c>
      <c r="B653" t="n">
        <v>37.02424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25.58139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55.31069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49.84465</v>
      </c>
      <c r="Y653" t="n">
        <v>40.48246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90" t="n">
        <v>38473</v>
      </c>
      <c r="B654" t="n">
        <v>37.35764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25.94507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55.97715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50.11687</v>
      </c>
      <c r="Y654" t="n">
        <v>41.05867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90" t="n">
        <v>38504</v>
      </c>
      <c r="B655" t="n">
        <v>37.74147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26.30383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56.6556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50.44882</v>
      </c>
      <c r="Y655" t="n">
        <v>41.62709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90" t="n">
        <v>38534</v>
      </c>
      <c r="B656" t="n">
        <v>37.97681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26.47293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57.27908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50.80835</v>
      </c>
      <c r="Y656" t="n">
        <v>42.16887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90" t="n">
        <v>38565</v>
      </c>
      <c r="B657" t="n">
        <v>38.09448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26.61078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57.45352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51.09821</v>
      </c>
      <c r="Y657" t="n">
        <v>42.53786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90" t="n">
        <v>38596</v>
      </c>
      <c r="B658" t="n">
        <v>38.41948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27.02942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57.93121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51.41989</v>
      </c>
      <c r="Y658" t="n">
        <v>42.98838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90" t="n">
        <v>38626</v>
      </c>
      <c r="B659" t="n">
        <v>38.6156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27.57961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58.85546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51.76954</v>
      </c>
      <c r="Y659" t="n">
        <v>43.55564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90" t="n">
        <v>38657</v>
      </c>
      <c r="B660" t="n">
        <v>38.67723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28.22033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59.2206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51.99805</v>
      </c>
      <c r="Y660" t="n">
        <v>43.96391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90" t="n">
        <v>38687</v>
      </c>
      <c r="B661" t="n">
        <v>39.00783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28.51993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59.93179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52.28329</v>
      </c>
      <c r="Y661" t="n">
        <v>44.46399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39.4505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28.55878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60.39614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52.59051</v>
      </c>
      <c r="Y662" t="n">
        <v>44.84326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39.76709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28.83845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60.78692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52.85979</v>
      </c>
      <c r="Y663" t="n">
        <v>45.19246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90" t="n">
        <v>38777</v>
      </c>
      <c r="B664" t="n">
        <v>40.14531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28.85606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62.09141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53.24149</v>
      </c>
      <c r="Y664" t="n">
        <v>45.98093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90" t="n">
        <v>38808</v>
      </c>
      <c r="B665" t="n">
        <v>40.87095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29.40665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62.94968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53.69057</v>
      </c>
      <c r="Y665" t="n">
        <v>46.66321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90" t="n">
        <v>38838</v>
      </c>
      <c r="B666" t="n">
        <v>41.38926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30.19624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62.97399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53.98832</v>
      </c>
      <c r="Y666" t="n">
        <v>47.36233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41.64421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63.34789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54.3882</v>
      </c>
      <c r="Y667" t="n">
        <v>48.17333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90" t="n">
        <v>38899</v>
      </c>
      <c r="B668" t="n">
        <v>42.00563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31.30389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64.08727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54.6686</v>
      </c>
      <c r="Y668" t="n">
        <v>48.50459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90" t="n">
        <v>38930</v>
      </c>
      <c r="B669" t="n">
        <v>42.42588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31.90455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64.67571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54.89175</v>
      </c>
      <c r="Y669" t="n">
        <v>48.7174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90" t="n">
        <v>38961</v>
      </c>
      <c r="B670" t="n">
        <v>42.82933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65.57161000000001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55.23336</v>
      </c>
      <c r="Y670" t="n">
        <v>49.275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90" t="n">
        <v>38991</v>
      </c>
      <c r="B671" t="n">
        <v>43.25798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32.18114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66.58546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55.60481</v>
      </c>
      <c r="Y671" t="n">
        <v>49.8743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90" t="n">
        <v>39022</v>
      </c>
      <c r="B672" t="n">
        <v>43.65862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32.87661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67.15554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55.92631</v>
      </c>
      <c r="Y672" t="n">
        <v>50.3075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44.07047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33.29497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67.86302999999999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56.37838</v>
      </c>
      <c r="Y673" t="n">
        <v>50.91236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44.51874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33.24562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68.50227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56.75045</v>
      </c>
      <c r="Y674" t="n">
        <v>51.58514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45.16033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33.69468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68.99491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56.98544</v>
      </c>
      <c r="Y675" t="n">
        <v>52.13246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45.9448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69.84341999999999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57.38702</v>
      </c>
      <c r="Y676" t="n">
        <v>52.68038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90" t="n">
        <v>39173</v>
      </c>
      <c r="B677" t="n">
        <v>46.64242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36.00227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70.67603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57.87194</v>
      </c>
      <c r="Y677" t="n">
        <v>53.22622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90" t="n">
        <v>39203</v>
      </c>
      <c r="B678" t="n">
        <v>47.22517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36.54681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71.80143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58.16517</v>
      </c>
      <c r="Y678" t="n">
        <v>53.9285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90" t="n">
        <v>39234</v>
      </c>
      <c r="B679" t="n">
        <v>48.07968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36.52514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72.84511999999999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58.56519</v>
      </c>
      <c r="Y679" t="n">
        <v>54.63766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90" t="n">
        <v>39264</v>
      </c>
      <c r="B680" t="n">
        <v>49.02665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36.72447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73.67416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58.9227</v>
      </c>
      <c r="Y680" t="n">
        <v>55.28251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90" t="n">
        <v>39295</v>
      </c>
      <c r="B681" t="n">
        <v>49.85034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37.04221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74.387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59.5161</v>
      </c>
      <c r="Y681" t="n">
        <v>55.92401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90" t="n">
        <v>39326</v>
      </c>
      <c r="B682" t="n">
        <v>50.76369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37.56874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74.88608000000001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59.88149</v>
      </c>
      <c r="Y682" t="n">
        <v>56.35674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90" t="n">
        <v>39356</v>
      </c>
      <c r="B683" t="n">
        <v>51.86755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38.61749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74.94362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60.13079</v>
      </c>
      <c r="Y683" t="n">
        <v>56.61385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90" t="n">
        <v>39387</v>
      </c>
      <c r="B684" t="n">
        <v>53.25999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39.25306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75.20954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60.49518</v>
      </c>
      <c r="Y684" t="n">
        <v>57.02768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90" t="n">
        <v>39417</v>
      </c>
      <c r="B685" t="n">
        <v>54.19576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39.44943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76.39548000000001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60.89865</v>
      </c>
      <c r="Y685" t="n">
        <v>57.7819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90" t="n">
        <v>39448</v>
      </c>
      <c r="B686" t="n">
        <v>54.80372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39.61496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78.35441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61.36677</v>
      </c>
      <c r="Y686" t="n">
        <v>58.66881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90" t="n">
        <v>39479</v>
      </c>
      <c r="B687" t="n">
        <v>55.36966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39.94358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79.91798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61.98919</v>
      </c>
      <c r="Y687" t="n">
        <v>59.49268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90" t="n">
        <v>39508</v>
      </c>
      <c r="B688" t="n">
        <v>55.84875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40.16497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80.88002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62.53369</v>
      </c>
      <c r="Y688" t="n">
        <v>60.4259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90" t="n">
        <v>39539</v>
      </c>
      <c r="B689" t="n">
        <v>56.4287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41.03553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81.69540000000001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62.99522</v>
      </c>
      <c r="Y689" t="n">
        <v>61.2933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90" t="n">
        <v>39569</v>
      </c>
      <c r="B690" t="n">
        <v>56.84615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41.54245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81.96436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63.27155</v>
      </c>
      <c r="Y690" t="n">
        <v>61.56453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90" t="n">
        <v>39600</v>
      </c>
      <c r="B691" t="n">
        <v>57.48773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41.50275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82.29523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63.47192</v>
      </c>
      <c r="Y691" t="n">
        <v>61.65014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90" t="n">
        <v>39630</v>
      </c>
      <c r="B692" t="n">
        <v>58.62802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41.96374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82.55607000000001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63.83979</v>
      </c>
      <c r="Y692" t="n">
        <v>62.06421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90" t="n">
        <v>39661</v>
      </c>
      <c r="B693" t="n">
        <v>59.57499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42.71107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83.18977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64.15129</v>
      </c>
      <c r="Y693" t="n">
        <v>62.58125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90" t="n">
        <v>39692</v>
      </c>
      <c r="B694" t="n">
        <v>60.47713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43.68888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83.62153000000001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64.63471</v>
      </c>
      <c r="Y694" t="n">
        <v>63.09239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90" t="n">
        <v>39722</v>
      </c>
      <c r="B695" t="n">
        <v>61.41569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44.44713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85.20354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65.37860999999999</v>
      </c>
      <c r="Y695" t="n">
        <v>64.26132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90" t="n">
        <v>39753</v>
      </c>
      <c r="B696" t="n">
        <v>62.53917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44.95336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87.99599000000001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65.99509</v>
      </c>
      <c r="Y696" t="n">
        <v>65.68124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63.32084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45.78328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89.90335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67.00893000000001</v>
      </c>
      <c r="Y697" t="n">
        <v>66.67140000000001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90" t="n">
        <v>39814</v>
      </c>
      <c r="B698" t="n">
        <v>63.7579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46.57058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91.39832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67.66396</v>
      </c>
      <c r="Y698" t="n">
        <v>67.62311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90" t="n">
        <v>39845</v>
      </c>
      <c r="B699" t="n">
        <v>64.68245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47.16078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92.21218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68.09408999999999</v>
      </c>
      <c r="Y699" t="n">
        <v>68.43615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90" t="n">
        <v>39873</v>
      </c>
      <c r="B700" t="n">
        <v>64.60680000000001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47.60213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92.21288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68.4777</v>
      </c>
      <c r="Y700" t="n">
        <v>68.72619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90" t="n">
        <v>39904</v>
      </c>
      <c r="B701" t="n">
        <v>64.53957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47.74538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91.57653000000001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68.51031999999999</v>
      </c>
      <c r="Y701" t="n">
        <v>68.59618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48.02695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90.74665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68.76418</v>
      </c>
      <c r="Y702" t="n">
        <v>68.52866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90" t="n">
        <v>39965</v>
      </c>
      <c r="B703" t="n">
        <v>65.74709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48.45788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90.35334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68.88449</v>
      </c>
      <c r="Y703" t="n">
        <v>68.58955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66.11971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48.91024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90.48227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69.04071</v>
      </c>
      <c r="Y704" t="n">
        <v>68.72363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90" t="n">
        <v>40026</v>
      </c>
      <c r="B705" t="n">
        <v>66.29622000000001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49.16473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91.20717999999999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69.16319</v>
      </c>
      <c r="Y705" t="n">
        <v>69.01613999999999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66.40269000000001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49.1102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92.11743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69.31018</v>
      </c>
      <c r="Y706" t="n">
        <v>69.48981000000001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66.35505999999999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49.2664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93.10281000000001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69.63424999999999</v>
      </c>
      <c r="Y707" t="n">
        <v>70.15828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90" t="n">
        <v>40118</v>
      </c>
      <c r="B708" t="n">
        <v>66.28221000000001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93.67989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69.95408</v>
      </c>
      <c r="Y708" t="n">
        <v>70.65434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66.13652999999999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49.67704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93.37896000000001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69.99911</v>
      </c>
      <c r="Y709" t="n">
        <v>70.74409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66.15894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50.0947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96.96563999999999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70.12184000000001</v>
      </c>
      <c r="Y710" t="n">
        <v>71.90572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90" t="n">
        <v>40210</v>
      </c>
      <c r="B711" t="n">
        <v>66.65204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50.66787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101.3987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70.69634000000001</v>
      </c>
      <c r="Y711" t="n">
        <v>73.39595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90" t="n">
        <v>40238</v>
      </c>
      <c r="B712" t="n">
        <v>67.39729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50.80763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101.7457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70.86929000000001</v>
      </c>
      <c r="Y712" t="n">
        <v>73.79687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90" t="n">
        <v>40269</v>
      </c>
      <c r="B713" t="n">
        <v>67.98003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51.19631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100.853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71.17788</v>
      </c>
      <c r="Y713" t="n">
        <v>73.84969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90" t="n">
        <v>40299</v>
      </c>
      <c r="B714" t="n">
        <v>68.31623999999999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51.57974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100.2537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71.61842</v>
      </c>
      <c r="Y714" t="n">
        <v>74.14415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68.73088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52.06016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100.2352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71.91330000000001</v>
      </c>
      <c r="Y715" t="n">
        <v>74.72678000000001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90" t="n">
        <v>40360</v>
      </c>
      <c r="B716" t="n">
        <v>69.31923999999999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52.55654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100.1054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72.14637</v>
      </c>
      <c r="Y716" t="n">
        <v>75.15367999999999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90" t="n">
        <v>40391</v>
      </c>
      <c r="B717" t="n">
        <v>69.9188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99.85944000000001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72.52525</v>
      </c>
      <c r="Y717" t="n">
        <v>75.34474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90" t="n">
        <v>40422</v>
      </c>
      <c r="B718" t="n">
        <v>70.42870000000001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53.25465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99.69068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72.78455</v>
      </c>
      <c r="Y718" t="n">
        <v>75.48997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90" t="n">
        <v>40452</v>
      </c>
      <c r="B719" t="n">
        <v>71.01425999999999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53.74369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99.84535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73.19843</v>
      </c>
      <c r="Y719" t="n">
        <v>75.82597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71.95282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54.18329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99.51101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73.45374</v>
      </c>
      <c r="Y720" t="n">
        <v>76.10001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90" t="n">
        <v>40513</v>
      </c>
      <c r="B721" t="n">
        <v>72.74850000000001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54.86057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98.5929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73.69678</v>
      </c>
      <c r="Y721" t="n">
        <v>76.37375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90" t="n">
        <v>40544</v>
      </c>
      <c r="B722" t="n">
        <v>73.23038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55.52328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98.10877000000001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73.92876</v>
      </c>
      <c r="Y722" t="n">
        <v>76.48633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73.87197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56.07283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98.27697000000001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74.36698</v>
      </c>
      <c r="Y723" t="n">
        <v>76.68942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74.49114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56.8984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98.80991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74.88777</v>
      </c>
      <c r="Y724" t="n">
        <v>77.44916000000001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74.98144000000001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57.35047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99.00855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75.40228</v>
      </c>
      <c r="Y725" t="n">
        <v>77.97783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90" t="n">
        <v>40664</v>
      </c>
      <c r="B726" t="n">
        <v>75.37927999999999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58.07789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99.08792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75.93702999999999</v>
      </c>
      <c r="Y726" t="n">
        <v>78.37882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90" t="n">
        <v>40695</v>
      </c>
      <c r="B727" t="n">
        <v>75.40169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59.29408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99.02946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76.43265</v>
      </c>
      <c r="Y727" t="n">
        <v>78.72444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75.53897000000001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59.77978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98.62899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77.27401999999999</v>
      </c>
      <c r="Y728" t="n">
        <v>78.98934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90" t="n">
        <v>40756</v>
      </c>
      <c r="B729" t="n">
        <v>76.37388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60.89498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98.55968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78.36404</v>
      </c>
      <c r="Y729" t="n">
        <v>79.59289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90" t="n">
        <v>40787</v>
      </c>
      <c r="B730" t="n">
        <v>77.2452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62.10904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98.64623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78.82747999999999</v>
      </c>
      <c r="Y730" t="n">
        <v>80.2933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90" t="n">
        <v>40817</v>
      </c>
      <c r="B731" t="n">
        <v>77.72429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62.60814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98.03735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79.12357</v>
      </c>
      <c r="Y731" t="n">
        <v>80.39784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78.06609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63.65222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97.30052000000001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79.47658</v>
      </c>
      <c r="Y732" t="n">
        <v>80.42711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78.51997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64.87755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96.46674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79.86947000000001</v>
      </c>
      <c r="Y733" t="n">
        <v>80.65047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90" t="n">
        <v>40909</v>
      </c>
      <c r="B734" t="n">
        <v>79.09990999999999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65.63502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96.28925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80.40562</v>
      </c>
      <c r="Y734" t="n">
        <v>80.89543999999999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90" t="n">
        <v>40940</v>
      </c>
      <c r="B735" t="n">
        <v>79.59021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66.27858000000001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96.25552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80.78552000000001</v>
      </c>
      <c r="Y735" t="n">
        <v>81.05673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90" t="n">
        <v>40969</v>
      </c>
      <c r="B736" t="n">
        <v>80.06368999999999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66.96595000000001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95.75475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81.20005999999999</v>
      </c>
      <c r="Y736" t="n">
        <v>81.15163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80.48675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67.69147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96.11176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81.67637000000001</v>
      </c>
      <c r="Y737" t="n">
        <v>81.58282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81.15635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68.55249000000001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96.58565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82.06498999999999</v>
      </c>
      <c r="Y738" t="n">
        <v>82.01233000000001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81.88759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69.03903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96.60005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82.59520999999999</v>
      </c>
      <c r="Y739" t="n">
        <v>82.37755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90" t="n">
        <v>41091</v>
      </c>
      <c r="B740" t="n">
        <v>82.30224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69.11095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96.7024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83.05207</v>
      </c>
      <c r="Y740" t="n">
        <v>82.69282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90" t="n">
        <v>41122</v>
      </c>
      <c r="B741" t="n">
        <v>82.79533000000001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69.96499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96.85163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83.51757000000001</v>
      </c>
      <c r="Y741" t="n">
        <v>83.01676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83.24921000000001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71.61636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96.91967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84.04241</v>
      </c>
      <c r="Y742" t="n">
        <v>83.47134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90" t="n">
        <v>41183</v>
      </c>
      <c r="B743" t="n">
        <v>83.60222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72.84708999999999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97.20389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84.52261</v>
      </c>
      <c r="Y743" t="n">
        <v>83.91710999999999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83.92722000000001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73.38929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97.0705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84.92809</v>
      </c>
      <c r="Y744" t="n">
        <v>84.04588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84.28863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97.64259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85.64785999999999</v>
      </c>
      <c r="Y745" t="n">
        <v>84.41106000000001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90" t="n">
        <v>41275</v>
      </c>
      <c r="B746" t="n">
        <v>84.82095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75.81786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98.99688999999999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86.04187</v>
      </c>
      <c r="Y746" t="n">
        <v>85.09974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85.19637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76.30136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99.73513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86.31673000000001</v>
      </c>
      <c r="Y747" t="n">
        <v>85.58041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90" t="n">
        <v>41334</v>
      </c>
      <c r="B748" t="n">
        <v>85.58861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99.95213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86.8674</v>
      </c>
      <c r="Y748" t="n">
        <v>86.07053999999999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90" t="n">
        <v>41365</v>
      </c>
      <c r="B749" t="n">
        <v>86.23018999999999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78.75027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100.1429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87.30799</v>
      </c>
      <c r="Y749" t="n">
        <v>86.57277999999999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90" t="n">
        <v>41395</v>
      </c>
      <c r="B750" t="n">
        <v>87.00906000000001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79.65154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100.6262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87.74762</v>
      </c>
      <c r="Y750" t="n">
        <v>87.17041999999999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87.47414000000001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80.81782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101.1849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88.24737</v>
      </c>
      <c r="Y751" t="n">
        <v>87.94016000000001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87.60863000000001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81.94382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101.5323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88.64082000000001</v>
      </c>
      <c r="Y752" t="n">
        <v>88.65161000000001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87.76832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82.76817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101.8476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89.1694</v>
      </c>
      <c r="Y753" t="n">
        <v>89.29224000000001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88.12133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83.45721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101.5688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89.64761</v>
      </c>
      <c r="Y754" t="n">
        <v>89.75512999999999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90" t="n">
        <v>41548</v>
      </c>
      <c r="B755" t="n">
        <v>88.76012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84.33872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101.1779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90.35187999999999</v>
      </c>
      <c r="Y755" t="n">
        <v>90.1506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90" t="n">
        <v>41579</v>
      </c>
      <c r="B756" t="n">
        <v>89.36528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85.36465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101.2107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90.69405999999999</v>
      </c>
      <c r="Y756" t="n">
        <v>90.65654000000001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90" t="n">
        <v>41609</v>
      </c>
      <c r="B757" t="n">
        <v>90.03488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85.91179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100.6508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91.18481</v>
      </c>
      <c r="Y757" t="n">
        <v>91.08556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90" t="n">
        <v>41640</v>
      </c>
      <c r="B758" t="n">
        <v>90.65965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86.69495999999999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100.709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91.65161999999999</v>
      </c>
      <c r="Y758" t="n">
        <v>91.69859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91.17236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88.03480999999999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101.8014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92.23832</v>
      </c>
      <c r="Y759" t="n">
        <v>92.42283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91.58701000000001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88.89745000000001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101.3011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92.56905</v>
      </c>
      <c r="Y760" t="n">
        <v>92.50196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92.0633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89.36299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100.2718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92.91</v>
      </c>
      <c r="Y761" t="n">
        <v>92.49458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92.74131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89.87916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93.35872999999999</v>
      </c>
      <c r="Y762" t="n">
        <v>92.65886999999999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90" t="n">
        <v>41791</v>
      </c>
      <c r="B763" t="n">
        <v>93.30444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90.43774999999999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99.88506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93.80112</v>
      </c>
      <c r="Y763" t="n">
        <v>92.88225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93.84237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91.17675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99.65219999999999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94.33347000000001</v>
      </c>
      <c r="Y764" t="n">
        <v>93.40576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90" t="n">
        <v>41852</v>
      </c>
      <c r="B765" t="n">
        <v>94.53439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91.80382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99.83794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94.76163</v>
      </c>
      <c r="Y765" t="n">
        <v>94.05137999999999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95.25162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92.10545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100.0677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95.16306</v>
      </c>
      <c r="Y766" t="n">
        <v>94.70786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95.77273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92.73756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99.70581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95.62538000000001</v>
      </c>
      <c r="Y767" t="n">
        <v>94.95095999999999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90" t="n">
        <v>41944</v>
      </c>
      <c r="B768" t="n">
        <v>96.07531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93.46850999999999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99.54018000000001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</v>
      </c>
      <c r="Y768" t="n">
        <v>95.20438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90" t="n">
        <v>41974</v>
      </c>
      <c r="B769" t="n">
        <v>96.60203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94.00172000000001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99.74321999999999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96.69925000000001</v>
      </c>
      <c r="Y769" t="n">
        <v>95.85593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90" t="n">
        <v>42005</v>
      </c>
      <c r="B770" t="n">
        <v>97.12314000000001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94.81444999999999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99.60865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97.23281</v>
      </c>
      <c r="Y770" t="n">
        <v>96.41867999999999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90" t="n">
        <v>42036</v>
      </c>
      <c r="B771" t="n">
        <v>97.81796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95.84635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99.23711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97.98669</v>
      </c>
      <c r="Y771" t="n">
        <v>96.99365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98.49036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96.70927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99.60814999999999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98.37416</v>
      </c>
      <c r="Y772" t="n">
        <v>97.90236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90" t="n">
        <v>42095</v>
      </c>
      <c r="B773" t="n">
        <v>98.8826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97.20271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100.1236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98.85543</v>
      </c>
      <c r="Y773" t="n">
        <v>98.6942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99.25521999999999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98.24693000000001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100.0768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99.3083</v>
      </c>
      <c r="Y774" t="n">
        <v>99.23264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99.56901000000001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99.49421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99.72062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99.68565</v>
      </c>
      <c r="Y775" t="n">
        <v>99.57163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100.2162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100.2384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99.78891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100.2229</v>
      </c>
      <c r="Y776" t="n">
        <v>100.2152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100.7177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101.4183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100.2428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100.8224</v>
      </c>
      <c r="Y777" t="n">
        <v>101.1166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102.7239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100.2517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101.3033</v>
      </c>
      <c r="Y778" t="n">
        <v>101.9011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101.7207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103.7965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100.2695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101.6185</v>
      </c>
      <c r="Y779" t="n">
        <v>102.4353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102.2586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104.4823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100.3045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102.091</v>
      </c>
      <c r="Y780" t="n">
        <v>102.6113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102.7685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105.0267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100.7676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102.4989</v>
      </c>
      <c r="Y781" t="n">
        <v>102.9073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103.1804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105.9136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101.6395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103.2956</v>
      </c>
      <c r="Y782" t="n">
        <v>103.4664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103.6399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102.483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104.1962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104.1498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107.7505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103.1672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104.3795</v>
      </c>
      <c r="Y784" t="n">
        <v>104.8472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104.5952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108.7234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103.2126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104.9846</v>
      </c>
      <c r="Y785" t="n">
        <v>105.2996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104.9314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109.4307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103.3465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105.5549</v>
      </c>
      <c r="Y786" t="n">
        <v>105.9533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105.3377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109.9097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105.3993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106.2422</v>
      </c>
      <c r="Y787" t="n">
        <v>107.2862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106.0297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110.5173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107.7393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106.9466</v>
      </c>
      <c r="Y788" t="n">
        <v>108.6463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106.7637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111.2404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108.7118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109.3603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107.1336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111.826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109.5168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108.1402</v>
      </c>
      <c r="Y790" t="n">
        <v>109.9855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90" t="n">
        <v>42644</v>
      </c>
      <c r="B791" t="n">
        <v>107.6294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111.9875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110.5494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108.7654</v>
      </c>
      <c r="Y791" t="n">
        <v>110.9301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108.4559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112.4833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111.0901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109.4148</v>
      </c>
      <c r="Y792" t="n">
        <v>112.1765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109.4646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113.0106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111.1105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</v>
      </c>
      <c r="Y793" t="n">
        <v>113.2898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110.3583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113.7363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111.5917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110.5641</v>
      </c>
      <c r="Y794" t="n">
        <v>114.282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110.9831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114.4517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112.6498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111.1291</v>
      </c>
      <c r="Y795" t="n">
        <v>115.0763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90" t="n">
        <v>42795</v>
      </c>
      <c r="B796" t="n">
        <v>111.3557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114.5097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113.8934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111.7886</v>
      </c>
      <c r="Y796" t="n">
        <v>116.0502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111.9721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115.3668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114.7425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112.4761</v>
      </c>
      <c r="Y797" t="n">
        <v>117.2954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112.7089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116.0159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115.0205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112.9384</v>
      </c>
      <c r="Y798" t="n">
        <v>118.0153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113.3001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115.1617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113.2736</v>
      </c>
      <c r="Y799" t="n">
        <v>118.544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113.7707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117.0774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115.4661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113.8079</v>
      </c>
      <c r="Y800" t="n">
        <v>119.1006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114.0369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117.2431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116.3138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114.3208</v>
      </c>
      <c r="Y801" t="n">
        <v>119.9855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90" t="n">
        <v>42979</v>
      </c>
      <c r="B802" t="n">
        <v>114.4067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117.5128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117.3186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114.8392</v>
      </c>
      <c r="Y802" t="n">
        <v>121.0894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114.8522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118.209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117.9363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115.4568</v>
      </c>
      <c r="Y803" t="n">
        <v>122.2454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115.2276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119.0871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118.2419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115.9231</v>
      </c>
      <c r="Y804" t="n">
        <v>123.2246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115.2584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120.4795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118.2287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116.3079</v>
      </c>
      <c r="Y805" t="n">
        <v>123.4347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115.3593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121.165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118.765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116.4403</v>
      </c>
      <c r="Y806" t="n">
        <v>123.6599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115.5778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119.3207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116.7954</v>
      </c>
      <c r="Y807" t="n">
        <v>124.3326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115.575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121.6535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</v>
      </c>
      <c r="Y808" t="n">
        <v>125.027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115.4181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121.735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117.786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117.8237</v>
      </c>
      <c r="Y809" t="n">
        <v>125.829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115.4489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121.8855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118.5679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118.4894</v>
      </c>
      <c r="Y810" t="n">
        <v>127.4489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115.6423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119.3686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119.2053</v>
      </c>
      <c r="Y811" t="n">
        <v>128.9198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115.8468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123.0101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119.3109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119.6236</v>
      </c>
      <c r="Y812" t="n">
        <v>129.8871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116.5108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123.8855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119.4353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120.1527</v>
      </c>
      <c r="Y813" t="n">
        <v>130.8539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117.0095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124.3164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119.9203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120.7734</v>
      </c>
      <c r="Y814" t="n">
        <v>132.6013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117.2336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124.761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120.9995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121.2058</v>
      </c>
      <c r="Y815" t="n">
        <v>133.9453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117.4914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125.6246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121.6873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121.2899</v>
      </c>
      <c r="Y816" t="n">
        <v>133.3113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90" t="n">
        <v>43435</v>
      </c>
      <c r="B817" t="n">
        <v>117.8276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127.0518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122.1627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121.9249</v>
      </c>
      <c r="Y817" t="n">
        <v>133.2343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118.4215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127.6567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121.9979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122.3662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119.0659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127.8352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120.7775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122.6316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119.7916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128.9899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120.3235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123.0148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120.251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130.1141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120.5494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123.3807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90" t="n">
        <v>43586</v>
      </c>
      <c r="B822" t="n">
        <v>120.2819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130.9848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120.8505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123.9862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90" t="n">
        <v>43617</v>
      </c>
      <c r="B823" t="n">
        <v>120.1922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121.1648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124.7122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119.4722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132.5732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121.5244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125.2564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118.9875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133.7275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122.026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125.8904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119.3657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135.4756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121.9666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126.4984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119.8644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136.6523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121.3526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127.2964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120.4303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137.8318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121.4137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128.0284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120.8422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138.387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121.883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128.5861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121.3017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138.5959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122.2681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129.1777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121.8816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139.9695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123.0998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129.7757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123.8596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144.1023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127.0744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133.234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127.4401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149.2473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130.8821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139.1097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129.4798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151.9615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132.179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143.7491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129.9645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133.6586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145.8723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131.0291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153.4315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134.7057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147.0168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132.4972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153.9849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134.7839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147.7337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133.6403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154.9611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134.8784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149.1068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134.4388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156.0288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135.159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149.9843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135.2821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156.137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135.0464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151.3563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136.0469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156.4348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136.2252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152.4043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158.7755</v>
      </c>
      <c r="AE841" t="n">
        <v>143.7466</v>
      </c>
    </row>
    <row r="842">
      <c r="A842" s="90" t="n">
        <v>44197</v>
      </c>
      <c r="B842" t="n">
        <v>136.7894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157.408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137.5973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153.9788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160.8311</v>
      </c>
      <c r="AE842" t="n">
        <v>144.7892</v>
      </c>
    </row>
    <row r="843">
      <c r="A843" s="90" t="n">
        <v>44228</v>
      </c>
      <c r="B843" t="n">
        <v>137.4814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158.2904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138.1858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155.4865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162.8452</v>
      </c>
      <c r="AE843" t="n">
        <v>145.1587</v>
      </c>
    </row>
    <row r="844">
      <c r="A844" s="90" t="n">
        <v>44256</v>
      </c>
      <c r="B844" t="n">
        <v>137.8316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159.2321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139.0826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156.939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164.8278</v>
      </c>
      <c r="AE844" t="n">
        <v>144.8994</v>
      </c>
    </row>
    <row r="845">
      <c r="A845" s="90" t="n">
        <v>44287</v>
      </c>
      <c r="B845" t="n">
        <v>138.1566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160.1129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140.0871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158.5023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166.9606</v>
      </c>
      <c r="AE845" t="n">
        <v>144.8862</v>
      </c>
    </row>
    <row r="846">
      <c r="A846" s="90" t="n">
        <v>44317</v>
      </c>
      <c r="B846" t="n">
        <v>138.5152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161.4133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140.8808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160.2537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90" t="n">
        <v>44348</v>
      </c>
      <c r="B847" t="n">
        <v>139.4902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162.8523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141.8726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160.7554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90" t="n">
        <v>44378</v>
      </c>
      <c r="B848" t="n">
        <v>141.1712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164.2444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142.4923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161.9593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90" t="n">
        <v>44409</v>
      </c>
      <c r="B849" t="n">
        <v>142.3059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165.6469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142.99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163.3304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172.9788</v>
      </c>
      <c r="AE849" t="n">
        <v>147.4258</v>
      </c>
    </row>
    <row r="850">
      <c r="A850" s="90" t="n">
        <v>44440</v>
      </c>
      <c r="B850" t="n">
        <v>143.6619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166.47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144.5191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164.3172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174.0614</v>
      </c>
      <c r="AE850" t="n">
        <v>148.7881</v>
      </c>
    </row>
    <row r="851">
      <c r="A851" s="90" t="n">
        <v>44470</v>
      </c>
      <c r="B851" t="n">
        <v>145.2056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168.026</v>
      </c>
      <c r="I851" t="n">
        <v>141.2069</v>
      </c>
      <c r="J851" t="n">
        <v>164.6461</v>
      </c>
      <c r="K851" t="n">
        <v/>
      </c>
      <c r="L851" t="n">
        <v>143.8717</v>
      </c>
      <c r="M851" t="n">
        <v>145.6655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165.4956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175.54</v>
      </c>
      <c r="AE851" t="n">
        <v>149.3955</v>
      </c>
    </row>
    <row r="852">
      <c r="A852" s="90" t="n">
        <v>44501</v>
      </c>
      <c r="B852" t="n">
        <v>146.2787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170.4452</v>
      </c>
      <c r="I852" t="n">
        <v>141.7768</v>
      </c>
      <c r="J852" t="n">
        <v>165.2357</v>
      </c>
      <c r="K852" t="n">
        <v/>
      </c>
      <c r="L852" t="n">
        <v>144.9218</v>
      </c>
      <c r="M852" t="n">
        <v>146.4432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166.8836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177.2453</v>
      </c>
      <c r="AE852" t="n">
        <v>150.8331</v>
      </c>
    </row>
    <row r="853">
      <c r="A853" s="90" t="n">
        <v>44531</v>
      </c>
      <c r="B853" t="n">
        <v>147.9737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173.7059</v>
      </c>
      <c r="I853" t="n">
        <v>142.3468</v>
      </c>
      <c r="J853" t="n">
        <v>164.1339</v>
      </c>
      <c r="K853" t="n">
        <v/>
      </c>
      <c r="L853" t="n">
        <v>145.7889</v>
      </c>
      <c r="M853" t="n">
        <v>147.1271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167.9107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178.4126</v>
      </c>
      <c r="AE853" t="n">
        <v>152.4504</v>
      </c>
    </row>
    <row r="854">
      <c r="A854" s="90" t="n">
        <v>44562</v>
      </c>
      <c r="B854" t="n">
        <v>149.142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176.4992</v>
      </c>
      <c r="I854" t="n">
        <v>142.9167</v>
      </c>
      <c r="J854" t="n">
        <v>163.8779</v>
      </c>
      <c r="K854" t="n">
        <v/>
      </c>
      <c r="L854" t="n">
        <v>146.1151</v>
      </c>
      <c r="M854" t="n">
        <v>146.8216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168.956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179.7384</v>
      </c>
      <c r="AE854" t="n">
        <v>152.8845</v>
      </c>
    </row>
    <row r="855">
      <c r="A855" s="90" t="n">
        <v>44593</v>
      </c>
      <c r="B855" t="n">
        <v>149.3913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177.2517</v>
      </c>
      <c r="I855" t="n">
        <v>143.4866</v>
      </c>
      <c r="J855" t="n">
        <v>166.2576</v>
      </c>
      <c r="K855" t="n">
        <v/>
      </c>
      <c r="L855" t="n">
        <v>146.2131</v>
      </c>
      <c r="M855" t="n">
        <v>147.4919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169.5458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180.2274</v>
      </c>
      <c r="AE855" t="n">
        <v>153.6773</v>
      </c>
    </row>
    <row r="856">
      <c r="A856" s="90" t="n">
        <v>44621</v>
      </c>
      <c r="B856" t="n">
        <v>150.1758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178.33</v>
      </c>
      <c r="I856" t="n">
        <v>144.0565</v>
      </c>
      <c r="J856" t="n">
        <v>167.8531</v>
      </c>
      <c r="K856" t="n">
        <v/>
      </c>
      <c r="L856" t="n">
        <v>146.8905</v>
      </c>
      <c r="M856" t="n">
        <v>149.168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170.0651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155.6475</v>
      </c>
    </row>
    <row r="857">
      <c r="A857" s="90" t="n">
        <v>44652</v>
      </c>
      <c r="B857" t="n">
        <v>151.2096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180.1563</v>
      </c>
      <c r="I857" t="n">
        <v>144.6265</v>
      </c>
      <c r="J857" t="n">
        <v>168.4131</v>
      </c>
      <c r="K857" t="n">
        <v/>
      </c>
      <c r="L857" t="n">
        <v>147.9379</v>
      </c>
      <c r="M857" t="n">
        <v>149.7143</v>
      </c>
      <c r="N857" t="n">
        <v>212.1145</v>
      </c>
      <c r="O857" t="n">
        <v/>
      </c>
      <c r="P857" t="n">
        <v/>
      </c>
      <c r="Q857" t="n">
        <v>138.7103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169.9775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156.4266</v>
      </c>
    </row>
    <row r="858">
      <c r="A858" s="90" t="n">
        <v>44682</v>
      </c>
      <c r="B858" t="n">
        <v>152.2715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181.7175</v>
      </c>
      <c r="I858" t="n">
        <v>145.1964</v>
      </c>
      <c r="J858" t="n">
        <v>169.6828</v>
      </c>
      <c r="K858" t="n">
        <v/>
      </c>
      <c r="L858" t="n">
        <v>148.7015</v>
      </c>
      <c r="M858" t="n">
        <v>149.4972</v>
      </c>
      <c r="N858" t="n">
        <v>214.6976</v>
      </c>
      <c r="O858" t="n">
        <v/>
      </c>
      <c r="P858" t="n">
        <v/>
      </c>
      <c r="Q858" t="n">
        <v>139.2524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170.2573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156.0393</v>
      </c>
    </row>
    <row r="859">
      <c r="A859" s="90" t="n">
        <v>44713</v>
      </c>
      <c r="B859" t="n">
        <v>153.5126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183.7686</v>
      </c>
      <c r="I859" t="n">
        <v>145.7663</v>
      </c>
      <c r="J859" t="n">
        <v>170.5555</v>
      </c>
      <c r="K859" t="n">
        <v/>
      </c>
      <c r="L859" t="n">
        <v>149.3259</v>
      </c>
      <c r="M859" t="n">
        <v>150.1173</v>
      </c>
      <c r="N859" t="n">
        <v>217.414</v>
      </c>
      <c r="O859" t="n">
        <v/>
      </c>
      <c r="P859" t="n">
        <v/>
      </c>
      <c r="Q859" t="n">
        <v>139.7118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170.4611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179.3897</v>
      </c>
      <c r="AE859" t="n">
        <v>156.3431</v>
      </c>
    </row>
    <row r="860">
      <c r="A860" s="90" t="n">
        <v>44743</v>
      </c>
      <c r="B860" t="n">
        <v>154.482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186.1368</v>
      </c>
      <c r="I860" t="n">
        <v>146.3363</v>
      </c>
      <c r="J860" t="n">
        <v>170.6628</v>
      </c>
      <c r="K860" t="n">
        <v/>
      </c>
      <c r="L860" t="n">
        <v>150.2893</v>
      </c>
      <c r="M860" t="n">
        <v>151.0079</v>
      </c>
      <c r="N860" t="n">
        <v>221.9641</v>
      </c>
      <c r="O860" t="n">
        <v/>
      </c>
      <c r="P860" t="n">
        <v/>
      </c>
      <c r="Q860" t="n">
        <v>140.2341</v>
      </c>
      <c r="R860" t="n">
        <v>187.776</v>
      </c>
      <c r="S860" t="n">
        <v>127.5478</v>
      </c>
      <c r="T860" t="n">
        <v>168.7211</v>
      </c>
      <c r="U860" t="n">
        <v/>
      </c>
      <c r="V860" t="n">
        <v>160.6782</v>
      </c>
      <c r="W860" t="n">
        <v/>
      </c>
      <c r="X860" t="n">
        <v>170.9783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179.6263</v>
      </c>
      <c r="AE860" t="n">
        <v>157.7999</v>
      </c>
    </row>
    <row r="861">
      <c r="A861" s="90" t="n">
        <v>44774</v>
      </c>
      <c r="B861" t="n">
        <v>155.0255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188.2581</v>
      </c>
      <c r="I861" t="n">
        <v>146.9062</v>
      </c>
      <c r="J861" t="n">
        <v>171.4475</v>
      </c>
      <c r="K861" t="n">
        <v/>
      </c>
      <c r="L861" t="n">
        <v>151.2044</v>
      </c>
      <c r="M861" t="n">
        <v>151.7795</v>
      </c>
      <c r="N861" t="n">
        <v>226.7634</v>
      </c>
      <c r="O861" t="n">
        <v/>
      </c>
      <c r="P861" t="n">
        <v/>
      </c>
      <c r="Q861" t="n">
        <v>140.8281</v>
      </c>
      <c r="R861" t="n">
        <v>187.9462</v>
      </c>
      <c r="S861" t="n">
        <v>127.8438</v>
      </c>
      <c r="T861" t="n">
        <v>169.5486</v>
      </c>
      <c r="U861" t="n">
        <v/>
      </c>
      <c r="V861" t="n">
        <v>161.013</v>
      </c>
      <c r="W861" t="n">
        <v/>
      </c>
      <c r="X861" t="n">
        <v>171.2977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179.5948</v>
      </c>
      <c r="AE861" t="n">
        <v>159.7893</v>
      </c>
    </row>
    <row r="862">
      <c r="A862" s="90" t="n">
        <v>44805</v>
      </c>
      <c r="B862" t="n">
        <v>155.1768</v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>190.1142</v>
      </c>
      <c r="I862" t="n">
        <v/>
      </c>
      <c r="J862" t="n">
        <v>172.244</v>
      </c>
      <c r="K862" t="n">
        <v/>
      </c>
      <c r="L862" t="n">
        <v>151.9405</v>
      </c>
      <c r="M862" t="n">
        <v>154.2406</v>
      </c>
      <c r="N862" t="n">
        <v>229.663</v>
      </c>
      <c r="O862" t="n">
        <v/>
      </c>
      <c r="P862" t="n">
        <v/>
      </c>
      <c r="Q862" t="n">
        <v>141.4765</v>
      </c>
      <c r="R862" t="n">
        <v/>
      </c>
      <c r="S862" t="n">
        <v>127.9992</v>
      </c>
      <c r="T862" t="n">
        <v/>
      </c>
      <c r="U862" t="n">
        <v/>
      </c>
      <c r="V862" t="n">
        <v>162.6059</v>
      </c>
      <c r="W862" t="n">
        <v/>
      </c>
      <c r="X862" t="n">
        <v/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178.5238</v>
      </c>
      <c r="AE862" t="n">
        <v>161.4962</v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1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10325169</v>
      </c>
      <c r="C2" s="91" t="n">
        <v>44805</v>
      </c>
      <c r="D2" t="n">
        <v>9415232</v>
      </c>
      <c r="E2" t="inlineStr">
        <is>
          <t>ARS Million</t>
        </is>
      </c>
    </row>
    <row r="3">
      <c r="A3" t="inlineStr">
        <is>
          <t>Brazil</t>
        </is>
      </c>
      <c r="B3" t="n">
        <v>4795425</v>
      </c>
      <c r="C3" s="91" t="n">
        <v>44805</v>
      </c>
      <c r="D3" t="n">
        <v>4723684</v>
      </c>
      <c r="E3" t="inlineStr">
        <is>
          <t>BRL Million</t>
        </is>
      </c>
    </row>
    <row r="4">
      <c r="A4" t="inlineStr">
        <is>
          <t>Canada</t>
        </is>
      </c>
      <c r="B4" t="n">
        <v>2374338</v>
      </c>
      <c r="C4" s="91" t="n">
        <v>44805</v>
      </c>
      <c r="D4" t="n">
        <v>2358110</v>
      </c>
      <c r="E4" t="inlineStr">
        <is>
          <t>CAD Million</t>
        </is>
      </c>
    </row>
    <row r="5">
      <c r="A5" t="inlineStr">
        <is>
          <t>China</t>
        </is>
      </c>
      <c r="B5" t="n">
        <v>261290</v>
      </c>
      <c r="C5" s="91" t="n">
        <v>44835</v>
      </c>
      <c r="D5" t="n">
        <v>262660</v>
      </c>
      <c r="E5" t="inlineStr">
        <is>
          <t>CNY Billion</t>
        </is>
      </c>
    </row>
    <row r="6">
      <c r="A6" t="inlineStr">
        <is>
          <t>Euro Area</t>
        </is>
      </c>
      <c r="B6" t="n">
        <v>15375070</v>
      </c>
      <c r="C6" s="91" t="n">
        <v>44835</v>
      </c>
      <c r="D6" t="n">
        <v>15448158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1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3809</v>
      </c>
      <c r="C8" s="91" t="n">
        <v>44805</v>
      </c>
      <c r="D8" t="n">
        <v>3821</v>
      </c>
      <c r="E8" t="inlineStr">
        <is>
          <t>EUR Billion</t>
        </is>
      </c>
    </row>
    <row r="9">
      <c r="A9" t="inlineStr">
        <is>
          <t>India</t>
        </is>
      </c>
      <c r="B9" t="n">
        <v>55296</v>
      </c>
      <c r="C9" s="91" t="n">
        <v>44835</v>
      </c>
      <c r="D9" t="n">
        <v>54312</v>
      </c>
      <c r="E9" t="inlineStr">
        <is>
          <t>INR Billion</t>
        </is>
      </c>
    </row>
    <row r="10">
      <c r="A10" t="inlineStr">
        <is>
          <t>Indonesia</t>
        </is>
      </c>
      <c r="B10" t="n">
        <v>8222200</v>
      </c>
      <c r="C10" s="91" t="n">
        <v>44835</v>
      </c>
      <c r="D10" t="n">
        <v>7962700</v>
      </c>
      <c r="E10" t="inlineStr">
        <is>
          <t>IDR Billion</t>
        </is>
      </c>
    </row>
    <row r="11">
      <c r="A11" t="inlineStr">
        <is>
          <t>Italy</t>
        </is>
      </c>
      <c r="B11" t="n">
        <v>1919341</v>
      </c>
      <c r="C11" s="91" t="n">
        <v>44805</v>
      </c>
      <c r="D11" t="n">
        <v>1924971</v>
      </c>
      <c r="E11" t="inlineStr">
        <is>
          <t>EUR Million</t>
        </is>
      </c>
    </row>
    <row r="12">
      <c r="A12" t="inlineStr">
        <is>
          <t>Japan</t>
        </is>
      </c>
      <c r="B12" t="n">
        <v>1206399</v>
      </c>
      <c r="C12" s="91" t="n">
        <v>44835</v>
      </c>
      <c r="D12" t="n">
        <v>1207930</v>
      </c>
      <c r="E12" t="inlineStr">
        <is>
          <t>JPY Billion</t>
        </is>
      </c>
    </row>
    <row r="13">
      <c r="A13" t="inlineStr">
        <is>
          <t>Mexico</t>
        </is>
      </c>
      <c r="B13" t="n">
        <v>11857554926</v>
      </c>
      <c r="C13" s="91" t="n">
        <v>44805</v>
      </c>
      <c r="D13" t="n">
        <v>11791395306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1155044</v>
      </c>
      <c r="C14" s="91" t="n">
        <v>44805</v>
      </c>
      <c r="D14" t="n">
        <v>1148750</v>
      </c>
      <c r="E14" t="inlineStr">
        <is>
          <t>EUR Million</t>
        </is>
      </c>
    </row>
    <row r="15">
      <c r="A15" t="inlineStr">
        <is>
          <t>Russia</t>
        </is>
      </c>
      <c r="B15" t="n">
        <v>75636</v>
      </c>
      <c r="C15" s="91" t="n">
        <v>44835</v>
      </c>
      <c r="D15" t="n">
        <v>75097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2133403</v>
      </c>
      <c r="C16" s="91" t="n">
        <v>44835</v>
      </c>
      <c r="D16" t="n">
        <v>2139929</v>
      </c>
      <c r="E16" t="inlineStr">
        <is>
          <t>SAR Million</t>
        </is>
      </c>
    </row>
    <row r="17">
      <c r="A17" t="inlineStr">
        <is>
          <t>Singapore</t>
        </is>
      </c>
      <c r="B17" t="n">
        <v>745134</v>
      </c>
      <c r="C17" s="91" t="n">
        <v>44835</v>
      </c>
      <c r="D17" t="n">
        <v>751096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3828429</v>
      </c>
      <c r="C18" s="91" t="n">
        <v>44805</v>
      </c>
      <c r="D18" t="n">
        <v>3789888</v>
      </c>
      <c r="E18" t="inlineStr">
        <is>
          <t>ZAR Million</t>
        </is>
      </c>
    </row>
    <row r="19">
      <c r="A19" t="inlineStr">
        <is>
          <t>South Korea</t>
        </is>
      </c>
      <c r="B19" t="n">
        <v>3745708</v>
      </c>
      <c r="C19" s="91" t="n">
        <v>44805</v>
      </c>
      <c r="D19" t="n">
        <v>3738504</v>
      </c>
      <c r="E19" t="inlineStr">
        <is>
          <t>KRW Billion</t>
        </is>
      </c>
    </row>
    <row r="20">
      <c r="A20" t="inlineStr">
        <is>
          <t>Spain</t>
        </is>
      </c>
      <c r="B20" t="n">
        <v>1504468</v>
      </c>
      <c r="C20" s="91" t="n">
        <v>44805</v>
      </c>
      <c r="D20" t="n">
        <v>1509170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1076445</v>
      </c>
      <c r="C21" s="91" t="n">
        <v>44835</v>
      </c>
      <c r="D21" t="n">
        <v>1085991</v>
      </c>
      <c r="E21" t="inlineStr">
        <is>
          <t>CHF Million</t>
        </is>
      </c>
    </row>
    <row r="22">
      <c r="A22" t="inlineStr">
        <is>
          <t>Turkey</t>
        </is>
      </c>
      <c r="B22" t="n">
        <v>7729695772</v>
      </c>
      <c r="C22" s="91" t="n">
        <v>44835</v>
      </c>
      <c r="D22" t="n">
        <v>7429567349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3213819</v>
      </c>
      <c r="C23" s="91" t="n">
        <v>44805</v>
      </c>
      <c r="D23" t="n">
        <v>3112903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1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160" zoomScaleNormal="160" workbookViewId="0">
      <pane ySplit="11" topLeftCell="A246" activePane="bottomLeft" state="frozen"/>
      <selection pane="bottomLeft" activeCell="O256" sqref="O256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  <row r="266">
      <c r="A266" s="68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0"/>
  <sheetViews>
    <sheetView zoomScale="180" zoomScaleNormal="180" workbookViewId="0">
      <pane ySplit="5" topLeftCell="A752" activePane="bottomLeft" state="frozen"/>
      <selection pane="bottomLeft" activeCell="R769" sqref="R769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7" min="4" max="6"/>
    <col width="13.33203125" customWidth="1" style="77" min="7" max="7"/>
    <col width="9.1640625" customWidth="1" style="77" min="8" max="32"/>
    <col width="9.1640625" customWidth="1" style="77" min="3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</sheetData>
  <conditionalFormatting sqref="C18:C770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0"/>
  <sheetViews>
    <sheetView zoomScaleNormal="100" workbookViewId="0">
      <pane ySplit="5" topLeftCell="A741" activePane="bottomLeft" state="frozen"/>
      <selection pane="bottomLeft" activeCell="A764" sqref="A764:C770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7" min="4" max="6"/>
    <col width="13.33203125" customWidth="1" style="77" min="7" max="7"/>
    <col width="9.1640625" customWidth="1" style="77" min="8" max="32"/>
    <col width="9.1640625" customWidth="1" style="77" min="33" max="16384"/>
  </cols>
  <sheetData>
    <row r="1">
      <c r="A1" s="1" t="inlineStr">
        <is>
          <t>https://fred.stlouisfed.org/series/M2REAL</t>
        </is>
      </c>
    </row>
    <row r="2">
      <c r="A2" s="77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</sheetData>
  <conditionalFormatting sqref="C18:C77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110" zoomScaleNormal="110" workbookViewId="0">
      <pane ySplit="5" topLeftCell="A2380" activePane="bottomLeft" state="frozen"/>
      <selection pane="bottomLeft" activeCell="A2404" sqref="A2404:F2411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7" min="4" max="4"/>
    <col width="9.1640625" customWidth="1" style="77" min="5" max="29"/>
    <col width="9.1640625" customWidth="1" style="77" min="30" max="16384"/>
  </cols>
  <sheetData>
    <row r="1">
      <c r="A1" s="78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0"/>
  <sheetViews>
    <sheetView zoomScale="110" zoomScaleNormal="110" workbookViewId="0">
      <pane ySplit="5" topLeftCell="A740" activePane="bottomLeft" state="frozen"/>
      <selection pane="bottomLeft" activeCell="Z765" sqref="Z765"/>
    </sheetView>
  </sheetViews>
  <sheetFormatPr baseColWidth="10" defaultColWidth="9.1640625" defaultRowHeight="15"/>
  <cols>
    <col width="16.6640625" customWidth="1" style="16" min="1" max="1"/>
    <col width="19" customWidth="1" style="77" min="2" max="2"/>
    <col width="14.6640625" customWidth="1" style="16" min="3" max="3"/>
    <col width="14.6640625" customWidth="1" style="77" min="4" max="4"/>
    <col width="9.1640625" customWidth="1" style="77" min="5" max="29"/>
    <col width="9.1640625" customWidth="1" style="77" min="30" max="16384"/>
  </cols>
  <sheetData>
    <row r="1">
      <c r="A1" t="inlineStr">
        <is>
          <t>https://fred.stlouisfed.org/series/M2SL</t>
        </is>
      </c>
    </row>
    <row r="2">
      <c r="A2" s="77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30" zoomScaleNormal="13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10" defaultColWidth="9.1640625" defaultRowHeight="15"/>
  <cols>
    <col width="9.1640625" customWidth="1" style="77" min="1" max="3"/>
    <col width="28" customWidth="1" style="16" min="4" max="9"/>
    <col width="9.1640625" customWidth="1" style="77" min="10" max="34"/>
    <col width="9.1640625" customWidth="1" style="77" min="35" max="16384"/>
  </cols>
  <sheetData>
    <row r="2">
      <c r="D2" s="1" t="inlineStr">
        <is>
          <t>https://tradingeconomics.com/country-list/money-supply-m2?continent=g20</t>
        </is>
      </c>
    </row>
    <row r="7">
      <c r="D7" s="80" t="inlineStr">
        <is>
          <t>Country</t>
        </is>
      </c>
      <c r="E7" s="80" t="inlineStr">
        <is>
          <t>Last</t>
        </is>
      </c>
      <c r="F7" s="80" t="inlineStr">
        <is>
          <t>Month</t>
        </is>
      </c>
      <c r="G7" s="80" t="inlineStr">
        <is>
          <t>Previous</t>
        </is>
      </c>
      <c r="H7" s="80" t="inlineStr">
        <is>
          <t>mom annualized</t>
        </is>
      </c>
      <c r="I7" s="80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130" zoomScaleNormal="130" workbookViewId="0">
      <pane xSplit="1" ySplit="5" topLeftCell="B68" activePane="bottomRight" state="frozen"/>
      <selection pane="topRight" activeCell="B1" sqref="B1"/>
      <selection pane="bottomLeft" activeCell="A6" sqref="A6"/>
      <selection pane="bottomRight" activeCell="AE96" sqref="AE96"/>
    </sheetView>
  </sheetViews>
  <sheetFormatPr baseColWidth="10" defaultColWidth="8.83203125" defaultRowHeight="15"/>
  <cols>
    <col width="10.6640625" bestFit="1" customWidth="1" style="77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7" min="28" max="28"/>
    <col width="12.33203125" customWidth="1" style="77" min="29" max="29"/>
    <col width="9.1640625" customWidth="1" style="77" min="30" max="30"/>
    <col width="10.6640625" customWidth="1" style="77" min="31" max="31"/>
    <col width="10.6640625" bestFit="1" customWidth="1" style="77" min="32" max="32"/>
    <col width="9.164062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7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7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7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7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7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7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7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7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7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7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7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7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7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7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7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7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7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7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7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7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7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7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7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7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7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7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7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7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7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7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7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7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7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7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7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7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7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7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7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7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7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7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7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7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7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7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7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7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7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7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7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7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7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7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7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7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7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7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7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7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7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7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7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7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7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7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7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7"/>
    <row r="100" customFormat="1" s="77"/>
    <row r="101" customFormat="1" s="77"/>
    <row r="102" customFormat="1" s="77"/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D99" sqref="AD99"/>
    </sheetView>
  </sheetViews>
  <sheetFormatPr baseColWidth="10" defaultColWidth="8.83203125" defaultRowHeight="15"/>
  <cols>
    <col width="10.6640625" bestFit="1" customWidth="1" style="77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7" min="28" max="28"/>
    <col width="12.33203125" customWidth="1" style="77" min="29" max="29"/>
    <col width="9.1640625" customWidth="1" style="77" min="30" max="30"/>
    <col width="10.6640625" customWidth="1" style="77" min="31" max="31"/>
    <col width="10.6640625" bestFit="1" customWidth="1" style="77" min="32" max="32"/>
    <col width="9.164062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7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7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7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7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7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7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7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7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7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7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7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7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7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7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7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7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7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7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7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7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7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7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7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7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7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7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7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7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7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7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7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7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7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7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7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7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7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7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7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7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7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7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7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7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7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7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7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7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7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7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7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7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7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7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7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7"/>
    <row r="100" customFormat="1" s="77"/>
    <row r="101" customFormat="1" s="77"/>
    <row r="102" customFormat="1" s="77"/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  <row r="253" customFormat="1" s="77"/>
    <row r="254" customFormat="1" s="77"/>
    <row r="255" customFormat="1" s="77"/>
    <row r="256" customFormat="1" s="77"/>
    <row r="257" customFormat="1" s="77"/>
    <row r="258" customFormat="1" s="77"/>
    <row r="259" customFormat="1" s="77"/>
    <row r="260" customFormat="1" s="77"/>
    <row r="261" customFormat="1" s="77"/>
    <row r="262" customFormat="1" s="77"/>
    <row r="263" customFormat="1" s="77"/>
    <row r="264" customFormat="1" s="77"/>
    <row r="265" customFormat="1" s="77"/>
    <row r="266" customFormat="1" s="77"/>
    <row r="267" customFormat="1" s="77"/>
    <row r="268" customFormat="1" s="77"/>
    <row r="269" customFormat="1" s="77"/>
    <row r="270" customFormat="1" s="77"/>
    <row r="271" customFormat="1" s="77"/>
    <row r="272" customFormat="1" s="77"/>
    <row r="273" customFormat="1" s="77"/>
    <row r="274" customFormat="1" s="77"/>
    <row r="275" customFormat="1" s="77"/>
    <row r="276" customFormat="1" s="77"/>
    <row r="277" customFormat="1" s="77"/>
    <row r="278" customFormat="1" s="77"/>
    <row r="279" customFormat="1" s="77"/>
    <row r="280" customFormat="1" s="77"/>
    <row r="281" customFormat="1" s="77"/>
    <row r="282" customFormat="1" s="77"/>
    <row r="283" customFormat="1" s="77"/>
    <row r="284" customFormat="1" s="77"/>
    <row r="285" customFormat="1" s="77"/>
    <row r="286" customFormat="1" s="77"/>
    <row r="287" customFormat="1" s="77"/>
    <row r="288" customFormat="1" s="77"/>
    <row r="289" customFormat="1" s="77"/>
    <row r="290" customFormat="1" s="77"/>
    <row r="291" customFormat="1" s="77"/>
    <row r="292" customFormat="1" s="77"/>
    <row r="293" customFormat="1" s="77"/>
    <row r="294" customFormat="1" s="77"/>
    <row r="295" customFormat="1" s="77"/>
    <row r="296" customFormat="1" s="77"/>
    <row r="297" customFormat="1" s="77"/>
    <row r="298" customFormat="1" s="77"/>
    <row r="299" customFormat="1" s="77"/>
    <row r="300" customFormat="1" s="77"/>
    <row r="301" customFormat="1" s="77"/>
    <row r="302" customFormat="1" s="77"/>
    <row r="303" customFormat="1" s="77"/>
    <row r="304" customFormat="1" s="77"/>
    <row r="305" customFormat="1" s="77"/>
    <row r="306" customFormat="1" s="77"/>
    <row r="307" customFormat="1" s="77"/>
    <row r="308" customFormat="1" s="77"/>
    <row r="309" customFormat="1" s="77"/>
    <row r="310" customFormat="1" s="77"/>
    <row r="311" customFormat="1" s="77"/>
    <row r="312" customFormat="1" s="77"/>
    <row r="313" customFormat="1" s="77"/>
    <row r="314" customFormat="1" s="77"/>
    <row r="315" customFormat="1" s="77"/>
    <row r="316" customFormat="1" s="77"/>
    <row r="317" customFormat="1" s="77"/>
    <row r="318" customFormat="1" s="77"/>
    <row r="319" customFormat="1" s="77"/>
    <row r="320" customFormat="1" s="77"/>
    <row r="321" customFormat="1" s="77"/>
    <row r="322" customFormat="1" s="77"/>
    <row r="323" customFormat="1" s="77"/>
    <row r="324" customFormat="1" s="77"/>
    <row r="325" customFormat="1" s="77"/>
    <row r="326" customFormat="1" s="77"/>
    <row r="327" customFormat="1" s="77"/>
    <row r="328" customFormat="1" s="77"/>
    <row r="329" customFormat="1" s="77"/>
    <row r="330" customFormat="1" s="77"/>
    <row r="331" customFormat="1" s="77"/>
    <row r="332" customFormat="1" s="77"/>
    <row r="333" customFormat="1" s="77"/>
    <row r="334" customFormat="1" s="77"/>
    <row r="335" customFormat="1" s="77"/>
    <row r="336" customFormat="1" s="77"/>
    <row r="337" customFormat="1" s="77"/>
    <row r="338" customFormat="1" s="77"/>
    <row r="339" customFormat="1" s="77"/>
    <row r="340" customFormat="1" s="77"/>
    <row r="341" customFormat="1" s="77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6"/>
  <sheetViews>
    <sheetView zoomScale="140" zoomScaleNormal="140" workbookViewId="0">
      <pane ySplit="5" topLeftCell="A723" activePane="bottomLeft" state="frozen"/>
      <selection activeCell="AB17" sqref="AB17"/>
      <selection pane="bottomLeft" activeCell="N726" sqref="N726"/>
    </sheetView>
  </sheetViews>
  <sheetFormatPr baseColWidth="10" defaultColWidth="9.1640625" defaultRowHeight="15"/>
  <cols>
    <col width="12" customWidth="1" style="77" min="1" max="1"/>
    <col width="14.33203125" customWidth="1" style="77" min="2" max="2"/>
    <col width="11.1640625" customWidth="1" style="16" min="3" max="4"/>
    <col width="9.1640625" customWidth="1" style="77" min="5" max="5"/>
    <col width="20.33203125" customWidth="1" style="77" min="6" max="6"/>
    <col width="14.6640625" customWidth="1" style="77" min="7" max="7"/>
    <col width="9.1640625" customWidth="1" style="77" min="8" max="32"/>
    <col width="9.1640625" customWidth="1" style="77" min="3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7">
        <f>"Money Supply M3 "&amp;A1</f>
        <v/>
      </c>
      <c r="G1" s="77">
        <f>F1&amp;" mom annualized"</f>
        <v/>
      </c>
    </row>
    <row r="2">
      <c r="F2" s="77" t="inlineStr">
        <is>
          <t>Average last 20 years</t>
        </is>
      </c>
      <c r="G2" s="37">
        <f>AVERAGE(D469:D708)</f>
        <v/>
      </c>
    </row>
    <row r="3">
      <c r="F3" s="77" t="inlineStr">
        <is>
          <t>Minimum last 20 years</t>
        </is>
      </c>
      <c r="G3" s="37">
        <f>MIN(D469:D747)</f>
        <v/>
      </c>
    </row>
    <row r="4" ht="16" customHeight="1" s="67" thickBot="1">
      <c r="F4" s="77" t="inlineStr">
        <is>
          <t>Maximum last 20 years</t>
        </is>
      </c>
      <c r="G4" s="37">
        <f>MAX(D469:D748)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2022-11-12T03:43:02Z</dcterms:modified>
  <cp:lastModifiedBy>Mark Mukherjee</cp:lastModifiedBy>
</cp:coreProperties>
</file>