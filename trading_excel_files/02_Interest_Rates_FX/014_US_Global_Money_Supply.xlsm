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9455" yWindow="-21600" windowWidth="43410" windowHeight="21600" tabRatio="894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1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Velocity!$A$12:$A$266</f>
              <numCache>
                <formatCode>dd\-mm\-yyyy</formatCode>
                <ptCount val="255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</numCache>
            </numRef>
          </cat>
          <val>
            <numRef>
              <f>Velocity!$B$12:$B$266</f>
              <numCache>
                <formatCode>0.000</formatCode>
                <ptCount val="255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</numCache>
            </numRef>
          </cat>
          <val>
            <numRef>
              <f>'US M1 Real Monthly'!$B$6:$B$774</f>
              <numCache>
                <formatCode>0.0</formatCode>
                <ptCount val="76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6974.6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7247.1</v>
                </pt>
                <pt idx="753">
                  <v>7253.9</v>
                </pt>
                <pt idx="754">
                  <v>7281.1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7142.4</v>
                </pt>
                <pt idx="760">
                  <v>7077.1</v>
                </pt>
                <pt idx="761">
                  <v>6960.6</v>
                </pt>
                <pt idx="762">
                  <v>6953.8</v>
                </pt>
                <pt idx="763">
                  <v>6925.3</v>
                </pt>
                <pt idx="764">
                  <v>6835</v>
                </pt>
                <pt idx="765">
                  <v>6743.5</v>
                </pt>
                <pt idx="766">
                  <v>6743.5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3.512843739890004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0.09874465568998456</v>
                </pt>
                <pt idx="741">
                  <v>0.08755753459572108</v>
                </pt>
                <pt idx="742">
                  <v>0.07695834812448234</v>
                </pt>
                <pt idx="743">
                  <v>0.06966443740466972</v>
                </pt>
                <pt idx="744">
                  <v>0.05731414173593214</v>
                </pt>
                <pt idx="745">
                  <v>0.04241103432454897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-0.01301182639741148</v>
                </pt>
                <pt idx="749">
                  <v>-0.02378614905612738</v>
                </pt>
                <pt idx="750">
                  <v>-0.02897518606956838</v>
                </pt>
                <pt idx="751">
                  <v>-0.04137482350986955</v>
                </pt>
                <pt idx="752">
                  <v>-0.05686412496032901</v>
                </pt>
                <pt idx="753">
                  <v>-0.0703621500158535</v>
                </pt>
                <pt idx="754">
                  <v>-0.07383499745917517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0.4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7448.5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7629.4</v>
                </pt>
                <pt idx="752">
                  <v>7645.8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7638.9</v>
                </pt>
                <pt idx="758">
                  <v>7556.2</v>
                </pt>
                <pt idx="759">
                  <v>7498.1</v>
                </pt>
                <pt idx="760">
                  <v>7427.5</v>
                </pt>
                <pt idx="761">
                  <v>7316.5</v>
                </pt>
                <pt idx="762">
                  <v>7327.5</v>
                </pt>
                <pt idx="763">
                  <v>7317.6</v>
                </pt>
                <pt idx="764">
                  <v>7246.1</v>
                </pt>
                <pt idx="765">
                  <v>7184.8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0.247989410897393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0.07881787330316736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0.02556219373028121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-0.02294163301279939</v>
                </pt>
                <pt idx="761">
                  <formatCode>0.0%</formatCode>
                  <v>-0.03106832117174986</v>
                </pt>
                <pt idx="762">
                  <formatCode>0.0%</formatCode>
                  <v>-0.03254555056773172</v>
                </pt>
                <pt idx="763">
                  <formatCode>0.0%</formatCode>
                  <v>-0.04086822030565959</v>
                </pt>
                <pt idx="764">
                  <formatCode>0.0%</formatCode>
                  <v>-0.05227706714797664</v>
                </pt>
                <pt idx="765">
                  <formatCode>0.0%</formatCode>
                  <v>-0.06013473739289683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m/d/yyyy</formatCode>
                  <v>41526</v>
                </pt>
                <pt idx="2019">
                  <formatCode>m/d/yyyy</formatCode>
                  <v>41533</v>
                </pt>
                <pt idx="2020">
                  <formatCode>m/d/yyyy</formatCode>
                  <v>41540</v>
                </pt>
                <pt idx="2021">
                  <formatCode>m/d/yyyy</formatCode>
                  <v>41547</v>
                </pt>
                <pt idx="2022">
                  <formatCode>m/d/yyyy</formatCode>
                  <v>41554</v>
                </pt>
                <pt idx="2023">
                  <formatCode>m/d/yyyy</formatCode>
                  <v>41561</v>
                </pt>
                <pt idx="2024">
                  <formatCode>m/d/yyyy</formatCode>
                  <v>41568</v>
                </pt>
                <pt idx="2025">
                  <formatCode>m/d/yyyy</formatCode>
                  <v>41575</v>
                </pt>
                <pt idx="2026">
                  <formatCode>m/d/yyyy</formatCode>
                  <v>41582</v>
                </pt>
                <pt idx="2027">
                  <formatCode>m/d/yyyy</formatCode>
                  <v>41589</v>
                </pt>
                <pt idx="2028">
                  <formatCode>m/d/yyyy</formatCode>
                  <v>41596</v>
                </pt>
                <pt idx="2029">
                  <formatCode>m/d/yyyy</formatCode>
                  <v>41603</v>
                </pt>
                <pt idx="2030">
                  <formatCode>m/d/yyyy</formatCode>
                  <v>41610</v>
                </pt>
                <pt idx="2031">
                  <formatCode>m/d/yyyy</formatCode>
                  <v>41617</v>
                </pt>
                <pt idx="2032">
                  <formatCode>m/d/yyyy</formatCode>
                  <v>41624</v>
                </pt>
                <pt idx="2033">
                  <formatCode>m/d/yyyy</formatCode>
                  <v>41631</v>
                </pt>
                <pt idx="2034">
                  <formatCode>m/d/yyyy</formatCode>
                  <v>41638</v>
                </pt>
                <pt idx="2035">
                  <formatCode>m/d/yyyy</formatCode>
                  <v>41645</v>
                </pt>
                <pt idx="2036">
                  <formatCode>m/d/yyyy</formatCode>
                  <v>41652</v>
                </pt>
                <pt idx="2037">
                  <formatCode>m/d/yyyy</formatCode>
                  <v>41659</v>
                </pt>
                <pt idx="2038">
                  <formatCode>m/d/yyyy</formatCode>
                  <v>41666</v>
                </pt>
                <pt idx="2039">
                  <formatCode>m/d/yyyy</formatCode>
                  <v>41673</v>
                </pt>
                <pt idx="2040">
                  <formatCode>m/d/yyyy</formatCode>
                  <v>41680</v>
                </pt>
                <pt idx="2041">
                  <formatCode>m/d/yyyy</formatCode>
                  <v>41687</v>
                </pt>
                <pt idx="2042">
                  <formatCode>m/d/yyyy</formatCode>
                  <v>41694</v>
                </pt>
                <pt idx="2043">
                  <formatCode>m/d/yyyy</formatCode>
                  <v>41701</v>
                </pt>
                <pt idx="2044">
                  <formatCode>m/d/yyyy</formatCode>
                  <v>41708</v>
                </pt>
                <pt idx="2045">
                  <formatCode>m/d/yyyy</formatCode>
                  <v>41715</v>
                </pt>
                <pt idx="2046">
                  <formatCode>m/d/yyyy</formatCode>
                  <v>41722</v>
                </pt>
                <pt idx="2047">
                  <formatCode>m/d/yyyy</formatCode>
                  <v>41729</v>
                </pt>
                <pt idx="2048">
                  <formatCode>m/d/yyyy</formatCode>
                  <v>41736</v>
                </pt>
                <pt idx="2049">
                  <formatCode>m/d/yyyy</formatCode>
                  <v>41743</v>
                </pt>
                <pt idx="2050">
                  <formatCode>m/d/yyyy</formatCode>
                  <v>41750</v>
                </pt>
                <pt idx="2051">
                  <formatCode>m/d/yyyy</formatCode>
                  <v>41757</v>
                </pt>
                <pt idx="2052">
                  <formatCode>m/d/yyyy</formatCode>
                  <v>41764</v>
                </pt>
                <pt idx="2053">
                  <formatCode>m/d/yyyy</formatCode>
                  <v>41771</v>
                </pt>
                <pt idx="2054">
                  <formatCode>m/d/yyyy</formatCode>
                  <v>41778</v>
                </pt>
                <pt idx="2055">
                  <formatCode>m/d/yyyy</formatCode>
                  <v>41785</v>
                </pt>
                <pt idx="2056">
                  <formatCode>m/d/yyyy</formatCode>
                  <v>41792</v>
                </pt>
                <pt idx="2057">
                  <formatCode>m/d/yyyy</formatCode>
                  <v>41799</v>
                </pt>
                <pt idx="2058">
                  <formatCode>m/d/yyyy</formatCode>
                  <v>41806</v>
                </pt>
                <pt idx="2059">
                  <formatCode>m/d/yyyy</formatCode>
                  <v>41813</v>
                </pt>
                <pt idx="2060">
                  <formatCode>m/d/yyyy</formatCode>
                  <v>41820</v>
                </pt>
                <pt idx="2061">
                  <formatCode>m/d/yyyy</formatCode>
                  <v>41827</v>
                </pt>
                <pt idx="2062">
                  <formatCode>m/d/yyyy</formatCode>
                  <v>41834</v>
                </pt>
                <pt idx="2063">
                  <formatCode>m/d/yyyy</formatCode>
                  <v>41841</v>
                </pt>
                <pt idx="2064">
                  <formatCode>m/d/yyyy</formatCode>
                  <v>41848</v>
                </pt>
                <pt idx="2065">
                  <formatCode>m/d/yyyy</formatCode>
                  <v>41855</v>
                </pt>
                <pt idx="2066">
                  <formatCode>m/d/yyyy</formatCode>
                  <v>41862</v>
                </pt>
                <pt idx="2067">
                  <formatCode>m/d/yyyy</formatCode>
                  <v>41869</v>
                </pt>
                <pt idx="2068">
                  <formatCode>m/d/yyyy</formatCode>
                  <v>41876</v>
                </pt>
                <pt idx="2069">
                  <formatCode>m/d/yyyy</formatCode>
                  <v>41883</v>
                </pt>
                <pt idx="2070">
                  <formatCode>m/d/yyyy</formatCode>
                  <v>41890</v>
                </pt>
                <pt idx="2071">
                  <formatCode>m/d/yyyy</formatCode>
                  <v>41897</v>
                </pt>
                <pt idx="2072">
                  <formatCode>m/d/yyyy</formatCode>
                  <v>41904</v>
                </pt>
                <pt idx="2073">
                  <formatCode>m/d/yyyy</formatCode>
                  <v>41911</v>
                </pt>
                <pt idx="2074">
                  <formatCode>m/d/yyyy</formatCode>
                  <v>41918</v>
                </pt>
                <pt idx="2075">
                  <formatCode>m/d/yyyy</formatCode>
                  <v>41925</v>
                </pt>
                <pt idx="2076">
                  <formatCode>m/d/yyyy</formatCode>
                  <v>41932</v>
                </pt>
                <pt idx="2077">
                  <formatCode>m/d/yyyy</formatCode>
                  <v>41939</v>
                </pt>
                <pt idx="2078">
                  <formatCode>m/d/yyyy</formatCode>
                  <v>41946</v>
                </pt>
                <pt idx="2079">
                  <formatCode>m/d/yyyy</formatCode>
                  <v>41953</v>
                </pt>
                <pt idx="2080">
                  <formatCode>m/d/yyyy</formatCode>
                  <v>41960</v>
                </pt>
                <pt idx="2081">
                  <formatCode>m/d/yyyy</formatCode>
                  <v>41967</v>
                </pt>
                <pt idx="2082">
                  <formatCode>m/d/yyyy</formatCode>
                  <v>41974</v>
                </pt>
                <pt idx="2083">
                  <formatCode>m/d/yyyy</formatCode>
                  <v>41981</v>
                </pt>
                <pt idx="2084">
                  <formatCode>m/d/yyyy</formatCode>
                  <v>41988</v>
                </pt>
                <pt idx="2085">
                  <formatCode>m/d/yyyy</formatCode>
                  <v>41995</v>
                </pt>
                <pt idx="2086">
                  <formatCode>m/d/yyyy</formatCode>
                  <v>42002</v>
                </pt>
                <pt idx="2087">
                  <formatCode>m/d/yyyy</formatCode>
                  <v>42009</v>
                </pt>
                <pt idx="2088">
                  <formatCode>m/d/yyyy</formatCode>
                  <v>42016</v>
                </pt>
                <pt idx="2089">
                  <formatCode>m/d/yyyy</formatCode>
                  <v>42023</v>
                </pt>
                <pt idx="2090">
                  <formatCode>m/d/yyyy</formatCode>
                  <v>42030</v>
                </pt>
                <pt idx="2091">
                  <formatCode>m/d/yyyy</formatCode>
                  <v>42037</v>
                </pt>
                <pt idx="2092">
                  <formatCode>m/d/yyyy</formatCode>
                  <v>42044</v>
                </pt>
                <pt idx="2093">
                  <formatCode>m/d/yyyy</formatCode>
                  <v>42051</v>
                </pt>
                <pt idx="2094">
                  <formatCode>m/d/yyyy</formatCode>
                  <v>42058</v>
                </pt>
                <pt idx="2095">
                  <formatCode>m/d/yyyy</formatCode>
                  <v>42065</v>
                </pt>
                <pt idx="2096">
                  <formatCode>m/d/yyyy</formatCode>
                  <v>42072</v>
                </pt>
                <pt idx="2097">
                  <formatCode>m/d/yyyy</formatCode>
                  <v>42079</v>
                </pt>
                <pt idx="2098">
                  <formatCode>m/d/yyyy</formatCode>
                  <v>42086</v>
                </pt>
                <pt idx="2099">
                  <formatCode>m/d/yyyy</formatCode>
                  <v>42093</v>
                </pt>
                <pt idx="2100">
                  <formatCode>m/d/yyyy</formatCode>
                  <v>42100</v>
                </pt>
                <pt idx="2101">
                  <formatCode>m/d/yyyy</formatCode>
                  <v>42107</v>
                </pt>
                <pt idx="2102">
                  <formatCode>m/d/yyyy</formatCode>
                  <v>42114</v>
                </pt>
                <pt idx="2103">
                  <formatCode>m/d/yyyy</formatCode>
                  <v>42121</v>
                </pt>
                <pt idx="2104">
                  <formatCode>m/d/yyyy</formatCode>
                  <v>42128</v>
                </pt>
                <pt idx="2105">
                  <formatCode>m/d/yyyy</formatCode>
                  <v>42135</v>
                </pt>
                <pt idx="2106">
                  <formatCode>m/d/yyyy</formatCode>
                  <v>42142</v>
                </pt>
                <pt idx="2107">
                  <formatCode>m/d/yyyy</formatCode>
                  <v>42149</v>
                </pt>
                <pt idx="2108">
                  <formatCode>m/d/yyyy</formatCode>
                  <v>42156</v>
                </pt>
                <pt idx="2109">
                  <formatCode>m/d/yyyy</formatCode>
                  <v>42163</v>
                </pt>
                <pt idx="2110">
                  <formatCode>m/d/yyyy</formatCode>
                  <v>42170</v>
                </pt>
                <pt idx="2111">
                  <formatCode>m/d/yyyy</formatCode>
                  <v>42177</v>
                </pt>
                <pt idx="2112">
                  <formatCode>m/d/yyyy</formatCode>
                  <v>42184</v>
                </pt>
                <pt idx="2113">
                  <formatCode>m/d/yyyy</formatCode>
                  <v>42191</v>
                </pt>
                <pt idx="2114">
                  <formatCode>m/d/yyyy</formatCode>
                  <v>42198</v>
                </pt>
                <pt idx="2115">
                  <formatCode>m/d/yyyy</formatCode>
                  <v>42205</v>
                </pt>
                <pt idx="2116">
                  <formatCode>m/d/yyyy</formatCode>
                  <v>42212</v>
                </pt>
                <pt idx="2117">
                  <formatCode>m/d/yyyy</formatCode>
                  <v>42219</v>
                </pt>
                <pt idx="2118">
                  <formatCode>m/d/yyyy</formatCode>
                  <v>42226</v>
                </pt>
                <pt idx="2119">
                  <formatCode>m/d/yyyy</formatCode>
                  <v>42233</v>
                </pt>
                <pt idx="2120">
                  <formatCode>m/d/yyyy</formatCode>
                  <v>42240</v>
                </pt>
                <pt idx="2121">
                  <formatCode>m/d/yyyy</formatCode>
                  <v>42247</v>
                </pt>
                <pt idx="2122">
                  <formatCode>m/d/yyyy</formatCode>
                  <v>42254</v>
                </pt>
                <pt idx="2123">
                  <formatCode>m/d/yyyy</formatCode>
                  <v>42261</v>
                </pt>
                <pt idx="2124">
                  <formatCode>m/d/yyyy</formatCode>
                  <v>42268</v>
                </pt>
                <pt idx="2125">
                  <formatCode>m/d/yyyy</formatCode>
                  <v>42275</v>
                </pt>
                <pt idx="2126">
                  <formatCode>m/d/yyyy</formatCode>
                  <v>42282</v>
                </pt>
                <pt idx="2127">
                  <formatCode>m/d/yyyy</formatCode>
                  <v>42289</v>
                </pt>
                <pt idx="2128">
                  <formatCode>m/d/yyyy</formatCode>
                  <v>42296</v>
                </pt>
                <pt idx="2129">
                  <formatCode>m/d/yyyy</formatCode>
                  <v>42303</v>
                </pt>
                <pt idx="2130">
                  <formatCode>m/d/yyyy</formatCode>
                  <v>42310</v>
                </pt>
                <pt idx="2131">
                  <formatCode>m/d/yyyy</formatCode>
                  <v>42317</v>
                </pt>
                <pt idx="2132">
                  <formatCode>m/d/yyyy</formatCode>
                  <v>42324</v>
                </pt>
                <pt idx="2133">
                  <formatCode>m/d/yyyy</formatCode>
                  <v>42331</v>
                </pt>
                <pt idx="2134">
                  <formatCode>m/d/yyyy</formatCode>
                  <v>42338</v>
                </pt>
                <pt idx="2135">
                  <formatCode>m/d/yyyy</formatCode>
                  <v>42345</v>
                </pt>
                <pt idx="2136">
                  <formatCode>m/d/yyyy</formatCode>
                  <v>42352</v>
                </pt>
                <pt idx="2137">
                  <formatCode>m/d/yyyy</formatCode>
                  <v>42359</v>
                </pt>
                <pt idx="2138">
                  <formatCode>m/d/yyyy</formatCode>
                  <v>42366</v>
                </pt>
                <pt idx="2139">
                  <formatCode>m/d/yyyy</formatCode>
                  <v>42373</v>
                </pt>
                <pt idx="2140">
                  <formatCode>m/d/yyyy</formatCode>
                  <v>42380</v>
                </pt>
                <pt idx="2141">
                  <formatCode>m/d/yyyy</formatCode>
                  <v>42387</v>
                </pt>
                <pt idx="2142">
                  <formatCode>m/d/yyyy</formatCode>
                  <v>42394</v>
                </pt>
                <pt idx="2143">
                  <formatCode>m/d/yyyy</formatCode>
                  <v>42401</v>
                </pt>
                <pt idx="2144">
                  <formatCode>m/d/yyyy</formatCode>
                  <v>42408</v>
                </pt>
                <pt idx="2145">
                  <formatCode>m/d/yyyy</formatCode>
                  <v>42415</v>
                </pt>
                <pt idx="2146">
                  <formatCode>m/d/yyyy</formatCode>
                  <v>42422</v>
                </pt>
                <pt idx="2147">
                  <formatCode>m/d/yyyy</formatCode>
                  <v>42429</v>
                </pt>
                <pt idx="2148">
                  <formatCode>m/d/yyyy</formatCode>
                  <v>42436</v>
                </pt>
                <pt idx="2149">
                  <formatCode>m/d/yyyy</formatCode>
                  <v>42443</v>
                </pt>
                <pt idx="2150">
                  <formatCode>m/d/yyyy</formatCode>
                  <v>42450</v>
                </pt>
                <pt idx="2151">
                  <formatCode>m/d/yyyy</formatCode>
                  <v>42457</v>
                </pt>
                <pt idx="2152">
                  <formatCode>m/d/yyyy</formatCode>
                  <v>42464</v>
                </pt>
                <pt idx="2153">
                  <formatCode>m/d/yyyy</formatCode>
                  <v>42471</v>
                </pt>
                <pt idx="2154">
                  <formatCode>m/d/yyyy</formatCode>
                  <v>42478</v>
                </pt>
                <pt idx="2155">
                  <formatCode>m/d/yyyy</formatCode>
                  <v>42485</v>
                </pt>
                <pt idx="2156">
                  <formatCode>m/d/yyyy</formatCode>
                  <v>42492</v>
                </pt>
                <pt idx="2157">
                  <formatCode>m/d/yyyy</formatCode>
                  <v>42499</v>
                </pt>
                <pt idx="2158">
                  <formatCode>m/d/yyyy</formatCode>
                  <v>42506</v>
                </pt>
                <pt idx="2159">
                  <formatCode>m/d/yyyy</formatCode>
                  <v>42513</v>
                </pt>
                <pt idx="2160">
                  <formatCode>m/d/yyyy</formatCode>
                  <v>42520</v>
                </pt>
                <pt idx="2161">
                  <formatCode>m/d/yyyy</formatCode>
                  <v>42527</v>
                </pt>
                <pt idx="2162">
                  <formatCode>m/d/yyyy</formatCode>
                  <v>42534</v>
                </pt>
                <pt idx="2163">
                  <formatCode>m/d/yyyy</formatCode>
                  <v>42541</v>
                </pt>
                <pt idx="2164">
                  <formatCode>m/d/yyyy</formatCode>
                  <v>42548</v>
                </pt>
                <pt idx="2165">
                  <formatCode>m/d/yyyy</formatCode>
                  <v>42555</v>
                </pt>
                <pt idx="2166">
                  <formatCode>m/d/yyyy</formatCode>
                  <v>42562</v>
                </pt>
                <pt idx="2167">
                  <formatCode>m/d/yyyy</formatCode>
                  <v>42569</v>
                </pt>
                <pt idx="2168">
                  <formatCode>m/d/yyyy</formatCode>
                  <v>42576</v>
                </pt>
                <pt idx="2169">
                  <formatCode>m/d/yyyy</formatCode>
                  <v>42583</v>
                </pt>
                <pt idx="2170">
                  <formatCode>m/d/yyyy</formatCode>
                  <v>42590</v>
                </pt>
                <pt idx="2171">
                  <formatCode>m/d/yyyy</formatCode>
                  <v>42597</v>
                </pt>
                <pt idx="2172">
                  <formatCode>m/d/yyyy</formatCode>
                  <v>42604</v>
                </pt>
                <pt idx="2173">
                  <formatCode>m/d/yyyy</formatCode>
                  <v>42611</v>
                </pt>
                <pt idx="2174">
                  <formatCode>m/d/yyyy</formatCode>
                  <v>42618</v>
                </pt>
                <pt idx="2175">
                  <formatCode>m/d/yyyy</formatCode>
                  <v>42625</v>
                </pt>
                <pt idx="2176">
                  <formatCode>m/d/yyyy</formatCode>
                  <v>42632</v>
                </pt>
                <pt idx="2177">
                  <formatCode>m/d/yyyy</formatCode>
                  <v>42639</v>
                </pt>
                <pt idx="2178">
                  <formatCode>m/d/yyyy</formatCode>
                  <v>42646</v>
                </pt>
                <pt idx="2179">
                  <formatCode>m/d/yyyy</formatCode>
                  <v>42653</v>
                </pt>
                <pt idx="2180">
                  <formatCode>m/d/yyyy</formatCode>
                  <v>42660</v>
                </pt>
                <pt idx="2181">
                  <formatCode>m/d/yyyy</formatCode>
                  <v>42667</v>
                </pt>
                <pt idx="2182">
                  <formatCode>m/d/yyyy</formatCode>
                  <v>42674</v>
                </pt>
                <pt idx="2183">
                  <formatCode>m/d/yyyy</formatCode>
                  <v>42681</v>
                </pt>
                <pt idx="2184">
                  <formatCode>m/d/yyyy</formatCode>
                  <v>42688</v>
                </pt>
                <pt idx="2185">
                  <formatCode>m/d/yyyy</formatCode>
                  <v>42695</v>
                </pt>
                <pt idx="2186">
                  <formatCode>m/d/yyyy</formatCode>
                  <v>42702</v>
                </pt>
                <pt idx="2187">
                  <formatCode>m/d/yyyy</formatCode>
                  <v>42709</v>
                </pt>
                <pt idx="2188">
                  <formatCode>m/d/yyyy</formatCode>
                  <v>42716</v>
                </pt>
                <pt idx="2189">
                  <formatCode>m/d/yyyy</formatCode>
                  <v>42723</v>
                </pt>
                <pt idx="2190">
                  <formatCode>m/d/yyyy</formatCode>
                  <v>42730</v>
                </pt>
                <pt idx="2191">
                  <formatCode>m/d/yyyy</formatCode>
                  <v>42737</v>
                </pt>
                <pt idx="2192">
                  <formatCode>m/d/yyyy</formatCode>
                  <v>42744</v>
                </pt>
                <pt idx="2193">
                  <formatCode>m/d/yyyy</formatCode>
                  <v>42751</v>
                </pt>
                <pt idx="2194">
                  <formatCode>m/d/yyyy</formatCode>
                  <v>42758</v>
                </pt>
                <pt idx="2195">
                  <formatCode>m/d/yyyy</formatCode>
                  <v>42765</v>
                </pt>
                <pt idx="2196">
                  <formatCode>m/d/yyyy</formatCode>
                  <v>42772</v>
                </pt>
                <pt idx="2197">
                  <formatCode>m/d/yyyy</formatCode>
                  <v>42779</v>
                </pt>
                <pt idx="2198">
                  <formatCode>m/d/yyyy</formatCode>
                  <v>42786</v>
                </pt>
                <pt idx="2199">
                  <formatCode>m/d/yyyy</formatCode>
                  <v>42793</v>
                </pt>
                <pt idx="2200">
                  <formatCode>m/d/yyyy</formatCode>
                  <v>42800</v>
                </pt>
                <pt idx="2201">
                  <formatCode>m/d/yyyy</formatCode>
                  <v>42807</v>
                </pt>
                <pt idx="2202">
                  <formatCode>m/d/yyyy</formatCode>
                  <v>42814</v>
                </pt>
                <pt idx="2203">
                  <formatCode>m/d/yyyy</formatCode>
                  <v>42821</v>
                </pt>
                <pt idx="2204">
                  <formatCode>m/d/yyyy</formatCode>
                  <v>42828</v>
                </pt>
                <pt idx="2205">
                  <formatCode>m/d/yyyy</formatCode>
                  <v>42835</v>
                </pt>
                <pt idx="2206">
                  <formatCode>m/d/yyyy</formatCode>
                  <v>42842</v>
                </pt>
                <pt idx="2207">
                  <formatCode>m/d/yyyy</formatCode>
                  <v>42849</v>
                </pt>
                <pt idx="2208">
                  <formatCode>m/d/yyyy</formatCode>
                  <v>42856</v>
                </pt>
                <pt idx="2209">
                  <formatCode>m/d/yyyy</formatCode>
                  <v>42863</v>
                </pt>
                <pt idx="2210">
                  <formatCode>m/d/yyyy</formatCode>
                  <v>42870</v>
                </pt>
                <pt idx="2211">
                  <formatCode>m/d/yyyy</formatCode>
                  <v>42877</v>
                </pt>
                <pt idx="2212">
                  <formatCode>m/d/yyyy</formatCode>
                  <v>42884</v>
                </pt>
                <pt idx="2213">
                  <formatCode>m/d/yyyy</formatCode>
                  <v>42891</v>
                </pt>
                <pt idx="2214">
                  <formatCode>m/d/yyyy</formatCode>
                  <v>42898</v>
                </pt>
                <pt idx="2215">
                  <formatCode>m/d/yyyy</formatCode>
                  <v>42905</v>
                </pt>
                <pt idx="2216">
                  <formatCode>m/d/yyyy</formatCode>
                  <v>42912</v>
                </pt>
                <pt idx="2217">
                  <formatCode>m/d/yyyy</formatCode>
                  <v>42919</v>
                </pt>
                <pt idx="2218">
                  <formatCode>m/d/yyyy</formatCode>
                  <v>42926</v>
                </pt>
                <pt idx="2219">
                  <formatCode>m/d/yyyy</formatCode>
                  <v>42933</v>
                </pt>
                <pt idx="2220">
                  <formatCode>m/d/yyyy</formatCode>
                  <v>42940</v>
                </pt>
                <pt idx="2221">
                  <formatCode>m/d/yyyy</formatCode>
                  <v>42947</v>
                </pt>
                <pt idx="2222">
                  <formatCode>m/d/yyyy</formatCode>
                  <v>42954</v>
                </pt>
                <pt idx="2223">
                  <formatCode>m/d/yyyy</formatCode>
                  <v>42961</v>
                </pt>
                <pt idx="2224">
                  <formatCode>m/d/yyyy</formatCode>
                  <v>42968</v>
                </pt>
                <pt idx="2225">
                  <formatCode>m/d/yyyy</formatCode>
                  <v>42975</v>
                </pt>
                <pt idx="2226">
                  <formatCode>m/d/yyyy</formatCode>
                  <v>42982</v>
                </pt>
                <pt idx="2227">
                  <formatCode>m/d/yyyy</formatCode>
                  <v>42989</v>
                </pt>
                <pt idx="2228">
                  <formatCode>m/d/yyyy</formatCode>
                  <v>42996</v>
                </pt>
                <pt idx="2229">
                  <formatCode>m/d/yyyy</formatCode>
                  <v>43003</v>
                </pt>
                <pt idx="2230">
                  <formatCode>m/d/yyyy</formatCode>
                  <v>43010</v>
                </pt>
                <pt idx="2231">
                  <formatCode>m/d/yyyy</formatCode>
                  <v>43017</v>
                </pt>
                <pt idx="2232">
                  <formatCode>m/d/yyyy</formatCode>
                  <v>43024</v>
                </pt>
                <pt idx="2233">
                  <formatCode>m/d/yyyy</formatCode>
                  <v>43031</v>
                </pt>
                <pt idx="2234">
                  <formatCode>m/d/yyyy</formatCode>
                  <v>43038</v>
                </pt>
                <pt idx="2235">
                  <formatCode>m/d/yyyy</formatCode>
                  <v>43045</v>
                </pt>
                <pt idx="2236">
                  <formatCode>m/d/yyyy</formatCode>
                  <v>43052</v>
                </pt>
                <pt idx="2237">
                  <formatCode>m/d/yyyy</formatCode>
                  <v>43059</v>
                </pt>
                <pt idx="2238">
                  <formatCode>m/d/yyyy</formatCode>
                  <v>43066</v>
                </pt>
                <pt idx="2239">
                  <formatCode>m/d/yyyy</formatCode>
                  <v>43073</v>
                </pt>
                <pt idx="2240">
                  <formatCode>m/d/yyyy</formatCode>
                  <v>43080</v>
                </pt>
                <pt idx="2241">
                  <formatCode>m/d/yyyy</formatCode>
                  <v>43087</v>
                </pt>
                <pt idx="2242">
                  <formatCode>m/d/yyyy</formatCode>
                  <v>43094</v>
                </pt>
                <pt idx="2243">
                  <formatCode>m/d/yyyy</formatCode>
                  <v>43101</v>
                </pt>
                <pt idx="2244">
                  <formatCode>m/d/yyyy</formatCode>
                  <v>43108</v>
                </pt>
                <pt idx="2245">
                  <formatCode>m/d/yyyy</formatCode>
                  <v>43115</v>
                </pt>
                <pt idx="2246">
                  <formatCode>m/d/yyyy</formatCode>
                  <v>43122</v>
                </pt>
                <pt idx="2247">
                  <formatCode>m/d/yyyy</formatCode>
                  <v>43129</v>
                </pt>
                <pt idx="2248">
                  <formatCode>m/d/yyyy</formatCode>
                  <v>43136</v>
                </pt>
                <pt idx="2249">
                  <formatCode>m/d/yyyy</formatCode>
                  <v>43143</v>
                </pt>
                <pt idx="2250">
                  <formatCode>m/d/yyyy</formatCode>
                  <v>43150</v>
                </pt>
                <pt idx="2251">
                  <formatCode>m/d/yyyy</formatCode>
                  <v>43157</v>
                </pt>
                <pt idx="2252">
                  <formatCode>m/d/yyyy</formatCode>
                  <v>43164</v>
                </pt>
                <pt idx="2253">
                  <formatCode>m/d/yyyy</formatCode>
                  <v>43171</v>
                </pt>
                <pt idx="2254">
                  <formatCode>m/d/yyyy</formatCode>
                  <v>43178</v>
                </pt>
                <pt idx="2255">
                  <formatCode>m/d/yyyy</formatCode>
                  <v>43185</v>
                </pt>
                <pt idx="2256">
                  <formatCode>m/d/yyyy</formatCode>
                  <v>43192</v>
                </pt>
                <pt idx="2257">
                  <formatCode>m/d/yyyy</formatCode>
                  <v>43199</v>
                </pt>
                <pt idx="2258">
                  <formatCode>m/d/yyyy</formatCode>
                  <v>43206</v>
                </pt>
                <pt idx="2259">
                  <formatCode>m/d/yyyy</formatCode>
                  <v>43213</v>
                </pt>
                <pt idx="2260">
                  <formatCode>m/d/yyyy</formatCode>
                  <v>43220</v>
                </pt>
                <pt idx="2261">
                  <formatCode>m/d/yyyy</formatCode>
                  <v>43227</v>
                </pt>
                <pt idx="2262">
                  <formatCode>m/d/yyyy</formatCode>
                  <v>43234</v>
                </pt>
                <pt idx="2263">
                  <formatCode>m/d/yyyy</formatCode>
                  <v>43241</v>
                </pt>
                <pt idx="2264">
                  <formatCode>m/d/yyyy</formatCode>
                  <v>43248</v>
                </pt>
                <pt idx="2265">
                  <formatCode>m/d/yyyy</formatCode>
                  <v>43255</v>
                </pt>
                <pt idx="2266">
                  <formatCode>m/d/yyyy</formatCode>
                  <v>43262</v>
                </pt>
                <pt idx="2267">
                  <formatCode>m/d/yyyy</formatCode>
                  <v>43269</v>
                </pt>
                <pt idx="2268">
                  <formatCode>m/d/yyyy</formatCode>
                  <v>43276</v>
                </pt>
                <pt idx="2269">
                  <formatCode>m/d/yyyy</formatCode>
                  <v>43283</v>
                </pt>
                <pt idx="2270">
                  <formatCode>m/d/yyyy</formatCode>
                  <v>43290</v>
                </pt>
                <pt idx="2271">
                  <formatCode>m/d/yyyy</formatCode>
                  <v>43297</v>
                </pt>
                <pt idx="2272">
                  <formatCode>m/d/yyyy</formatCode>
                  <v>43304</v>
                </pt>
                <pt idx="2273">
                  <formatCode>m/d/yyyy</formatCode>
                  <v>43311</v>
                </pt>
                <pt idx="2274">
                  <formatCode>m/d/yyyy</formatCode>
                  <v>43318</v>
                </pt>
                <pt idx="2275">
                  <formatCode>m/d/yyyy</formatCode>
                  <v>43325</v>
                </pt>
                <pt idx="2276">
                  <formatCode>m/d/yyyy</formatCode>
                  <v>43332</v>
                </pt>
                <pt idx="2277">
                  <formatCode>m/d/yyyy</formatCode>
                  <v>43339</v>
                </pt>
                <pt idx="2278">
                  <formatCode>m/d/yyyy</formatCode>
                  <v>43346</v>
                </pt>
                <pt idx="2279">
                  <formatCode>m/d/yyyy</formatCode>
                  <v>43353</v>
                </pt>
                <pt idx="2280">
                  <formatCode>m/d/yyyy</formatCode>
                  <v>43360</v>
                </pt>
                <pt idx="2281">
                  <formatCode>m/d/yyyy</formatCode>
                  <v>43367</v>
                </pt>
                <pt idx="2282">
                  <formatCode>m/d/yyyy</formatCode>
                  <v>43374</v>
                </pt>
                <pt idx="2283">
                  <formatCode>m/d/yyyy</formatCode>
                  <v>43381</v>
                </pt>
                <pt idx="2284">
                  <formatCode>m/d/yyyy</formatCode>
                  <v>43388</v>
                </pt>
                <pt idx="2285">
                  <formatCode>m/d/yyyy</formatCode>
                  <v>43395</v>
                </pt>
                <pt idx="2286">
                  <formatCode>m/d/yyyy</formatCode>
                  <v>43402</v>
                </pt>
                <pt idx="2287">
                  <formatCode>m/d/yyyy</formatCode>
                  <v>43409</v>
                </pt>
                <pt idx="2288">
                  <formatCode>m/d/yyyy</formatCode>
                  <v>43416</v>
                </pt>
                <pt idx="2289">
                  <formatCode>m/d/yyyy</formatCode>
                  <v>43423</v>
                </pt>
                <pt idx="2290">
                  <formatCode>m/d/yyyy</formatCode>
                  <v>43430</v>
                </pt>
                <pt idx="2291">
                  <formatCode>m/d/yyyy</formatCode>
                  <v>43437</v>
                </pt>
                <pt idx="2292">
                  <formatCode>m/d/yyyy</formatCode>
                  <v>43444</v>
                </pt>
                <pt idx="2293">
                  <formatCode>m/d/yyyy</formatCode>
                  <v>43451</v>
                </pt>
                <pt idx="2294">
                  <formatCode>m/d/yyyy</formatCode>
                  <v>43458</v>
                </pt>
                <pt idx="2295">
                  <formatCode>m/d/yyyy</formatCode>
                  <v>43465</v>
                </pt>
                <pt idx="2296">
                  <formatCode>m/d/yyyy</formatCode>
                  <v>43472</v>
                </pt>
                <pt idx="2297">
                  <formatCode>m/d/yyyy</formatCode>
                  <v>43479</v>
                </pt>
                <pt idx="2298">
                  <formatCode>m/d/yyyy</formatCode>
                  <v>43486</v>
                </pt>
                <pt idx="2299">
                  <formatCode>m/d/yyyy</formatCode>
                  <v>43493</v>
                </pt>
                <pt idx="2300">
                  <formatCode>m/d/yyyy</formatCode>
                  <v>43500</v>
                </pt>
                <pt idx="2301">
                  <formatCode>m/d/yyyy</formatCode>
                  <v>43507</v>
                </pt>
                <pt idx="2302">
                  <formatCode>m/d/yyyy</formatCode>
                  <v>43514</v>
                </pt>
                <pt idx="2303">
                  <formatCode>m/d/yyyy</formatCode>
                  <v>43521</v>
                </pt>
                <pt idx="2304">
                  <formatCode>m/d/yyyy</formatCode>
                  <v>43528</v>
                </pt>
                <pt idx="2305">
                  <formatCode>m/d/yyyy</formatCode>
                  <v>43535</v>
                </pt>
                <pt idx="2306">
                  <formatCode>m/d/yyyy</formatCode>
                  <v>43542</v>
                </pt>
                <pt idx="2307">
                  <formatCode>m/d/yyyy</formatCode>
                  <v>43549</v>
                </pt>
                <pt idx="2308">
                  <formatCode>m/d/yyyy</formatCode>
                  <v>43556</v>
                </pt>
                <pt idx="2309">
                  <formatCode>m/d/yyyy</formatCode>
                  <v>43563</v>
                </pt>
                <pt idx="2310">
                  <formatCode>m/d/yyyy</formatCode>
                  <v>43570</v>
                </pt>
                <pt idx="2311">
                  <formatCode>m/d/yyyy</formatCode>
                  <v>43577</v>
                </pt>
                <pt idx="2312">
                  <formatCode>m/d/yyyy</formatCode>
                  <v>43584</v>
                </pt>
                <pt idx="2313">
                  <formatCode>m/d/yyyy</formatCode>
                  <v>43591</v>
                </pt>
                <pt idx="2314">
                  <formatCode>m/d/yyyy</formatCode>
                  <v>43598</v>
                </pt>
                <pt idx="2315">
                  <formatCode>m/d/yyyy</formatCode>
                  <v>43605</v>
                </pt>
                <pt idx="2316">
                  <formatCode>m/d/yyyy</formatCode>
                  <v>43612</v>
                </pt>
                <pt idx="2317">
                  <formatCode>m/d/yyyy</formatCode>
                  <v>43619</v>
                </pt>
                <pt idx="2318">
                  <formatCode>m/d/yyyy</formatCode>
                  <v>43626</v>
                </pt>
                <pt idx="2319">
                  <formatCode>m/d/yyyy</formatCode>
                  <v>43633</v>
                </pt>
                <pt idx="2320">
                  <formatCode>m/d/yyyy</formatCode>
                  <v>43640</v>
                </pt>
                <pt idx="2321">
                  <formatCode>m/d/yyyy</formatCode>
                  <v>43647</v>
                </pt>
                <pt idx="2322">
                  <formatCode>m/d/yyyy</formatCode>
                  <v>43654</v>
                </pt>
                <pt idx="2323">
                  <formatCode>m/d/yyyy</formatCode>
                  <v>43661</v>
                </pt>
                <pt idx="2324">
                  <formatCode>m/d/yyyy</formatCode>
                  <v>43668</v>
                </pt>
                <pt idx="2325">
                  <formatCode>m/d/yyyy</formatCode>
                  <v>43675</v>
                </pt>
                <pt idx="2326">
                  <formatCode>m/d/yyyy</formatCode>
                  <v>43682</v>
                </pt>
                <pt idx="2327">
                  <formatCode>m/d/yyyy</formatCode>
                  <v>43689</v>
                </pt>
                <pt idx="2328">
                  <formatCode>m/d/yyyy</formatCode>
                  <v>43696</v>
                </pt>
                <pt idx="2329">
                  <formatCode>m/d/yyyy</formatCode>
                  <v>43703</v>
                </pt>
                <pt idx="2330">
                  <formatCode>m/d/yyyy</formatCode>
                  <v>43710</v>
                </pt>
                <pt idx="2331">
                  <formatCode>m/d/yyyy</formatCode>
                  <v>43717</v>
                </pt>
                <pt idx="2332">
                  <formatCode>m/d/yyyy</formatCode>
                  <v>43724</v>
                </pt>
                <pt idx="2333">
                  <formatCode>m/d/yyyy</formatCode>
                  <v>43731</v>
                </pt>
                <pt idx="2334">
                  <formatCode>m/d/yyyy</formatCode>
                  <v>43738</v>
                </pt>
                <pt idx="2335">
                  <formatCode>m/d/yyyy</formatCode>
                  <v>43745</v>
                </pt>
                <pt idx="2336">
                  <formatCode>m/d/yyyy</formatCode>
                  <v>43752</v>
                </pt>
                <pt idx="2337">
                  <formatCode>m/d/yyyy</formatCode>
                  <v>43759</v>
                </pt>
                <pt idx="2338">
                  <formatCode>m/d/yyyy</formatCode>
                  <v>43766</v>
                </pt>
                <pt idx="2339">
                  <formatCode>m/d/yyyy</formatCode>
                  <v>43773</v>
                </pt>
                <pt idx="2340">
                  <formatCode>m/d/yyyy</formatCode>
                  <v>43780</v>
                </pt>
                <pt idx="2341">
                  <formatCode>m/d/yyyy</formatCode>
                  <v>43787</v>
                </pt>
                <pt idx="2342">
                  <formatCode>m/d/yyyy</formatCode>
                  <v>43794</v>
                </pt>
                <pt idx="2343">
                  <formatCode>m/d/yyyy</formatCode>
                  <v>43801</v>
                </pt>
                <pt idx="2344">
                  <formatCode>m/d/yyyy</formatCode>
                  <v>43808</v>
                </pt>
                <pt idx="2345">
                  <formatCode>m/d/yyyy</formatCode>
                  <v>43815</v>
                </pt>
                <pt idx="2346">
                  <formatCode>m/d/yyyy</formatCode>
                  <v>43822</v>
                </pt>
                <pt idx="2347">
                  <formatCode>m/d/yyyy</formatCode>
                  <v>43829</v>
                </pt>
                <pt idx="2348">
                  <formatCode>m/d/yyyy</formatCode>
                  <v>43836</v>
                </pt>
                <pt idx="2349">
                  <formatCode>m/d/yyyy</formatCode>
                  <v>43843</v>
                </pt>
                <pt idx="2350">
                  <formatCode>m/d/yyyy</formatCode>
                  <v>43850</v>
                </pt>
                <pt idx="2351">
                  <formatCode>m/d/yyyy</formatCode>
                  <v>43857</v>
                </pt>
                <pt idx="2352">
                  <formatCode>m/d/yyyy</formatCode>
                  <v>43864</v>
                </pt>
                <pt idx="2353">
                  <formatCode>m/d/yyyy</formatCode>
                  <v>43871</v>
                </pt>
                <pt idx="2354">
                  <formatCode>m/d/yyyy</formatCode>
                  <v>43878</v>
                </pt>
                <pt idx="2355">
                  <formatCode>m/d/yyyy</formatCode>
                  <v>43885</v>
                </pt>
                <pt idx="2356">
                  <formatCode>m/d/yyyy</formatCode>
                  <v>43892</v>
                </pt>
                <pt idx="2357">
                  <formatCode>m/d/yyyy</formatCode>
                  <v>43899</v>
                </pt>
                <pt idx="2358">
                  <formatCode>m/d/yyyy</formatCode>
                  <v>43906</v>
                </pt>
                <pt idx="2359">
                  <formatCode>m/d/yyyy</formatCode>
                  <v>43913</v>
                </pt>
                <pt idx="2360">
                  <formatCode>m/d/yyyy</formatCode>
                  <v>43920</v>
                </pt>
                <pt idx="2361">
                  <formatCode>m/d/yyyy</formatCode>
                  <v>43927</v>
                </pt>
                <pt idx="2362">
                  <formatCode>m/d/yyyy</formatCode>
                  <v>43934</v>
                </pt>
                <pt idx="2363">
                  <formatCode>m/d/yyyy</formatCode>
                  <v>43941</v>
                </pt>
                <pt idx="2364">
                  <formatCode>m/d/yyyy</formatCode>
                  <v>43948</v>
                </pt>
                <pt idx="2365">
                  <formatCode>m/d/yyyy</formatCode>
                  <v>43955</v>
                </pt>
                <pt idx="2366">
                  <formatCode>m/d/yyyy</formatCode>
                  <v>43962</v>
                </pt>
                <pt idx="2367">
                  <formatCode>m/d/yyyy</formatCode>
                  <v>43969</v>
                </pt>
                <pt idx="2368">
                  <formatCode>m/d/yyyy</formatCode>
                  <v>43976</v>
                </pt>
                <pt idx="2369">
                  <formatCode>m/d/yyyy</formatCode>
                  <v>43983</v>
                </pt>
                <pt idx="2370">
                  <formatCode>m/d/yyyy</formatCode>
                  <v>43990</v>
                </pt>
                <pt idx="2371">
                  <formatCode>m/d/yyyy</formatCode>
                  <v>43997</v>
                </pt>
                <pt idx="2372">
                  <formatCode>m/d/yyyy</formatCode>
                  <v>44004</v>
                </pt>
                <pt idx="2373">
                  <formatCode>m/d/yyyy</formatCode>
                  <v>44011</v>
                </pt>
                <pt idx="2374">
                  <formatCode>m/d/yyyy</formatCode>
                  <v>44018</v>
                </pt>
                <pt idx="2375">
                  <formatCode>m/d/yyyy</formatCode>
                  <v>44025</v>
                </pt>
                <pt idx="2376">
                  <formatCode>m/d/yyyy</formatCode>
                  <v>44032</v>
                </pt>
                <pt idx="2377">
                  <formatCode>m/d/yyyy</formatCode>
                  <v>44039</v>
                </pt>
                <pt idx="2378">
                  <formatCode>m/d/yyyy</formatCode>
                  <v>44046</v>
                </pt>
                <pt idx="2379">
                  <formatCode>m/d/yyyy</formatCode>
                  <v>44053</v>
                </pt>
                <pt idx="2380">
                  <formatCode>m/d/yyyy</formatCode>
                  <v>44060</v>
                </pt>
                <pt idx="2381">
                  <formatCode>m/d/yyyy</formatCode>
                  <v>44067</v>
                </pt>
                <pt idx="2382">
                  <formatCode>m/d/yyyy</formatCode>
                  <v>44074</v>
                </pt>
                <pt idx="2383">
                  <formatCode>m/d/yyyy</formatCode>
                  <v>44081</v>
                </pt>
                <pt idx="2384">
                  <formatCode>m/d/yyyy</formatCode>
                  <v>44088</v>
                </pt>
                <pt idx="2385">
                  <formatCode>m/d/yyyy</formatCode>
                  <v>44095</v>
                </pt>
                <pt idx="2386">
                  <formatCode>m/d/yyyy</formatCode>
                  <v>44102</v>
                </pt>
                <pt idx="2387">
                  <formatCode>m/d/yyyy</formatCode>
                  <v>44109</v>
                </pt>
                <pt idx="2388">
                  <formatCode>m/d/yyyy</formatCode>
                  <v>44116</v>
                </pt>
                <pt idx="2389">
                  <formatCode>m/d/yyyy</formatCode>
                  <v>44123</v>
                </pt>
                <pt idx="2390">
                  <formatCode>m/d/yyyy</formatCode>
                  <v>44130</v>
                </pt>
                <pt idx="2391">
                  <formatCode>m/d/yyyy</formatCode>
                  <v>44137</v>
                </pt>
                <pt idx="2392">
                  <formatCode>m/d/yyyy</formatCode>
                  <v>44144</v>
                </pt>
                <pt idx="2393">
                  <formatCode>m/d/yyyy</formatCode>
                  <v>44151</v>
                </pt>
                <pt idx="2394">
                  <formatCode>m/d/yyyy</formatCode>
                  <v>44158</v>
                </pt>
                <pt idx="2395">
                  <formatCode>m/d/yyyy</formatCode>
                  <v>44165</v>
                </pt>
                <pt idx="2396">
                  <formatCode>m/d/yyyy</formatCode>
                  <v>44172</v>
                </pt>
                <pt idx="2397">
                  <formatCode>m/d/yyyy</formatCode>
                  <v>44179</v>
                </pt>
                <pt idx="2398">
                  <formatCode>m/d/yyyy</formatCode>
                  <v>44186</v>
                </pt>
                <pt idx="2399">
                  <formatCode>m/d/yyyy</formatCode>
                  <v>44193</v>
                </pt>
                <pt idx="2400">
                  <formatCode>m/d/yyyy</formatCode>
                  <v>44200</v>
                </pt>
                <pt idx="2401">
                  <formatCode>m/d/yyyy</formatCode>
                  <v>44207</v>
                </pt>
                <pt idx="2402">
                  <formatCode>m/d/yyyy</formatCode>
                  <v>44214</v>
                </pt>
                <pt idx="2403">
                  <formatCode>m/d/yyyy</formatCode>
                  <v>44221</v>
                </pt>
                <pt idx="2404">
                  <formatCode>m/d/yyyy</formatCode>
                  <v>44228</v>
                </pt>
                <pt idx="2405">
                  <formatCode>m/d/yyyy</formatCode>
                  <v>44235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17659.6</v>
                </pt>
                <pt idx="2400">
                  <v>17769.8</v>
                </pt>
                <pt idx="2401">
                  <v>18141.9</v>
                </pt>
                <pt idx="2402">
                  <v>18151</v>
                </pt>
                <pt idx="2403">
                  <v>18107.6</v>
                </pt>
                <pt idx="2404">
                  <v>18104.6</v>
                </pt>
                <pt idx="2405">
                  <v>18104.6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'!$A$7:$A$776</f>
              <numCache>
                <formatCode>m/d/yyyy</formatCode>
                <ptCount val="77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'!$B$7:$B$776</f>
              <numCache>
                <formatCode>0.0</formatCode>
                <ptCount val="77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19372.5</v>
                </pt>
                <pt idx="744">
                  <v>19615.2</v>
                </pt>
                <pt idx="745">
                  <v>19853.8</v>
                </pt>
                <pt idx="746">
                  <v>20110.7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20835.3</v>
                </pt>
                <pt idx="751">
                  <v>20965.8</v>
                </pt>
                <pt idx="752">
                  <v>21143.9</v>
                </pt>
                <pt idx="753">
                  <v>21349.3</v>
                </pt>
                <pt idx="754">
                  <v>21489.9</v>
                </pt>
                <pt idx="755">
                  <v>21649.6</v>
                </pt>
                <pt idx="756">
                  <v>21708.4</v>
                </pt>
                <pt idx="757">
                  <v>21739.7</v>
                </pt>
                <pt idx="758">
                  <v>21644.2</v>
                </pt>
                <pt idx="759">
                  <v>21649.2</v>
                </pt>
                <pt idx="760">
                  <v>21607.6</v>
                </pt>
                <pt idx="761">
                  <v>21636.1</v>
                </pt>
                <pt idx="762">
                  <v>21632.3</v>
                </pt>
                <pt idx="763">
                  <v>21503.5</v>
                </pt>
                <pt idx="764">
                  <v>21415.2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Country!$A$474:$A$751</f>
              <numCache>
                <formatCode>m/d/yyyy</formatCode>
                <ptCount val="27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Country!$B$474:$B$751</f>
              <numCache>
                <formatCode>0.00</formatCode>
                <ptCount val="278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158.7764</v>
                </pt>
                <pt idx="252">
                  <v>160.8328</v>
                </pt>
                <pt idx="253">
                  <v>162.8477</v>
                </pt>
                <pt idx="254">
                  <v>164.8286</v>
                </pt>
                <pt idx="255">
                  <v>166.9614</v>
                </pt>
                <pt idx="256">
                  <v>169.5185</v>
                </pt>
                <pt idx="257">
                  <v>169.8622</v>
                </pt>
                <pt idx="258">
                  <v>171.1507</v>
                </pt>
                <pt idx="259">
                  <v>172.9772</v>
                </pt>
                <pt idx="260">
                  <v>174.0606</v>
                </pt>
                <pt idx="261">
                  <v>175.5392</v>
                </pt>
                <pt idx="262">
                  <v>177.2444</v>
                </pt>
                <pt idx="263">
                  <v>178.4117</v>
                </pt>
                <pt idx="264">
                  <v>179.7376</v>
                </pt>
                <pt idx="265">
                  <v>180.2257</v>
                </pt>
                <pt idx="266">
                  <v>180.4856</v>
                </pt>
                <pt idx="267">
                  <v>179.6927</v>
                </pt>
                <pt idx="268">
                  <v>179.7343</v>
                </pt>
                <pt idx="269">
                  <v>179.3889</v>
                </pt>
                <pt idx="270">
                  <v>179.6255</v>
                </pt>
                <pt idx="271">
                  <v>179.5939</v>
                </pt>
                <pt idx="272">
                  <v>178.5246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Country!$A$474:$A$750</f>
              <numCache>
                <formatCode>m/d/yyyy</formatCode>
                <ptCount val="277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Country!$D$474:$D$750</f>
              <numCache>
                <formatCode>0.0%</formatCode>
                <ptCount val="277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0.1025852012411261</v>
                </pt>
                <pt idx="252">
                  <v>0.1669817497845223</v>
                </pt>
                <pt idx="253">
                  <v>0.1611386352961661</v>
                </pt>
                <pt idx="254">
                  <v>0.156142294658685</v>
                </pt>
                <pt idx="255">
                  <v>0.166815242480514</v>
                </pt>
                <pt idx="256">
                  <v>0.2000857459268133</v>
                </pt>
                <pt idx="257">
                  <v>0.02460324175334305</v>
                </pt>
                <pt idx="258">
                  <v>0.09492209874642388</v>
                </pt>
                <pt idx="259">
                  <v>0.1358531782987047</v>
                </pt>
                <pt idx="260">
                  <v>0.07780293154994955</v>
                </pt>
                <pt idx="261">
                  <v>0.1068369845730592</v>
                </pt>
                <pt idx="262">
                  <v>0.1230029425104204</v>
                </pt>
                <pt idx="263">
                  <v>0.08195626385570898</v>
                </pt>
                <pt idx="264">
                  <v>0.0929172560283904</v>
                </pt>
                <pt idx="265">
                  <v>0.03307866327807707</v>
                </pt>
                <pt idx="266">
                  <v>0.01744288345459477</v>
                </pt>
                <pt idx="267">
                  <v>-0.05146246551682987</v>
                </pt>
                <pt idx="268">
                  <v>0.00278161614009087</v>
                </pt>
                <pt idx="269">
                  <v>-0.02281852151459007</v>
                </pt>
                <pt idx="270">
                  <v>0.01594238315695762</v>
                </pt>
                <pt idx="271">
                  <v>-0.002109017444858363</v>
                </pt>
                <pt idx="272">
                  <v>-0.06915398137369133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16</col>
      <colOff>118534</colOff>
      <row>752</row>
      <rowOff>117123</rowOff>
    </from>
    <to>
      <col>31</col>
      <colOff>165100</colOff>
      <row>776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752</row>
      <rowOff>139700</rowOff>
    </from>
    <to>
      <col>15</col>
      <colOff>596900</colOff>
      <row>776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14</col>
      <colOff>318526</colOff>
      <row>745</row>
      <rowOff>123265</rowOff>
    </from>
    <to>
      <col>26</col>
      <colOff>12700</colOff>
      <row>770</row>
      <rowOff>38100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13</col>
      <colOff>122464</colOff>
      <row>735</row>
      <rowOff>9069</rowOff>
    </from>
    <to>
      <col>22</col>
      <colOff>562429</colOff>
      <row>755</row>
      <rowOff>97743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4306</rowOff>
    </from>
    <to>
      <col>13</col>
      <colOff>18143</colOff>
      <row>755</row>
      <rowOff>72570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6" headerRowCount="1" totalsRowShown="0" headerRowCellStyle="Normal 3" dataCellStyle="Normal 3">
  <autoFilter ref="A11:B266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2" headerRowCount="1" totalsRowShown="0" headerRowDxfId="33" dataDxfId="31" headerRowBorderDxfId="32">
  <autoFilter ref="A5:C772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1" headerRowCount="1" totalsRowShown="0" headerRowDxfId="27" dataDxfId="26" tableBorderDxfId="25">
  <autoFilter ref="A5:C77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1" headerRowCount="1" totalsRowShown="0" headerRowDxfId="21" dataDxfId="19" headerRowBorderDxfId="20" dataCellStyle="Normal 2">
  <autoFilter ref="A5:F2411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1" headerRowCount="1" totalsRowShown="0" headerRowDxfId="12" dataDxfId="10" headerRowBorderDxfId="11" dataCellStyle="Normal 2">
  <autoFilter ref="A5:D77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6" headerRowCount="1" totalsRowShown="0" headerRowDxfId="5" headerRowBorderDxfId="4">
  <autoFilter ref="A5:D746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90" zoomScaleNormal="90" workbookViewId="0">
      <selection activeCell="AB17" sqref="AB17"/>
    </sheetView>
  </sheetViews>
  <sheetFormatPr baseColWidth="8" defaultColWidth="9.1796875" defaultRowHeight="14.5"/>
  <cols>
    <col width="9.1796875" customWidth="1" style="76" min="1" max="1"/>
    <col width="12.81640625" customWidth="1" style="76" min="2" max="10"/>
    <col width="3.36328125" customWidth="1" style="76" min="11" max="13"/>
    <col width="21.36328125" customWidth="1" style="76" min="14" max="14"/>
    <col width="15.6328125" customWidth="1" style="76" min="15" max="15"/>
    <col width="16.81640625" customWidth="1" style="76" min="16" max="16"/>
    <col width="23" customWidth="1" style="76" min="17" max="17"/>
    <col width="9.1796875" customWidth="1" style="76" min="18" max="44"/>
    <col width="9.1796875" customWidth="1" style="76" min="45" max="16384"/>
  </cols>
  <sheetData>
    <row r="1">
      <c r="B1" s="82" t="n"/>
    </row>
    <row r="2" ht="16" customHeight="1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/>
    <row r="12" ht="16" customHeight="1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2801.5</v>
      </c>
      <c r="E1808" t="n">
        <v>4880.3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2820.7</v>
      </c>
      <c r="E1813" t="n">
        <v>4925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2848.9</v>
      </c>
      <c r="E1823" t="n">
        <v>5014.1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2880.2</v>
      </c>
      <c r="E1828" t="n">
        <v>5072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2895.1</v>
      </c>
      <c r="E1839" t="n">
        <v>5133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2911.4</v>
      </c>
      <c r="E1844" t="n">
        <v>5173.5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2952.2</v>
      </c>
      <c r="E1855" t="n">
        <v>5237.2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3003</v>
      </c>
      <c r="E1860" t="n">
        <v>5348.4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3031.4</v>
      </c>
      <c r="E1870" t="n">
        <v>5380.8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3063</v>
      </c>
      <c r="E1875" t="n">
        <v>5433.8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3080.6</v>
      </c>
      <c r="E1886" t="n">
        <v>5483.4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3078.5</v>
      </c>
      <c r="E1891" t="n">
        <v>5495.2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3076</v>
      </c>
      <c r="E1901" t="n">
        <v>5521.5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3088.3</v>
      </c>
      <c r="E1906" t="n">
        <v>5546.5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3120</v>
      </c>
      <c r="E1916" t="n">
        <v>5631.6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3128.3</v>
      </c>
      <c r="E1921" t="n">
        <v>5656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3168.4</v>
      </c>
      <c r="E1932" t="n">
        <v>5750.6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3174.9</v>
      </c>
      <c r="E1937" t="n">
        <v>5772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3181.2</v>
      </c>
      <c r="E1948" t="n">
        <v>5840.7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3187.3</v>
      </c>
      <c r="E1953" t="n">
        <v>5861.4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3258.2</v>
      </c>
      <c r="E1964" t="n">
        <v>5959.3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3274.7</v>
      </c>
      <c r="E1969" t="n">
        <v>5996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3306.7</v>
      </c>
      <c r="E1980" t="n">
        <v>6100.8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3280.6</v>
      </c>
      <c r="E1995" t="n">
        <v>6069.1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3274.9</v>
      </c>
      <c r="E2010" t="n">
        <v>6114.3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3330.6</v>
      </c>
      <c r="E2025" t="n">
        <v>6268.1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3319.5</v>
      </c>
      <c r="E2031" t="n">
        <v>6270.5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3335.4</v>
      </c>
      <c r="E2041" t="n">
        <v>6310.6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3343.2</v>
      </c>
      <c r="E2047" t="n">
        <v>6345.3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3348.1</v>
      </c>
      <c r="E2062" t="n">
        <v>6418.3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3343.5</v>
      </c>
      <c r="E2073" t="n">
        <v>6432.8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3336</v>
      </c>
      <c r="E2078" t="n">
        <v>6441.9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3343.6</v>
      </c>
      <c r="E2088" t="n">
        <v>6473.3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3358.7</v>
      </c>
      <c r="E2094" t="n">
        <v>6505.8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3322.1</v>
      </c>
      <c r="E2109" t="n">
        <v>6604.3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3359.4</v>
      </c>
      <c r="E2120" t="n">
        <v>6655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3373</v>
      </c>
      <c r="E2125" t="n">
        <v>6681.9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3384.5</v>
      </c>
      <c r="E2136" t="n">
        <v>6748.6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3386.5</v>
      </c>
      <c r="E2141" t="n">
        <v>6762.9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3391.9</v>
      </c>
      <c r="E2156" t="n">
        <v>6844.9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3394.1</v>
      </c>
      <c r="E2167" t="n">
        <v>6917.1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3424.2</v>
      </c>
      <c r="E2172" t="n">
        <v>6944.2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3479.4</v>
      </c>
      <c r="E2183" t="n">
        <v>7028.4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3481.8</v>
      </c>
      <c r="E2188" t="n">
        <v>7071.6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3488.9</v>
      </c>
      <c r="E2198" t="n">
        <v>7125.3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3487.3</v>
      </c>
      <c r="E2203" t="n">
        <v>7159.1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3504.3</v>
      </c>
      <c r="E2214" t="n">
        <v>7245.4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3512.3</v>
      </c>
      <c r="E2219" t="n">
        <v>7278.6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3556.2</v>
      </c>
      <c r="E2230" t="n">
        <v>7385.1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3549.9</v>
      </c>
      <c r="E2235" t="n">
        <v>7403.2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3529.7</v>
      </c>
      <c r="E2245" t="n">
        <v>7441.8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3533.6</v>
      </c>
      <c r="E2250" t="n">
        <v>7471.6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3568.9</v>
      </c>
      <c r="E2261" t="n">
        <v>7590.6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3586.9</v>
      </c>
      <c r="E2266" t="n">
        <v>7656.2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3583.1</v>
      </c>
      <c r="E2277" t="n">
        <v>7711.2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3554.1</v>
      </c>
      <c r="E2282" t="n">
        <v>7728.9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3562.2</v>
      </c>
      <c r="E2293" t="n">
        <v>7790.2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3760.6</v>
      </c>
      <c r="E2308" t="n">
        <v>8015.8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3903.6</v>
      </c>
      <c r="E2323" t="n">
        <v>8303.1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3938.6</v>
      </c>
      <c r="E2328" t="n">
        <v>8369.299999999999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3919.8</v>
      </c>
      <c r="E2354" t="n">
        <v>8445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3909</v>
      </c>
      <c r="E2376" t="n">
        <v>8496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3953.2</v>
      </c>
      <c r="E2400" t="n">
        <v>8589.9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3963.6</v>
      </c>
      <c r="E2406" t="n">
        <v>8609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3978.1</v>
      </c>
      <c r="E2416" t="n">
        <v>8669.1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3985.8</v>
      </c>
      <c r="E2422" t="n">
        <v>8700.1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4004.9</v>
      </c>
      <c r="E2448" t="n">
        <v>8886.9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4009.7</v>
      </c>
      <c r="E2453" t="n">
        <v>8943.5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4037</v>
      </c>
      <c r="E2463" t="n">
        <v>9075.5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4070.6</v>
      </c>
      <c r="E2469" t="n">
        <v>9151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4205</v>
      </c>
      <c r="E2484" t="n">
        <v>9528.299999999999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4231.5</v>
      </c>
      <c r="E2495" t="n">
        <v>9612.6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4251.4</v>
      </c>
      <c r="E2500" t="n">
        <v>9660.1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973.7</v>
      </c>
      <c r="C2516" t="n">
        <v>4296.5</v>
      </c>
      <c r="E2516" t="n">
        <v>9830.6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986.5</v>
      </c>
      <c r="C2527" t="n">
        <v>4341</v>
      </c>
      <c r="E2527" t="n">
        <v>9928.4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1023.9</v>
      </c>
      <c r="C2543" t="n">
        <v>4402.1</v>
      </c>
      <c r="E2543" t="n">
        <v>10121.3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1033.1</v>
      </c>
      <c r="C2548" t="n">
        <v>4415.6</v>
      </c>
      <c r="E2548" t="n">
        <v>10200.8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1055.7</v>
      </c>
      <c r="C2558" t="n">
        <v>4470.3</v>
      </c>
      <c r="E2558" t="n">
        <v>10337.6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1064.2</v>
      </c>
      <c r="C2563" t="n">
        <v>4523.7</v>
      </c>
      <c r="E2563" t="n">
        <v>10459.7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1060.6</v>
      </c>
      <c r="C2574" t="n">
        <v>4499.9</v>
      </c>
      <c r="E2574" t="n">
        <v>10482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1066.6</v>
      </c>
      <c r="C2579" t="n">
        <v>4541.9</v>
      </c>
      <c r="E2579" t="n">
        <v>10550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1090.1</v>
      </c>
      <c r="C2589" t="n">
        <v>4583.2</v>
      </c>
      <c r="E2589" t="n">
        <v>10628.2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1087.7</v>
      </c>
      <c r="C2594" t="n">
        <v>4596.7</v>
      </c>
      <c r="E2594" t="n">
        <v>10684.9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1094.8</v>
      </c>
      <c r="C2604" t="n">
        <v>4621.9</v>
      </c>
      <c r="E2604" t="n">
        <v>10790.2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1106.8</v>
      </c>
      <c r="C2609" t="n">
        <v>4642.1</v>
      </c>
      <c r="E2609" t="n">
        <v>10841.3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1125.4</v>
      </c>
      <c r="C2620" t="n">
        <v>4685.6</v>
      </c>
      <c r="E2620" t="n">
        <v>10969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1135.1</v>
      </c>
      <c r="C2625" t="n">
        <v>4698.7</v>
      </c>
      <c r="E2625" t="n">
        <v>11028.8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1156.8</v>
      </c>
      <c r="C2636" t="n">
        <v>4738.3</v>
      </c>
      <c r="E2636" t="n">
        <v>11161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1165.7</v>
      </c>
      <c r="C2641" t="n">
        <v>4745.3</v>
      </c>
      <c r="E2641" t="n">
        <v>11200.2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1178.2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1191.7</v>
      </c>
      <c r="C2657" t="n">
        <v>4797.3</v>
      </c>
      <c r="E2657" t="n">
        <v>11380.7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1180.9</v>
      </c>
      <c r="C2668" t="n">
        <v>4830</v>
      </c>
      <c r="E2668" t="n">
        <v>11469.4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1219</v>
      </c>
      <c r="C2683" t="n">
        <v>4896.8</v>
      </c>
      <c r="E2683" t="n">
        <v>11604.7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1277</v>
      </c>
      <c r="C2698" t="n">
        <v>5041.1</v>
      </c>
      <c r="E2698" t="n">
        <v>11863.9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1270.6</v>
      </c>
      <c r="C2703" t="n">
        <v>5034.2</v>
      </c>
      <c r="E2703" t="n">
        <v>11879.6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1258.2</v>
      </c>
      <c r="C2714" t="n">
        <v>5046.5</v>
      </c>
      <c r="E2714" t="n">
        <v>11960.3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1272.5</v>
      </c>
      <c r="C2729" t="n">
        <v>5087.3</v>
      </c>
      <c r="E2729" t="n">
        <v>12109.5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1283</v>
      </c>
      <c r="C2735" t="n">
        <v>5121.9</v>
      </c>
      <c r="E2735" t="n">
        <v>12164.5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1295</v>
      </c>
      <c r="C2745" t="n">
        <v>5161.8</v>
      </c>
      <c r="E2745" t="n">
        <v>12286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1302.1</v>
      </c>
      <c r="C2751" t="n">
        <v>5191.8</v>
      </c>
      <c r="E2751" t="n">
        <v>12344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1324.8</v>
      </c>
      <c r="C2766" t="n">
        <v>5296.4</v>
      </c>
      <c r="E2766" t="n">
        <v>12609.7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1351.5</v>
      </c>
      <c r="C2776" t="n">
        <v>5328.8</v>
      </c>
      <c r="E2776" t="n">
        <v>12765.6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1351.3</v>
      </c>
      <c r="C2782" t="n">
        <v>5341.7</v>
      </c>
      <c r="E2782" t="n">
        <v>12831.9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1379.8</v>
      </c>
      <c r="C2797" t="n">
        <v>5406</v>
      </c>
      <c r="E2797" t="n">
        <v>13037.9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1386.2</v>
      </c>
      <c r="C2808" t="n">
        <v>5444.2</v>
      </c>
      <c r="E2808" t="n">
        <v>13176.5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1376.9</v>
      </c>
      <c r="C2813" t="n">
        <v>5444.2</v>
      </c>
      <c r="E2813" t="n">
        <v>13209.6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1394.5</v>
      </c>
      <c r="C2824" t="n">
        <v>5471.8</v>
      </c>
      <c r="E2824" t="n">
        <v>13351.4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1414.8</v>
      </c>
      <c r="C2829" t="n">
        <v>5502.7</v>
      </c>
      <c r="E2829" t="n">
        <v>13420.6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1443.7</v>
      </c>
      <c r="C2844" t="n">
        <v>5553.2</v>
      </c>
      <c r="E2844" t="n">
        <v>13558.9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1463.3</v>
      </c>
      <c r="C2855" t="n">
        <v>5579.3</v>
      </c>
      <c r="E2855" t="n">
        <v>13679.6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1449.1</v>
      </c>
      <c r="C2860" t="n">
        <v>5568.2</v>
      </c>
      <c r="E2860" t="n">
        <v>13722.1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1468.4</v>
      </c>
      <c r="C2871" t="n">
        <v>5582.3</v>
      </c>
      <c r="E2871" t="n">
        <v>13804.1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1457</v>
      </c>
      <c r="C2876" t="n">
        <v>5590</v>
      </c>
      <c r="E2876" t="n">
        <v>13852.3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89" t="n">
        <v>43108</v>
      </c>
      <c r="D2882" t="n">
        <v>3642.1</v>
      </c>
    </row>
    <row r="2883">
      <c r="A2883" s="89" t="n">
        <v>43115</v>
      </c>
      <c r="D2883" t="n">
        <v>3670.6</v>
      </c>
    </row>
    <row r="2884">
      <c r="A2884" s="89" t="n">
        <v>43122</v>
      </c>
      <c r="D2884" t="n">
        <v>3663</v>
      </c>
    </row>
    <row r="2885">
      <c r="A2885" s="89" t="n">
        <v>43129</v>
      </c>
      <c r="D2885" t="n">
        <v>3636.4</v>
      </c>
    </row>
    <row r="2886">
      <c r="A2886" s="89" t="n">
        <v>43132</v>
      </c>
      <c r="B2886" t="n">
        <v>1450.9</v>
      </c>
      <c r="C2886" t="n">
        <v>5576.6</v>
      </c>
      <c r="E2886" t="n">
        <v>13910.2</v>
      </c>
    </row>
    <row r="2887">
      <c r="A2887" s="89" t="n">
        <v>43136</v>
      </c>
      <c r="D2887" t="n">
        <v>3622.6</v>
      </c>
    </row>
    <row r="2888">
      <c r="A2888" s="89" t="n">
        <v>43143</v>
      </c>
      <c r="D2888" t="n">
        <v>3607.4</v>
      </c>
    </row>
    <row r="2889">
      <c r="A2889" s="89" t="n">
        <v>43150</v>
      </c>
      <c r="D2889" t="n">
        <v>3611.8</v>
      </c>
    </row>
    <row r="2890">
      <c r="A2890" s="89" t="n">
        <v>43157</v>
      </c>
      <c r="D2890" t="n">
        <v>3624.3</v>
      </c>
    </row>
    <row r="2891">
      <c r="A2891" s="89" t="n">
        <v>43160</v>
      </c>
      <c r="B2891" t="n">
        <v>1467.8</v>
      </c>
      <c r="C2891" t="n">
        <v>5595.6</v>
      </c>
      <c r="E2891" t="n">
        <v>13965.5</v>
      </c>
    </row>
    <row r="2892">
      <c r="A2892" s="89" t="n">
        <v>43164</v>
      </c>
      <c r="D2892" t="n">
        <v>3655.3</v>
      </c>
    </row>
    <row r="2893">
      <c r="A2893" s="89" t="n">
        <v>43171</v>
      </c>
      <c r="D2893" t="n">
        <v>3670.8</v>
      </c>
    </row>
    <row r="2894">
      <c r="A2894" s="89" t="n">
        <v>43178</v>
      </c>
      <c r="D2894" t="n">
        <v>3660.6</v>
      </c>
    </row>
    <row r="2895">
      <c r="A2895" s="89" t="n">
        <v>43185</v>
      </c>
      <c r="D2895" t="n">
        <v>3657.7</v>
      </c>
    </row>
    <row r="2896">
      <c r="A2896" s="89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89" t="n">
        <v>43192</v>
      </c>
      <c r="D2897" t="n">
        <v>3659.2</v>
      </c>
    </row>
    <row r="2898">
      <c r="A2898" s="89" t="n">
        <v>43199</v>
      </c>
      <c r="D2898" t="n">
        <v>3660.9</v>
      </c>
    </row>
    <row r="2899">
      <c r="A2899" s="89" t="n">
        <v>43206</v>
      </c>
      <c r="D2899" t="n">
        <v>3647</v>
      </c>
    </row>
    <row r="2900">
      <c r="A2900" s="89" t="n">
        <v>43213</v>
      </c>
      <c r="D2900" t="n">
        <v>3669.8</v>
      </c>
    </row>
    <row r="2901">
      <c r="A2901" s="89" t="n">
        <v>43220</v>
      </c>
      <c r="D2901" t="n">
        <v>3669.5</v>
      </c>
    </row>
    <row r="2902">
      <c r="A2902" s="89" t="n">
        <v>43221</v>
      </c>
      <c r="B2902" t="n">
        <v>1455.8</v>
      </c>
      <c r="C2902" t="n">
        <v>5599</v>
      </c>
      <c r="E2902" t="n">
        <v>14041.2</v>
      </c>
    </row>
    <row r="2903">
      <c r="A2903" s="89" t="n">
        <v>43227</v>
      </c>
      <c r="D2903" t="n">
        <v>3637.2</v>
      </c>
    </row>
    <row r="2904">
      <c r="A2904" s="89" t="n">
        <v>43234</v>
      </c>
      <c r="D2904" t="n">
        <v>3655.2</v>
      </c>
    </row>
    <row r="2905">
      <c r="A2905" s="89" t="n">
        <v>43241</v>
      </c>
      <c r="D2905" t="n">
        <v>3666.8</v>
      </c>
    </row>
    <row r="2906">
      <c r="A2906" s="89" t="n">
        <v>43248</v>
      </c>
      <c r="D2906" t="n">
        <v>3664.2</v>
      </c>
    </row>
    <row r="2907">
      <c r="A2907" s="89" t="n">
        <v>43252</v>
      </c>
      <c r="B2907" t="n">
        <v>1454.4</v>
      </c>
      <c r="C2907" t="n">
        <v>5615.9</v>
      </c>
      <c r="E2907" t="n">
        <v>14102.6</v>
      </c>
    </row>
    <row r="2908">
      <c r="A2908" s="89" t="n">
        <v>43255</v>
      </c>
      <c r="D2908" t="n">
        <v>3672.2</v>
      </c>
    </row>
    <row r="2909">
      <c r="A2909" s="89" t="n">
        <v>43262</v>
      </c>
      <c r="D2909" t="n">
        <v>3654.6</v>
      </c>
    </row>
    <row r="2910">
      <c r="A2910" s="89" t="n">
        <v>43269</v>
      </c>
      <c r="D2910" t="n">
        <v>3651.1</v>
      </c>
    </row>
    <row r="2911">
      <c r="A2911" s="89" t="n">
        <v>43276</v>
      </c>
      <c r="D2911" t="n">
        <v>3655.1</v>
      </c>
    </row>
    <row r="2912">
      <c r="A2912" s="89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89" t="n">
        <v>43283</v>
      </c>
      <c r="D2913" t="n">
        <v>3673.2</v>
      </c>
    </row>
    <row r="2914">
      <c r="A2914" s="89" t="n">
        <v>43290</v>
      </c>
      <c r="D2914" t="n">
        <v>3682.1</v>
      </c>
    </row>
    <row r="2915">
      <c r="A2915" s="89" t="n">
        <v>43297</v>
      </c>
      <c r="D2915" t="n">
        <v>3681.5</v>
      </c>
    </row>
    <row r="2916">
      <c r="A2916" s="89" t="n">
        <v>43304</v>
      </c>
      <c r="D2916" t="n">
        <v>3677.6</v>
      </c>
    </row>
    <row r="2917">
      <c r="A2917" s="89" t="n">
        <v>43311</v>
      </c>
      <c r="D2917" t="n">
        <v>3681.9</v>
      </c>
    </row>
    <row r="2918">
      <c r="A2918" s="89" t="n">
        <v>43313</v>
      </c>
      <c r="B2918" t="n">
        <v>1467</v>
      </c>
      <c r="C2918" t="n">
        <v>5635.5</v>
      </c>
      <c r="E2918" t="n">
        <v>14187.4</v>
      </c>
    </row>
    <row r="2919">
      <c r="A2919" s="89" t="n">
        <v>43318</v>
      </c>
      <c r="D2919" t="n">
        <v>3661.4</v>
      </c>
    </row>
    <row r="2920">
      <c r="A2920" s="89" t="n">
        <v>43325</v>
      </c>
      <c r="D2920" t="n">
        <v>3677</v>
      </c>
    </row>
    <row r="2921">
      <c r="A2921" s="89" t="n">
        <v>43332</v>
      </c>
      <c r="D2921" t="n">
        <v>3676</v>
      </c>
    </row>
    <row r="2922">
      <c r="A2922" s="89" t="n">
        <v>43339</v>
      </c>
      <c r="D2922" t="n">
        <v>3695.2</v>
      </c>
    </row>
    <row r="2923">
      <c r="A2923" s="89" t="n">
        <v>43344</v>
      </c>
      <c r="B2923" t="n">
        <v>1467.6</v>
      </c>
      <c r="C2923" t="n">
        <v>5635.4</v>
      </c>
      <c r="E2923" t="n">
        <v>14214.6</v>
      </c>
    </row>
    <row r="2924">
      <c r="A2924" s="89" t="n">
        <v>43346</v>
      </c>
      <c r="D2924" t="n">
        <v>3779.6</v>
      </c>
    </row>
    <row r="2925">
      <c r="A2925" s="89" t="n">
        <v>43353</v>
      </c>
      <c r="D2925" t="n">
        <v>3710.1</v>
      </c>
    </row>
    <row r="2926">
      <c r="A2926" s="89" t="n">
        <v>43360</v>
      </c>
      <c r="D2926" t="n">
        <v>3691.7</v>
      </c>
    </row>
    <row r="2927">
      <c r="A2927" s="89" t="n">
        <v>43367</v>
      </c>
      <c r="D2927" t="n">
        <v>3704.6</v>
      </c>
    </row>
    <row r="2928">
      <c r="A2928" s="89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89" t="n">
        <v>43381</v>
      </c>
      <c r="D2929" t="n">
        <v>3708.5</v>
      </c>
    </row>
    <row r="2930">
      <c r="A2930" s="89" t="n">
        <v>43388</v>
      </c>
      <c r="D2930" t="n">
        <v>3723.5</v>
      </c>
    </row>
    <row r="2931">
      <c r="A2931" s="89" t="n">
        <v>43395</v>
      </c>
      <c r="D2931" t="n">
        <v>3744.5</v>
      </c>
    </row>
    <row r="2932">
      <c r="A2932" s="89" t="n">
        <v>43402</v>
      </c>
      <c r="D2932" t="n">
        <v>3729.1</v>
      </c>
    </row>
    <row r="2933">
      <c r="A2933" s="89" t="n">
        <v>43405</v>
      </c>
      <c r="B2933" t="n">
        <v>1466.7</v>
      </c>
      <c r="C2933" t="n">
        <v>5636.7</v>
      </c>
      <c r="E2933" t="n">
        <v>14241.6</v>
      </c>
    </row>
    <row r="2934">
      <c r="A2934" s="89" t="n">
        <v>43409</v>
      </c>
      <c r="D2934" t="n">
        <v>3689.6</v>
      </c>
    </row>
    <row r="2935">
      <c r="A2935" s="89" t="n">
        <v>43416</v>
      </c>
      <c r="D2935" t="n">
        <v>3687.3</v>
      </c>
    </row>
    <row r="2936">
      <c r="A2936" s="89" t="n">
        <v>43423</v>
      </c>
      <c r="D2936" t="n">
        <v>3688.2</v>
      </c>
    </row>
    <row r="2937">
      <c r="A2937" s="89" t="n">
        <v>43430</v>
      </c>
      <c r="D2937" t="n">
        <v>3692.6</v>
      </c>
    </row>
    <row r="2938">
      <c r="A2938" s="89" t="n">
        <v>43435</v>
      </c>
      <c r="B2938" t="n">
        <v>1490.2</v>
      </c>
      <c r="C2938" t="n">
        <v>5685.5</v>
      </c>
      <c r="E2938" t="n">
        <v>14358.8</v>
      </c>
    </row>
    <row r="2939">
      <c r="A2939" s="89" t="n">
        <v>43437</v>
      </c>
      <c r="D2939" t="n">
        <v>3780.5</v>
      </c>
    </row>
    <row r="2940">
      <c r="A2940" s="89" t="n">
        <v>43444</v>
      </c>
      <c r="D2940" t="n">
        <v>3769.8</v>
      </c>
    </row>
    <row r="2941">
      <c r="A2941" s="89" t="n">
        <v>43451</v>
      </c>
      <c r="D2941" t="n">
        <v>3712.9</v>
      </c>
    </row>
    <row r="2942">
      <c r="A2942" s="89" t="n">
        <v>43458</v>
      </c>
      <c r="D2942" t="n">
        <v>3760.7</v>
      </c>
    </row>
    <row r="2943">
      <c r="A2943" s="89" t="n">
        <v>43465</v>
      </c>
      <c r="D2943" t="n">
        <v>3744.6</v>
      </c>
    </row>
    <row r="2944">
      <c r="A2944" s="89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1486.5</v>
      </c>
      <c r="C2949" t="n">
        <v>5717.2</v>
      </c>
      <c r="E2949" t="n">
        <v>14472.3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1468.3</v>
      </c>
      <c r="C2954" t="n">
        <v>5706.7</v>
      </c>
      <c r="E2954" t="n">
        <v>14510.7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89" t="n">
        <v>43563</v>
      </c>
      <c r="D2960" t="n">
        <v>3747.3</v>
      </c>
    </row>
    <row r="2961">
      <c r="A2961" s="89" t="n">
        <v>43570</v>
      </c>
      <c r="D2961" t="n">
        <v>3797.5</v>
      </c>
    </row>
    <row r="2962">
      <c r="A2962" s="89" t="n">
        <v>43577</v>
      </c>
      <c r="D2962" t="n">
        <v>3790.6</v>
      </c>
    </row>
    <row r="2963">
      <c r="A2963" s="89" t="n">
        <v>43584</v>
      </c>
      <c r="D2963" t="n">
        <v>3814</v>
      </c>
    </row>
    <row r="2964">
      <c r="A2964" s="89" t="n">
        <v>43586</v>
      </c>
      <c r="B2964" t="n">
        <v>1481.7</v>
      </c>
      <c r="C2964" t="n">
        <v>5730.9</v>
      </c>
      <c r="E2964" t="n">
        <v>14632.5</v>
      </c>
    </row>
    <row r="2965">
      <c r="A2965" s="89" t="n">
        <v>43591</v>
      </c>
      <c r="D2965" t="n">
        <v>3766.3</v>
      </c>
    </row>
    <row r="2966">
      <c r="A2966" s="89" t="n">
        <v>43598</v>
      </c>
      <c r="D2966" t="n">
        <v>3773.5</v>
      </c>
    </row>
    <row r="2967">
      <c r="A2967" s="89" t="n">
        <v>43605</v>
      </c>
      <c r="D2967" t="n">
        <v>3782.7</v>
      </c>
    </row>
    <row r="2968">
      <c r="A2968" s="89" t="n">
        <v>43612</v>
      </c>
      <c r="D2968" t="n">
        <v>3810.8</v>
      </c>
    </row>
    <row r="2969">
      <c r="A2969" s="89" t="n">
        <v>43617</v>
      </c>
      <c r="B2969" t="n">
        <v>1497.6</v>
      </c>
      <c r="C2969" t="n">
        <v>5778</v>
      </c>
      <c r="E2969" t="n">
        <v>14754.8</v>
      </c>
    </row>
    <row r="2970">
      <c r="A2970" s="89" t="n">
        <v>43619</v>
      </c>
      <c r="D2970" t="n">
        <v>3877</v>
      </c>
    </row>
    <row r="2971">
      <c r="A2971" s="89" t="n">
        <v>43626</v>
      </c>
      <c r="D2971" t="n">
        <v>3840.5</v>
      </c>
    </row>
    <row r="2972">
      <c r="A2972" s="89" t="n">
        <v>43633</v>
      </c>
      <c r="D2972" t="n">
        <v>3833.5</v>
      </c>
    </row>
    <row r="2973">
      <c r="A2973" s="89" t="n">
        <v>43640</v>
      </c>
      <c r="D2973" t="n">
        <v>3830.7</v>
      </c>
    </row>
    <row r="2974">
      <c r="A2974" s="89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89" t="n">
        <v>43654</v>
      </c>
      <c r="D2975" t="n">
        <v>3838.3</v>
      </c>
    </row>
    <row r="2976">
      <c r="A2976" s="89" t="n">
        <v>43661</v>
      </c>
      <c r="D2976" t="n">
        <v>3857.4</v>
      </c>
    </row>
    <row r="2977">
      <c r="A2977" s="89" t="n">
        <v>43668</v>
      </c>
      <c r="D2977" t="n">
        <v>3876.3</v>
      </c>
    </row>
    <row r="2978">
      <c r="A2978" s="89" t="n">
        <v>43675</v>
      </c>
      <c r="D2978" t="n">
        <v>3873.6</v>
      </c>
    </row>
    <row r="2979">
      <c r="A2979" s="89" t="n">
        <v>43678</v>
      </c>
      <c r="B2979" t="n">
        <v>1506.3</v>
      </c>
      <c r="C2979" t="n">
        <v>5824</v>
      </c>
      <c r="E2979" t="n">
        <v>14919.8</v>
      </c>
    </row>
    <row r="2980">
      <c r="A2980" s="89" t="n">
        <v>43682</v>
      </c>
      <c r="D2980" t="n">
        <v>3876</v>
      </c>
    </row>
    <row r="2981">
      <c r="A2981" s="89" t="n">
        <v>43689</v>
      </c>
      <c r="D2981" t="n">
        <v>3862</v>
      </c>
    </row>
    <row r="2982">
      <c r="A2982" s="89" t="n">
        <v>43696</v>
      </c>
      <c r="D2982" t="n">
        <v>3833.2</v>
      </c>
    </row>
    <row r="2983">
      <c r="A2983" s="89" t="n">
        <v>43703</v>
      </c>
      <c r="D2983" t="n">
        <v>3845.8</v>
      </c>
    </row>
    <row r="2984">
      <c r="A2984" s="89" t="n">
        <v>43709</v>
      </c>
      <c r="B2984" t="n">
        <v>1519.9</v>
      </c>
      <c r="C2984" t="n">
        <v>5847.6</v>
      </c>
      <c r="E2984" t="n">
        <v>15004.8</v>
      </c>
    </row>
    <row r="2985">
      <c r="A2985" s="89" t="n">
        <v>43710</v>
      </c>
      <c r="D2985" t="n">
        <v>3878.9</v>
      </c>
    </row>
    <row r="2986">
      <c r="A2986" s="89" t="n">
        <v>43717</v>
      </c>
      <c r="D2986" t="n">
        <v>3896.9</v>
      </c>
    </row>
    <row r="2987">
      <c r="A2987" s="89" t="n">
        <v>43724</v>
      </c>
      <c r="D2987" t="n">
        <v>3896.8</v>
      </c>
    </row>
    <row r="2988">
      <c r="A2988" s="89" t="n">
        <v>43731</v>
      </c>
      <c r="D2988" t="n">
        <v>3912</v>
      </c>
    </row>
    <row r="2989">
      <c r="A2989" s="89" t="n">
        <v>43738</v>
      </c>
      <c r="D2989" t="n">
        <v>3929.1</v>
      </c>
    </row>
    <row r="2990">
      <c r="A2990" s="89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89" t="n">
        <v>43745</v>
      </c>
      <c r="D2991" t="n">
        <v>3894.7</v>
      </c>
    </row>
    <row r="2992">
      <c r="A2992" s="89" t="n">
        <v>43752</v>
      </c>
      <c r="D2992" t="n">
        <v>3931.6</v>
      </c>
    </row>
    <row r="2993">
      <c r="A2993" s="89" t="n">
        <v>43759</v>
      </c>
      <c r="D2993" t="n">
        <v>3929.9</v>
      </c>
    </row>
    <row r="2994">
      <c r="A2994" s="89" t="n">
        <v>43766</v>
      </c>
      <c r="D2994" t="n">
        <v>3935.3</v>
      </c>
    </row>
    <row r="2995">
      <c r="A2995" s="89" t="n">
        <v>43770</v>
      </c>
      <c r="B2995" t="n">
        <v>1534.3</v>
      </c>
      <c r="C2995" t="n">
        <v>5915.7</v>
      </c>
      <c r="E2995" t="n">
        <v>15249.9</v>
      </c>
    </row>
    <row r="2996">
      <c r="A2996" s="89" t="n">
        <v>43773</v>
      </c>
      <c r="D2996" t="n">
        <v>3956.2</v>
      </c>
    </row>
    <row r="2997">
      <c r="A2997" s="89" t="n">
        <v>43780</v>
      </c>
      <c r="D2997" t="n">
        <v>3956.4</v>
      </c>
    </row>
    <row r="2998">
      <c r="A2998" s="89" t="n">
        <v>43787</v>
      </c>
      <c r="D2998" t="n">
        <v>3928.9</v>
      </c>
    </row>
    <row r="2999">
      <c r="A2999" s="89" t="n">
        <v>43794</v>
      </c>
      <c r="D2999" t="n">
        <v>3963.3</v>
      </c>
    </row>
    <row r="3000">
      <c r="A3000" s="89" t="n">
        <v>43800</v>
      </c>
      <c r="B3000" t="n">
        <v>1551.6</v>
      </c>
      <c r="C3000" t="n">
        <v>5931.6</v>
      </c>
      <c r="E3000" t="n">
        <v>15319.1</v>
      </c>
    </row>
    <row r="3001">
      <c r="A3001" s="89" t="n">
        <v>43801</v>
      </c>
      <c r="D3001" t="n">
        <v>3954.6</v>
      </c>
    </row>
    <row r="3002">
      <c r="A3002" s="89" t="n">
        <v>43808</v>
      </c>
      <c r="D3002" t="n">
        <v>3979.3</v>
      </c>
    </row>
    <row r="3003">
      <c r="A3003" s="89" t="n">
        <v>43815</v>
      </c>
      <c r="D3003" t="n">
        <v>3992.9</v>
      </c>
    </row>
    <row r="3004">
      <c r="A3004" s="89" t="n">
        <v>43822</v>
      </c>
      <c r="D3004" t="n">
        <v>3999.9</v>
      </c>
    </row>
    <row r="3005">
      <c r="A3005" s="89" t="n">
        <v>43829</v>
      </c>
      <c r="D3005" t="n">
        <v>3964.4</v>
      </c>
    </row>
    <row r="3006">
      <c r="A3006" s="89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89" t="n">
        <v>43836</v>
      </c>
      <c r="D3007" t="n">
        <v>3948.9</v>
      </c>
    </row>
    <row r="3008">
      <c r="A3008" s="89" t="n">
        <v>43843</v>
      </c>
      <c r="D3008" t="n">
        <v>3950.6</v>
      </c>
    </row>
    <row r="3009">
      <c r="A3009" s="89" t="n">
        <v>43850</v>
      </c>
      <c r="D3009" t="n">
        <v>3978.9</v>
      </c>
    </row>
    <row r="3010">
      <c r="A3010" s="89" t="n">
        <v>43857</v>
      </c>
      <c r="D3010" t="n">
        <v>3963.1</v>
      </c>
    </row>
    <row r="3011">
      <c r="A3011" s="89" t="n">
        <v>43862</v>
      </c>
      <c r="B3011" t="n">
        <v>1545.5</v>
      </c>
      <c r="C3011" t="n">
        <v>5968.4</v>
      </c>
      <c r="E3011" t="n">
        <v>15458.7</v>
      </c>
    </row>
    <row r="3012">
      <c r="A3012" s="89" t="n">
        <v>43864</v>
      </c>
      <c r="D3012" t="n">
        <v>4082.2</v>
      </c>
    </row>
    <row r="3013">
      <c r="A3013" s="89" t="n">
        <v>43871</v>
      </c>
      <c r="D3013" t="n">
        <v>4013.7</v>
      </c>
    </row>
    <row r="3014">
      <c r="A3014" s="89" t="n">
        <v>43878</v>
      </c>
      <c r="D3014" t="n">
        <v>3984.5</v>
      </c>
    </row>
    <row r="3015">
      <c r="A3015" s="89" t="n">
        <v>43885</v>
      </c>
      <c r="D3015" t="n">
        <v>3972.3</v>
      </c>
    </row>
    <row r="3016">
      <c r="A3016" s="89" t="n">
        <v>43891</v>
      </c>
      <c r="B3016" t="n">
        <v>1650.8</v>
      </c>
      <c r="C3016" t="n">
        <v>6193.2</v>
      </c>
      <c r="E3016" t="n">
        <v>15988.6</v>
      </c>
    </row>
    <row r="3017">
      <c r="A3017" s="89" t="n">
        <v>43892</v>
      </c>
      <c r="D3017" t="n">
        <v>4029.1</v>
      </c>
    </row>
    <row r="3018">
      <c r="A3018" s="89" t="n">
        <v>43899</v>
      </c>
      <c r="D3018" t="n">
        <v>4064.6</v>
      </c>
    </row>
    <row r="3019">
      <c r="A3019" s="89" t="n">
        <v>43906</v>
      </c>
      <c r="D3019" t="n">
        <v>4127.7</v>
      </c>
    </row>
    <row r="3020">
      <c r="A3020" s="89" t="n">
        <v>43913</v>
      </c>
      <c r="D3020" t="n">
        <v>4314.5</v>
      </c>
    </row>
    <row r="3021">
      <c r="A3021" s="89" t="n">
        <v>43920</v>
      </c>
      <c r="D3021" t="n">
        <v>4514</v>
      </c>
    </row>
    <row r="3022">
      <c r="A3022" s="89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89" t="n">
        <v>43927</v>
      </c>
      <c r="D3023" t="n">
        <v>4592.2</v>
      </c>
    </row>
    <row r="3024">
      <c r="A3024" s="89" t="n">
        <v>43934</v>
      </c>
      <c r="D3024" t="n">
        <v>4717.8</v>
      </c>
    </row>
    <row r="3025">
      <c r="A3025" s="89" t="n">
        <v>43941</v>
      </c>
      <c r="D3025" t="n">
        <v>4851.2</v>
      </c>
    </row>
    <row r="3026">
      <c r="A3026" s="89" t="n">
        <v>43948</v>
      </c>
      <c r="D3026" t="n">
        <v>4899.4</v>
      </c>
    </row>
    <row r="3027">
      <c r="A3027" s="89" t="n">
        <v>43952</v>
      </c>
      <c r="B3027" t="n">
        <v>6342.4</v>
      </c>
      <c r="C3027" t="n">
        <v>6968.4</v>
      </c>
      <c r="E3027" t="n">
        <v>17835.2</v>
      </c>
    </row>
    <row r="3028">
      <c r="A3028" s="89" t="n">
        <v>43955</v>
      </c>
      <c r="D3028" t="n">
        <v>15982.2</v>
      </c>
    </row>
    <row r="3029">
      <c r="A3029" s="89" t="n">
        <v>43962</v>
      </c>
      <c r="D3029" t="n">
        <v>16201.5</v>
      </c>
    </row>
    <row r="3030">
      <c r="A3030" s="89" t="n">
        <v>43969</v>
      </c>
      <c r="D3030" t="n">
        <v>16292.5</v>
      </c>
    </row>
    <row r="3031">
      <c r="A3031" s="89" t="n">
        <v>43976</v>
      </c>
      <c r="D3031" t="n">
        <v>16319.8</v>
      </c>
    </row>
    <row r="3032">
      <c r="A3032" s="89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89" t="n">
        <v>43990</v>
      </c>
      <c r="D3033" t="n">
        <v>16467.2</v>
      </c>
    </row>
    <row r="3034">
      <c r="A3034" s="89" t="n">
        <v>43997</v>
      </c>
      <c r="D3034" t="n">
        <v>16554.6</v>
      </c>
    </row>
    <row r="3035">
      <c r="A3035" s="89" t="n">
        <v>44004</v>
      </c>
      <c r="D3035" t="n">
        <v>16654.9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89" t="n">
        <v>44018</v>
      </c>
      <c r="D3038" t="n">
        <v>16763.2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16781.8</v>
      </c>
    </row>
    <row r="3041">
      <c r="A3041" s="89" t="n">
        <v>44039</v>
      </c>
      <c r="D3041" t="n">
        <v>16753.2</v>
      </c>
    </row>
    <row r="3042">
      <c r="A3042" s="89" t="n">
        <v>44044</v>
      </c>
      <c r="B3042" t="n">
        <v>6509.2</v>
      </c>
      <c r="C3042" t="n">
        <v>7072</v>
      </c>
      <c r="E3042" t="n">
        <v>18357.4</v>
      </c>
    </row>
    <row r="3043">
      <c r="A3043" s="89" t="n">
        <v>44046</v>
      </c>
      <c r="D3043" t="n">
        <v>16734.6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16880.5</v>
      </c>
    </row>
    <row r="3047">
      <c r="A3047" s="89" t="n">
        <v>44074</v>
      </c>
      <c r="D3047" t="n">
        <v>16962.7</v>
      </c>
    </row>
    <row r="3048">
      <c r="A3048" s="89" t="n">
        <v>44075</v>
      </c>
      <c r="B3048" t="n">
        <v>6595.8</v>
      </c>
      <c r="C3048" t="n">
        <v>7139.1</v>
      </c>
      <c r="E3048" t="n">
        <v>18575.2</v>
      </c>
    </row>
    <row r="3049">
      <c r="A3049" s="89" t="n">
        <v>44081</v>
      </c>
      <c r="D3049" t="n">
        <v>17087.6</v>
      </c>
    </row>
    <row r="3050">
      <c r="A3050" s="89" t="n">
        <v>44088</v>
      </c>
      <c r="D3050" t="n">
        <v>17214.6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17174.9</v>
      </c>
    </row>
    <row r="3053">
      <c r="A3053" s="89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89" t="n">
        <v>44109</v>
      </c>
      <c r="D3054" t="n">
        <v>17224.2</v>
      </c>
    </row>
    <row r="3055">
      <c r="A3055" s="89" t="n">
        <v>44116</v>
      </c>
      <c r="D3055" t="n">
        <v>17331.8</v>
      </c>
    </row>
    <row r="3056">
      <c r="A3056" s="89" t="n">
        <v>44123</v>
      </c>
      <c r="D3056" t="n">
        <v>17350.6</v>
      </c>
    </row>
    <row r="3057">
      <c r="A3057" s="89" t="n">
        <v>44130</v>
      </c>
      <c r="D3057" t="n">
        <v>17376.1</v>
      </c>
    </row>
    <row r="3058">
      <c r="A3058" s="89" t="n">
        <v>44136</v>
      </c>
      <c r="B3058" t="n">
        <v>6760.8</v>
      </c>
      <c r="C3058" t="n">
        <v>7275.9</v>
      </c>
      <c r="E3058" t="n">
        <v>18969.8</v>
      </c>
    </row>
    <row r="3059">
      <c r="A3059" s="89" t="n">
        <v>44137</v>
      </c>
      <c r="D3059" t="n">
        <v>17431.2</v>
      </c>
    </row>
    <row r="3060">
      <c r="A3060" s="89" t="n">
        <v>44144</v>
      </c>
      <c r="D3060" t="n">
        <v>17593.4</v>
      </c>
    </row>
    <row r="3061">
      <c r="A3061" s="89" t="n">
        <v>44151</v>
      </c>
      <c r="D3061" t="n">
        <v>17638.4</v>
      </c>
    </row>
    <row r="3062">
      <c r="A3062" s="89" t="n">
        <v>44158</v>
      </c>
      <c r="D3062" t="n">
        <v>17657.9</v>
      </c>
    </row>
    <row r="3063">
      <c r="A3063" s="89" t="n">
        <v>44165</v>
      </c>
      <c r="D3063" t="n">
        <v>17547.6</v>
      </c>
    </row>
    <row r="3064">
      <c r="A3064" s="89" t="n">
        <v>44166</v>
      </c>
      <c r="B3064" t="n">
        <v>6818.4</v>
      </c>
      <c r="C3064" t="n">
        <v>7311.7</v>
      </c>
      <c r="E3064" t="n">
        <v>19124.8</v>
      </c>
    </row>
    <row r="3065">
      <c r="A3065" s="89" t="n">
        <v>44172</v>
      </c>
      <c r="D3065" t="n">
        <v>17777.4</v>
      </c>
    </row>
    <row r="3066">
      <c r="A3066" s="89" t="n">
        <v>44179</v>
      </c>
      <c r="D3066" t="n">
        <v>17853.5</v>
      </c>
    </row>
    <row r="3067">
      <c r="A3067" s="89" t="n">
        <v>44186</v>
      </c>
      <c r="D3067" t="n">
        <v>17762.7</v>
      </c>
    </row>
    <row r="3068">
      <c r="A3068" s="89" t="n">
        <v>44193</v>
      </c>
      <c r="D3068" t="n">
        <v>17659.6</v>
      </c>
    </row>
    <row r="3069">
      <c r="A3069" s="89" t="n">
        <v>44197</v>
      </c>
      <c r="B3069" t="n">
        <v>6905.8</v>
      </c>
      <c r="C3069" t="n">
        <v>7388.4</v>
      </c>
      <c r="E3069" t="n">
        <v>19372.5</v>
      </c>
      <c r="F3069" t="n">
        <v>1.138</v>
      </c>
    </row>
    <row r="3070">
      <c r="A3070" s="89" t="n">
        <v>44200</v>
      </c>
      <c r="D3070" t="n">
        <v>17769.8</v>
      </c>
    </row>
    <row r="3071">
      <c r="A3071" s="89" t="n">
        <v>44207</v>
      </c>
      <c r="D3071" t="n">
        <v>18141.9</v>
      </c>
    </row>
    <row r="3072">
      <c r="A3072" s="89" t="n">
        <v>44214</v>
      </c>
      <c r="D3072" t="n">
        <v>18151</v>
      </c>
    </row>
    <row r="3073">
      <c r="A3073" s="89" t="n">
        <v>44221</v>
      </c>
      <c r="D3073" t="n">
        <v>18107.6</v>
      </c>
    </row>
    <row r="3074">
      <c r="A3074" s="89" t="n">
        <v>44228</v>
      </c>
      <c r="B3074" t="n">
        <v>6974.6</v>
      </c>
      <c r="C3074" t="n">
        <v>7448.5</v>
      </c>
      <c r="D3074" t="n">
        <v>18104.6</v>
      </c>
      <c r="E3074" t="n">
        <v>19615.2</v>
      </c>
    </row>
    <row r="3075">
      <c r="A3075" s="89" t="n">
        <v>44256</v>
      </c>
      <c r="B3075" t="n">
        <v>7033.7</v>
      </c>
      <c r="C3075" t="n">
        <v>7491.2</v>
      </c>
      <c r="E3075" t="n">
        <v>19853.8</v>
      </c>
    </row>
    <row r="3076">
      <c r="A3076" s="89" t="n">
        <v>44287</v>
      </c>
      <c r="B3076" t="n">
        <v>7096.2</v>
      </c>
      <c r="C3076" t="n">
        <v>7539.8</v>
      </c>
      <c r="E3076" t="n">
        <v>20110.7</v>
      </c>
      <c r="F3076" t="n">
        <v>1.134</v>
      </c>
    </row>
    <row r="3077">
      <c r="A3077" s="89" t="n">
        <v>44317</v>
      </c>
      <c r="B3077" t="n">
        <v>7170.4</v>
      </c>
      <c r="C3077" t="n">
        <v>7601.9</v>
      </c>
      <c r="E3077" t="n">
        <v>20418.7</v>
      </c>
    </row>
    <row r="3078">
      <c r="A3078" s="89" t="n">
        <v>44348</v>
      </c>
      <c r="B3078" t="n">
        <v>7130.2</v>
      </c>
      <c r="C3078" t="n">
        <v>7551.1</v>
      </c>
      <c r="E3078" t="n">
        <v>20460.1</v>
      </c>
    </row>
    <row r="3079">
      <c r="A3079" s="89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89" t="n">
        <v>44409</v>
      </c>
      <c r="B3080" t="n">
        <v>7224.2</v>
      </c>
      <c r="C3080" t="n">
        <v>7629.4</v>
      </c>
      <c r="E3080" t="n">
        <v>20835.3</v>
      </c>
    </row>
    <row r="3081">
      <c r="A3081" s="89" t="n">
        <v>44440</v>
      </c>
      <c r="B3081" t="n">
        <v>7247.1</v>
      </c>
      <c r="C3081" t="n">
        <v>7645.8</v>
      </c>
      <c r="E3081" t="n">
        <v>20965.8</v>
      </c>
    </row>
    <row r="3082">
      <c r="A3082" s="89" t="n">
        <v>44470</v>
      </c>
      <c r="B3082" t="n">
        <v>7253.9</v>
      </c>
      <c r="C3082" t="n">
        <v>7644.5</v>
      </c>
      <c r="E3082" t="n">
        <v>21143.9</v>
      </c>
      <c r="F3082" t="n">
        <v>1.142</v>
      </c>
    </row>
    <row r="3083">
      <c r="A3083" s="89" t="n">
        <v>44501</v>
      </c>
      <c r="B3083" t="n">
        <v>7281.1</v>
      </c>
      <c r="C3083" t="n">
        <v>7665.2</v>
      </c>
      <c r="E3083" t="n">
        <v>21349.3</v>
      </c>
    </row>
    <row r="3084">
      <c r="A3084" s="89" t="n">
        <v>44531</v>
      </c>
      <c r="B3084" t="n">
        <v>7293.4</v>
      </c>
      <c r="C3084" t="n">
        <v>7671.5</v>
      </c>
      <c r="E3084" t="n">
        <v>21489.9</v>
      </c>
    </row>
    <row r="3085">
      <c r="A3085" s="89" t="n">
        <v>44562</v>
      </c>
      <c r="B3085" t="n">
        <v>7301.6</v>
      </c>
      <c r="C3085" t="n">
        <v>7679</v>
      </c>
      <c r="E3085" t="n">
        <v>21649.6</v>
      </c>
      <c r="F3085" t="n">
        <v>1.14</v>
      </c>
    </row>
    <row r="3086">
      <c r="A3086" s="89" t="n">
        <v>44593</v>
      </c>
      <c r="B3086" t="n">
        <v>7270.4</v>
      </c>
      <c r="C3086" t="n">
        <v>7638.9</v>
      </c>
      <c r="E3086" t="n">
        <v>21708.4</v>
      </c>
    </row>
    <row r="3087">
      <c r="A3087" s="89" t="n">
        <v>44621</v>
      </c>
      <c r="B3087" t="n">
        <v>7194.5</v>
      </c>
      <c r="C3087" t="n">
        <v>7556.2</v>
      </c>
      <c r="E3087" t="n">
        <v>21739.7</v>
      </c>
    </row>
    <row r="3088">
      <c r="A3088" s="89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89" t="n">
        <v>44682</v>
      </c>
      <c r="B3089" t="n">
        <v>7077.1</v>
      </c>
      <c r="C3089" t="n">
        <v>7427.5</v>
      </c>
      <c r="E3089" t="n">
        <v>21649.2</v>
      </c>
    </row>
    <row r="3090">
      <c r="A3090" s="89" t="n">
        <v>44713</v>
      </c>
      <c r="B3090" t="n">
        <v>6960.6</v>
      </c>
      <c r="C3090" t="n">
        <v>7316.5</v>
      </c>
      <c r="E3090" t="n">
        <v>21607.6</v>
      </c>
    </row>
    <row r="3091">
      <c r="A3091" s="89" t="n">
        <v>44743</v>
      </c>
      <c r="B3091" t="n">
        <v>6953.8</v>
      </c>
      <c r="C3091" t="n">
        <v>7327.5</v>
      </c>
      <c r="E3091" t="n">
        <v>21636.1</v>
      </c>
      <c r="F3091" t="n">
        <v>1.191</v>
      </c>
    </row>
    <row r="3092">
      <c r="A3092" s="89" t="n">
        <v>44774</v>
      </c>
      <c r="B3092" t="n">
        <v>6925.3</v>
      </c>
      <c r="C3092" t="n">
        <v>7317.6</v>
      </c>
      <c r="E3092" t="n">
        <v>21632.3</v>
      </c>
    </row>
    <row r="3093">
      <c r="A3093" s="89" t="n">
        <v>44805</v>
      </c>
      <c r="B3093" t="n">
        <v>6835</v>
      </c>
      <c r="C3093" t="n">
        <v>7246.1</v>
      </c>
      <c r="E3093" t="n">
        <v>21503.5</v>
      </c>
    </row>
    <row r="3094">
      <c r="A3094" s="89" t="n">
        <v>44835</v>
      </c>
      <c r="B3094" t="n">
        <v>6743.5</v>
      </c>
      <c r="C3094" t="n">
        <v>7184.8</v>
      </c>
      <c r="E3094" t="n">
        <v>21415.2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25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8" defaultColWidth="9.1796875" defaultRowHeight="14.5"/>
  <cols>
    <col width="22.6328125" customWidth="1" style="76" min="1" max="1"/>
    <col width="9.1796875" customWidth="1" style="76" min="2" max="3"/>
    <col width="10.6328125" bestFit="1" customWidth="1" style="76" min="4" max="4"/>
    <col width="9.1796875" customWidth="1" style="76" min="5" max="31"/>
    <col width="9.1796875" customWidth="1" style="76" min="32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89" t="n">
        <v>21947</v>
      </c>
      <c r="B111" t="n">
        <v>0.3945881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89" t="n">
        <v>21976</v>
      </c>
      <c r="B112" t="n">
        <v>0.397754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89" t="n">
        <v>22007</v>
      </c>
      <c r="B113" t="n">
        <v>0.4003315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89" t="n">
        <v>22037</v>
      </c>
      <c r="B114" t="n">
        <v>0.4047862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89" t="n">
        <v>22068</v>
      </c>
      <c r="B115" t="n">
        <v>0.4070275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89" t="n">
        <v>22098</v>
      </c>
      <c r="B116" t="n">
        <v>0.4082042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89" t="n">
        <v>22129</v>
      </c>
      <c r="B117" t="n">
        <v>0.4096891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89" t="n">
        <v>22160</v>
      </c>
      <c r="B118" t="n">
        <v>0.4099693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89" t="n">
        <v>22190</v>
      </c>
      <c r="B119" t="n">
        <v>0.4107538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89" t="n">
        <v>22221</v>
      </c>
      <c r="B120" t="n">
        <v>0.4103335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89" t="n">
        <v>22251</v>
      </c>
      <c r="B121" t="n">
        <v>0.4091848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89" t="n">
        <v>22282</v>
      </c>
      <c r="B122" t="n">
        <v>0.4078961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89" t="n">
        <v>22313</v>
      </c>
      <c r="B123" t="n">
        <v>0.4071956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89" t="n">
        <v>22341</v>
      </c>
      <c r="B124" t="n">
        <v>0.4070275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89" t="n">
        <v>22372</v>
      </c>
      <c r="B125" t="n">
        <v>0.4090728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89" t="n">
        <v>22402</v>
      </c>
      <c r="B126" t="n">
        <v>0.4121826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89" t="n">
        <v>22433</v>
      </c>
      <c r="B127" t="n">
        <v>0.4138076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89" t="n">
        <v>22463</v>
      </c>
      <c r="B128" t="n">
        <v>0.4156287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89" t="n">
        <v>22494</v>
      </c>
      <c r="B129" t="n">
        <v>0.4170575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89" t="n">
        <v>22525</v>
      </c>
      <c r="B130" t="n">
        <v>0.4196911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89" t="n">
        <v>22555</v>
      </c>
      <c r="B131" t="n">
        <v>0.4231372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89" t="n">
        <v>22586</v>
      </c>
      <c r="B132" t="n">
        <v>0.424454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89" t="n">
        <v>22616</v>
      </c>
      <c r="B133" t="n">
        <v>0.4264432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89" t="n">
        <v>22647</v>
      </c>
      <c r="B134" t="n">
        <v>0.4296651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89" t="n">
        <v>22678</v>
      </c>
      <c r="B135" t="n">
        <v>0.4324387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89" t="n">
        <v>22706</v>
      </c>
      <c r="B136" t="n">
        <v>0.4358568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89" t="n">
        <v>22737</v>
      </c>
      <c r="B137" t="n">
        <v>0.4392188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89" t="n">
        <v>22767</v>
      </c>
      <c r="B138" t="n">
        <v>0.4415442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89" t="n">
        <v>22798</v>
      </c>
      <c r="B139" t="n">
        <v>0.4440657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89" t="n">
        <v>22828</v>
      </c>
      <c r="B140" t="n">
        <v>0.4482122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89" t="n">
        <v>22859</v>
      </c>
      <c r="B141" t="n">
        <v>0.4506216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89" t="n">
        <v>22890</v>
      </c>
      <c r="B142" t="n">
        <v>0.4527509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89" t="n">
        <v>22920</v>
      </c>
      <c r="B143" t="n">
        <v>0.4560008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89" t="n">
        <v>22951</v>
      </c>
      <c r="B144" t="n">
        <v>0.4583542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89" t="n">
        <v>22981</v>
      </c>
      <c r="B145" t="n">
        <v>0.4611279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89" t="n">
        <v>23012</v>
      </c>
      <c r="B146" t="n">
        <v>0.4639856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89" t="n">
        <v>23043</v>
      </c>
      <c r="B147" t="n">
        <v>0.4669554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89" t="n">
        <v>23071</v>
      </c>
      <c r="B148" t="n">
        <v>0.4707377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89" t="n">
        <v>23102</v>
      </c>
      <c r="B149" t="n">
        <v>0.4747721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89" t="n">
        <v>23132</v>
      </c>
      <c r="B150" t="n">
        <v>0.4778819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89" t="n">
        <v>23163</v>
      </c>
      <c r="B151" t="n">
        <v>0.4817202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89" t="n">
        <v>23193</v>
      </c>
      <c r="B152" t="n">
        <v>0.4861469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89" t="n">
        <v>23224</v>
      </c>
      <c r="B153" t="n">
        <v>0.4900973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89" t="n">
        <v>23255</v>
      </c>
      <c r="B154" t="n">
        <v>0.4941036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89" t="n">
        <v>23285</v>
      </c>
      <c r="B155" t="n">
        <v>0.4972695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89" t="n">
        <v>23316</v>
      </c>
      <c r="B156" t="n">
        <v>0.5021445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89" t="n">
        <v>23346</v>
      </c>
      <c r="B157" t="n">
        <v>0.5085883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89" t="n">
        <v>23377</v>
      </c>
      <c r="B158" t="n">
        <v>0.5132671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89" t="n">
        <v>23408</v>
      </c>
      <c r="B159" t="n">
        <v>0.5172175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89" t="n">
        <v>23437</v>
      </c>
      <c r="B160" t="n">
        <v>0.5236893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89" t="n">
        <v>23468</v>
      </c>
      <c r="B161" t="n">
        <v>0.5301332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89" t="n">
        <v>23498</v>
      </c>
      <c r="B162" t="n">
        <v>0.5353163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89" t="n">
        <v>23529</v>
      </c>
      <c r="B163" t="n">
        <v>0.5410317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89" t="n">
        <v>23559</v>
      </c>
      <c r="B164" t="n">
        <v>0.5457105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89" t="n">
        <v>23590</v>
      </c>
      <c r="B165" t="n">
        <v>0.5506975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89" t="n">
        <v>23621</v>
      </c>
      <c r="B166" t="n">
        <v>0.5552082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89" t="n">
        <v>23651</v>
      </c>
      <c r="B167" t="n">
        <v>0.5590465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89" t="n">
        <v>23682</v>
      </c>
      <c r="B168" t="n">
        <v>0.5636693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89" t="n">
        <v>23712</v>
      </c>
      <c r="B169" t="n">
        <v>0.5669472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89" t="n">
        <v>23743</v>
      </c>
      <c r="B170" t="n">
        <v>0.5694127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89" t="n">
        <v>23774</v>
      </c>
      <c r="B171" t="n">
        <v>0.573251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89" t="n">
        <v>23802</v>
      </c>
      <c r="B172" t="n">
        <v>0.5791906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89" t="n">
        <v>23833</v>
      </c>
      <c r="B173" t="n">
        <v>0.5827487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89" t="n">
        <v>23863</v>
      </c>
      <c r="B174" t="n">
        <v>0.5827487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89" t="n">
        <v>23894</v>
      </c>
      <c r="B175" t="n">
        <v>0.5855504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89" t="n">
        <v>23924</v>
      </c>
      <c r="B176" t="n">
        <v>0.588352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89" t="n">
        <v>23955</v>
      </c>
      <c r="B177" t="n">
        <v>0.588352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89" t="n">
        <v>23986</v>
      </c>
      <c r="B178" t="n">
        <v>0.5911537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89" t="n">
        <v>24016</v>
      </c>
      <c r="B179" t="n">
        <v>0.5939554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89" t="n">
        <v>24047</v>
      </c>
      <c r="B180" t="n">
        <v>0.5939554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89" t="n">
        <v>24077</v>
      </c>
      <c r="B181" t="n">
        <v>0.5967571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89" t="n">
        <v>24108</v>
      </c>
      <c r="B182" t="n">
        <v>0.5995587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89" t="n">
        <v>24139</v>
      </c>
      <c r="B183" t="n">
        <v>0.6051621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89" t="n">
        <v>24167</v>
      </c>
      <c r="B184" t="n">
        <v>0.6107655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89" t="n">
        <v>24198</v>
      </c>
      <c r="B185" t="n">
        <v>0.6107655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89" t="n">
        <v>24228</v>
      </c>
      <c r="B186" t="n">
        <v>0.6135671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89" t="n">
        <v>24259</v>
      </c>
      <c r="B187" t="n">
        <v>0.6191705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89" t="n">
        <v>24289</v>
      </c>
      <c r="B188" t="n">
        <v>0.6219721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89" t="n">
        <v>24320</v>
      </c>
      <c r="B189" t="n">
        <v>0.6247738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89" t="n">
        <v>24351</v>
      </c>
      <c r="B190" t="n">
        <v>0.6303772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89" t="n">
        <v>24381</v>
      </c>
      <c r="B191" t="n">
        <v>0.6359804999999999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89" t="n">
        <v>24412</v>
      </c>
      <c r="B192" t="n">
        <v>0.6415839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89" t="n">
        <v>24442</v>
      </c>
      <c r="B193" t="n">
        <v>0.6443856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89" t="n">
        <v>24473</v>
      </c>
      <c r="B194" t="n">
        <v>0.6471872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89" t="n">
        <v>24504</v>
      </c>
      <c r="B195" t="n">
        <v>0.6527906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89" t="n">
        <v>24532</v>
      </c>
      <c r="B196" t="n">
        <v>0.6555923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89" t="n">
        <v>24563</v>
      </c>
      <c r="B197" t="n">
        <v>0.6583939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89" t="n">
        <v>24593</v>
      </c>
      <c r="B198" t="n">
        <v>0.6639973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89" t="n">
        <v>24624</v>
      </c>
      <c r="B199" t="n">
        <v>0.6696007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89" t="n">
        <v>24654</v>
      </c>
      <c r="B200" t="n">
        <v>0.675204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89" t="n">
        <v>24685</v>
      </c>
      <c r="B201" t="n">
        <v>0.6808074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89" t="n">
        <v>24716</v>
      </c>
      <c r="B202" t="n">
        <v>0.6864107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89" t="n">
        <v>24746</v>
      </c>
      <c r="B203" t="n">
        <v>0.6892123999999999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89" t="n">
        <v>24777</v>
      </c>
      <c r="B204" t="n">
        <v>0.692014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89" t="n">
        <v>24807</v>
      </c>
      <c r="B205" t="n">
        <v>0.6976174000000001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89" t="n">
        <v>24838</v>
      </c>
      <c r="B206" t="n">
        <v>0.7032208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89" t="n">
        <v>24869</v>
      </c>
      <c r="B207" t="n">
        <v>0.7060224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89" t="n">
        <v>24898</v>
      </c>
      <c r="B208" t="n">
        <v>0.7088241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89" t="n">
        <v>24929</v>
      </c>
      <c r="B209" t="n">
        <v>0.7116258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89" t="n">
        <v>24959</v>
      </c>
      <c r="B210" t="n">
        <v>0.7144275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89" t="n">
        <v>24990</v>
      </c>
      <c r="B211" t="n">
        <v>0.7228325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89" t="n">
        <v>25020</v>
      </c>
      <c r="B212" t="n">
        <v>0.7312375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89" t="n">
        <v>25051</v>
      </c>
      <c r="B213" t="n">
        <v>0.7340392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89" t="n">
        <v>25082</v>
      </c>
      <c r="B214" t="n">
        <v>0.7368409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89" t="n">
        <v>25112</v>
      </c>
      <c r="B215" t="n">
        <v>0.7424442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89" t="n">
        <v>25143</v>
      </c>
      <c r="B216" t="n">
        <v>0.7452459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89" t="n">
        <v>25173</v>
      </c>
      <c r="B217" t="n">
        <v>0.7480476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89" t="n">
        <v>25204</v>
      </c>
      <c r="B218" t="n">
        <v>0.7564526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89" t="n">
        <v>25235</v>
      </c>
      <c r="B219" t="n">
        <v>0.7648576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89" t="n">
        <v>25263</v>
      </c>
      <c r="B220" t="n">
        <v>0.770461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89" t="n">
        <v>25294</v>
      </c>
      <c r="B221" t="n">
        <v>0.7760643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89" t="n">
        <v>25324</v>
      </c>
      <c r="B222" t="n">
        <v>0.7816677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89" t="n">
        <v>25355</v>
      </c>
      <c r="B223" t="n">
        <v>0.7900727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89" t="n">
        <v>25385</v>
      </c>
      <c r="B224" t="n">
        <v>0.7984778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89" t="n">
        <v>25416</v>
      </c>
      <c r="B225" t="n">
        <v>0.8040811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89" t="n">
        <v>25447</v>
      </c>
      <c r="B226" t="n">
        <v>0.8068828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89" t="n">
        <v>25477</v>
      </c>
      <c r="B227" t="n">
        <v>0.8096845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89" t="n">
        <v>25508</v>
      </c>
      <c r="B228" t="n">
        <v>0.8152878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89" t="n">
        <v>25538</v>
      </c>
      <c r="B229" t="n">
        <v>0.8208911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89" t="n">
        <v>25569</v>
      </c>
      <c r="B230" t="n">
        <v>0.8236929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89" t="n">
        <v>25600</v>
      </c>
      <c r="B231" t="n">
        <v>0.8264945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89" t="n">
        <v>25628</v>
      </c>
      <c r="B232" t="n">
        <v>0.8320978999999999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89" t="n">
        <v>25659</v>
      </c>
      <c r="B233" t="n">
        <v>0.8377012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89" t="n">
        <v>25689</v>
      </c>
      <c r="B234" t="n">
        <v>0.8405029000000001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89" t="n">
        <v>25720</v>
      </c>
      <c r="B235" t="n">
        <v>0.8405029000000001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89" t="n">
        <v>25750</v>
      </c>
      <c r="B236" t="n">
        <v>0.8433046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89" t="n">
        <v>25781</v>
      </c>
      <c r="B237" t="n">
        <v>0.8461062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89" t="n">
        <v>25812</v>
      </c>
      <c r="B238" t="n">
        <v>0.8489079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89" t="n">
        <v>25842</v>
      </c>
      <c r="B239" t="n">
        <v>0.8517096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89" t="n">
        <v>25873</v>
      </c>
      <c r="B240" t="n">
        <v>0.8545113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89" t="n">
        <v>25903</v>
      </c>
      <c r="B241" t="n">
        <v>0.8601146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89" t="n">
        <v>25934</v>
      </c>
      <c r="B242" t="n">
        <v>0.8629163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89" t="n">
        <v>25965</v>
      </c>
      <c r="B243" t="n">
        <v>0.8685197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89" t="n">
        <v>25993</v>
      </c>
      <c r="B244" t="n">
        <v>0.8769247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89" t="n">
        <v>26024</v>
      </c>
      <c r="B245" t="n">
        <v>0.8825281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89" t="n">
        <v>26054</v>
      </c>
      <c r="B246" t="n">
        <v>0.8909331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89" t="n">
        <v>26085</v>
      </c>
      <c r="B247" t="n">
        <v>0.8993381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89" t="n">
        <v>26115</v>
      </c>
      <c r="B248" t="n">
        <v>0.9021398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89" t="n">
        <v>26146</v>
      </c>
      <c r="B249" t="n">
        <v>0.9077432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89" t="n">
        <v>26177</v>
      </c>
      <c r="B250" t="n">
        <v>0.9189498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89" t="n">
        <v>26207</v>
      </c>
      <c r="B251" t="n">
        <v>0.9273549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89" t="n">
        <v>26238</v>
      </c>
      <c r="B252" t="n">
        <v>0.9301565000000001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89" t="n">
        <v>26268</v>
      </c>
      <c r="B253" t="n">
        <v>0.9357599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89" t="n">
        <v>26299</v>
      </c>
      <c r="B254" t="n">
        <v>0.9441649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89" t="n">
        <v>26330</v>
      </c>
      <c r="B255" t="n">
        <v>0.95257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89" t="n">
        <v>26359</v>
      </c>
      <c r="B256" t="n">
        <v>0.960975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89" t="n">
        <v>26390</v>
      </c>
      <c r="B257" t="n">
        <v>0.96938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89" t="n">
        <v>26420</v>
      </c>
      <c r="B258" t="n">
        <v>0.9805867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89" t="n">
        <v>26451</v>
      </c>
      <c r="B259" t="n">
        <v>0.9917934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89" t="n">
        <v>26481</v>
      </c>
      <c r="B260" t="n">
        <v>1.008603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89" t="n">
        <v>26512</v>
      </c>
      <c r="B261" t="n">
        <v>1.031017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89" t="n">
        <v>26543</v>
      </c>
      <c r="B262" t="n">
        <v>1.050629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89" t="n">
        <v>26573</v>
      </c>
      <c r="B263" t="n">
        <v>1.07024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89" t="n">
        <v>26604</v>
      </c>
      <c r="B264" t="n">
        <v>1.089852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89" t="n">
        <v>26634</v>
      </c>
      <c r="B265" t="n">
        <v>1.112265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89" t="n">
        <v>26665</v>
      </c>
      <c r="B266" t="n">
        <v>1.134679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89" t="n">
        <v>26696</v>
      </c>
      <c r="B267" t="n">
        <v>1.154291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89" t="n">
        <v>26724</v>
      </c>
      <c r="B268" t="n">
        <v>1.173902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89" t="n">
        <v>26755</v>
      </c>
      <c r="B269" t="n">
        <v>1.193514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89" t="n">
        <v>26785</v>
      </c>
      <c r="B270" t="n">
        <v>1.218729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89" t="n">
        <v>26816</v>
      </c>
      <c r="B271" t="n">
        <v>1.243944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89" t="n">
        <v>26846</v>
      </c>
      <c r="B272" t="n">
        <v>1.269159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89" t="n">
        <v>26877</v>
      </c>
      <c r="B273" t="n">
        <v>1.294374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89" t="n">
        <v>26908</v>
      </c>
      <c r="B274" t="n">
        <v>1.316788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89" t="n">
        <v>26938</v>
      </c>
      <c r="B275" t="n">
        <v>1.333598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89" t="n">
        <v>26969</v>
      </c>
      <c r="B276" t="n">
        <v>1.339201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89" t="n">
        <v>26999</v>
      </c>
      <c r="B277" t="n">
        <v>1.350408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89" t="n">
        <v>27030</v>
      </c>
      <c r="B278" t="n">
        <v>1.367218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89" t="n">
        <v>27061</v>
      </c>
      <c r="B279" t="n">
        <v>1.384028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89" t="n">
        <v>27089</v>
      </c>
      <c r="B280" t="n">
        <v>1.400838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89" t="n">
        <v>27120</v>
      </c>
      <c r="B281" t="n">
        <v>1.412045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89" t="n">
        <v>27150</v>
      </c>
      <c r="B282" t="n">
        <v>1.428855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89" t="n">
        <v>27181</v>
      </c>
      <c r="B283" t="n">
        <v>1.428855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89" t="n">
        <v>27211</v>
      </c>
      <c r="B284" t="n">
        <v>1.409243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89" t="n">
        <v>27242</v>
      </c>
      <c r="B285" t="n">
        <v>1.392433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89" t="n">
        <v>27273</v>
      </c>
      <c r="B286" t="n">
        <v>1.38683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89" t="n">
        <v>27303</v>
      </c>
      <c r="B287" t="n">
        <v>1.40364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89" t="n">
        <v>27334</v>
      </c>
      <c r="B288" t="n">
        <v>1.428855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89" t="n">
        <v>27364</v>
      </c>
      <c r="B289" t="n">
        <v>1.448467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89" t="n">
        <v>27395</v>
      </c>
      <c r="B290" t="n">
        <v>1.473682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89" t="n">
        <v>27426</v>
      </c>
      <c r="B291" t="n">
        <v>1.507302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89" t="n">
        <v>27454</v>
      </c>
      <c r="B292" t="n">
        <v>1.540922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89" t="n">
        <v>27485</v>
      </c>
      <c r="B293" t="n">
        <v>1.574542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89" t="n">
        <v>27515</v>
      </c>
      <c r="B294" t="n">
        <v>1.602559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89" t="n">
        <v>27546</v>
      </c>
      <c r="B295" t="n">
        <v>1.624972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89" t="n">
        <v>27576</v>
      </c>
      <c r="B296" t="n">
        <v>1.655791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89" t="n">
        <v>27607</v>
      </c>
      <c r="B297" t="n">
        <v>1.686609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89" t="n">
        <v>27638</v>
      </c>
      <c r="B298" t="n">
        <v>1.706221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89" t="n">
        <v>27668</v>
      </c>
      <c r="B299" t="n">
        <v>1.725833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89" t="n">
        <v>27699</v>
      </c>
      <c r="B300" t="n">
        <v>1.745444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89" t="n">
        <v>27729</v>
      </c>
      <c r="B301" t="n">
        <v>1.765056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89" t="n">
        <v>27760</v>
      </c>
      <c r="B302" t="n">
        <v>1.784668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89" t="n">
        <v>27791</v>
      </c>
      <c r="B303" t="n">
        <v>1.793073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89" t="n">
        <v>27820</v>
      </c>
      <c r="B304" t="n">
        <v>1.807081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89" t="n">
        <v>27851</v>
      </c>
      <c r="B305" t="n">
        <v>1.829495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89" t="n">
        <v>27881</v>
      </c>
      <c r="B306" t="n">
        <v>1.849106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89" t="n">
        <v>27912</v>
      </c>
      <c r="B307" t="n">
        <v>1.868718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89" t="n">
        <v>27942</v>
      </c>
      <c r="B308" t="n">
        <v>1.88833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89" t="n">
        <v>27973</v>
      </c>
      <c r="B309" t="n">
        <v>2.036819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89" t="n">
        <v>28004</v>
      </c>
      <c r="B310" t="n">
        <v>2.188109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89" t="n">
        <v>28034</v>
      </c>
      <c r="B311" t="n">
        <v>2.207721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89" t="n">
        <v>28065</v>
      </c>
      <c r="B312" t="n">
        <v>2.227333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89" t="n">
        <v>28095</v>
      </c>
      <c r="B313" t="n">
        <v>2.260953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89" t="n">
        <v>28126</v>
      </c>
      <c r="B314" t="n">
        <v>2.291771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89" t="n">
        <v>28157</v>
      </c>
      <c r="B315" t="n">
        <v>2.319788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89" t="n">
        <v>28185</v>
      </c>
      <c r="B316" t="n">
        <v>2.347805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89" t="n">
        <v>28216</v>
      </c>
      <c r="B317" t="n">
        <v>2.359011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89" t="n">
        <v>28246</v>
      </c>
      <c r="B318" t="n">
        <v>2.37302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89" t="n">
        <v>28277</v>
      </c>
      <c r="B319" t="n">
        <v>2.395433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89" t="n">
        <v>28307</v>
      </c>
      <c r="B320" t="n">
        <v>2.40664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89" t="n">
        <v>28338</v>
      </c>
      <c r="B321" t="n">
        <v>2.412243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89" t="n">
        <v>28369</v>
      </c>
      <c r="B322" t="n">
        <v>2.417847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89" t="n">
        <v>28399</v>
      </c>
      <c r="B323" t="n">
        <v>2.426252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89" t="n">
        <v>28430</v>
      </c>
      <c r="B324" t="n">
        <v>2.443062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89" t="n">
        <v>28460</v>
      </c>
      <c r="B325" t="n">
        <v>2.465475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89" t="n">
        <v>28491</v>
      </c>
      <c r="B326" t="n">
        <v>2.485087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89" t="n">
        <v>28522</v>
      </c>
      <c r="B327" t="n">
        <v>2.5075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89" t="n">
        <v>28550</v>
      </c>
      <c r="B328" t="n">
        <v>2.538319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89" t="n">
        <v>28581</v>
      </c>
      <c r="B329" t="n">
        <v>2.569137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89" t="n">
        <v>28611</v>
      </c>
      <c r="B330" t="n">
        <v>2.599956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89" t="n">
        <v>28642</v>
      </c>
      <c r="B331" t="n">
        <v>2.625171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89" t="n">
        <v>28672</v>
      </c>
      <c r="B332" t="n">
        <v>2.647584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89" t="n">
        <v>28703</v>
      </c>
      <c r="B333" t="n">
        <v>2.675601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89" t="n">
        <v>28734</v>
      </c>
      <c r="B334" t="n">
        <v>2.703618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89" t="n">
        <v>28764</v>
      </c>
      <c r="B335" t="n">
        <v>2.726031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89" t="n">
        <v>28795</v>
      </c>
      <c r="B336" t="n">
        <v>2.748445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89" t="n">
        <v>28825</v>
      </c>
      <c r="B337" t="n">
        <v>2.773659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89" t="n">
        <v>28856</v>
      </c>
      <c r="B338" t="n">
        <v>2.80728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89" t="n">
        <v>28887</v>
      </c>
      <c r="B339" t="n">
        <v>2.849305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89" t="n">
        <v>28915</v>
      </c>
      <c r="B340" t="n">
        <v>2.885727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89" t="n">
        <v>28946</v>
      </c>
      <c r="B341" t="n">
        <v>2.919347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89" t="n">
        <v>28976</v>
      </c>
      <c r="B342" t="n">
        <v>2.950165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89" t="n">
        <v>29007</v>
      </c>
      <c r="B343" t="n">
        <v>2.972579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89" t="n">
        <v>29037</v>
      </c>
      <c r="B344" t="n">
        <v>2.989389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89" t="n">
        <v>29068</v>
      </c>
      <c r="B345" t="n">
        <v>3.011802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89" t="n">
        <v>29099</v>
      </c>
      <c r="B346" t="n">
        <v>3.037017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89" t="n">
        <v>29129</v>
      </c>
      <c r="B347" t="n">
        <v>3.062232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89" t="n">
        <v>29160</v>
      </c>
      <c r="B348" t="n">
        <v>3.098654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89" t="n">
        <v>29190</v>
      </c>
      <c r="B349" t="n">
        <v>3.137877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89" t="n">
        <v>29221</v>
      </c>
      <c r="B350" t="n">
        <v>3.191109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3.117779</v>
      </c>
      <c r="Y350" t="n">
        <v>0.263348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89" t="n">
        <v>29252</v>
      </c>
      <c r="B351" t="n">
        <v>3.247143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3.152512</v>
      </c>
      <c r="Y351" t="n">
        <v>0.269266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89" t="n">
        <v>29281</v>
      </c>
      <c r="B352" t="n">
        <v>3.27516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3.17505</v>
      </c>
      <c r="Y352" t="n">
        <v>0.2716184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89" t="n">
        <v>29312</v>
      </c>
      <c r="B353" t="n">
        <v>3.294771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3.195561</v>
      </c>
      <c r="Y353" t="n">
        <v>0.2751408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89" t="n">
        <v>29342</v>
      </c>
      <c r="B354" t="n">
        <v>3.322788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3.226929</v>
      </c>
      <c r="Y354" t="n">
        <v>0.2789933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89" t="n">
        <v>29373</v>
      </c>
      <c r="B355" t="n">
        <v>3.356408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3.265894</v>
      </c>
      <c r="Y355" t="n">
        <v>0.2825916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89" t="n">
        <v>29403</v>
      </c>
      <c r="B356" t="n">
        <v>3.398433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3.311514</v>
      </c>
      <c r="Y356" t="n">
        <v>0.2940181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89" t="n">
        <v>29434</v>
      </c>
      <c r="B357" t="n">
        <v>3.440459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3.354458</v>
      </c>
      <c r="Y357" t="n">
        <v>0.3062004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89" t="n">
        <v>29465</v>
      </c>
      <c r="B358" t="n">
        <v>3.471277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3.390518</v>
      </c>
      <c r="Y358" t="n">
        <v>0.3137157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89" t="n">
        <v>29495</v>
      </c>
      <c r="B359" t="n">
        <v>3.5105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3.429167</v>
      </c>
      <c r="Y359" t="n">
        <v>0.3232996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89" t="n">
        <v>29526</v>
      </c>
      <c r="B360" t="n">
        <v>3.555327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3.469318</v>
      </c>
      <c r="Y360" t="n">
        <v>0.330852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89" t="n">
        <v>29556</v>
      </c>
      <c r="B361" t="n">
        <v>3.594551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3.501651</v>
      </c>
      <c r="Y361" t="n">
        <v>0.3367367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89" t="n">
        <v>29587</v>
      </c>
      <c r="B362" t="n">
        <v>3.628171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3.537557</v>
      </c>
      <c r="Y362" t="n">
        <v>0.3422842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89" t="n">
        <v>29618</v>
      </c>
      <c r="B363" t="n">
        <v>3.656188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3.575448</v>
      </c>
      <c r="Y363" t="n">
        <v>0.3472529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89" t="n">
        <v>29646</v>
      </c>
      <c r="B364" t="n">
        <v>3.687006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3.61832</v>
      </c>
      <c r="Y364" t="n">
        <v>0.3524105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89" t="n">
        <v>29677</v>
      </c>
      <c r="B365" t="n">
        <v>3.720626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3.680052</v>
      </c>
      <c r="Y365" t="n">
        <v>0.3641031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89" t="n">
        <v>29707</v>
      </c>
      <c r="B366" t="n">
        <v>3.75985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3.719073</v>
      </c>
      <c r="Y366" t="n">
        <v>0.3776554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89" t="n">
        <v>29738</v>
      </c>
      <c r="B367" t="n">
        <v>3.804677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3.759225</v>
      </c>
      <c r="Y367" t="n">
        <v>0.3853359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89" t="n">
        <v>29768</v>
      </c>
      <c r="B368" t="n">
        <v>3.841098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3.80686</v>
      </c>
      <c r="Y368" t="n">
        <v>0.3985096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89" t="n">
        <v>29799</v>
      </c>
      <c r="B369" t="n">
        <v>3.869115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3.855811</v>
      </c>
      <c r="Y369" t="n">
        <v>0.4104799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89" t="n">
        <v>29830</v>
      </c>
      <c r="B370" t="n">
        <v>3.899934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3.89554</v>
      </c>
      <c r="Y370" t="n">
        <v>0.41505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89" t="n">
        <v>29860</v>
      </c>
      <c r="B371" t="n">
        <v>3.936355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3.948992</v>
      </c>
      <c r="Y371" t="n">
        <v>0.4289715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89" t="n">
        <v>29891</v>
      </c>
      <c r="B372" t="n">
        <v>3.972777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3.995938</v>
      </c>
      <c r="Y372" t="n">
        <v>0.4446659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89" t="n">
        <v>29921</v>
      </c>
      <c r="B373" t="n">
        <v>4.003595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4.05489</v>
      </c>
      <c r="Y373" t="n">
        <v>0.4595231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89" t="n">
        <v>29952</v>
      </c>
      <c r="B374" t="n">
        <v>4.037216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4.105584</v>
      </c>
      <c r="Y374" t="n">
        <v>0.472383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89" t="n">
        <v>29983</v>
      </c>
      <c r="B375" t="n">
        <v>4.073637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4.154861</v>
      </c>
      <c r="Y375" t="n">
        <v>0.4777145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89" t="n">
        <v>30011</v>
      </c>
      <c r="B376" t="n">
        <v>4.107257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0.1804302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4.213228</v>
      </c>
      <c r="Y376" t="n">
        <v>0.4833249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89" t="n">
        <v>30042</v>
      </c>
      <c r="B377" t="n">
        <v>4.146481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4.252329</v>
      </c>
      <c r="Y377" t="n">
        <v>0.4923975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89" t="n">
        <v>30072</v>
      </c>
      <c r="B378" t="n">
        <v>4.208118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0.1894799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4.286412</v>
      </c>
      <c r="Y378" t="n">
        <v>0.5007653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89" t="n">
        <v>30103</v>
      </c>
      <c r="B379" t="n">
        <v>4.252944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0.1929929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4.322196</v>
      </c>
      <c r="Y379" t="n">
        <v>0.5065229999999999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89" t="n">
        <v>30133</v>
      </c>
      <c r="B380" t="n">
        <v>4.269755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4.360378</v>
      </c>
      <c r="Y380" t="n">
        <v>0.515835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89" t="n">
        <v>30164</v>
      </c>
      <c r="B381" t="n">
        <v>4.292168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0.1968189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4.432129</v>
      </c>
      <c r="Y381" t="n">
        <v>0.5258890000000001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89" t="n">
        <v>30195</v>
      </c>
      <c r="B382" t="n">
        <v>4.32859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0.1985213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4.50364</v>
      </c>
      <c r="Y382" t="n">
        <v>0.5356346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89" t="n">
        <v>30225</v>
      </c>
      <c r="B383" t="n">
        <v>4.36221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0.1996785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4.552255</v>
      </c>
      <c r="Y383" t="n">
        <v>0.5442787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89" t="n">
        <v>30256</v>
      </c>
      <c r="B384" t="n">
        <v>4.39583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0.2011373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4.603971</v>
      </c>
      <c r="Y384" t="n">
        <v>0.5519471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89" t="n">
        <v>30286</v>
      </c>
      <c r="B385" t="n">
        <v>4.449062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0.2044391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4.668331</v>
      </c>
      <c r="Y385" t="n">
        <v>0.5634283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89" t="n">
        <v>30317</v>
      </c>
      <c r="B386" t="n">
        <v>4.493889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0.2080072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0.02095638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4.768936</v>
      </c>
      <c r="Y386" t="n">
        <v>0.5712999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89" t="n">
        <v>30348</v>
      </c>
      <c r="B387" t="n">
        <v>4.535914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0.2107543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0.02273102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4.842896</v>
      </c>
      <c r="Y387" t="n">
        <v>0.5751027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89" t="n">
        <v>30376</v>
      </c>
      <c r="B388" t="n">
        <v>4.605956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0.2120939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0.02456616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4.894414</v>
      </c>
      <c r="Y388" t="n">
        <v>0.5837477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89" t="n">
        <v>30407</v>
      </c>
      <c r="B389" t="n">
        <v>4.670394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0.2164141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0.02604945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4.942708</v>
      </c>
      <c r="Y389" t="n">
        <v>0.5919733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89" t="n">
        <v>30437</v>
      </c>
      <c r="B390" t="n">
        <v>4.720825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0.2240004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4.997501</v>
      </c>
      <c r="Y390" t="n">
        <v>0.6000259999999999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89" t="n">
        <v>30468</v>
      </c>
      <c r="B391" t="n">
        <v>4.776858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0.2301084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5.052961</v>
      </c>
      <c r="Y391" t="n">
        <v>0.6099887000000001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89" t="n">
        <v>30498</v>
      </c>
      <c r="B392" t="n">
        <v>4.824487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0.2363062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5.111828</v>
      </c>
      <c r="Y392" t="n">
        <v>0.6191575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89" t="n">
        <v>30529</v>
      </c>
      <c r="B393" t="n">
        <v>4.872115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0.2426295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0.03660587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5.169285</v>
      </c>
      <c r="Y393" t="n">
        <v>0.6247395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89" t="n">
        <v>30560</v>
      </c>
      <c r="B394" t="n">
        <v>4.922545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0.04088387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5.224259</v>
      </c>
      <c r="Y394" t="n">
        <v>0.6296608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89" t="n">
        <v>30590</v>
      </c>
      <c r="B395" t="n">
        <v>4.970174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0.2550704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5.294352</v>
      </c>
      <c r="Y395" t="n">
        <v>0.6383377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89" t="n">
        <v>30621</v>
      </c>
      <c r="B396" t="n">
        <v>5.020604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0.2631034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5.365129</v>
      </c>
      <c r="Y396" t="n">
        <v>0.648473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89" t="n">
        <v>30651</v>
      </c>
      <c r="B397" t="n">
        <v>5.082241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0.2669082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5.438718</v>
      </c>
      <c r="Y397" t="n">
        <v>0.6589438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89" t="n">
        <v>30682</v>
      </c>
      <c r="B398" t="n">
        <v>5.146679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0.2689412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0.07366810999999999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5.512291</v>
      </c>
      <c r="Y398" t="n">
        <v>0.667309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89" t="n">
        <v>30713</v>
      </c>
      <c r="B399" t="n">
        <v>5.21392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0.2721794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0.08497535000000001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5.580715</v>
      </c>
      <c r="Y399" t="n">
        <v>0.6763849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89" t="n">
        <v>30742</v>
      </c>
      <c r="B400" t="n">
        <v>5.272755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0.2759514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5.653656</v>
      </c>
      <c r="Y400" t="n">
        <v>0.6902862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89" t="n">
        <v>30773</v>
      </c>
      <c r="B401" t="n">
        <v>5.306375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0.2804764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5.718881</v>
      </c>
      <c r="Y401" t="n">
        <v>0.7026117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89" t="n">
        <v>30803</v>
      </c>
      <c r="B402" t="n">
        <v>5.337193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0.2839654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5.784257</v>
      </c>
      <c r="Y402" t="n">
        <v>0.712903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89" t="n">
        <v>30834</v>
      </c>
      <c r="B403" t="n">
        <v>5.379219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0.2875643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0.1477882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5.853253</v>
      </c>
      <c r="Y403" t="n">
        <v>0.7271919999999999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89" t="n">
        <v>30864</v>
      </c>
      <c r="B404" t="n">
        <v>5.435252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0.2922293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0.1693428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5.91735</v>
      </c>
      <c r="Y404" t="n">
        <v>0.7385052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89" t="n">
        <v>30895</v>
      </c>
      <c r="B405" t="n">
        <v>5.508096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0.2978002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0.1977101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5.982546</v>
      </c>
      <c r="Y405" t="n">
        <v>0.7501175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89" t="n">
        <v>30926</v>
      </c>
      <c r="B406" t="n">
        <v>5.575336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0.3064975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0.2353674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6.066154</v>
      </c>
      <c r="Y406" t="n">
        <v>0.7657433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89" t="n">
        <v>30956</v>
      </c>
      <c r="B407" t="n">
        <v>5.634171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0.3144134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6.149342</v>
      </c>
      <c r="Y407" t="n">
        <v>0.7783647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89" t="n">
        <v>30987</v>
      </c>
      <c r="B408" t="n">
        <v>5.709816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0.3203244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0.3354055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6.252701</v>
      </c>
      <c r="Y408" t="n">
        <v>0.7964846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89" t="n">
        <v>31017</v>
      </c>
      <c r="B409" t="n">
        <v>5.793867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0.3286082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0.3871072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6.374649</v>
      </c>
      <c r="Y409" t="n">
        <v>0.8186911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89" t="n">
        <v>31048</v>
      </c>
      <c r="B410" t="n">
        <v>5.886322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0.3373971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0.4360051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6.486273</v>
      </c>
      <c r="Y410" t="n">
        <v>0.8315333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89" t="n">
        <v>31079</v>
      </c>
      <c r="B411" t="n">
        <v>5.975976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0.3438244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0.4852705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6.560225</v>
      </c>
      <c r="Y411" t="n">
        <v>0.8437869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89" t="n">
        <v>31107</v>
      </c>
      <c r="B412" t="n">
        <v>6.054422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0.3510447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0.5413556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6.627061</v>
      </c>
      <c r="Y412" t="n">
        <v>0.8611779000000001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89" t="n">
        <v>31138</v>
      </c>
      <c r="B413" t="n">
        <v>6.127266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0.3577813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0.6177174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6.695511</v>
      </c>
      <c r="Y413" t="n">
        <v>0.877127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89" t="n">
        <v>31168</v>
      </c>
      <c r="B414" t="n">
        <v>6.20011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0.3643521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6.770533</v>
      </c>
      <c r="Y414" t="n">
        <v>0.8935128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89" t="n">
        <v>31199</v>
      </c>
      <c r="B415" t="n">
        <v>6.244936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0.3732326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6.854901</v>
      </c>
      <c r="Y415" t="n">
        <v>0.9099079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89" t="n">
        <v>31229</v>
      </c>
      <c r="B416" t="n">
        <v>6.328987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0.3834633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0.9078448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6.943835</v>
      </c>
      <c r="Y416" t="n">
        <v>0.9280739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89" t="n">
        <v>31260</v>
      </c>
      <c r="B417" t="n">
        <v>6.446657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0.3955108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1.02495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7.035711</v>
      </c>
      <c r="Y417" t="n">
        <v>0.9513676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89" t="n">
        <v>31291</v>
      </c>
      <c r="B418" t="n">
        <v>6.525104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0.4043911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1.04713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7.112349</v>
      </c>
      <c r="Y418" t="n">
        <v>0.9719950000000001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89" t="n">
        <v>31321</v>
      </c>
      <c r="B419" t="n">
        <v>6.586741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0.4145196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7.176833</v>
      </c>
      <c r="Y419" t="n">
        <v>0.9839631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89" t="n">
        <v>31352</v>
      </c>
      <c r="B420" t="n">
        <v>6.634369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0.4281413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7.239048</v>
      </c>
      <c r="Y420" t="n">
        <v>0.9956083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89" t="n">
        <v>31382</v>
      </c>
      <c r="B421" t="n">
        <v>6.673593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0.4399317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1.142666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7.482771</v>
      </c>
      <c r="Y421" t="n">
        <v>1.017567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89" t="n">
        <v>31413</v>
      </c>
      <c r="B422" t="n">
        <v>6.693205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0.4526629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7.71386</v>
      </c>
      <c r="Y422" t="n">
        <v>1.04231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89" t="n">
        <v>31444</v>
      </c>
      <c r="B423" t="n">
        <v>6.707213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0.4650052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1.17231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7.766685</v>
      </c>
      <c r="Y423" t="n">
        <v>1.058908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89" t="n">
        <v>31472</v>
      </c>
      <c r="B424" t="n">
        <v>6.763247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0.476034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1.195892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7.842405</v>
      </c>
      <c r="Y424" t="n">
        <v>1.084804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89" t="n">
        <v>31503</v>
      </c>
      <c r="B425" t="n">
        <v>6.875314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0.4847513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1.199049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7.922684</v>
      </c>
      <c r="Y425" t="n">
        <v>1.109841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89" t="n">
        <v>31533</v>
      </c>
      <c r="B426" t="n">
        <v>6.967769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0.4945091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1.187813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7.999801</v>
      </c>
      <c r="Y426" t="n">
        <v>1.134269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89" t="n">
        <v>31564</v>
      </c>
      <c r="B427" t="n">
        <v>7.015398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0.506947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8.073278</v>
      </c>
      <c r="Y427" t="n">
        <v>1.160485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89" t="n">
        <v>31594</v>
      </c>
      <c r="B428" t="n">
        <v>7.054621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0.5173849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1.184665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8.145624</v>
      </c>
      <c r="Y428" t="n">
        <v>1.180677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89" t="n">
        <v>31625</v>
      </c>
      <c r="B429" t="n">
        <v>7.10225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0.5252483999999999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8.232488</v>
      </c>
      <c r="Y429" t="n">
        <v>1.197172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89" t="n">
        <v>31656</v>
      </c>
      <c r="B430" t="n">
        <v>7.138671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0.5320991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8.336639999999999</v>
      </c>
      <c r="Y430" t="n">
        <v>1.211986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89" t="n">
        <v>31686</v>
      </c>
      <c r="B431" t="n">
        <v>7.180696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0.5419043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8.446826</v>
      </c>
      <c r="Y431" t="n">
        <v>1.230241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89" t="n">
        <v>31717</v>
      </c>
      <c r="B432" t="n">
        <v>7.211515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0.5543413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1.321336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8.556578</v>
      </c>
      <c r="Y432" t="n">
        <v>1.251369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89" t="n">
        <v>31747</v>
      </c>
      <c r="B433" t="n">
        <v>7.25354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0.5672242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1.351372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8.696650999999999</v>
      </c>
      <c r="Y433" t="n">
        <v>1.27509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89" t="n">
        <v>31778</v>
      </c>
      <c r="B434" t="n">
        <v>7.343194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0.5793123999999999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9.223356000000001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8.815106999999999</v>
      </c>
      <c r="Y434" t="n">
        <v>1.298034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89" t="n">
        <v>31809</v>
      </c>
      <c r="B435" t="n">
        <v>7.42164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0.5926065</v>
      </c>
      <c r="I435" t="n">
        <v/>
      </c>
      <c r="J435" t="n">
        <v/>
      </c>
      <c r="K435" t="n">
        <v>22.56106</v>
      </c>
      <c r="L435" t="n">
        <v>19.25452</v>
      </c>
      <c r="M435" t="n">
        <v>11.16498</v>
      </c>
      <c r="N435" t="n">
        <v/>
      </c>
      <c r="O435" t="n">
        <v/>
      </c>
      <c r="P435" t="n">
        <v>1.280062</v>
      </c>
      <c r="Q435" t="n">
        <v>3.176628</v>
      </c>
      <c r="R435" t="n">
        <v>1.451147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9.047924999999999</v>
      </c>
      <c r="Y435" t="n">
        <v>1.44243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89" t="n">
        <v>31837</v>
      </c>
      <c r="B436" t="n">
        <v>7.460864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0.6074641</v>
      </c>
      <c r="I436" t="n">
        <v/>
      </c>
      <c r="J436" t="n">
        <v/>
      </c>
      <c r="K436" t="n">
        <v>22.76226</v>
      </c>
      <c r="L436" t="n">
        <v>19.28458</v>
      </c>
      <c r="M436" t="n">
        <v>11.32883</v>
      </c>
      <c r="N436" t="n">
        <v/>
      </c>
      <c r="O436" t="n">
        <v/>
      </c>
      <c r="P436" t="n">
        <v>1.295625</v>
      </c>
      <c r="Q436" t="n">
        <v>3.294622</v>
      </c>
      <c r="R436" t="n">
        <v>1.499289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9.153639999999999</v>
      </c>
      <c r="Y436" t="n">
        <v>1.46107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89" t="n">
        <v>31868</v>
      </c>
      <c r="B437" t="n">
        <v>7.483277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0.6240956</v>
      </c>
      <c r="I437" t="n">
        <v/>
      </c>
      <c r="J437" t="n">
        <v/>
      </c>
      <c r="K437" t="n">
        <v>22.9657</v>
      </c>
      <c r="L437" t="n">
        <v>19.39494</v>
      </c>
      <c r="M437" t="n">
        <v>11.51293</v>
      </c>
      <c r="N437" t="n">
        <v/>
      </c>
      <c r="O437" t="n">
        <v/>
      </c>
      <c r="P437" t="n">
        <v>1.311164</v>
      </c>
      <c r="Q437" t="n">
        <v>3.401168</v>
      </c>
      <c r="R437" t="n">
        <v>1.557045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9.286155000000001</v>
      </c>
      <c r="Y437" t="n">
        <v>1.4848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89" t="n">
        <v>31898</v>
      </c>
      <c r="B438" t="n">
        <v>7.558923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0.6405298</v>
      </c>
      <c r="I438" t="n">
        <v/>
      </c>
      <c r="J438" t="n">
        <v/>
      </c>
      <c r="K438" t="n">
        <v>23.04919</v>
      </c>
      <c r="L438" t="n">
        <v>19.5495</v>
      </c>
      <c r="M438" t="n">
        <v>11.67349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9.409027</v>
      </c>
      <c r="Y438" t="n">
        <v>1.508523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89" t="n">
        <v>31929</v>
      </c>
      <c r="B439" t="n">
        <v>7.662585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0.6531713</v>
      </c>
      <c r="I439" t="n">
        <v/>
      </c>
      <c r="J439" t="n">
        <v/>
      </c>
      <c r="K439" t="n">
        <v>23.31146</v>
      </c>
      <c r="L439" t="n">
        <v>19.7154</v>
      </c>
      <c r="M439" t="n">
        <v>11.78806</v>
      </c>
      <c r="N439" t="n">
        <v/>
      </c>
      <c r="O439" t="n">
        <v/>
      </c>
      <c r="P439" t="n">
        <v>1.336125</v>
      </c>
      <c r="Q439" t="n">
        <v>3.6236</v>
      </c>
      <c r="R439" t="n">
        <v>1.648812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9.527298</v>
      </c>
      <c r="Y439" t="n">
        <v>1.528866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89" t="n">
        <v>31959</v>
      </c>
      <c r="B440" t="n">
        <v>7.757842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0.6665518</v>
      </c>
      <c r="I440" t="n">
        <v/>
      </c>
      <c r="J440" t="n">
        <v/>
      </c>
      <c r="K440" t="n">
        <v>23.43208</v>
      </c>
      <c r="L440" t="n">
        <v>19.81458</v>
      </c>
      <c r="M440" t="n">
        <v>11.95062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9.664531</v>
      </c>
      <c r="Y440" t="n">
        <v>1.556716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89" t="n">
        <v>31990</v>
      </c>
      <c r="B441" t="n">
        <v>7.847496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0.682384</v>
      </c>
      <c r="I441" t="n">
        <v/>
      </c>
      <c r="J441" t="n">
        <v/>
      </c>
      <c r="K441" t="n">
        <v>23.48534</v>
      </c>
      <c r="L441" t="n">
        <v>19.86186</v>
      </c>
      <c r="M441" t="n">
        <v>12.12979</v>
      </c>
      <c r="N441" t="n">
        <v/>
      </c>
      <c r="O441" t="n">
        <v/>
      </c>
      <c r="P441" t="n">
        <v>1.376741</v>
      </c>
      <c r="Q441" t="n">
        <v>3.866318</v>
      </c>
      <c r="R441" t="n">
        <v>1.701846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9.809701</v>
      </c>
      <c r="Y441" t="n">
        <v>1.585229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89" t="n">
        <v>32021</v>
      </c>
      <c r="B442" t="n">
        <v>7.925942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0.7040823</v>
      </c>
      <c r="I442" t="n">
        <v/>
      </c>
      <c r="J442" t="n">
        <v/>
      </c>
      <c r="K442" t="n">
        <v>23.4671</v>
      </c>
      <c r="L442" t="n">
        <v>19.96626</v>
      </c>
      <c r="M442" t="n">
        <v>12.21367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9.9512</v>
      </c>
      <c r="Y442" t="n">
        <v>1.605058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89" t="n">
        <v>32051</v>
      </c>
      <c r="B443" t="n">
        <v>8.015596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0.7225022</v>
      </c>
      <c r="I443" t="n">
        <v/>
      </c>
      <c r="J443" t="n">
        <v/>
      </c>
      <c r="K443" t="n">
        <v>23.46243</v>
      </c>
      <c r="L443" t="n">
        <v>20.09507</v>
      </c>
      <c r="M443" t="n">
        <v>12.35505</v>
      </c>
      <c r="N443" t="n">
        <v/>
      </c>
      <c r="O443" t="n">
        <v/>
      </c>
      <c r="P443" t="n">
        <v>1.417164</v>
      </c>
      <c r="Q443" t="n">
        <v>3.984225</v>
      </c>
      <c r="R443" t="n">
        <v>1.713331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10.1055</v>
      </c>
      <c r="Y443" t="n">
        <v>1.630695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89" t="n">
        <v>32082</v>
      </c>
      <c r="B444" t="n">
        <v>8.119258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0.7300151</v>
      </c>
      <c r="I444" t="n">
        <v/>
      </c>
      <c r="J444" t="n">
        <v/>
      </c>
      <c r="K444" t="n">
        <v>23.59049</v>
      </c>
      <c r="L444" t="n">
        <v>20.2728</v>
      </c>
      <c r="M444" t="n">
        <v>12.50268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10.23136</v>
      </c>
      <c r="Y444" t="n">
        <v>1.657085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89" t="n">
        <v>32112</v>
      </c>
      <c r="B445" t="n">
        <v>8.194903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0.7393219</v>
      </c>
      <c r="I445" t="n">
        <v/>
      </c>
      <c r="J445" t="n">
        <v/>
      </c>
      <c r="K445" t="n">
        <v>23.6166</v>
      </c>
      <c r="L445" t="n">
        <v>20.67437</v>
      </c>
      <c r="M445" t="n">
        <v>12.61754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10.36311</v>
      </c>
      <c r="Y445" t="n">
        <v>1.686138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89" t="n">
        <v>32143</v>
      </c>
      <c r="B446" t="n">
        <v>8.234127000000001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0.7532778</v>
      </c>
      <c r="I446" t="n">
        <v/>
      </c>
      <c r="J446" t="n">
        <v/>
      </c>
      <c r="K446" t="n">
        <v>23.64436</v>
      </c>
      <c r="L446" t="n">
        <v>20.89334</v>
      </c>
      <c r="M446" t="n">
        <v>12.78177</v>
      </c>
      <c r="N446" t="n">
        <v/>
      </c>
      <c r="O446" t="n">
        <v/>
      </c>
      <c r="P446" t="n">
        <v>1.470109</v>
      </c>
      <c r="Q446" t="n">
        <v>4.252719</v>
      </c>
      <c r="R446" t="n">
        <v>1.785428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10.52823</v>
      </c>
      <c r="Y446" t="n">
        <v>1.717462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89" t="n">
        <v>32174</v>
      </c>
      <c r="B447" t="n">
        <v>8.278954000000001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0.7677756999999999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12.90568</v>
      </c>
      <c r="N447" t="n">
        <v/>
      </c>
      <c r="O447" t="n">
        <v/>
      </c>
      <c r="P447" t="n">
        <v>1.48905</v>
      </c>
      <c r="Q447" t="n">
        <v>4.319077</v>
      </c>
      <c r="R447" t="n">
        <v>1.811573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10.66512</v>
      </c>
      <c r="Y447" t="n">
        <v>1.734372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89" t="n">
        <v>32203</v>
      </c>
      <c r="B448" t="n">
        <v>8.357400999999999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0.7795659</v>
      </c>
      <c r="I448" t="n">
        <v/>
      </c>
      <c r="J448" t="n">
        <v/>
      </c>
      <c r="K448" t="n">
        <v>23.45168</v>
      </c>
      <c r="L448" t="n">
        <v>20.78639</v>
      </c>
      <c r="M448" t="n">
        <v>13.08586</v>
      </c>
      <c r="N448" t="n">
        <v/>
      </c>
      <c r="O448" t="n">
        <v/>
      </c>
      <c r="P448" t="n">
        <v>1.505517</v>
      </c>
      <c r="Q448" t="n">
        <v>4.396917</v>
      </c>
      <c r="R448" t="n">
        <v>1.852949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10.81493</v>
      </c>
      <c r="Y448" t="n">
        <v>1.754699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89" t="n">
        <v>32234</v>
      </c>
      <c r="B449" t="n">
        <v>8.447054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0.7908545</v>
      </c>
      <c r="I449" t="n">
        <v/>
      </c>
      <c r="J449" t="n">
        <v/>
      </c>
      <c r="K449" t="n">
        <v>23.48208</v>
      </c>
      <c r="L449" t="n">
        <v>20.90091</v>
      </c>
      <c r="M449" t="n">
        <v>13.25296</v>
      </c>
      <c r="N449" t="n">
        <v/>
      </c>
      <c r="O449" t="n">
        <v/>
      </c>
      <c r="P449" t="n">
        <v>1.522268</v>
      </c>
      <c r="Q449" t="n">
        <v>4.450884</v>
      </c>
      <c r="R449" t="n">
        <v>1.892324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10.9509</v>
      </c>
      <c r="Y449" t="n">
        <v>1.777012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89" t="n">
        <v>32264</v>
      </c>
      <c r="B450" t="n">
        <v>8.522698999999999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0.8049706</v>
      </c>
      <c r="I450" t="n">
        <v/>
      </c>
      <c r="J450" t="n">
        <v/>
      </c>
      <c r="K450" t="n">
        <v>23.74325</v>
      </c>
      <c r="L450" t="n">
        <v>21.10526</v>
      </c>
      <c r="M450" t="n">
        <v>13.34984</v>
      </c>
      <c r="N450" t="n">
        <v/>
      </c>
      <c r="O450" t="n">
        <v/>
      </c>
      <c r="P450" t="n">
        <v>1.542621</v>
      </c>
      <c r="Q450" t="n">
        <v>4.491276</v>
      </c>
      <c r="R450" t="n">
        <v>1.918462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11.07215</v>
      </c>
      <c r="Y450" t="n">
        <v>1.802525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89" t="n">
        <v>32295</v>
      </c>
      <c r="B451" t="n">
        <v>8.629163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0.8258475</v>
      </c>
      <c r="I451" t="n">
        <v/>
      </c>
      <c r="J451" t="n">
        <v/>
      </c>
      <c r="K451" t="n">
        <v>24.00524</v>
      </c>
      <c r="L451" t="n">
        <v>21.27416</v>
      </c>
      <c r="M451" t="n">
        <v>13.54971</v>
      </c>
      <c r="N451" t="n">
        <v/>
      </c>
      <c r="O451" t="n">
        <v/>
      </c>
      <c r="P451" t="n">
        <v>1.548043</v>
      </c>
      <c r="Q451" t="n">
        <v>4.611727</v>
      </c>
      <c r="R451" t="n">
        <v>1.947173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11.18781</v>
      </c>
      <c r="Y451" t="n">
        <v>1.833058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89" t="n">
        <v>32325</v>
      </c>
      <c r="B452" t="n">
        <v>8.724421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0.841679</v>
      </c>
      <c r="I452" t="n">
        <v/>
      </c>
      <c r="J452" t="n">
        <v/>
      </c>
      <c r="K452" t="n">
        <v>24.33787</v>
      </c>
      <c r="L452" t="n">
        <v>21.45646</v>
      </c>
      <c r="M452" t="n">
        <v>13.82047</v>
      </c>
      <c r="N452" t="n">
        <v/>
      </c>
      <c r="O452" t="n">
        <v/>
      </c>
      <c r="P452" t="n">
        <v>1.580273</v>
      </c>
      <c r="Q452" t="n">
        <v>4.739569</v>
      </c>
      <c r="R452" t="n">
        <v>1.990702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11.28334</v>
      </c>
      <c r="Y452" t="n">
        <v>1.867491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89" t="n">
        <v>32356</v>
      </c>
      <c r="B453" t="n">
        <v>8.800065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0.8551183999999999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14.05592</v>
      </c>
      <c r="N453" t="n">
        <v/>
      </c>
      <c r="O453" t="n">
        <v/>
      </c>
      <c r="P453" t="n">
        <v>1.624457</v>
      </c>
      <c r="Q453" t="n">
        <v>4.820896</v>
      </c>
      <c r="R453" t="n">
        <v>2.034314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11.37558</v>
      </c>
      <c r="Y453" t="n">
        <v>1.906153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89" t="n">
        <v>32387</v>
      </c>
      <c r="B454" t="n">
        <v>8.917736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0.8723933</v>
      </c>
      <c r="I454" t="n">
        <v/>
      </c>
      <c r="J454" t="n">
        <v/>
      </c>
      <c r="K454" t="n">
        <v>24.49899</v>
      </c>
      <c r="L454" t="n">
        <v>21.58034</v>
      </c>
      <c r="M454" t="n">
        <v>14.26284</v>
      </c>
      <c r="N454" t="n">
        <v/>
      </c>
      <c r="O454" t="n">
        <v/>
      </c>
      <c r="P454" t="n">
        <v>1.635664</v>
      </c>
      <c r="Q454" t="n">
        <v>4.942592</v>
      </c>
      <c r="R454" t="n">
        <v>2.0661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11.47114</v>
      </c>
      <c r="Y454" t="n">
        <v>1.944003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89" t="n">
        <v>32417</v>
      </c>
      <c r="B455" t="n">
        <v>9.088638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0.8864517</v>
      </c>
      <c r="I455" t="n">
        <v/>
      </c>
      <c r="J455" t="n">
        <v/>
      </c>
      <c r="K455" t="n">
        <v>24.56776</v>
      </c>
      <c r="L455" t="n">
        <v>21.7571</v>
      </c>
      <c r="M455" t="n">
        <v>14.42647</v>
      </c>
      <c r="N455" t="n">
        <v/>
      </c>
      <c r="O455" t="n">
        <v/>
      </c>
      <c r="P455" t="n">
        <v>1.650658</v>
      </c>
      <c r="Q455" t="n">
        <v>5.047574</v>
      </c>
      <c r="R455" t="n">
        <v>2.052324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11.5708</v>
      </c>
      <c r="Y455" t="n">
        <v>1.979131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89" t="n">
        <v>32448</v>
      </c>
      <c r="B456" t="n">
        <v>9.276350000000001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0.9108446</v>
      </c>
      <c r="I456" t="n">
        <v/>
      </c>
      <c r="J456" t="n">
        <v/>
      </c>
      <c r="K456" t="n">
        <v>24.49643</v>
      </c>
      <c r="L456" t="n">
        <v>21.98185</v>
      </c>
      <c r="M456" t="n">
        <v>14.54302</v>
      </c>
      <c r="N456" t="n">
        <v/>
      </c>
      <c r="O456" t="n">
        <v/>
      </c>
      <c r="P456" t="n">
        <v>1.672618</v>
      </c>
      <c r="Q456" t="n">
        <v>5.072921</v>
      </c>
      <c r="R456" t="n">
        <v>2.003029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11.68291</v>
      </c>
      <c r="Y456" t="n">
        <v>2.014352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89" t="n">
        <v>32478</v>
      </c>
      <c r="B457" t="n">
        <v>9.475269000000001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0.9283687</v>
      </c>
      <c r="I457" t="n">
        <v/>
      </c>
      <c r="J457" t="n">
        <v/>
      </c>
      <c r="K457" t="n">
        <v>24.75491</v>
      </c>
      <c r="L457" t="n">
        <v>22.4078</v>
      </c>
      <c r="M457" t="n">
        <v>14.72145</v>
      </c>
      <c r="N457" t="n">
        <v/>
      </c>
      <c r="O457" t="n">
        <v/>
      </c>
      <c r="P457" t="n">
        <v>1.723676</v>
      </c>
      <c r="Q457" t="n">
        <v>5.142262</v>
      </c>
      <c r="R457" t="n">
        <v>1.9691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11.79102</v>
      </c>
      <c r="Y457" t="n">
        <v>2.053102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89" t="n">
        <v>32509</v>
      </c>
      <c r="B458" t="n">
        <v>9.699403999999999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0.9395235</v>
      </c>
      <c r="I458" t="n">
        <v/>
      </c>
      <c r="J458" t="n">
        <v/>
      </c>
      <c r="K458" t="n">
        <v>22.49386</v>
      </c>
      <c r="L458" t="n">
        <v>22.64933</v>
      </c>
      <c r="M458" t="n">
        <v>14.93182</v>
      </c>
      <c r="N458" t="n">
        <v/>
      </c>
      <c r="O458" t="n">
        <v/>
      </c>
      <c r="P458" t="n">
        <v>1.751553</v>
      </c>
      <c r="Q458" t="n">
        <v>5.248433</v>
      </c>
      <c r="R458" t="n">
        <v>2.019794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11.8784</v>
      </c>
      <c r="Y458" t="n">
        <v>2.075884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89" t="n">
        <v>32540</v>
      </c>
      <c r="B459" t="n">
        <v>9.915133000000001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0.9619240999999999</v>
      </c>
      <c r="I459" t="n">
        <v/>
      </c>
      <c r="J459" t="n">
        <v/>
      </c>
      <c r="K459" t="n">
        <v>20.39935</v>
      </c>
      <c r="L459" t="n">
        <v>22.59151</v>
      </c>
      <c r="M459" t="n">
        <v>15.15625</v>
      </c>
      <c r="N459" t="n">
        <v/>
      </c>
      <c r="O459" t="n">
        <v/>
      </c>
      <c r="P459" t="n">
        <v>1.747706</v>
      </c>
      <c r="Q459" t="n">
        <v>5.357343</v>
      </c>
      <c r="R459" t="n">
        <v>2.121248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11.98956</v>
      </c>
      <c r="Y459" t="n">
        <v>2.106458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89" t="n">
        <v>32568</v>
      </c>
      <c r="B460" t="n">
        <v>10.11125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0.987339</v>
      </c>
      <c r="I460" t="n">
        <v/>
      </c>
      <c r="J460" t="n">
        <v/>
      </c>
      <c r="K460" t="n">
        <v>20.56858</v>
      </c>
      <c r="L460" t="n">
        <v>22.67284</v>
      </c>
      <c r="M460" t="n">
        <v>15.40814</v>
      </c>
      <c r="N460" t="n">
        <v/>
      </c>
      <c r="O460" t="n">
        <v/>
      </c>
      <c r="P460" t="n">
        <v>1.769631</v>
      </c>
      <c r="Q460" t="n">
        <v>5.43048</v>
      </c>
      <c r="R460" t="n">
        <v>2.190842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12.10826</v>
      </c>
      <c r="Y460" t="n">
        <v>2.150653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89" t="n">
        <v>32599</v>
      </c>
      <c r="B461" t="n">
        <v>10.29616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1.006977</v>
      </c>
      <c r="I461" t="n">
        <v/>
      </c>
      <c r="J461" t="n">
        <v/>
      </c>
      <c r="K461" t="n">
        <v>20.10524</v>
      </c>
      <c r="L461" t="n">
        <v>22.84181</v>
      </c>
      <c r="M461" t="n">
        <v>15.5964</v>
      </c>
      <c r="N461" t="n">
        <v/>
      </c>
      <c r="O461" t="n">
        <v/>
      </c>
      <c r="P461" t="n">
        <v>1.800939</v>
      </c>
      <c r="Q461" t="n">
        <v>5.563546</v>
      </c>
      <c r="R461" t="n">
        <v>2.250241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12.21288</v>
      </c>
      <c r="Y461" t="n">
        <v>2.181817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89" t="n">
        <v>32629</v>
      </c>
      <c r="B462" t="n">
        <v>10.45866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1.036175</v>
      </c>
      <c r="I462" t="n">
        <v/>
      </c>
      <c r="J462" t="n">
        <v/>
      </c>
      <c r="K462" t="n">
        <v>19.84241</v>
      </c>
      <c r="L462" t="n">
        <v>23.01213</v>
      </c>
      <c r="M462" t="n">
        <v>15.78399</v>
      </c>
      <c r="N462" t="n">
        <v/>
      </c>
      <c r="O462" t="n">
        <v/>
      </c>
      <c r="P462" t="n">
        <v>1.829601</v>
      </c>
      <c r="Q462" t="n">
        <v>5.669227</v>
      </c>
      <c r="R462" t="n">
        <v>2.305706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12.31754</v>
      </c>
      <c r="Y462" t="n">
        <v>2.215317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89" t="n">
        <v>32660</v>
      </c>
      <c r="B463" t="n">
        <v>10.66878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1.075357</v>
      </c>
      <c r="I463" t="n">
        <v/>
      </c>
      <c r="J463" t="n">
        <v/>
      </c>
      <c r="K463" t="n">
        <v>20.02153</v>
      </c>
      <c r="L463" t="n">
        <v>23.22037</v>
      </c>
      <c r="M463" t="n">
        <v>16.19068</v>
      </c>
      <c r="N463" t="n">
        <v/>
      </c>
      <c r="O463" t="n">
        <v/>
      </c>
      <c r="P463" t="n">
        <v>1.857993</v>
      </c>
      <c r="Q463" t="n">
        <v>5.760977</v>
      </c>
      <c r="R463" t="n">
        <v>2.348839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12.46906</v>
      </c>
      <c r="Y463" t="n">
        <v>2.264822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89" t="n">
        <v>32690</v>
      </c>
      <c r="B464" t="n">
        <v>10.89852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1.109029</v>
      </c>
      <c r="I464" t="n">
        <v/>
      </c>
      <c r="J464" t="n">
        <v/>
      </c>
      <c r="K464" t="n">
        <v>20.13582</v>
      </c>
      <c r="L464" t="n">
        <v>23.49319</v>
      </c>
      <c r="M464" t="n">
        <v>16.51608</v>
      </c>
      <c r="N464" t="n">
        <v/>
      </c>
      <c r="O464" t="n">
        <v/>
      </c>
      <c r="P464" t="n">
        <v>1.8845</v>
      </c>
      <c r="Q464" t="n">
        <v>5.854302</v>
      </c>
      <c r="R464" t="n">
        <v>2.383199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12.65115</v>
      </c>
      <c r="Y464" t="n">
        <v>2.310024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89" t="n">
        <v>32721</v>
      </c>
      <c r="B465" t="n">
        <v>11.09464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</v>
      </c>
      <c r="I465" t="n">
        <v/>
      </c>
      <c r="J465" t="n">
        <v/>
      </c>
      <c r="K465" t="n">
        <v>19.95938</v>
      </c>
      <c r="L465" t="n">
        <v>23.58496</v>
      </c>
      <c r="M465" t="n">
        <v>16.71388</v>
      </c>
      <c r="N465" t="n">
        <v/>
      </c>
      <c r="O465" t="n">
        <v/>
      </c>
      <c r="P465" t="n">
        <v>1.912364</v>
      </c>
      <c r="Q465" t="n">
        <v>5.940197</v>
      </c>
      <c r="R465" t="n">
        <v>2.404618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12.80965</v>
      </c>
      <c r="Y465" t="n">
        <v>2.345431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89" t="n">
        <v>32752</v>
      </c>
      <c r="B466" t="n">
        <v>11.20671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1.166668</v>
      </c>
      <c r="I466" t="n">
        <v/>
      </c>
      <c r="J466" t="n">
        <v/>
      </c>
      <c r="K466" t="n">
        <v>20.14634</v>
      </c>
      <c r="L466" t="n">
        <v>23.63899</v>
      </c>
      <c r="M466" t="n">
        <v>16.97457</v>
      </c>
      <c r="N466" t="n">
        <v/>
      </c>
      <c r="O466" t="n">
        <v/>
      </c>
      <c r="P466" t="n">
        <v>1.942242</v>
      </c>
      <c r="Q466" t="n">
        <v>6.058738</v>
      </c>
      <c r="R466" t="n">
        <v>2.452028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12.9474</v>
      </c>
      <c r="Y466" t="n">
        <v>2.389821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89" t="n">
        <v>32782</v>
      </c>
      <c r="B467" t="n">
        <v>11.26274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1.180012</v>
      </c>
      <c r="I467" t="n">
        <v/>
      </c>
      <c r="J467" t="n">
        <v/>
      </c>
      <c r="K467" t="n">
        <v>20.29394</v>
      </c>
      <c r="L467" t="n">
        <v>23.79332</v>
      </c>
      <c r="M467" t="n">
        <v>17.22872</v>
      </c>
      <c r="N467" t="n">
        <v/>
      </c>
      <c r="O467" t="n">
        <v/>
      </c>
      <c r="P467" t="n">
        <v>1.97581</v>
      </c>
      <c r="Q467" t="n">
        <v>6.180325</v>
      </c>
      <c r="R467" t="n">
        <v>2.50071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13.10245</v>
      </c>
      <c r="Y467" t="n">
        <v>2.44234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89" t="n">
        <v>32813</v>
      </c>
      <c r="B468" t="n">
        <v>11.35519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1.208206</v>
      </c>
      <c r="I468" t="n">
        <v/>
      </c>
      <c r="J468" t="n">
        <v/>
      </c>
      <c r="K468" t="n">
        <v>20.40583</v>
      </c>
      <c r="L468" t="n">
        <v>23.99078</v>
      </c>
      <c r="M468" t="n">
        <v>17.43819</v>
      </c>
      <c r="N468" t="n">
        <v/>
      </c>
      <c r="O468" t="n">
        <v/>
      </c>
      <c r="P468" t="n">
        <v>2.008104</v>
      </c>
      <c r="Q468" t="n">
        <v>6.34579</v>
      </c>
      <c r="R468" t="n">
        <v>2.528971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13.26554</v>
      </c>
      <c r="Y468" t="n">
        <v>2.494096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89" t="n">
        <v>32843</v>
      </c>
      <c r="B469" t="n">
        <v>11.44765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1.236186</v>
      </c>
      <c r="I469" t="n">
        <v/>
      </c>
      <c r="J469" t="n">
        <v/>
      </c>
      <c r="K469" t="n">
        <v>20.75683</v>
      </c>
      <c r="L469" t="n">
        <v>24.60379</v>
      </c>
      <c r="M469" t="n">
        <v>17.6548</v>
      </c>
      <c r="N469" t="n">
        <v/>
      </c>
      <c r="O469" t="n">
        <v/>
      </c>
      <c r="P469" t="n">
        <v>2.035583</v>
      </c>
      <c r="Q469" t="n">
        <v>6.499479</v>
      </c>
      <c r="R469" t="n">
        <v>2.555822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13.43833</v>
      </c>
      <c r="Y469" t="n">
        <v>2.532146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89" t="n">
        <v>32874</v>
      </c>
      <c r="B470" t="n">
        <v>11.55131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17.93727</v>
      </c>
      <c r="N470" t="n">
        <v>3.722154</v>
      </c>
      <c r="O470" t="n">
        <v/>
      </c>
      <c r="P470" t="n">
        <v>2.062484</v>
      </c>
      <c r="Q470" t="n">
        <v>6.589669</v>
      </c>
      <c r="R470" t="n">
        <v>2.586482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13.60038</v>
      </c>
      <c r="Y470" t="n">
        <v>2.589138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89" t="n">
        <v>32905</v>
      </c>
      <c r="B471" t="n">
        <v>11.67459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1.300543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18.13566</v>
      </c>
      <c r="N471" t="n">
        <v>3.847608</v>
      </c>
      <c r="O471" t="n">
        <v>1.361583</v>
      </c>
      <c r="P471" t="n">
        <v>2.089263</v>
      </c>
      <c r="Q471" t="n">
        <v>6.712185</v>
      </c>
      <c r="R471" t="n">
        <v>2.632573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13.75147</v>
      </c>
      <c r="Y471" t="n">
        <v>2.629997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89" t="n">
        <v>32933</v>
      </c>
      <c r="B472" t="n">
        <v>11.80346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1.337725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18.36306</v>
      </c>
      <c r="N472" t="n">
        <v>3.973869</v>
      </c>
      <c r="O472" t="n">
        <v>1.438037</v>
      </c>
      <c r="P472" t="n">
        <v>2.118918</v>
      </c>
      <c r="Q472" t="n">
        <v>6.892989</v>
      </c>
      <c r="R472" t="n">
        <v>2.696089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13.86366</v>
      </c>
      <c r="Y472" t="n">
        <v>2.66086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89" t="n">
        <v>32964</v>
      </c>
      <c r="B473" t="n">
        <v>11.92954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1.371767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18.58252</v>
      </c>
      <c r="N473" t="n">
        <v>4.100938</v>
      </c>
      <c r="O473" t="n">
        <v>1.5416</v>
      </c>
      <c r="P473" t="n">
        <v>2.155439</v>
      </c>
      <c r="Q473" t="n">
        <v>6.972162</v>
      </c>
      <c r="R473" t="n">
        <v>2.779199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14.0197</v>
      </c>
      <c r="Y473" t="n">
        <v>2.701922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89" t="n">
        <v>32994</v>
      </c>
      <c r="B474" t="n">
        <v>12.02199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1.387668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18.71502</v>
      </c>
      <c r="N474" t="n">
        <v>4.228815</v>
      </c>
      <c r="O474" t="n">
        <v>1.569356</v>
      </c>
      <c r="P474" t="n">
        <v>2.18222</v>
      </c>
      <c r="Q474" t="n">
        <v>7.055731</v>
      </c>
      <c r="R474" t="n">
        <v>2.851379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14.10608</v>
      </c>
      <c r="Y474" t="n">
        <v>2.734521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89" t="n">
        <v>33025</v>
      </c>
      <c r="B475" t="n">
        <v>12.09204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1.406354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18.87748</v>
      </c>
      <c r="N475" t="n">
        <v>4.35723</v>
      </c>
      <c r="O475" t="n">
        <v>1.590602</v>
      </c>
      <c r="P475" t="n">
        <v>2.198584</v>
      </c>
      <c r="Q475" t="n">
        <v>7.166275</v>
      </c>
      <c r="R475" t="n">
        <v>2.91584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14.22019</v>
      </c>
      <c r="Y475" t="n">
        <v>2.771168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89" t="n">
        <v>33055</v>
      </c>
      <c r="B476" t="n">
        <v>12.14527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1.445056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</v>
      </c>
      <c r="N476" t="n">
        <v>4.486453</v>
      </c>
      <c r="O476" t="n">
        <v>1.648504</v>
      </c>
      <c r="P476" t="n">
        <v>2.222058</v>
      </c>
      <c r="Q476" t="n">
        <v>7.212004</v>
      </c>
      <c r="R476" t="n">
        <v>2.975262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14.33988</v>
      </c>
      <c r="Y476" t="n">
        <v>2.805599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89" t="n">
        <v>33086</v>
      </c>
      <c r="B477" t="n">
        <v>12.21531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1.480583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19.07312</v>
      </c>
      <c r="N477" t="n">
        <v>4.616484</v>
      </c>
      <c r="O477" t="n">
        <v>1.686617</v>
      </c>
      <c r="P477" t="n">
        <v>2.241195</v>
      </c>
      <c r="Q477" t="n">
        <v>7.277062</v>
      </c>
      <c r="R477" t="n">
        <v>3.048371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14.46603</v>
      </c>
      <c r="Y477" t="n">
        <v>2.832299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89" t="n">
        <v>33117</v>
      </c>
      <c r="B478" t="n">
        <v>12.34699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1.520689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19.25332</v>
      </c>
      <c r="N478" t="n">
        <v>4.747322</v>
      </c>
      <c r="O478" t="n">
        <v>1.730471</v>
      </c>
      <c r="P478" t="n">
        <v>2.266864</v>
      </c>
      <c r="Q478" t="n">
        <v>7.382695</v>
      </c>
      <c r="R478" t="n">
        <v>3.108604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14.59028</v>
      </c>
      <c r="Y478" t="n">
        <v>2.865374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89" t="n">
        <v>33147</v>
      </c>
      <c r="B479" t="n">
        <v>12.45345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1.563632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19.38209</v>
      </c>
      <c r="N479" t="n">
        <v>4.879237</v>
      </c>
      <c r="O479" t="n">
        <v>1.766847</v>
      </c>
      <c r="P479" t="n">
        <v>2.295778</v>
      </c>
      <c r="Q479" t="n">
        <v>7.495289</v>
      </c>
      <c r="R479" t="n">
        <v>3.142874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14.69114</v>
      </c>
      <c r="Y479" t="n">
        <v>2.892632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89" t="n">
        <v>33178</v>
      </c>
      <c r="B480" t="n">
        <v>12.55431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1.595487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19.50471</v>
      </c>
      <c r="N480" t="n">
        <v>5.011959</v>
      </c>
      <c r="O480" t="n">
        <v>1.810111</v>
      </c>
      <c r="P480" t="n">
        <v>2.324341</v>
      </c>
      <c r="Q480" t="n">
        <v>7.585234</v>
      </c>
      <c r="R480" t="n">
        <v>3.194196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14.77376</v>
      </c>
      <c r="Y480" t="n">
        <v>2.924894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89" t="n">
        <v>33208</v>
      </c>
      <c r="B481" t="n">
        <v>12.67198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1.627683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19.60096</v>
      </c>
      <c r="N481" t="n">
        <v>5.160901</v>
      </c>
      <c r="O481" t="n">
        <v>1.869222</v>
      </c>
      <c r="P481" t="n">
        <v>2.354901</v>
      </c>
      <c r="Q481" t="n">
        <v>7.566935</v>
      </c>
      <c r="R481" t="n">
        <v>3.279618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14.89971</v>
      </c>
      <c r="Y481" t="n">
        <v>2.965944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89" t="n">
        <v>33239</v>
      </c>
      <c r="B482" t="n">
        <v>12.66358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1.660728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19.65841</v>
      </c>
      <c r="N482" t="n">
        <v>5.276538</v>
      </c>
      <c r="O482" t="n">
        <v>1.913423</v>
      </c>
      <c r="P482" t="n">
        <v>2.378565</v>
      </c>
      <c r="Q482" t="n">
        <v>7.50345</v>
      </c>
      <c r="R482" t="n">
        <v>3.438817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15.00603</v>
      </c>
      <c r="Y482" t="n">
        <v>2.991823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89" t="n">
        <v>33270</v>
      </c>
      <c r="B483" t="n">
        <v>12.59634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1.684311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19.72369</v>
      </c>
      <c r="N483" t="n">
        <v>5.37128</v>
      </c>
      <c r="O483" t="n">
        <v>1.934546</v>
      </c>
      <c r="P483" t="n">
        <v>2.411737</v>
      </c>
      <c r="Q483" t="n">
        <v>7.583294</v>
      </c>
      <c r="R483" t="n">
        <v>3.565749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15.10006</v>
      </c>
      <c r="Y483" t="n">
        <v>3.012712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89" t="n">
        <v>33298</v>
      </c>
      <c r="B484" t="n">
        <v>12.61595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1.704038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19.79834</v>
      </c>
      <c r="N484" t="n">
        <v>5.48878</v>
      </c>
      <c r="O484" t="n">
        <v>1.911813</v>
      </c>
      <c r="P484" t="n">
        <v>2.445956</v>
      </c>
      <c r="Q484" t="n">
        <v>7.735173</v>
      </c>
      <c r="R484" t="n">
        <v>3.632843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15.21497</v>
      </c>
      <c r="Y484" t="n">
        <v>3.048617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89" t="n">
        <v>33329</v>
      </c>
      <c r="B485" t="n">
        <v>12.65237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1.740009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19.91039</v>
      </c>
      <c r="N485" t="n">
        <v>5.598561</v>
      </c>
      <c r="O485" t="n">
        <v>1.918892</v>
      </c>
      <c r="P485" t="n">
        <v>2.474186</v>
      </c>
      <c r="Q485" t="n">
        <v>7.842461</v>
      </c>
      <c r="R485" t="n">
        <v>3.695171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15.32826</v>
      </c>
      <c r="Y485" t="n">
        <v>3.09426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89" t="n">
        <v>33359</v>
      </c>
      <c r="B486" t="n">
        <v>12.7028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1.786227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19.98453</v>
      </c>
      <c r="N486" t="n">
        <v>5.755978</v>
      </c>
      <c r="O486" t="n">
        <v>1.973093</v>
      </c>
      <c r="P486" t="n">
        <v>2.513268</v>
      </c>
      <c r="Q486" t="n">
        <v>7.930514</v>
      </c>
      <c r="R486" t="n">
        <v>3.759888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15.44558</v>
      </c>
      <c r="Y486" t="n">
        <v>3.141407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89" t="n">
        <v>33390</v>
      </c>
      <c r="B487" t="n">
        <v>12.76724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1.814202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20.02437</v>
      </c>
      <c r="N487" t="n">
        <v>5.897116</v>
      </c>
      <c r="O487" t="n">
        <v>2.016941</v>
      </c>
      <c r="P487" t="n">
        <v>2.543087</v>
      </c>
      <c r="Q487" t="n">
        <v>7.988161</v>
      </c>
      <c r="R487" t="n">
        <v>3.792033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15.54162</v>
      </c>
      <c r="Y487" t="n">
        <v>3.184794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89" t="n">
        <v>33420</v>
      </c>
      <c r="B488" t="n">
        <v>12.80926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1.814978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20.03494</v>
      </c>
      <c r="N488" t="n">
        <v>6.010414</v>
      </c>
      <c r="O488" t="n">
        <v>2.091114</v>
      </c>
      <c r="P488" t="n">
        <v>2.562158</v>
      </c>
      <c r="Q488" t="n">
        <v>8.067864</v>
      </c>
      <c r="R488" t="n">
        <v>3.782996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15.62274</v>
      </c>
      <c r="Y488" t="n">
        <v>3.226317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89" t="n">
        <v>33451</v>
      </c>
      <c r="B489" t="n">
        <v>12.85129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1.812275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20.04698</v>
      </c>
      <c r="N489" t="n">
        <v>6.135763</v>
      </c>
      <c r="O489" t="n">
        <v>2.120657</v>
      </c>
      <c r="P489" t="n">
        <v>2.593009</v>
      </c>
      <c r="Q489" t="n">
        <v>8.189533000000001</v>
      </c>
      <c r="R489" t="n">
        <v>3.848685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15.69078</v>
      </c>
      <c r="Y489" t="n">
        <v>3.269881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89" t="n">
        <v>33482</v>
      </c>
      <c r="B490" t="n">
        <v>12.91293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1.865264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20.08513</v>
      </c>
      <c r="N490" t="n">
        <v>6.266966</v>
      </c>
      <c r="O490" t="n">
        <v>2.114997</v>
      </c>
      <c r="P490" t="n">
        <v>2.631315</v>
      </c>
      <c r="Q490" t="n">
        <v>8.287991</v>
      </c>
      <c r="R490" t="n">
        <v>3.876221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15.78297</v>
      </c>
      <c r="Y490" t="n">
        <v>3.331727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89" t="n">
        <v>33512</v>
      </c>
      <c r="B491" t="n">
        <v>12.93534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1.966899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20.11441</v>
      </c>
      <c r="N491" t="n">
        <v>6.415795</v>
      </c>
      <c r="O491" t="n">
        <v>2.149671</v>
      </c>
      <c r="P491" t="n">
        <v>2.680513</v>
      </c>
      <c r="Q491" t="n">
        <v>8.353813000000001</v>
      </c>
      <c r="R491" t="n">
        <v>3.871753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15.90135</v>
      </c>
      <c r="Y491" t="n">
        <v>3.399037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89" t="n">
        <v>33543</v>
      </c>
      <c r="B492" t="n">
        <v>12.91012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2.067242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20.13515</v>
      </c>
      <c r="N492" t="n">
        <v>6.608016</v>
      </c>
      <c r="O492" t="n">
        <v>2.17834</v>
      </c>
      <c r="P492" t="n">
        <v>2.743272</v>
      </c>
      <c r="Q492" t="n">
        <v>8.412444000000001</v>
      </c>
      <c r="R492" t="n">
        <v>4.015499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16.01242</v>
      </c>
      <c r="Y492" t="n">
        <v>3.453018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89" t="n">
        <v>33573</v>
      </c>
      <c r="B493" t="n">
        <v>12.94094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2.150639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20.18353</v>
      </c>
      <c r="N493" t="n">
        <v>6.923165</v>
      </c>
      <c r="O493" t="n">
        <v>2.204942</v>
      </c>
      <c r="P493" t="n">
        <v>2.792468</v>
      </c>
      <c r="Q493" t="n">
        <v>8.500567</v>
      </c>
      <c r="R493" t="n">
        <v>4.476471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16.11829</v>
      </c>
      <c r="Y493" t="n">
        <v>3.507232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89" t="n">
        <v>33604</v>
      </c>
      <c r="B494" t="n">
        <v>12.98857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2.236678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20.29472</v>
      </c>
      <c r="N494" t="n">
        <v>7.224803</v>
      </c>
      <c r="O494" t="n">
        <v>2.239434</v>
      </c>
      <c r="P494" t="n">
        <v>2.831384</v>
      </c>
      <c r="Q494" t="n">
        <v>8.575295000000001</v>
      </c>
      <c r="R494" t="n">
        <v>4.97033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16.23286</v>
      </c>
      <c r="Y494" t="n">
        <v>3.571581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89" t="n">
        <v>33635</v>
      </c>
      <c r="B495" t="n">
        <v>13.01939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2.312165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20.41526</v>
      </c>
      <c r="N495" t="n">
        <v>7.372245</v>
      </c>
      <c r="O495" t="n">
        <v>2.263876</v>
      </c>
      <c r="P495" t="n">
        <v>2.877242</v>
      </c>
      <c r="Q495" t="n">
        <v>8.598919</v>
      </c>
      <c r="R495" t="n">
        <v>5.252357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16.34776</v>
      </c>
      <c r="Y495" t="n">
        <v>3.624288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89" t="n">
        <v>33664</v>
      </c>
      <c r="B496" t="n">
        <v>13.01659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2.391197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20.49102</v>
      </c>
      <c r="N496" t="n">
        <v>7.50879</v>
      </c>
      <c r="O496" t="n">
        <v>2.305664</v>
      </c>
      <c r="P496" t="n">
        <v>2.916583</v>
      </c>
      <c r="Q496" t="n">
        <v>8.602059000000001</v>
      </c>
      <c r="R496" t="n">
        <v>5.402404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16.4415</v>
      </c>
      <c r="Y496" t="n">
        <v>3.677093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89" t="n">
        <v>33695</v>
      </c>
      <c r="B497" t="n">
        <v>13.0334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2.478049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20.53951</v>
      </c>
      <c r="N497" t="n">
        <v>7.75811</v>
      </c>
      <c r="O497" t="n">
        <v>2.370161</v>
      </c>
      <c r="P497" t="n">
        <v>2.947616</v>
      </c>
      <c r="Q497" t="n">
        <v>8.637072</v>
      </c>
      <c r="R497" t="n">
        <v>5.514459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16.49656</v>
      </c>
      <c r="Y497" t="n">
        <v>3.729202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89" t="n">
        <v>33725</v>
      </c>
      <c r="B498" t="n">
        <v>13.11185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2.542721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</v>
      </c>
      <c r="N498" t="n">
        <v>7.951936</v>
      </c>
      <c r="O498" t="n">
        <v>2.439597</v>
      </c>
      <c r="P498" t="n">
        <v>2.993605</v>
      </c>
      <c r="Q498" t="n">
        <v>8.687632000000001</v>
      </c>
      <c r="R498" t="n">
        <v>5.588897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16.55882</v>
      </c>
      <c r="Y498" t="n">
        <v>3.778886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89" t="n">
        <v>33756</v>
      </c>
      <c r="B499" t="n">
        <v>13.15387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2.618668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20.50659</v>
      </c>
      <c r="N499" t="n">
        <v>8.118306</v>
      </c>
      <c r="O499" t="n">
        <v>2.483678</v>
      </c>
      <c r="P499" t="n">
        <v>3.044239</v>
      </c>
      <c r="Q499" t="n">
        <v>8.666492</v>
      </c>
      <c r="R499" t="n">
        <v>5.665667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16.62346</v>
      </c>
      <c r="Y499" t="n">
        <v>3.832722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89" t="n">
        <v>33786</v>
      </c>
      <c r="B500" t="n">
        <v>13.21271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2.667947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20.58721</v>
      </c>
      <c r="N500" t="n">
        <v>8.324614</v>
      </c>
      <c r="O500" t="n">
        <v>2.503967</v>
      </c>
      <c r="P500" t="n">
        <v>3.087719</v>
      </c>
      <c r="Q500" t="n">
        <v>8.76732</v>
      </c>
      <c r="R500" t="n">
        <v>5.753461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16.70267</v>
      </c>
      <c r="Y500" t="n">
        <v>3.887821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89" t="n">
        <v>33817</v>
      </c>
      <c r="B501" t="n">
        <v>13.32477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2.67383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20.61322</v>
      </c>
      <c r="N501" t="n">
        <v>8.517303999999999</v>
      </c>
      <c r="O501" t="n">
        <v>2.5298</v>
      </c>
      <c r="P501" t="n">
        <v>3.125258</v>
      </c>
      <c r="Q501" t="n">
        <v>8.794103</v>
      </c>
      <c r="R501" t="n">
        <v>5.759396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16.78751</v>
      </c>
      <c r="Y501" t="n">
        <v>3.943889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89" t="n">
        <v>33848</v>
      </c>
      <c r="B502" t="n">
        <v>13.38081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2.722707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20.69831</v>
      </c>
      <c r="N502" t="n">
        <v>8.685389000000001</v>
      </c>
      <c r="O502" t="n">
        <v>2.566596</v>
      </c>
      <c r="P502" t="n">
        <v>3.144758</v>
      </c>
      <c r="Q502" t="n">
        <v>8.722004</v>
      </c>
      <c r="R502" t="n">
        <v>5.969265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16.87661</v>
      </c>
      <c r="Y502" t="n">
        <v>3.998798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89" t="n">
        <v>33878</v>
      </c>
      <c r="B503" t="n">
        <v>13.378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2.813922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20.91179</v>
      </c>
      <c r="N503" t="n">
        <v>8.804555000000001</v>
      </c>
      <c r="O503" t="n">
        <v>2.618265</v>
      </c>
      <c r="P503" t="n">
        <v>3.181611</v>
      </c>
      <c r="Q503" t="n">
        <v>8.752135000000001</v>
      </c>
      <c r="R503" t="n">
        <v>6.119885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16.99741</v>
      </c>
      <c r="Y503" t="n">
        <v>4.052673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89" t="n">
        <v>33909</v>
      </c>
      <c r="B504" t="n">
        <v>13.41443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2.893703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21.02538</v>
      </c>
      <c r="N504" t="n">
        <v>8.926258000000001</v>
      </c>
      <c r="O504" t="n">
        <v>2.674046</v>
      </c>
      <c r="P504" t="n">
        <v>3.22471</v>
      </c>
      <c r="Q504" t="n">
        <v>8.777243</v>
      </c>
      <c r="R504" t="n">
        <v>6.122407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17.09689</v>
      </c>
      <c r="Y504" t="n">
        <v>4.109074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89" t="n">
        <v>33939</v>
      </c>
      <c r="B505" t="n">
        <v>13.47606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20.98213</v>
      </c>
      <c r="N505" t="n">
        <v>9.020161999999999</v>
      </c>
      <c r="O505" t="n">
        <v>2.690278</v>
      </c>
      <c r="P505" t="n">
        <v>3.246403</v>
      </c>
      <c r="Q505" t="n">
        <v>8.829141999999999</v>
      </c>
      <c r="R505" t="n">
        <v>6.244242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17.17857</v>
      </c>
      <c r="Y505" t="n">
        <v>4.160335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89" t="n">
        <v>33970</v>
      </c>
      <c r="B506" t="n">
        <v>13.55731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3.070405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20.95662</v>
      </c>
      <c r="N506" t="n">
        <v>9.139138000000001</v>
      </c>
      <c r="O506" t="n">
        <v>2.701066</v>
      </c>
      <c r="P506" t="n">
        <v>3.275181</v>
      </c>
      <c r="Q506" t="n">
        <v>8.854608000000001</v>
      </c>
      <c r="R506" t="n">
        <v>6.43188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17.26302</v>
      </c>
      <c r="Y506" t="n">
        <v>4.215776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89" t="n">
        <v>34001</v>
      </c>
      <c r="B507" t="n">
        <v>13.65537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3.140606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21.02747</v>
      </c>
      <c r="N507" t="n">
        <v>9.307603</v>
      </c>
      <c r="O507" t="n">
        <v>2.753246</v>
      </c>
      <c r="P507" t="n">
        <v>3.306375</v>
      </c>
      <c r="Q507" t="n">
        <v>8.875814</v>
      </c>
      <c r="R507" t="n">
        <v>6.573858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17.34441</v>
      </c>
      <c r="Y507" t="n">
        <v>4.266389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89" t="n">
        <v>34029</v>
      </c>
      <c r="B508" t="n">
        <v>13.73942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3.226211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21.10279</v>
      </c>
      <c r="N508" t="n">
        <v>9.434618</v>
      </c>
      <c r="O508" t="n">
        <v>2.818631</v>
      </c>
      <c r="P508" t="n">
        <v>3.342468</v>
      </c>
      <c r="Q508" t="n">
        <v>8.860041000000001</v>
      </c>
      <c r="R508" t="n">
        <v>6.675957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17.40641</v>
      </c>
      <c r="Y508" t="n">
        <v>4.318403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89" t="n">
        <v>34060</v>
      </c>
      <c r="B509" t="n">
        <v>13.77584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3.300764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21.11707</v>
      </c>
      <c r="N509" t="n">
        <v>9.563919</v>
      </c>
      <c r="O509" t="n">
        <v>2.844302</v>
      </c>
      <c r="P509" t="n">
        <v>3.411236</v>
      </c>
      <c r="Q509" t="n">
        <v>8.862294</v>
      </c>
      <c r="R509" t="n">
        <v>6.77851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17.48851</v>
      </c>
      <c r="Y509" t="n">
        <v>4.360435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89" t="n">
        <v>34090</v>
      </c>
      <c r="B510" t="n">
        <v>13.79265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3.395702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21.13167</v>
      </c>
      <c r="N510" t="n">
        <v>9.679988</v>
      </c>
      <c r="O510" t="n">
        <v>2.843684</v>
      </c>
      <c r="P510" t="n">
        <v>3.466968</v>
      </c>
      <c r="Q510" t="n">
        <v>8.869861999999999</v>
      </c>
      <c r="R510" t="n">
        <v>6.838104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17.6415</v>
      </c>
      <c r="Y510" t="n">
        <v>4.411502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89" t="n">
        <v>34121</v>
      </c>
      <c r="B511" t="n">
        <v>13.90472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3.521683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21.20313</v>
      </c>
      <c r="N511" t="n">
        <v>9.747705</v>
      </c>
      <c r="O511" t="n">
        <v>2.875759</v>
      </c>
      <c r="P511" t="n">
        <v>3.490485</v>
      </c>
      <c r="Q511" t="n">
        <v>8.937452</v>
      </c>
      <c r="R511" t="n">
        <v>6.920106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17.74027</v>
      </c>
      <c r="Y511" t="n">
        <v>4.451532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89" t="n">
        <v>34151</v>
      </c>
      <c r="B512" t="n">
        <v>14.02519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3.673394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21.34289</v>
      </c>
      <c r="N512" t="n">
        <v>9.881346000000001</v>
      </c>
      <c r="O512" t="n">
        <v>2.93056</v>
      </c>
      <c r="P512" t="n">
        <v>3.526952</v>
      </c>
      <c r="Q512" t="n">
        <v>9.141386000000001</v>
      </c>
      <c r="R512" t="n">
        <v>7.064507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17.82476</v>
      </c>
      <c r="Y512" t="n">
        <v>4.495737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89" t="n">
        <v>34182</v>
      </c>
      <c r="B513" t="n">
        <v>14.0364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3.809714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21.45731</v>
      </c>
      <c r="N513" t="n">
        <v>9.994808000000001</v>
      </c>
      <c r="O513" t="n">
        <v>3.009543</v>
      </c>
      <c r="P513" t="n">
        <v>3.577121</v>
      </c>
      <c r="Q513" t="n">
        <v>9.220406000000001</v>
      </c>
      <c r="R513" t="n">
        <v>7.228383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17.92745</v>
      </c>
      <c r="Y513" t="n">
        <v>4.563675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89" t="n">
        <v>34213</v>
      </c>
      <c r="B514" t="n">
        <v>14.07282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3.906959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21.50609</v>
      </c>
      <c r="N514" t="n">
        <v>10.09271</v>
      </c>
      <c r="O514" t="n">
        <v>3.087968</v>
      </c>
      <c r="P514" t="n">
        <v>3.615468</v>
      </c>
      <c r="Q514" t="n">
        <v>9.144838</v>
      </c>
      <c r="R514" t="n">
        <v>7.374523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18.02566</v>
      </c>
      <c r="Y514" t="n">
        <v>4.621213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89" t="n">
        <v>34243</v>
      </c>
      <c r="B515" t="n">
        <v>14.16247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4.022398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21.60708</v>
      </c>
      <c r="N515" t="n">
        <v>10.19198</v>
      </c>
      <c r="O515" t="n">
        <v>3.138422</v>
      </c>
      <c r="P515" t="n">
        <v>3.646096</v>
      </c>
      <c r="Q515" t="n">
        <v>9.119567</v>
      </c>
      <c r="R515" t="n">
        <v>7.557895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18.13046</v>
      </c>
      <c r="Y515" t="n">
        <v>4.690186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89" t="n">
        <v>34274</v>
      </c>
      <c r="B516" t="n">
        <v>14.22971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4.176909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21.77119</v>
      </c>
      <c r="N516" t="n">
        <v>10.26217</v>
      </c>
      <c r="O516" t="n">
        <v>3.190482</v>
      </c>
      <c r="P516" t="n">
        <v>3.698002</v>
      </c>
      <c r="Q516" t="n">
        <v>9.179973</v>
      </c>
      <c r="R516" t="n">
        <v>7.87938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18.24311</v>
      </c>
      <c r="Y516" t="n">
        <v>4.775462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89" t="n">
        <v>34304</v>
      </c>
      <c r="B517" t="n">
        <v>14.29135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4.319415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</v>
      </c>
      <c r="N517" t="n">
        <v>10.39157</v>
      </c>
      <c r="O517" t="n">
        <v>3.248032</v>
      </c>
      <c r="P517" t="n">
        <v>3.765539</v>
      </c>
      <c r="Q517" t="n">
        <v>9.312113999999999</v>
      </c>
      <c r="R517" t="n">
        <v>8.127268000000001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18.35326</v>
      </c>
      <c r="Y517" t="n">
        <v>4.849176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89" t="n">
        <v>34335</v>
      </c>
      <c r="B518" t="n">
        <v>14.40342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4.476164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22.06296</v>
      </c>
      <c r="N518" t="n">
        <v>10.5192</v>
      </c>
      <c r="O518" t="n">
        <v>3.306293</v>
      </c>
      <c r="P518" t="n">
        <v>3.836406</v>
      </c>
      <c r="Q518" t="n">
        <v>9.396003</v>
      </c>
      <c r="R518" t="n">
        <v>8.242571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18.49364</v>
      </c>
      <c r="Y518" t="n">
        <v>4.962587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89" t="n">
        <v>34366</v>
      </c>
      <c r="B519" t="n">
        <v>14.52389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4.628312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22.18214</v>
      </c>
      <c r="N519" t="n">
        <v>10.6109</v>
      </c>
      <c r="O519" t="n">
        <v>3.404782</v>
      </c>
      <c r="P519" t="n">
        <v>3.905887</v>
      </c>
      <c r="Q519" t="n">
        <v>9.383606</v>
      </c>
      <c r="R519" t="n">
        <v>8.448172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18.62408</v>
      </c>
      <c r="Y519" t="n">
        <v>5.079628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89" t="n">
        <v>34394</v>
      </c>
      <c r="B520" t="n">
        <v>14.64716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4.747718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</v>
      </c>
      <c r="N520" t="n">
        <v>10.72477</v>
      </c>
      <c r="O520" t="n">
        <v>3.459284</v>
      </c>
      <c r="P520" t="n">
        <v>3.960797</v>
      </c>
      <c r="Q520" t="n">
        <v>9.502678</v>
      </c>
      <c r="R520" t="n">
        <v>8.850474999999999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18.75044</v>
      </c>
      <c r="Y520" t="n">
        <v>5.169787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89" t="n">
        <v>34425</v>
      </c>
      <c r="B521" t="n">
        <v>14.79285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4.888057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22.36528</v>
      </c>
      <c r="N521" t="n">
        <v>10.89165</v>
      </c>
      <c r="O521" t="n">
        <v>3.476745</v>
      </c>
      <c r="P521" t="n">
        <v>4.026421</v>
      </c>
      <c r="Q521" t="n">
        <v>9.546569999999999</v>
      </c>
      <c r="R521" t="n">
        <v>9.035351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18.89532</v>
      </c>
      <c r="Y521" t="n">
        <v>5.349845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89" t="n">
        <v>34455</v>
      </c>
      <c r="B522" t="n">
        <v>14.90212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5.068704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</v>
      </c>
      <c r="N522" t="n">
        <v>11.04293</v>
      </c>
      <c r="O522" t="n">
        <v>3.518213</v>
      </c>
      <c r="P522" t="n">
        <v>4.093244</v>
      </c>
      <c r="Q522" t="n">
        <v>9.437055000000001</v>
      </c>
      <c r="R522" t="n">
        <v>9.070301000000001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19.06988</v>
      </c>
      <c r="Y522" t="n">
        <v>5.560563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89" t="n">
        <v>34486</v>
      </c>
      <c r="B523" t="n">
        <v>14.97776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5.215237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22.52292</v>
      </c>
      <c r="N523" t="n">
        <v>11.18499</v>
      </c>
      <c r="O523" t="n">
        <v>3.540255</v>
      </c>
      <c r="P523" t="n">
        <v>4.142064</v>
      </c>
      <c r="Q523" t="n">
        <v>9.433172000000001</v>
      </c>
      <c r="R523" t="n">
        <v>9.303438999999999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19.2019</v>
      </c>
      <c r="Y523" t="n">
        <v>5.730753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89" t="n">
        <v>34516</v>
      </c>
      <c r="B524" t="n">
        <v>15.0422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5.348249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22.52921</v>
      </c>
      <c r="N524" t="n">
        <v>11.27493</v>
      </c>
      <c r="O524" t="n">
        <v>3.572779</v>
      </c>
      <c r="P524" t="n">
        <v>4.208702</v>
      </c>
      <c r="Q524" t="n">
        <v>9.449413</v>
      </c>
      <c r="R524" t="n">
        <v>9.499511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19.4074</v>
      </c>
      <c r="Y524" t="n">
        <v>5.918476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89" t="n">
        <v>34547</v>
      </c>
      <c r="B525" t="n">
        <v>15.14306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5.514256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22.58628</v>
      </c>
      <c r="N525" t="n">
        <v>11.39019</v>
      </c>
      <c r="O525" t="n">
        <v>3.630134</v>
      </c>
      <c r="P525" t="n">
        <v>4.264457</v>
      </c>
      <c r="Q525" t="n">
        <v>9.451738000000001</v>
      </c>
      <c r="R525" t="n">
        <v>9.713329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19.54457</v>
      </c>
      <c r="Y525" t="n">
        <v>6.04548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89" t="n">
        <v>34578</v>
      </c>
      <c r="B526" t="n">
        <v>15.19909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5.684293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22.70097</v>
      </c>
      <c r="N526" t="n">
        <v>11.53682</v>
      </c>
      <c r="O526" t="n">
        <v>3.699441</v>
      </c>
      <c r="P526" t="n">
        <v>4.337437</v>
      </c>
      <c r="Q526" t="n">
        <v>9.486117</v>
      </c>
      <c r="R526" t="n">
        <v>9.902844999999999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19.68986</v>
      </c>
      <c r="Y526" t="n">
        <v>6.164355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89" t="n">
        <v>34608</v>
      </c>
      <c r="B527" t="n">
        <v>15.29715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5.849627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22.77098</v>
      </c>
      <c r="N527" t="n">
        <v>11.66631</v>
      </c>
      <c r="O527" t="n">
        <v>3.757281</v>
      </c>
      <c r="P527" t="n">
        <v>4.435031</v>
      </c>
      <c r="Q527" t="n">
        <v>9.530014</v>
      </c>
      <c r="R527" t="n">
        <v>10.01016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19.82405</v>
      </c>
      <c r="Y527" t="n">
        <v>6.301276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89" t="n">
        <v>34639</v>
      </c>
      <c r="B528" t="n">
        <v>15.49047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6.007717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22.87212</v>
      </c>
      <c r="N528" t="n">
        <v>11.86833</v>
      </c>
      <c r="O528" t="n">
        <v>3.814572</v>
      </c>
      <c r="P528" t="n">
        <v>4.49903</v>
      </c>
      <c r="Q528" t="n">
        <v>9.559862000000001</v>
      </c>
      <c r="R528" t="n">
        <v>10.15385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19.94717</v>
      </c>
      <c r="Y528" t="n">
        <v>6.424466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89" t="n">
        <v>34669</v>
      </c>
      <c r="B529" t="n">
        <v>15.65016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6.173754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23.01179</v>
      </c>
      <c r="N529" t="n">
        <v>11.90052</v>
      </c>
      <c r="O529" t="n">
        <v>3.893908</v>
      </c>
      <c r="P529" t="n">
        <v>4.548928</v>
      </c>
      <c r="Q529" t="n">
        <v>9.590674999999999</v>
      </c>
      <c r="R529" t="n">
        <v>10.23057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20.07496</v>
      </c>
      <c r="Y529" t="n">
        <v>6.524908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89" t="n">
        <v>34700</v>
      </c>
      <c r="B530" t="n">
        <v>15.7174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6.332568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23.10783</v>
      </c>
      <c r="N530" t="n">
        <v>11.92524</v>
      </c>
      <c r="O530" t="n">
        <v>3.986418</v>
      </c>
      <c r="P530" t="n">
        <v>4.585485</v>
      </c>
      <c r="Q530" t="n">
        <v>9.585978000000001</v>
      </c>
      <c r="R530" t="n">
        <v>10.24622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20.24015</v>
      </c>
      <c r="Y530" t="n">
        <v>6.659363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89" t="n">
        <v>34731</v>
      </c>
      <c r="B531" t="n">
        <v>15.75102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6.478182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</v>
      </c>
      <c r="N531" t="n">
        <v>12.09278</v>
      </c>
      <c r="O531" t="n">
        <v>4.085904</v>
      </c>
      <c r="P531" t="n">
        <v>4.628234</v>
      </c>
      <c r="Q531" t="n">
        <v>9.587081</v>
      </c>
      <c r="R531" t="n">
        <v>10.37191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20.33817</v>
      </c>
      <c r="Y531" t="n">
        <v>6.780727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89" t="n">
        <v>34759</v>
      </c>
      <c r="B532" t="n">
        <v>15.88831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6.668722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</v>
      </c>
      <c r="N532" t="n">
        <v>12.26578</v>
      </c>
      <c r="O532" t="n">
        <v>4.17741</v>
      </c>
      <c r="P532" t="n">
        <v>4.764046</v>
      </c>
      <c r="Q532" t="n">
        <v>9.615411</v>
      </c>
      <c r="R532" t="n">
        <v>10.54703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20.47943</v>
      </c>
      <c r="Y532" t="n">
        <v>6.929564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89" t="n">
        <v>34790</v>
      </c>
      <c r="B533" t="n">
        <v>16.01438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6.867705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23.72349</v>
      </c>
      <c r="N533" t="n">
        <v>12.4114</v>
      </c>
      <c r="O533" t="n">
        <v>4.238122</v>
      </c>
      <c r="P533" t="n">
        <v>4.822098</v>
      </c>
      <c r="Q533" t="n">
        <v>9.597218</v>
      </c>
      <c r="R533" t="n">
        <v>10.75062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20.62458</v>
      </c>
      <c r="Y533" t="n">
        <v>7.067925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89" t="n">
        <v>34820</v>
      </c>
      <c r="B534" t="n">
        <v>16.09003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7.038519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23.82275</v>
      </c>
      <c r="N534" t="n">
        <v>12.52536</v>
      </c>
      <c r="O534" t="n">
        <v>4.291777</v>
      </c>
      <c r="P534" t="n">
        <v>4.806061</v>
      </c>
      <c r="Q534" t="n">
        <v>9.601129999999999</v>
      </c>
      <c r="R534" t="n">
        <v>11.01049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20.79697</v>
      </c>
      <c r="Y534" t="n">
        <v>7.190988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89" t="n">
        <v>34851</v>
      </c>
      <c r="B535" t="n">
        <v>16.14326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7.205781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23.99681</v>
      </c>
      <c r="N535" t="n">
        <v>12.70834</v>
      </c>
      <c r="O535" t="n">
        <v>4.383917</v>
      </c>
      <c r="P535" t="n">
        <v>4.858943</v>
      </c>
      <c r="Q535" t="n">
        <v>9.658422</v>
      </c>
      <c r="R535" t="n">
        <v>11.23633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20.98575</v>
      </c>
      <c r="Y535" t="n">
        <v>7.315363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89" t="n">
        <v>34881</v>
      </c>
      <c r="B536" t="n">
        <v>16.2077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7.330564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24.23409</v>
      </c>
      <c r="N536" t="n">
        <v>12.91944</v>
      </c>
      <c r="O536" t="n">
        <v>4.495667</v>
      </c>
      <c r="P536" t="n">
        <v>4.904411</v>
      </c>
      <c r="Q536" t="n">
        <v>9.660066</v>
      </c>
      <c r="R536" t="n">
        <v>11.41498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21.15564</v>
      </c>
      <c r="Y536" t="n">
        <v>7.460538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89" t="n">
        <v>34912</v>
      </c>
      <c r="B537" t="n">
        <v>16.33938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24.52662</v>
      </c>
      <c r="N537" t="n">
        <v>13.09746</v>
      </c>
      <c r="O537" t="n">
        <v>4.601474</v>
      </c>
      <c r="P537" t="n">
        <v>4.962574</v>
      </c>
      <c r="Q537" t="n">
        <v>9.686919</v>
      </c>
      <c r="R537" t="n">
        <v>11.62752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21.35485</v>
      </c>
      <c r="Y537" t="n">
        <v>7.6228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89" t="n">
        <v>34943</v>
      </c>
      <c r="B538" t="n">
        <v>16.50748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7.613451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24.73672</v>
      </c>
      <c r="N538" t="n">
        <v>13.34954</v>
      </c>
      <c r="O538" t="n">
        <v>4.694549</v>
      </c>
      <c r="P538" t="n">
        <v>5.037403</v>
      </c>
      <c r="Q538" t="n">
        <v>9.764265</v>
      </c>
      <c r="R538" t="n">
        <v>11.84519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21.53448</v>
      </c>
      <c r="Y538" t="n">
        <v>7.757835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89" t="n">
        <v>34973</v>
      </c>
      <c r="B539" t="n">
        <v>16.68398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7.881932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24.93884</v>
      </c>
      <c r="N539" t="n">
        <v>13.59315</v>
      </c>
      <c r="O539" t="n">
        <v>4.788361</v>
      </c>
      <c r="P539" t="n">
        <v>5.1109</v>
      </c>
      <c r="Q539" t="n">
        <v>9.77097</v>
      </c>
      <c r="R539" t="n">
        <v>12.06084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21.69999</v>
      </c>
      <c r="Y539" t="n">
        <v>7.885383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89" t="n">
        <v>35004</v>
      </c>
      <c r="B540" t="n">
        <v>16.83247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7.999531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25.13885</v>
      </c>
      <c r="N540" t="n">
        <v>13.78575</v>
      </c>
      <c r="O540" t="n">
        <v>4.893164</v>
      </c>
      <c r="P540" t="n">
        <v>5.158834</v>
      </c>
      <c r="Q540" t="n">
        <v>9.727136</v>
      </c>
      <c r="R540" t="n">
        <v>12.29097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21.91468</v>
      </c>
      <c r="Y540" t="n">
        <v>8.066492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89" t="n">
        <v>35034</v>
      </c>
      <c r="B541" t="n">
        <v>17.02018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8.049128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25.62259</v>
      </c>
      <c r="N541" t="n">
        <v>14.04978</v>
      </c>
      <c r="O541" t="n">
        <v>4.987531</v>
      </c>
      <c r="P541" t="n">
        <v>5.206399</v>
      </c>
      <c r="Q541" t="n">
        <v>9.769175000000001</v>
      </c>
      <c r="R541" t="n">
        <v>12.43968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22.15829</v>
      </c>
      <c r="Y541" t="n">
        <v>8.32287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89" t="n">
        <v>35065</v>
      </c>
      <c r="B542" t="n">
        <v>17.17147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8.161947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26.42813</v>
      </c>
      <c r="N542" t="n">
        <v>14.33192</v>
      </c>
      <c r="O542" t="n">
        <v>5.067066</v>
      </c>
      <c r="P542" t="n">
        <v>5.27354</v>
      </c>
      <c r="Q542" t="n">
        <v>9.899778</v>
      </c>
      <c r="R542" t="n">
        <v>12.65368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22.44863</v>
      </c>
      <c r="Y542" t="n">
        <v>8.628018000000001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89" t="n">
        <v>35096</v>
      </c>
      <c r="B543" t="n">
        <v>17.26393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8.321161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26.92259</v>
      </c>
      <c r="N543" t="n">
        <v>14.65201</v>
      </c>
      <c r="O543" t="n">
        <v>5.178958</v>
      </c>
      <c r="P543" t="n">
        <v>5.337564</v>
      </c>
      <c r="Q543" t="n">
        <v>9.973144</v>
      </c>
      <c r="R543" t="n">
        <v>12.974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22.65918</v>
      </c>
      <c r="Y543" t="n">
        <v>8.850482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89" t="n">
        <v>35125</v>
      </c>
      <c r="B544" t="n">
        <v>17.376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8.510621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27.12748</v>
      </c>
      <c r="N544" t="n">
        <v>14.93524</v>
      </c>
      <c r="O544" t="n">
        <v>5.332672</v>
      </c>
      <c r="P544" t="n">
        <v>5.44497</v>
      </c>
      <c r="Q544" t="n">
        <v>10.02459</v>
      </c>
      <c r="R544" t="n">
        <v>13.22138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22.88688</v>
      </c>
      <c r="Y544" t="n">
        <v>9.015931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89" t="n">
        <v>35156</v>
      </c>
      <c r="B545" t="n">
        <v>17.47125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8.680282999999999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27.37834</v>
      </c>
      <c r="N545" t="n">
        <v>15.169</v>
      </c>
      <c r="O545" t="n">
        <v>5.475049</v>
      </c>
      <c r="P545" t="n">
        <v>5.532153</v>
      </c>
      <c r="Q545" t="n">
        <v>10.10721</v>
      </c>
      <c r="R545" t="n">
        <v>13.49306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23.08481</v>
      </c>
      <c r="Y545" t="n">
        <v>9.216727000000001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89" t="n">
        <v>35186</v>
      </c>
      <c r="B546" t="n">
        <v>17.51608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8.818792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27.53253</v>
      </c>
      <c r="N546" t="n">
        <v>15.45133</v>
      </c>
      <c r="O546" t="n">
        <v>5.58922</v>
      </c>
      <c r="P546" t="n">
        <v>5.561161</v>
      </c>
      <c r="Q546" t="n">
        <v>10.17305</v>
      </c>
      <c r="R546" t="n">
        <v>13.8448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23.30012</v>
      </c>
      <c r="Y546" t="n">
        <v>9.418744999999999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89" t="n">
        <v>35217</v>
      </c>
      <c r="B547" t="n">
        <v>17.61134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8.96766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27.78541</v>
      </c>
      <c r="N547" t="n">
        <v>15.7359</v>
      </c>
      <c r="O547" t="n">
        <v>5.691286</v>
      </c>
      <c r="P547" t="n">
        <v>5.631154</v>
      </c>
      <c r="Q547" t="n">
        <v>10.18427</v>
      </c>
      <c r="R547" t="n">
        <v>14.12321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23.49446</v>
      </c>
      <c r="Y547" t="n">
        <v>9.598478999999999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89" t="n">
        <v>35247</v>
      </c>
      <c r="B548" t="n">
        <v>17.80465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9.163519000000001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28.16911</v>
      </c>
      <c r="N548" t="n">
        <v>15.98207</v>
      </c>
      <c r="O548" t="n">
        <v>5.784675</v>
      </c>
      <c r="P548" t="n">
        <v>5.713132</v>
      </c>
      <c r="Q548" t="n">
        <v>10.17818</v>
      </c>
      <c r="R548" t="n">
        <v>14.39812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23.68824</v>
      </c>
      <c r="Y548" t="n">
        <v>9.783583999999999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89" t="n">
        <v>35278</v>
      </c>
      <c r="B549" t="n">
        <v>17.95034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9.350923999999999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28.41341</v>
      </c>
      <c r="N549" t="n">
        <v>16.27163</v>
      </c>
      <c r="O549" t="n">
        <v>5.848485</v>
      </c>
      <c r="P549" t="n">
        <v>5.774502</v>
      </c>
      <c r="Q549" t="n">
        <v>10.22822</v>
      </c>
      <c r="R549" t="n">
        <v>14.78978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23.88257</v>
      </c>
      <c r="Y549" t="n">
        <v>10.00433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89" t="n">
        <v>35309</v>
      </c>
      <c r="B550" t="n">
        <v>17.96715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9.542074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28.66131</v>
      </c>
      <c r="N550" t="n">
        <v>16.53499</v>
      </c>
      <c r="O550" t="n">
        <v>5.923763</v>
      </c>
      <c r="P550" t="n">
        <v>5.842963</v>
      </c>
      <c r="Q550" t="n">
        <v>10.28307</v>
      </c>
      <c r="R550" t="n">
        <v>15.04405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24.09977</v>
      </c>
      <c r="Y550" t="n">
        <v>10.26101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89" t="n">
        <v>35339</v>
      </c>
      <c r="B551" t="n">
        <v>18.12404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9.723115999999999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28.87128</v>
      </c>
      <c r="N551" t="n">
        <v>16.77691</v>
      </c>
      <c r="O551" t="n">
        <v>6.077827</v>
      </c>
      <c r="P551" t="n">
        <v>5.897906</v>
      </c>
      <c r="Q551" t="n">
        <v>10.27889</v>
      </c>
      <c r="R551" t="n">
        <v>15.27562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24.36073</v>
      </c>
      <c r="Y551" t="n">
        <v>10.50382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89" t="n">
        <v>35370</v>
      </c>
      <c r="B552" t="n">
        <v>18.40701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9.843119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29.27384</v>
      </c>
      <c r="N552" t="n">
        <v>17.05245</v>
      </c>
      <c r="O552" t="n">
        <v>6.27933</v>
      </c>
      <c r="P552" t="n">
        <v>5.962363</v>
      </c>
      <c r="Q552" t="n">
        <v>10.31674</v>
      </c>
      <c r="R552" t="n">
        <v>15.55086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24.62228</v>
      </c>
      <c r="Y552" t="n">
        <v>10.79382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89" t="n">
        <v>35400</v>
      </c>
      <c r="B553" t="n">
        <v>18.5583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29.53937</v>
      </c>
      <c r="N553" t="n">
        <v>17.27211</v>
      </c>
      <c r="O553" t="n">
        <v>6.4574</v>
      </c>
      <c r="P553" t="n">
        <v>6.050006</v>
      </c>
      <c r="Q553" t="n">
        <v>10.45908</v>
      </c>
      <c r="R553" t="n">
        <v>15.76498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24.90146</v>
      </c>
      <c r="Y553" t="n">
        <v>11.10437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89" t="n">
        <v>35431</v>
      </c>
      <c r="B554" t="n">
        <v>18.66757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10.51252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</v>
      </c>
      <c r="N554" t="n">
        <v>17.44374</v>
      </c>
      <c r="O554" t="n">
        <v>6.598531</v>
      </c>
      <c r="P554" t="n">
        <v>6.157489</v>
      </c>
      <c r="Q554" t="n">
        <v>10.50854</v>
      </c>
      <c r="R554" t="n">
        <v>16.07568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25.15714</v>
      </c>
      <c r="Y554" t="n">
        <v>11.38494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89" t="n">
        <v>35462</v>
      </c>
      <c r="B555" t="n">
        <v>18.79925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10.60057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30.31391</v>
      </c>
      <c r="N555" t="n">
        <v>17.61115</v>
      </c>
      <c r="O555" t="n">
        <v>6.718781</v>
      </c>
      <c r="P555" t="n">
        <v>6.260836</v>
      </c>
      <c r="Q555" t="n">
        <v>10.57753</v>
      </c>
      <c r="R555" t="n">
        <v>16.39139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25.34527</v>
      </c>
      <c r="Y555" t="n">
        <v>11.59931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89" t="n">
        <v>35490</v>
      </c>
      <c r="B556" t="n">
        <v>18.90851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10.71258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30.54688</v>
      </c>
      <c r="N556" t="n">
        <v>17.76644</v>
      </c>
      <c r="O556" t="n">
        <v>6.824524</v>
      </c>
      <c r="P556" t="n">
        <v>6.354182</v>
      </c>
      <c r="Q556" t="n">
        <v>10.64474</v>
      </c>
      <c r="R556" t="n">
        <v>16.61296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25.55194</v>
      </c>
      <c r="Y556" t="n">
        <v>11.79254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89" t="n">
        <v>35521</v>
      </c>
      <c r="B557" t="n">
        <v>19.03179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10.92679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30.65022</v>
      </c>
      <c r="N557" t="n">
        <v>17.94182</v>
      </c>
      <c r="O557" t="n">
        <v>6.913844</v>
      </c>
      <c r="P557" t="n">
        <v>6.42922</v>
      </c>
      <c r="Q557" t="n">
        <v>10.74691</v>
      </c>
      <c r="R557" t="n">
        <v>16.84559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25.75869</v>
      </c>
      <c r="Y557" t="n">
        <v>11.95818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89" t="n">
        <v>35551</v>
      </c>
      <c r="B558" t="n">
        <v>19.18308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11.12399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30.79848</v>
      </c>
      <c r="N558" t="n">
        <v>18.25892</v>
      </c>
      <c r="O558" t="n">
        <v>6.994459</v>
      </c>
      <c r="P558" t="n">
        <v>6.495253</v>
      </c>
      <c r="Q558" t="n">
        <v>10.86526</v>
      </c>
      <c r="R558" t="n">
        <v>17.10498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25.94034</v>
      </c>
      <c r="Y558" t="n">
        <v>12.14334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89" t="n">
        <v>35582</v>
      </c>
      <c r="B559" t="n">
        <v>19.28954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11.35061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31.35883</v>
      </c>
      <c r="N559" t="n">
        <v>18.56122</v>
      </c>
      <c r="O559" t="n">
        <v>7.104663</v>
      </c>
      <c r="P559" t="n">
        <v>6.591904</v>
      </c>
      <c r="Q559" t="n">
        <v>10.84021</v>
      </c>
      <c r="R559" t="n">
        <v>17.421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26.19007</v>
      </c>
      <c r="Y559" t="n">
        <v>12.41804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89" t="n">
        <v>35612</v>
      </c>
      <c r="B560" t="n">
        <v>19.36519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11.64692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</v>
      </c>
      <c r="N560" t="n">
        <v>18.89875</v>
      </c>
      <c r="O560" t="n">
        <v>7.220211</v>
      </c>
      <c r="P560" t="n">
        <v>6.673553</v>
      </c>
      <c r="Q560" t="n">
        <v>10.92542</v>
      </c>
      <c r="R560" t="n">
        <v>17.69846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26.46408</v>
      </c>
      <c r="Y560" t="n">
        <v>12.755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89" t="n">
        <v>35643</v>
      </c>
      <c r="B561" t="n">
        <v>19.43243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11.84523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32.39708</v>
      </c>
      <c r="N561" t="n">
        <v>19.21557</v>
      </c>
      <c r="O561" t="n">
        <v>7.380085</v>
      </c>
      <c r="P561" t="n">
        <v>6.733028</v>
      </c>
      <c r="Q561" t="n">
        <v>11.01565</v>
      </c>
      <c r="R561" t="n">
        <v>17.87684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26.77392</v>
      </c>
      <c r="Y561" t="n">
        <v>13.06739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89" t="n">
        <v>35674</v>
      </c>
      <c r="B562" t="n">
        <v>19.46605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12.07903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31.63625</v>
      </c>
      <c r="N562" t="n">
        <v>19.45389</v>
      </c>
      <c r="O562" t="n">
        <v>7.535261</v>
      </c>
      <c r="P562" t="n">
        <v>6.807507</v>
      </c>
      <c r="Q562" t="n">
        <v>11.09088</v>
      </c>
      <c r="R562" t="n">
        <v>18.12867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</v>
      </c>
      <c r="Y562" t="n">
        <v>13.19859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89" t="n">
        <v>35704</v>
      </c>
      <c r="B563" t="n">
        <v>19.5501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12.39381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31.33524</v>
      </c>
      <c r="N563" t="n">
        <v>19.87747</v>
      </c>
      <c r="O563" t="n">
        <v>7.729321</v>
      </c>
      <c r="P563" t="n">
        <v>6.900248</v>
      </c>
      <c r="Q563" t="n">
        <v>11.21893</v>
      </c>
      <c r="R563" t="n">
        <v>18.38529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27.18094</v>
      </c>
      <c r="Y563" t="n">
        <v>13.43593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89" t="n">
        <v>35735</v>
      </c>
      <c r="B564" t="n">
        <v>19.67617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12.71945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32.01271</v>
      </c>
      <c r="N564" t="n">
        <v>20.149</v>
      </c>
      <c r="O564" t="n">
        <v>7.756963</v>
      </c>
      <c r="P564" t="n">
        <v>7.008625</v>
      </c>
      <c r="Q564" t="n">
        <v>11.31841</v>
      </c>
      <c r="R564" t="n">
        <v>18.62073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27.48242</v>
      </c>
      <c r="Y564" t="n">
        <v>13.81271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89" t="n">
        <v>35765</v>
      </c>
      <c r="B565" t="n">
        <v>19.77703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13.07164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32.38588</v>
      </c>
      <c r="N565" t="n">
        <v>20.48281</v>
      </c>
      <c r="O565" t="n">
        <v>7.851746</v>
      </c>
      <c r="P565" t="n">
        <v>7.115165</v>
      </c>
      <c r="Q565" t="n">
        <v>11.43372</v>
      </c>
      <c r="R565" t="n">
        <v>18.92972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27.7544</v>
      </c>
      <c r="Y565" t="n">
        <v>14.09113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89" t="n">
        <v>35796</v>
      </c>
      <c r="B566" t="n">
        <v>19.8863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13.28345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32.79852</v>
      </c>
      <c r="N566" t="n">
        <v>20.51326</v>
      </c>
      <c r="O566" t="n">
        <v>9.1999</v>
      </c>
      <c r="P566" t="n">
        <v>7.197979</v>
      </c>
      <c r="Q566" t="n">
        <v>11.57543</v>
      </c>
      <c r="R566" t="n">
        <v>19.19859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28.03069</v>
      </c>
      <c r="Y566" t="n">
        <v>14.37623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89" t="n">
        <v>35827</v>
      </c>
      <c r="B567" t="n">
        <v>19.98156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13.38235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33.08459</v>
      </c>
      <c r="N567" t="n">
        <v>20.42136</v>
      </c>
      <c r="O567" t="n">
        <v>10.13579</v>
      </c>
      <c r="P567" t="n">
        <v>7.301435</v>
      </c>
      <c r="Q567" t="n">
        <v>11.71373</v>
      </c>
      <c r="R567" t="n">
        <v>19.41039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28.28362</v>
      </c>
      <c r="Y567" t="n">
        <v>14.5752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89" t="n">
        <v>35855</v>
      </c>
      <c r="B568" t="n">
        <v>20.06281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13.57977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33.26144</v>
      </c>
      <c r="N568" t="n">
        <v>20.99408</v>
      </c>
      <c r="O568" t="n">
        <v>10.21984</v>
      </c>
      <c r="P568" t="n">
        <v>7.467092</v>
      </c>
      <c r="Q568" t="n">
        <v>11.86561</v>
      </c>
      <c r="R568" t="n">
        <v>19.38817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28.50292</v>
      </c>
      <c r="Y568" t="n">
        <v>14.80141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89" t="n">
        <v>35886</v>
      </c>
      <c r="B569" t="n">
        <v>20.16086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13.74267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33.41075</v>
      </c>
      <c r="N569" t="n">
        <v>21.54143</v>
      </c>
      <c r="O569" t="n">
        <v>10.50697</v>
      </c>
      <c r="P569" t="n">
        <v>7.595877</v>
      </c>
      <c r="Q569" t="n">
        <v>12.02549</v>
      </c>
      <c r="R569" t="n">
        <v>19.55833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28.75533</v>
      </c>
      <c r="Y569" t="n">
        <v>15.09071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89" t="n">
        <v>35916</v>
      </c>
      <c r="B570" t="n">
        <v>20.27573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13.94118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33.69229</v>
      </c>
      <c r="N570" t="n">
        <v>21.88202</v>
      </c>
      <c r="O570" t="n">
        <v>10.94937</v>
      </c>
      <c r="P570" t="n">
        <v>7.678203</v>
      </c>
      <c r="Q570" t="n">
        <v>12.19087</v>
      </c>
      <c r="R570" t="n">
        <v>19.92869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29.0464</v>
      </c>
      <c r="Y570" t="n">
        <v>15.4348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89" t="n">
        <v>35947</v>
      </c>
      <c r="B571" t="n">
        <v>20.42142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14.14616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33.97705</v>
      </c>
      <c r="N571" t="n">
        <v>22.18554</v>
      </c>
      <c r="O571" t="n">
        <v>12.16559</v>
      </c>
      <c r="P571" t="n">
        <v>7.781397</v>
      </c>
      <c r="Q571" t="n">
        <v>12.35153</v>
      </c>
      <c r="R571" t="n">
        <v>20.18773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29.30587</v>
      </c>
      <c r="Y571" t="n">
        <v>15.78646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89" t="n">
        <v>35977</v>
      </c>
      <c r="B572" t="n">
        <v>20.65956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14.22248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34.30406</v>
      </c>
      <c r="N572" t="n">
        <v>22.52082</v>
      </c>
      <c r="O572" t="n">
        <v>12.83269</v>
      </c>
      <c r="P572" t="n">
        <v>7.901356</v>
      </c>
      <c r="Q572" t="n">
        <v>12.49437</v>
      </c>
      <c r="R572" t="n">
        <v>20.5465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29.58268</v>
      </c>
      <c r="Y572" t="n">
        <v>16.14965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89" t="n">
        <v>36008</v>
      </c>
      <c r="B573" t="n">
        <v>20.87529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14.33696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34.56439</v>
      </c>
      <c r="N573" t="n">
        <v>22.89418</v>
      </c>
      <c r="O573" t="n">
        <v>12.58121</v>
      </c>
      <c r="P573" t="n">
        <v>8.079919</v>
      </c>
      <c r="Q573" t="n">
        <v>12.626</v>
      </c>
      <c r="R573" t="n">
        <v>20.8479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16.40999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89" t="n">
        <v>36039</v>
      </c>
      <c r="B574" t="n">
        <v>21.01538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34.71761</v>
      </c>
      <c r="N574" t="n">
        <v>23.13154</v>
      </c>
      <c r="O574" t="n">
        <v>12.57286</v>
      </c>
      <c r="P574" t="n">
        <v>8.246589</v>
      </c>
      <c r="Q574" t="n">
        <v>12.78166</v>
      </c>
      <c r="R574" t="n">
        <v>21.15269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30.17335</v>
      </c>
      <c r="Y574" t="n">
        <v>16.82302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89" t="n">
        <v>36069</v>
      </c>
      <c r="B575" t="n">
        <v>21.12184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14.24599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34.88285</v>
      </c>
      <c r="N575" t="n">
        <v>23.2699</v>
      </c>
      <c r="O575" t="n">
        <v>12.519</v>
      </c>
      <c r="P575" t="n">
        <v>8.376474999999999</v>
      </c>
      <c r="Q575" t="n">
        <v>12.97385</v>
      </c>
      <c r="R575" t="n">
        <v>21.62841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30.43965</v>
      </c>
      <c r="Y575" t="n">
        <v>17.03778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89" t="n">
        <v>36100</v>
      </c>
      <c r="B576" t="n">
        <v>21.19468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14.23282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34.95134</v>
      </c>
      <c r="N576" t="n">
        <v>23.5286</v>
      </c>
      <c r="O576" t="n">
        <v>12.54263</v>
      </c>
      <c r="P576" t="n">
        <v>8.477225000000001</v>
      </c>
      <c r="Q576" t="n">
        <v>13.17164</v>
      </c>
      <c r="R576" t="n">
        <v>21.9509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30.64303</v>
      </c>
      <c r="Y576" t="n">
        <v>17.04267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89" t="n">
        <v>36130</v>
      </c>
      <c r="B577" t="n">
        <v>21.31796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14.25682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35.10295</v>
      </c>
      <c r="N577" t="n">
        <v>23.83756</v>
      </c>
      <c r="O577" t="n">
        <v>12.93419</v>
      </c>
      <c r="P577" t="n">
        <v>8.552349</v>
      </c>
      <c r="Q577" t="n">
        <v>13.36471</v>
      </c>
      <c r="R577" t="n">
        <v>22.17666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30.93262</v>
      </c>
      <c r="Y577" t="n">
        <v>17.34285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89" t="n">
        <v>36161</v>
      </c>
      <c r="B578" t="n">
        <v>21.49446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14.37057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</v>
      </c>
      <c r="N578" t="n">
        <v>24.15362</v>
      </c>
      <c r="O578" t="n">
        <v>13.39988</v>
      </c>
      <c r="P578" t="n">
        <v>8.667878999999999</v>
      </c>
      <c r="Q578" t="n">
        <v>13.55872</v>
      </c>
      <c r="R578" t="n">
        <v>22.51902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31.22075</v>
      </c>
      <c r="Y578" t="n">
        <v>17.72414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89" t="n">
        <v>36192</v>
      </c>
      <c r="B579" t="n">
        <v>21.64575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14.56325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35.01522</v>
      </c>
      <c r="N579" t="n">
        <v>24.53649</v>
      </c>
      <c r="O579" t="n">
        <v>13.79843</v>
      </c>
      <c r="P579" t="n">
        <v>8.793066</v>
      </c>
      <c r="Q579" t="n">
        <v>13.74295</v>
      </c>
      <c r="R579" t="n">
        <v>22.75113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31.49392</v>
      </c>
      <c r="Y579" t="n">
        <v>18.05683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89" t="n">
        <v>36220</v>
      </c>
      <c r="B580" t="n">
        <v>21.81946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14.63431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35.01619</v>
      </c>
      <c r="N580" t="n">
        <v>24.72243</v>
      </c>
      <c r="O580" t="n">
        <v>13.98854</v>
      </c>
      <c r="P580" t="n">
        <v>8.949646</v>
      </c>
      <c r="Q580" t="n">
        <v>13.91555</v>
      </c>
      <c r="R580" t="n">
        <v>23.07887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31.70349</v>
      </c>
      <c r="Y580" t="n">
        <v>18.34523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89" t="n">
        <v>36251</v>
      </c>
      <c r="B581" t="n">
        <v>22.0604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14.70115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35.07263</v>
      </c>
      <c r="N581" t="n">
        <v>24.73622</v>
      </c>
      <c r="O581" t="n">
        <v>14.12927</v>
      </c>
      <c r="P581" t="n">
        <v>9.056244</v>
      </c>
      <c r="Q581" t="n">
        <v>14.08532</v>
      </c>
      <c r="R581" t="n">
        <v>23.53089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31.95406</v>
      </c>
      <c r="Y581" t="n">
        <v>18.62777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89" t="n">
        <v>36281</v>
      </c>
      <c r="B582" t="n">
        <v>22.30134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14.78389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35.16445</v>
      </c>
      <c r="N582" t="n">
        <v>24.97791</v>
      </c>
      <c r="O582" t="n">
        <v>14.31181</v>
      </c>
      <c r="P582" t="n">
        <v>9.122043</v>
      </c>
      <c r="Q582" t="n">
        <v>14.26329</v>
      </c>
      <c r="R582" t="n">
        <v>23.82329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32.22779</v>
      </c>
      <c r="Y582" t="n">
        <v>18.97983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89" t="n">
        <v>36312</v>
      </c>
      <c r="B583" t="n">
        <v>22.49746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14.82196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</v>
      </c>
      <c r="N583" t="n">
        <v>25.17285</v>
      </c>
      <c r="O583" t="n">
        <v>14.2508</v>
      </c>
      <c r="P583" t="n">
        <v>9.221332</v>
      </c>
      <c r="Q583" t="n">
        <v>14.45124</v>
      </c>
      <c r="R583" t="n">
        <v>24.03595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32.48419</v>
      </c>
      <c r="Y583" t="n">
        <v>19.29782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89" t="n">
        <v>36342</v>
      </c>
      <c r="B584" t="n">
        <v>22.65435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35.31699</v>
      </c>
      <c r="N584" t="n">
        <v>25.29454</v>
      </c>
      <c r="O584" t="n">
        <v>14.20318</v>
      </c>
      <c r="P584" t="n">
        <v>9.353161999999999</v>
      </c>
      <c r="Q584" t="n">
        <v>14.64447</v>
      </c>
      <c r="R584" t="n">
        <v>24.42227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32.71854</v>
      </c>
      <c r="Y584" t="n">
        <v>19.52933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89" t="n">
        <v>36373</v>
      </c>
      <c r="B585" t="n">
        <v>22.78884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14.89211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35.42229</v>
      </c>
      <c r="N585" t="n">
        <v>25.60938</v>
      </c>
      <c r="O585" t="n">
        <v>14.50525</v>
      </c>
      <c r="P585" t="n">
        <v>9.500515</v>
      </c>
      <c r="Q585" t="n">
        <v>14.83462</v>
      </c>
      <c r="R585" t="n">
        <v>24.8702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32.94977</v>
      </c>
      <c r="Y585" t="n">
        <v>19.84969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89" t="n">
        <v>36404</v>
      </c>
      <c r="B586" t="n">
        <v>22.94293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14.98096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35.42472</v>
      </c>
      <c r="N586" t="n">
        <v>25.90838</v>
      </c>
      <c r="O586" t="n">
        <v>14.88413</v>
      </c>
      <c r="P586" t="n">
        <v>9.623896999999999</v>
      </c>
      <c r="Q586" t="n">
        <v>15.01057</v>
      </c>
      <c r="R586" t="n">
        <v>25.20211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33.15898</v>
      </c>
      <c r="Y586" t="n">
        <v>20.17252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89" t="n">
        <v>36434</v>
      </c>
      <c r="B587" t="n">
        <v>23.12784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15.0284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35.37805</v>
      </c>
      <c r="N587" t="n">
        <v>26.1248</v>
      </c>
      <c r="O587" t="n">
        <v>14.84825</v>
      </c>
      <c r="P587" t="n">
        <v>9.752648000000001</v>
      </c>
      <c r="Q587" t="n">
        <v>15.17673</v>
      </c>
      <c r="R587" t="n">
        <v>25.52386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33.42725</v>
      </c>
      <c r="Y587" t="n">
        <v>20.51194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89" t="n">
        <v>36465</v>
      </c>
      <c r="B588" t="n">
        <v>23.31835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15.08511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35.70234</v>
      </c>
      <c r="N588" t="n">
        <v>26.39337</v>
      </c>
      <c r="O588" t="n">
        <v>14.70467</v>
      </c>
      <c r="P588" t="n">
        <v>9.855180000000001</v>
      </c>
      <c r="Q588" t="n">
        <v>15.34073</v>
      </c>
      <c r="R588" t="n">
        <v>25.85019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33.71564</v>
      </c>
      <c r="Y588" t="n">
        <v>21.01713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89" t="n">
        <v>36495</v>
      </c>
      <c r="B589" t="n">
        <v>23.41081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15.17111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35.99007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26.15453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34.03519</v>
      </c>
      <c r="Y589" t="n">
        <v>21.52405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89" t="n">
        <v>36526</v>
      </c>
      <c r="B590" t="n">
        <v>23.43882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15.33662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35.93199</v>
      </c>
      <c r="N590" t="n">
        <v>27.25714</v>
      </c>
      <c r="O590" t="n">
        <v>14.80523</v>
      </c>
      <c r="P590" t="n">
        <v>10.1776</v>
      </c>
      <c r="Q590" t="n">
        <v>15.6591</v>
      </c>
      <c r="R590" t="n">
        <v>26.58291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34.30423</v>
      </c>
      <c r="Y590" t="n">
        <v>21.91314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89" t="n">
        <v>36557</v>
      </c>
      <c r="B591" t="n">
        <v>23.51727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36.16658</v>
      </c>
      <c r="N591" t="n">
        <v>27.64157</v>
      </c>
      <c r="O591" t="n">
        <v>14.98777</v>
      </c>
      <c r="P591" t="n">
        <v>10.25099</v>
      </c>
      <c r="Q591" t="n">
        <v>15.81323</v>
      </c>
      <c r="R591" t="n">
        <v>27.02077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34.50819</v>
      </c>
      <c r="Y591" t="n">
        <v>22.20734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89" t="n">
        <v>36586</v>
      </c>
      <c r="B592" t="n">
        <v>23.62934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15.01366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36.82753</v>
      </c>
      <c r="N592" t="n">
        <v>28.24763</v>
      </c>
      <c r="O592" t="n">
        <v>15.15074</v>
      </c>
      <c r="P592" t="n">
        <v>10.35824</v>
      </c>
      <c r="Q592" t="n">
        <v>15.96292</v>
      </c>
      <c r="R592" t="n">
        <v>27.46906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34.78434</v>
      </c>
      <c r="Y592" t="n">
        <v>22.59625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89" t="n">
        <v>36617</v>
      </c>
      <c r="B593" t="n">
        <v>23.78903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15.07332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37.29132</v>
      </c>
      <c r="N593" t="n">
        <v>28.83681</v>
      </c>
      <c r="O593" t="n">
        <v>15.32567</v>
      </c>
      <c r="P593" t="n">
        <v>10.45477</v>
      </c>
      <c r="Q593" t="n">
        <v>16.10706</v>
      </c>
      <c r="R593" t="n">
        <v>27.84183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35.13895</v>
      </c>
      <c r="Y593" t="n">
        <v>22.9046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89" t="n">
        <v>36647</v>
      </c>
      <c r="B594" t="n">
        <v>23.97955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15.11663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37.75306</v>
      </c>
      <c r="N594" t="n">
        <v>29.26157</v>
      </c>
      <c r="O594" t="n">
        <v>15.53429</v>
      </c>
      <c r="P594" t="n">
        <v>10.57086</v>
      </c>
      <c r="Q594" t="n">
        <v>16.24347</v>
      </c>
      <c r="R594" t="n">
        <v>28.13534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35.24404</v>
      </c>
      <c r="Y594" t="n">
        <v>23.24371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89" t="n">
        <v>36678</v>
      </c>
      <c r="B595" t="n">
        <v>24.13924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15.14028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38.31921</v>
      </c>
      <c r="N595" t="n">
        <v>29.55843</v>
      </c>
      <c r="O595" t="n">
        <v>15.67749</v>
      </c>
      <c r="P595" t="n">
        <v>10.70087</v>
      </c>
      <c r="Q595" t="n">
        <v>16.37674</v>
      </c>
      <c r="R595" t="n">
        <v>28.4722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35.47195</v>
      </c>
      <c r="Y595" t="n">
        <v>23.63582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89" t="n">
        <v>36708</v>
      </c>
      <c r="B596" t="n">
        <v>24.29053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15.24123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38.47601</v>
      </c>
      <c r="N596" t="n">
        <v>29.8429</v>
      </c>
      <c r="O596" t="n">
        <v>15.74661</v>
      </c>
      <c r="P596" t="n">
        <v>10.82681</v>
      </c>
      <c r="Q596" t="n">
        <v>16.5167</v>
      </c>
      <c r="R596" t="n">
        <v>28.79924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35.66853</v>
      </c>
      <c r="Y596" t="n">
        <v>23.83818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89" t="n">
        <v>36739</v>
      </c>
      <c r="B597" t="n">
        <v>24.46704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15.29619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38.63879</v>
      </c>
      <c r="N597" t="n">
        <v>30.47947</v>
      </c>
      <c r="O597" t="n">
        <v>15.82709</v>
      </c>
      <c r="P597" t="n">
        <v>10.91949</v>
      </c>
      <c r="Q597" t="n">
        <v>16.66068</v>
      </c>
      <c r="R597" t="n">
        <v>29.1166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35.88143</v>
      </c>
      <c r="Y597" t="n">
        <v>23.96667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89" t="n">
        <v>36770</v>
      </c>
      <c r="B598" t="n">
        <v>24.60432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38.77399</v>
      </c>
      <c r="N598" t="n">
        <v>31.28286</v>
      </c>
      <c r="O598" t="n">
        <v>15.87884</v>
      </c>
      <c r="P598" t="n">
        <v>11.04442</v>
      </c>
      <c r="Q598" t="n">
        <v>16.81042</v>
      </c>
      <c r="R598" t="n">
        <v>29.37061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36.11785</v>
      </c>
      <c r="Y598" t="n">
        <v>24.13497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89" t="n">
        <v>36800</v>
      </c>
      <c r="B599" t="n">
        <v>24.71639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15.54085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38.99004</v>
      </c>
      <c r="N599" t="n">
        <v>31.75614</v>
      </c>
      <c r="O599" t="n">
        <v>16.16258</v>
      </c>
      <c r="P599" t="n">
        <v>11.21075</v>
      </c>
      <c r="Q599" t="n">
        <v>16.98198</v>
      </c>
      <c r="R599" t="n">
        <v>29.66566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36.29464</v>
      </c>
      <c r="Y599" t="n">
        <v>24.3295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89" t="n">
        <v>36831</v>
      </c>
      <c r="B600" t="n">
        <v>24.62393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15.73139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39.4342</v>
      </c>
      <c r="N600" t="n">
        <v>32.086</v>
      </c>
      <c r="O600" t="n">
        <v>16.52472</v>
      </c>
      <c r="P600" t="n">
        <v>11.44868</v>
      </c>
      <c r="Q600" t="n">
        <v>17.17207</v>
      </c>
      <c r="R600" t="n">
        <v>30.16907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36.45712</v>
      </c>
      <c r="Y600" t="n">
        <v>24.61707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89" t="n">
        <v>36861</v>
      </c>
      <c r="B601" t="n">
        <v>24.51467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15.79486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39.8361</v>
      </c>
      <c r="N601" t="n">
        <v>32.16827</v>
      </c>
      <c r="O601" t="n">
        <v>16.79229</v>
      </c>
      <c r="P601" t="n">
        <v>11.70729</v>
      </c>
      <c r="Q601" t="n">
        <v>17.35549</v>
      </c>
      <c r="R601" t="n">
        <v>30.67809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36.89209</v>
      </c>
      <c r="Y601" t="n">
        <v>24.86341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89" t="n">
        <v>36892</v>
      </c>
      <c r="B602" t="n">
        <v>24.70238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15.82276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40.34059</v>
      </c>
      <c r="N602" t="n">
        <v>32.30059</v>
      </c>
      <c r="O602" t="n">
        <v>16.95087</v>
      </c>
      <c r="P602" t="n">
        <v>11.84291</v>
      </c>
      <c r="Q602" t="n">
        <v>17.52728</v>
      </c>
      <c r="R602" t="n">
        <v>31.09717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37.35153</v>
      </c>
      <c r="Y602" t="n">
        <v>25.15333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89" t="n">
        <v>36923</v>
      </c>
      <c r="B603" t="n">
        <v>24.99095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15.95625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40.51271</v>
      </c>
      <c r="N603" t="n">
        <v>32.78435</v>
      </c>
      <c r="O603" t="n">
        <v>17.17239</v>
      </c>
      <c r="P603" t="n">
        <v>11.93126</v>
      </c>
      <c r="Q603" t="n">
        <v>17.70635</v>
      </c>
      <c r="R603" t="n">
        <v>31.8405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37.6849</v>
      </c>
      <c r="Y603" t="n">
        <v>25.67378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89" t="n">
        <v>36951</v>
      </c>
      <c r="B604" t="n">
        <v>25.27953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16.03378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40.8611</v>
      </c>
      <c r="N604" t="n">
        <v>33.27316</v>
      </c>
      <c r="O604" t="n">
        <v>17.58521</v>
      </c>
      <c r="P604" t="n">
        <v>12.06677</v>
      </c>
      <c r="Q604" t="n">
        <v>17.90319</v>
      </c>
      <c r="R604" t="n">
        <v>32.40323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38.17263</v>
      </c>
      <c r="Y604" t="n">
        <v>26.47127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89" t="n">
        <v>36982</v>
      </c>
      <c r="B605" t="n">
        <v>25.54008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16.03562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41.39331</v>
      </c>
      <c r="N605" t="n">
        <v>33.70138</v>
      </c>
      <c r="O605" t="n">
        <v>18.05528</v>
      </c>
      <c r="P605" t="n">
        <v>12.22381</v>
      </c>
      <c r="Q605" t="n">
        <v>18.10699</v>
      </c>
      <c r="R605" t="n">
        <v>32.52715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38.63897</v>
      </c>
      <c r="Y605" t="n">
        <v>27.15695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89" t="n">
        <v>37012</v>
      </c>
      <c r="B606" t="n">
        <v>25.82025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16.11858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41.46114</v>
      </c>
      <c r="N606" t="n">
        <v>34.19304</v>
      </c>
      <c r="O606" t="n">
        <v>18.21256</v>
      </c>
      <c r="P606" t="n">
        <v>12.41516</v>
      </c>
      <c r="Q606" t="n">
        <v>18.31321</v>
      </c>
      <c r="R606" t="n">
        <v>32.82201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38.81749</v>
      </c>
      <c r="Y606" t="n">
        <v>27.54985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89" t="n">
        <v>37043</v>
      </c>
      <c r="B607" t="n">
        <v>26.11443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16.26774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41.5676</v>
      </c>
      <c r="N607" t="n">
        <v>34.52384</v>
      </c>
      <c r="O607" t="n">
        <v>18.19463</v>
      </c>
      <c r="P607" t="n">
        <v>12.59801</v>
      </c>
      <c r="Q607" t="n">
        <v>18.52725</v>
      </c>
      <c r="R607" t="n">
        <v>33.18924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39.15277</v>
      </c>
      <c r="Y607" t="n">
        <v>27.98258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89" t="n">
        <v>37073</v>
      </c>
      <c r="B608" t="n">
        <v>26.20408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16.37709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41.96082</v>
      </c>
      <c r="N608" t="n">
        <v>34.71345</v>
      </c>
      <c r="O608" t="n">
        <v>18.00674</v>
      </c>
      <c r="P608" t="n">
        <v>12.73767</v>
      </c>
      <c r="Q608" t="n">
        <v>18.74914</v>
      </c>
      <c r="R608" t="n">
        <v>33.43453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39.42885</v>
      </c>
      <c r="Y608" t="n">
        <v>28.37138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89" t="n">
        <v>37104</v>
      </c>
      <c r="B609" t="n">
        <v>26.36658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16.50529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42.4596</v>
      </c>
      <c r="N609" t="n">
        <v>35.27348</v>
      </c>
      <c r="O609" t="n">
        <v>17.81949</v>
      </c>
      <c r="P609" t="n">
        <v>12.86392</v>
      </c>
      <c r="Q609" t="n">
        <v>18.98635</v>
      </c>
      <c r="R609" t="n">
        <v>33.69766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39.78669</v>
      </c>
      <c r="Y609" t="n">
        <v>28.94169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89" t="n">
        <v>37135</v>
      </c>
      <c r="B610" t="n">
        <v>26.76441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16.64548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42.75971</v>
      </c>
      <c r="N610" t="n">
        <v>35.87106</v>
      </c>
      <c r="O610" t="n">
        <v>18.04943</v>
      </c>
      <c r="P610" t="n">
        <v>12.97775</v>
      </c>
      <c r="Q610" t="n">
        <v>19.23208</v>
      </c>
      <c r="R610" t="n">
        <v>34.18702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40.50047</v>
      </c>
      <c r="Y610" t="n">
        <v>29.65342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89" t="n">
        <v>37165</v>
      </c>
      <c r="B611" t="n">
        <v>27.15665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16.89522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43.10547</v>
      </c>
      <c r="N611" t="n">
        <v>36.38918</v>
      </c>
      <c r="O611" t="n">
        <v>18.43945</v>
      </c>
      <c r="P611" t="n">
        <v>13.08113</v>
      </c>
      <c r="Q611" t="n">
        <v>19.45749</v>
      </c>
      <c r="R611" t="n">
        <v>34.579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40.68135</v>
      </c>
      <c r="Y611" t="n">
        <v>30.158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89" t="n">
        <v>37196</v>
      </c>
      <c r="B612" t="n">
        <v>27.52087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17.08312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43.5299</v>
      </c>
      <c r="N612" t="n">
        <v>36.70445</v>
      </c>
      <c r="O612" t="n">
        <v>18.80783</v>
      </c>
      <c r="P612" t="n">
        <v>13.23063</v>
      </c>
      <c r="Q612" t="n">
        <v>19.65967</v>
      </c>
      <c r="R612" t="n">
        <v>34.74297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40.97754</v>
      </c>
      <c r="Y612" t="n">
        <v>30.39603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89" t="n">
        <v>37226</v>
      </c>
      <c r="B613" t="n">
        <v>27.80664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17.13858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43.70447</v>
      </c>
      <c r="N613" t="n">
        <v>37.13822</v>
      </c>
      <c r="O613" t="n">
        <v>19.00094</v>
      </c>
      <c r="P613" t="n">
        <v>13.40002</v>
      </c>
      <c r="Q613" t="n">
        <v>19.863</v>
      </c>
      <c r="R613" t="n">
        <v>34.85701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41.2159</v>
      </c>
      <c r="Y613" t="n">
        <v>30.43776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89" t="n">
        <v>37257</v>
      </c>
      <c r="B614" t="n">
        <v>28.0728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17.14338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43.44427</v>
      </c>
      <c r="N614" t="n">
        <v>37.61102</v>
      </c>
      <c r="O614" t="n">
        <v>19.16421</v>
      </c>
      <c r="P614" t="n">
        <v>13.51709</v>
      </c>
      <c r="Q614" t="n">
        <v>20.07222</v>
      </c>
      <c r="R614" t="n">
        <v>34.70692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41.2328</v>
      </c>
      <c r="Y614" t="n">
        <v>30.08824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89" t="n">
        <v>37288</v>
      </c>
      <c r="B615" t="n">
        <v>28.29133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17.14563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37.22915</v>
      </c>
      <c r="O615" t="n">
        <v>19.25138</v>
      </c>
      <c r="P615" t="n">
        <v>13.6293</v>
      </c>
      <c r="Q615" t="n">
        <v>20.27951</v>
      </c>
      <c r="R615" t="n">
        <v>34.48629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41.37038</v>
      </c>
      <c r="Y615" t="n">
        <v>29.96478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89" t="n">
        <v>37316</v>
      </c>
      <c r="B616" t="n">
        <v>28.54348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17.25204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43.54476</v>
      </c>
      <c r="N616" t="n">
        <v>36.79562</v>
      </c>
      <c r="O616" t="n">
        <v>19.26405</v>
      </c>
      <c r="P616" t="n">
        <v>13.76843</v>
      </c>
      <c r="Q616" t="n">
        <v>20.49522</v>
      </c>
      <c r="R616" t="n">
        <v>34.58804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41.55078</v>
      </c>
      <c r="Y616" t="n">
        <v>30.18804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89" t="n">
        <v>37347</v>
      </c>
      <c r="B617" t="n">
        <v>28.37258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17.41848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43.66652</v>
      </c>
      <c r="N617" t="n">
        <v>37.14535</v>
      </c>
      <c r="O617" t="n">
        <v>19.22424</v>
      </c>
      <c r="P617" t="n">
        <v>13.94097</v>
      </c>
      <c r="Q617" t="n">
        <v>20.7202</v>
      </c>
      <c r="R617" t="n">
        <v>34.93269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41.64258</v>
      </c>
      <c r="Y617" t="n">
        <v>30.32133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89" t="n">
        <v>37377</v>
      </c>
      <c r="B618" t="n">
        <v>28.10081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17.58136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43.86567</v>
      </c>
      <c r="N618" t="n">
        <v>37.55087</v>
      </c>
      <c r="O618" t="n">
        <v>19.1845</v>
      </c>
      <c r="P618" t="n">
        <v>14.35914</v>
      </c>
      <c r="Q618" t="n">
        <v>20.94656</v>
      </c>
      <c r="R618" t="n">
        <v>35.26976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41.8484</v>
      </c>
      <c r="Y618" t="n">
        <v>30.64669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89" t="n">
        <v>37408</v>
      </c>
      <c r="B619" t="n">
        <v>27.98875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17.6274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43.99327</v>
      </c>
      <c r="N619" t="n">
        <v>37.65265</v>
      </c>
      <c r="O619" t="n">
        <v>19.24552</v>
      </c>
      <c r="P619" t="n">
        <v>14.70696</v>
      </c>
      <c r="Q619" t="n">
        <v>21.18389</v>
      </c>
      <c r="R619" t="n">
        <v>35.429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42.05946</v>
      </c>
      <c r="Y619" t="n">
        <v>31.00048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89" t="n">
        <v>37438</v>
      </c>
      <c r="B620" t="n">
        <v>28.084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17.72617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43.96651</v>
      </c>
      <c r="N620" t="n">
        <v>37.86114</v>
      </c>
      <c r="O620" t="n">
        <v>19.48093</v>
      </c>
      <c r="P620" t="n">
        <v>14.81467</v>
      </c>
      <c r="Q620" t="n">
        <v>21.42385</v>
      </c>
      <c r="R620" t="n">
        <v>35.24886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42.36749</v>
      </c>
      <c r="Y620" t="n">
        <v>31.37121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89" t="n">
        <v>37469</v>
      </c>
      <c r="B621" t="n">
        <v>28.55749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17.87833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44.24301</v>
      </c>
      <c r="N621" t="n">
        <v>38.40352</v>
      </c>
      <c r="O621" t="n">
        <v>19.75081</v>
      </c>
      <c r="P621" t="n">
        <v>14.97889</v>
      </c>
      <c r="Q621" t="n">
        <v>21.64597</v>
      </c>
      <c r="R621" t="n">
        <v>35.26358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42.6688</v>
      </c>
      <c r="Y621" t="n">
        <v>31.68518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89" t="n">
        <v>37500</v>
      </c>
      <c r="B622" t="n">
        <v>28.82925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18.05277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44.66985</v>
      </c>
      <c r="N622" t="n">
        <v>38.71</v>
      </c>
      <c r="O622" t="n">
        <v>19.89742</v>
      </c>
      <c r="P622" t="n">
        <v>15.12812</v>
      </c>
      <c r="Q622" t="n">
        <v>21.85909</v>
      </c>
      <c r="R622" t="n">
        <v>35.64092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42.85281</v>
      </c>
      <c r="Y622" t="n">
        <v>31.83242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89" t="n">
        <v>37530</v>
      </c>
      <c r="B623" t="n">
        <v>29.00295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18.20345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45.03983</v>
      </c>
      <c r="N623" t="n">
        <v>39.1168</v>
      </c>
      <c r="O623" t="n">
        <v>19.90388</v>
      </c>
      <c r="P623" t="n">
        <v>15.26559</v>
      </c>
      <c r="Q623" t="n">
        <v>22.08961</v>
      </c>
      <c r="R623" t="n">
        <v>35.90813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43.11503</v>
      </c>
      <c r="Y623" t="n">
        <v>32.04509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89" t="n">
        <v>37561</v>
      </c>
      <c r="B624" t="n">
        <v>29.28872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18.30544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45.33238</v>
      </c>
      <c r="N624" t="n">
        <v>39.9598</v>
      </c>
      <c r="O624" t="n">
        <v>19.9094</v>
      </c>
      <c r="P624" t="n">
        <v>15.42774</v>
      </c>
      <c r="Q624" t="n">
        <v>22.36234</v>
      </c>
      <c r="R624" t="n">
        <v>36.04206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43.45727</v>
      </c>
      <c r="Y624" t="n">
        <v>32.2366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89" t="n">
        <v>37591</v>
      </c>
      <c r="B625" t="n">
        <v>29.63053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18.48118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45.44625</v>
      </c>
      <c r="N625" t="n">
        <v>40.74359</v>
      </c>
      <c r="O625" t="n">
        <v>19.9397</v>
      </c>
      <c r="P625" t="n">
        <v>15.57108</v>
      </c>
      <c r="Q625" t="n">
        <v>22.68001</v>
      </c>
      <c r="R625" t="n">
        <v>36.36617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43.65303</v>
      </c>
      <c r="Y625" t="n">
        <v>32.45815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89" t="n">
        <v>37622</v>
      </c>
      <c r="B626" t="n">
        <v>29.94992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18.67061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45.36909</v>
      </c>
      <c r="N626" t="n">
        <v>41.50998</v>
      </c>
      <c r="O626" t="n">
        <v>19.98559</v>
      </c>
      <c r="P626" t="n">
        <v>15.69335</v>
      </c>
      <c r="Q626" t="n">
        <v>22.99959</v>
      </c>
      <c r="R626" t="n">
        <v>36.8114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43.88906</v>
      </c>
      <c r="Y626" t="n">
        <v>32.75072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89" t="n">
        <v>37653</v>
      </c>
      <c r="B627" t="n">
        <v>30.20487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18.89328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45.65673</v>
      </c>
      <c r="N627" t="n">
        <v>41.99254</v>
      </c>
      <c r="O627" t="n">
        <v>20.18415</v>
      </c>
      <c r="P627" t="n">
        <v>15.80506</v>
      </c>
      <c r="Q627" t="n">
        <v>23.30667</v>
      </c>
      <c r="R627" t="n">
        <v>37.20923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44.13589</v>
      </c>
      <c r="Y627" t="n">
        <v>33.0526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89" t="n">
        <v>37681</v>
      </c>
      <c r="B628" t="n">
        <v>30.49064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19.11164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45.8805</v>
      </c>
      <c r="N628" t="n">
        <v>42.06824</v>
      </c>
      <c r="O628" t="n">
        <v>20.35237</v>
      </c>
      <c r="P628" t="n">
        <v>15.84547</v>
      </c>
      <c r="Q628" t="n">
        <v>23.65201</v>
      </c>
      <c r="R628" t="n">
        <v>37.31412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44.29208</v>
      </c>
      <c r="Y628" t="n">
        <v>33.21762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89" t="n">
        <v>37712</v>
      </c>
      <c r="B629" t="n">
        <v>30.84085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19.21272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45.97112</v>
      </c>
      <c r="N629" t="n">
        <v>42.31966</v>
      </c>
      <c r="O629" t="n">
        <v>20.43513</v>
      </c>
      <c r="P629" t="n">
        <v>15.96908</v>
      </c>
      <c r="Q629" t="n">
        <v>24.04226</v>
      </c>
      <c r="R629" t="n">
        <v>37.17942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44.47247</v>
      </c>
      <c r="Y629" t="n">
        <v>33.27011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89" t="n">
        <v>37742</v>
      </c>
      <c r="B630" t="n">
        <v>31.28632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19.42826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46.06001</v>
      </c>
      <c r="N630" t="n">
        <v>42.87053</v>
      </c>
      <c r="O630" t="n">
        <v>20.57022</v>
      </c>
      <c r="P630" t="n">
        <v>16.21034</v>
      </c>
      <c r="Q630" t="n">
        <v>24.43196</v>
      </c>
      <c r="R630" t="n">
        <v>37.24537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44.78402</v>
      </c>
      <c r="Y630" t="n">
        <v>33.34044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89" t="n">
        <v>37773</v>
      </c>
      <c r="B631" t="n">
        <v>31.60291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19.80628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46.30641</v>
      </c>
      <c r="N631" t="n">
        <v>43.55558</v>
      </c>
      <c r="O631" t="n">
        <v>20.6298</v>
      </c>
      <c r="P631" t="n">
        <v>16.42286</v>
      </c>
      <c r="Q631" t="n">
        <v>24.79387</v>
      </c>
      <c r="R631" t="n">
        <v>37.31356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44.99426</v>
      </c>
      <c r="Y631" t="n">
        <v>33.46717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89" t="n">
        <v>37803</v>
      </c>
      <c r="B632" t="n">
        <v>31.44321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20.02837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46.84993</v>
      </c>
      <c r="N632" t="n">
        <v>44.10311</v>
      </c>
      <c r="O632" t="n">
        <v>20.7093</v>
      </c>
      <c r="P632" t="n">
        <v>16.60148</v>
      </c>
      <c r="Q632" t="n">
        <v>25.14957</v>
      </c>
      <c r="R632" t="n">
        <v>37.49944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45.28107</v>
      </c>
      <c r="Y632" t="n">
        <v>33.74665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89" t="n">
        <v>37834</v>
      </c>
      <c r="B633" t="n">
        <v>31.62252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20.17429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47.12853</v>
      </c>
      <c r="N633" t="n">
        <v>44.12305</v>
      </c>
      <c r="O633" t="n">
        <v>20.88194</v>
      </c>
      <c r="P633" t="n">
        <v>16.7388</v>
      </c>
      <c r="Q633" t="n">
        <v>25.53171</v>
      </c>
      <c r="R633" t="n">
        <v>37.83708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45.61572</v>
      </c>
      <c r="Y633" t="n">
        <v>33.93748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89" t="n">
        <v>37865</v>
      </c>
      <c r="B634" t="n">
        <v>32.18005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20.29451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47.42828</v>
      </c>
      <c r="N634" t="n">
        <v>44.42924</v>
      </c>
      <c r="O634" t="n">
        <v>21.01863</v>
      </c>
      <c r="P634" t="n">
        <v>16.87585</v>
      </c>
      <c r="Q634" t="n">
        <v>25.94106</v>
      </c>
      <c r="R634" t="n">
        <v>38.17681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45.63301</v>
      </c>
      <c r="Y634" t="n">
        <v>34.15568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89" t="n">
        <v>37895</v>
      </c>
      <c r="B635" t="n">
        <v>32.50505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20.28055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47.78843</v>
      </c>
      <c r="N635" t="n">
        <v>45.19537</v>
      </c>
      <c r="O635" t="n">
        <v>21.15718</v>
      </c>
      <c r="P635" t="n">
        <v>17.10302</v>
      </c>
      <c r="Q635" t="n">
        <v>26.35884</v>
      </c>
      <c r="R635" t="n">
        <v>38.43875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45.75444</v>
      </c>
      <c r="Y635" t="n">
        <v>34.59221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89" t="n">
        <v>37926</v>
      </c>
      <c r="B636" t="n">
        <v>32.76841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20.38205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48.20326</v>
      </c>
      <c r="N636" t="n">
        <v>45.8162</v>
      </c>
      <c r="O636" t="n">
        <v>21.42836</v>
      </c>
      <c r="P636" t="n">
        <v>17.32626</v>
      </c>
      <c r="Q636" t="n">
        <v>26.74733</v>
      </c>
      <c r="R636" t="n">
        <v>38.57797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45.92126</v>
      </c>
      <c r="Y636" t="n">
        <v>35.05994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89" t="n">
        <v>37956</v>
      </c>
      <c r="B637" t="n">
        <v>33.099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20.72441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48.83907</v>
      </c>
      <c r="N637" t="n">
        <v>46.07851</v>
      </c>
      <c r="O637" t="n">
        <v>21.55904</v>
      </c>
      <c r="P637" t="n">
        <v>17.51785</v>
      </c>
      <c r="Q637" t="n">
        <v>27.09871</v>
      </c>
      <c r="R637" t="n">
        <v>38.6391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46.06605</v>
      </c>
      <c r="Y637" t="n">
        <v>35.3636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89" t="n">
        <v>37987</v>
      </c>
      <c r="B638" t="n">
        <v>33.32874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21.05408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49.91553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38.83389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46.34246</v>
      </c>
      <c r="Y638" t="n">
        <v>35.86343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89" t="n">
        <v>38018</v>
      </c>
      <c r="B639" t="n">
        <v>33.5977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21.28084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50.38908</v>
      </c>
      <c r="N639" t="n">
        <v>47.23204</v>
      </c>
      <c r="O639" t="n">
        <v>21.48142</v>
      </c>
      <c r="P639" t="n">
        <v>18.03639</v>
      </c>
      <c r="Q639" t="n">
        <v>27.84657</v>
      </c>
      <c r="R639" t="n">
        <v>39.0004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46.64104</v>
      </c>
      <c r="Y639" t="n">
        <v>36.2642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89" t="n">
        <v>38047</v>
      </c>
      <c r="B640" t="n">
        <v>34.02636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21.53785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50.39895</v>
      </c>
      <c r="N640" t="n">
        <v>47.10162</v>
      </c>
      <c r="O640" t="n">
        <v>21.5072</v>
      </c>
      <c r="P640" t="n">
        <v>18.31292</v>
      </c>
      <c r="Q640" t="n">
        <v>28.19962</v>
      </c>
      <c r="R640" t="n">
        <v>39.12058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46.87843</v>
      </c>
      <c r="Y640" t="n">
        <v>36.40438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89" t="n">
        <v>38078</v>
      </c>
      <c r="B641" t="n">
        <v>34.36536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21.70022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50.84042</v>
      </c>
      <c r="N641" t="n">
        <v>47.32878</v>
      </c>
      <c r="O641" t="n">
        <v>21.58955</v>
      </c>
      <c r="P641" t="n">
        <v>18.57175</v>
      </c>
      <c r="Q641" t="n">
        <v>28.57566</v>
      </c>
      <c r="R641" t="n">
        <v>39.48978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47.1842</v>
      </c>
      <c r="Y641" t="n">
        <v>36.81119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89" t="n">
        <v>38108</v>
      </c>
      <c r="B642" t="n">
        <v>34.52786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21.71339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50.9957</v>
      </c>
      <c r="N642" t="n">
        <v>47.7937</v>
      </c>
      <c r="O642" t="n">
        <v>21.84179</v>
      </c>
      <c r="P642" t="n">
        <v>18.75677</v>
      </c>
      <c r="Q642" t="n">
        <v>28.97564</v>
      </c>
      <c r="R642" t="n">
        <v>39.84063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47.62652</v>
      </c>
      <c r="Y642" t="n">
        <v>37.21904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89" t="n">
        <v>38139</v>
      </c>
      <c r="B643" t="n">
        <v>34.67915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22.16979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51.33218</v>
      </c>
      <c r="N643" t="n">
        <v>48.26739</v>
      </c>
      <c r="O643" t="n">
        <v>22.27279</v>
      </c>
      <c r="P643" t="n">
        <v>18.88158</v>
      </c>
      <c r="Q643" t="n">
        <v>29.34883</v>
      </c>
      <c r="R643" t="n">
        <v>40.15097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47.7407</v>
      </c>
      <c r="Y643" t="n">
        <v>37.42558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89" t="n">
        <v>38169</v>
      </c>
      <c r="B644" t="n">
        <v>35.00975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22.60477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51.74906</v>
      </c>
      <c r="N644" t="n">
        <v>48.93632</v>
      </c>
      <c r="O644" t="n">
        <v>22.48644</v>
      </c>
      <c r="P644" t="n">
        <v>18.9977</v>
      </c>
      <c r="Q644" t="n">
        <v>29.70762</v>
      </c>
      <c r="R644" t="n">
        <v>40.49987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47.91104</v>
      </c>
      <c r="Y644" t="n">
        <v>37.58749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89" t="n">
        <v>38200</v>
      </c>
      <c r="B645" t="n">
        <v>35.30112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22.71761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52.08248</v>
      </c>
      <c r="N645" t="n">
        <v>49.58389</v>
      </c>
      <c r="O645" t="n">
        <v>22.61004</v>
      </c>
      <c r="P645" t="n">
        <v>19.14314</v>
      </c>
      <c r="Q645" t="n">
        <v>30.0749</v>
      </c>
      <c r="R645" t="n">
        <v>40.85028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48.14742</v>
      </c>
      <c r="Y645" t="n">
        <v>37.90593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89" t="n">
        <v>38231</v>
      </c>
      <c r="B646" t="n">
        <v>35.40198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23.05392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52.3522</v>
      </c>
      <c r="N646" t="n">
        <v>50.01952</v>
      </c>
      <c r="O646" t="n">
        <v>22.74047</v>
      </c>
      <c r="P646" t="n">
        <v>19.27585</v>
      </c>
      <c r="Q646" t="n">
        <v>30.43938</v>
      </c>
      <c r="R646" t="n">
        <v>41.08779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48.37944</v>
      </c>
      <c r="Y646" t="n">
        <v>38.21112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89" t="n">
        <v>38261</v>
      </c>
      <c r="B647" t="n">
        <v>35.53926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23.35353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52.55713</v>
      </c>
      <c r="N647" t="n">
        <v>50.3553</v>
      </c>
      <c r="O647" t="n">
        <v>22.79824</v>
      </c>
      <c r="P647" t="n">
        <v>19.43704</v>
      </c>
      <c r="Q647" t="n">
        <v>30.81153</v>
      </c>
      <c r="R647" t="n">
        <v>41.41624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48.63221</v>
      </c>
      <c r="Y647" t="n">
        <v>38.51818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89" t="n">
        <v>38292</v>
      </c>
      <c r="B648" t="n">
        <v>35.86706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23.56967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53.10984</v>
      </c>
      <c r="N648" t="n">
        <v>50.91353</v>
      </c>
      <c r="O648" t="n">
        <v>22.85875</v>
      </c>
      <c r="P648" t="n">
        <v>19.62199</v>
      </c>
      <c r="Q648" t="n">
        <v>31.2238</v>
      </c>
      <c r="R648" t="n">
        <v>41.92152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48.9102</v>
      </c>
      <c r="Y648" t="n">
        <v>38.94187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89" t="n">
        <v>38322</v>
      </c>
      <c r="B649" t="n">
        <v>36.16124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24.08914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53.57639</v>
      </c>
      <c r="N649" t="n">
        <v>51.4011</v>
      </c>
      <c r="O649" t="n">
        <v>23.06058</v>
      </c>
      <c r="P649" t="n">
        <v>19.82857</v>
      </c>
      <c r="Q649" t="n">
        <v>31.68365</v>
      </c>
      <c r="R649" t="n">
        <v>42.32251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49.10168</v>
      </c>
      <c r="Y649" t="n">
        <v>39.11102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89" t="n">
        <v>38353</v>
      </c>
      <c r="B650" t="n">
        <v>36.39658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24.66479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54.07225</v>
      </c>
      <c r="N650" t="n">
        <v>51.75667</v>
      </c>
      <c r="O650" t="n">
        <v>23.27019</v>
      </c>
      <c r="P650" t="n">
        <v>20.25499</v>
      </c>
      <c r="Q650" t="n">
        <v>32.17133</v>
      </c>
      <c r="R650" t="n">
        <v>42.70789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49.2372</v>
      </c>
      <c r="Y650" t="n">
        <v>39.23933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89" t="n">
        <v>38384</v>
      </c>
      <c r="B651" t="n">
        <v>36.63752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24.90396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54.45554</v>
      </c>
      <c r="N651" t="n">
        <v>52.31371</v>
      </c>
      <c r="O651" t="n">
        <v>23.4021</v>
      </c>
      <c r="P651" t="n">
        <v>20.53226</v>
      </c>
      <c r="Q651" t="n">
        <v>32.66627</v>
      </c>
      <c r="R651" t="n">
        <v>43.14961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49.40975</v>
      </c>
      <c r="Y651" t="n">
        <v>39.48902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89" t="n">
        <v>38412</v>
      </c>
      <c r="B652" t="n">
        <v>36.79161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25.19961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54.78073</v>
      </c>
      <c r="N652" t="n">
        <v>53.19344</v>
      </c>
      <c r="O652" t="n">
        <v>23.67588</v>
      </c>
      <c r="P652" t="n">
        <v>20.56539</v>
      </c>
      <c r="Q652" t="n">
        <v>33.13094</v>
      </c>
      <c r="R652" t="n">
        <v>43.39953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49.60223</v>
      </c>
      <c r="Y652" t="n">
        <v>39.88857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89" t="n">
        <v>38443</v>
      </c>
      <c r="B653" t="n">
        <v>37.01295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25.58145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55.31243</v>
      </c>
      <c r="N653" t="n">
        <v>54.32483</v>
      </c>
      <c r="O653" t="n">
        <v>24.12606</v>
      </c>
      <c r="P653" t="n">
        <v>20.8876</v>
      </c>
      <c r="Q653" t="n">
        <v>33.56136</v>
      </c>
      <c r="R653" t="n">
        <v>43.71733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49.8462</v>
      </c>
      <c r="Y653" t="n">
        <v>40.4776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89" t="n">
        <v>38473</v>
      </c>
      <c r="B654" t="n">
        <v>37.36876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25.94513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55.9817</v>
      </c>
      <c r="N654" t="n">
        <v>55.23359</v>
      </c>
      <c r="O654" t="n">
        <v>24.40152</v>
      </c>
      <c r="P654" t="n">
        <v>21.25314</v>
      </c>
      <c r="Q654" t="n">
        <v>34.08271</v>
      </c>
      <c r="R654" t="n">
        <v>44.36804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50.1194</v>
      </c>
      <c r="Y654" t="n">
        <v>41.05465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89" t="n">
        <v>38504</v>
      </c>
      <c r="B655" t="n">
        <v>37.74418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26.30389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56.65811</v>
      </c>
      <c r="N655" t="n">
        <v>55.61333</v>
      </c>
      <c r="O655" t="n">
        <v>24.61522</v>
      </c>
      <c r="P655" t="n">
        <v>21.45936</v>
      </c>
      <c r="Q655" t="n">
        <v>34.71707</v>
      </c>
      <c r="R655" t="n">
        <v>44.96719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50.45088</v>
      </c>
      <c r="Y655" t="n">
        <v>41.62246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89" t="n">
        <v>38534</v>
      </c>
      <c r="B656" t="n">
        <v>37.97672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26.47299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57.27878</v>
      </c>
      <c r="N656" t="n">
        <v>55.9426</v>
      </c>
      <c r="O656" t="n">
        <v>25.0488</v>
      </c>
      <c r="P656" t="n">
        <v>21.68746</v>
      </c>
      <c r="Q656" t="n">
        <v>35.31264</v>
      </c>
      <c r="R656" t="n">
        <v>45.31483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50.81009</v>
      </c>
      <c r="Y656" t="n">
        <v>42.16332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89" t="n">
        <v>38565</v>
      </c>
      <c r="B657" t="n">
        <v>38.09439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26.61085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57.45025</v>
      </c>
      <c r="N657" t="n">
        <v>56.34964</v>
      </c>
      <c r="O657" t="n">
        <v>25.55486</v>
      </c>
      <c r="P657" t="n">
        <v>21.91241</v>
      </c>
      <c r="Q657" t="n">
        <v>35.83746</v>
      </c>
      <c r="R657" t="n">
        <v>45.50585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51.09975</v>
      </c>
      <c r="Y657" t="n">
        <v>42.53148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89" t="n">
        <v>38596</v>
      </c>
      <c r="B658" t="n">
        <v>38.41939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27.02948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57.92984</v>
      </c>
      <c r="N658" t="n">
        <v>56.99247</v>
      </c>
      <c r="O658" t="n">
        <v>26.18155</v>
      </c>
      <c r="P658" t="n">
        <v>22.41583</v>
      </c>
      <c r="Q658" t="n">
        <v>36.41407</v>
      </c>
      <c r="R658" t="n">
        <v>45.48978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51.42155</v>
      </c>
      <c r="Y658" t="n">
        <v>42.98265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89" t="n">
        <v>38626</v>
      </c>
      <c r="B659" t="n">
        <v>38.61551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27.57967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58.85485</v>
      </c>
      <c r="N659" t="n">
        <v>57.60753</v>
      </c>
      <c r="O659" t="n">
        <v>26.61066</v>
      </c>
      <c r="P659" t="n">
        <v>22.83817</v>
      </c>
      <c r="Q659" t="n">
        <v>37.10153</v>
      </c>
      <c r="R659" t="n">
        <v>45.54618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51.77122</v>
      </c>
      <c r="Y659" t="n">
        <v>43.5502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89" t="n">
        <v>38657</v>
      </c>
      <c r="B660" t="n">
        <v>38.67714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28.22039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59.21534</v>
      </c>
      <c r="N660" t="n">
        <v>58.18877</v>
      </c>
      <c r="O660" t="n">
        <v>26.69896</v>
      </c>
      <c r="P660" t="n">
        <v>23.00184</v>
      </c>
      <c r="Q660" t="n">
        <v>37.81456</v>
      </c>
      <c r="R660" t="n">
        <v>45.92287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51.99937</v>
      </c>
      <c r="Y660" t="n">
        <v>43.95715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89" t="n">
        <v>38687</v>
      </c>
      <c r="B661" t="n">
        <v>39.01054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28.51999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59.92864</v>
      </c>
      <c r="N661" t="n">
        <v>58.91221</v>
      </c>
      <c r="O661" t="n">
        <v>26.84932</v>
      </c>
      <c r="P661" t="n">
        <v>23.29244</v>
      </c>
      <c r="Q661" t="n">
        <v>38.46975</v>
      </c>
      <c r="R661" t="n">
        <v>46.07317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52.28476</v>
      </c>
      <c r="Y661" t="n">
        <v>44.45793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89" t="n">
        <v>38718</v>
      </c>
      <c r="B662" t="n">
        <v>39.45601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28.55886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60.39901</v>
      </c>
      <c r="N662" t="n">
        <v>59.78686</v>
      </c>
      <c r="O662" t="n">
        <v>27.19197</v>
      </c>
      <c r="P662" t="n">
        <v>23.46516</v>
      </c>
      <c r="Q662" t="n">
        <v>39.08581</v>
      </c>
      <c r="R662" t="n">
        <v>45.79615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52.5924</v>
      </c>
      <c r="Y662" t="n">
        <v>44.83909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89" t="n">
        <v>38749</v>
      </c>
      <c r="B663" t="n">
        <v>39.76979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28.83853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60.79145</v>
      </c>
      <c r="N663" t="n">
        <v>60.89386</v>
      </c>
      <c r="O663" t="n">
        <v>27.56912</v>
      </c>
      <c r="P663" t="n">
        <v>23.62107</v>
      </c>
      <c r="Q663" t="n">
        <v>39.6841</v>
      </c>
      <c r="R663" t="n">
        <v>45.85913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52.86169</v>
      </c>
      <c r="Y663" t="n">
        <v>45.18888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89" t="n">
        <v>38777</v>
      </c>
      <c r="B664" t="n">
        <v>40.15923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28.85612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62.09755</v>
      </c>
      <c r="N664" t="n">
        <v>62.83893</v>
      </c>
      <c r="O664" t="n">
        <v>27.86011</v>
      </c>
      <c r="P664" t="n">
        <v>24.33838</v>
      </c>
      <c r="Q664" t="n">
        <v>40.24675</v>
      </c>
      <c r="R664" t="n">
        <v>46.66678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53.24395</v>
      </c>
      <c r="Y664" t="n">
        <v>45.97793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89" t="n">
        <v>38808</v>
      </c>
      <c r="B665" t="n">
        <v>40.85685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29.40672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62.9559</v>
      </c>
      <c r="N665" t="n">
        <v>63.93609</v>
      </c>
      <c r="O665" t="n">
        <v>27.95644</v>
      </c>
      <c r="P665" t="n">
        <v>25.00314</v>
      </c>
      <c r="Q665" t="n">
        <v>40.80737</v>
      </c>
      <c r="R665" t="n">
        <v>47.2551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53.69211</v>
      </c>
      <c r="Y665" t="n">
        <v>46.66031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89" t="n">
        <v>38838</v>
      </c>
      <c r="B666" t="n">
        <v>41.36395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30.19631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62.97362</v>
      </c>
      <c r="N666" t="n">
        <v>63.55606</v>
      </c>
      <c r="O666" t="n">
        <v>28.43944</v>
      </c>
      <c r="P666" t="n">
        <v>25.23626</v>
      </c>
      <c r="Q666" t="n">
        <v>41.33091</v>
      </c>
      <c r="R666" t="n">
        <v>47.53238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53.98907</v>
      </c>
      <c r="Y666" t="n">
        <v>47.35769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89" t="n">
        <v>38869</v>
      </c>
      <c r="B667" t="n">
        <v>41.64692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30.60687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63.35038</v>
      </c>
      <c r="N667" t="n">
        <v>64.65788000000001</v>
      </c>
      <c r="O667" t="n">
        <v>28.94695</v>
      </c>
      <c r="P667" t="n">
        <v>25.46471</v>
      </c>
      <c r="Q667" t="n">
        <v>41.79917</v>
      </c>
      <c r="R667" t="n">
        <v>47.80965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54.39015</v>
      </c>
      <c r="Y667" t="n">
        <v>48.16973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89" t="n">
        <v>38899</v>
      </c>
      <c r="B668" t="n">
        <v>42.00554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31.30396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64.0912</v>
      </c>
      <c r="N668" t="n">
        <v>65.94444</v>
      </c>
      <c r="O668" t="n">
        <v>28.99599</v>
      </c>
      <c r="P668" t="n">
        <v>25.83794</v>
      </c>
      <c r="Q668" t="n">
        <v>42.30915</v>
      </c>
      <c r="R668" t="n">
        <v>48.18337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54.67057</v>
      </c>
      <c r="Y668" t="n">
        <v>48.50138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89" t="n">
        <v>38930</v>
      </c>
      <c r="B669" t="n">
        <v>42.42579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31.90463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64.67292999999999</v>
      </c>
      <c r="N669" t="n">
        <v>66.09155</v>
      </c>
      <c r="O669" t="n">
        <v>29.22624</v>
      </c>
      <c r="P669" t="n">
        <v>26.39097</v>
      </c>
      <c r="Q669" t="n">
        <v>42.84776</v>
      </c>
      <c r="R669" t="n">
        <v>48.83673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54.89332</v>
      </c>
      <c r="Y669" t="n">
        <v>48.71218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89" t="n">
        <v>38961</v>
      </c>
      <c r="B670" t="n">
        <v>42.82923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32.01347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65.56647</v>
      </c>
      <c r="N670" t="n">
        <v>66.29961</v>
      </c>
      <c r="O670" t="n">
        <v>29.57489</v>
      </c>
      <c r="P670" t="n">
        <v>26.89985</v>
      </c>
      <c r="Q670" t="n">
        <v>43.38371</v>
      </c>
      <c r="R670" t="n">
        <v>49.41191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55.23471</v>
      </c>
      <c r="Y670" t="n">
        <v>49.2692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89" t="n">
        <v>38991</v>
      </c>
      <c r="B671" t="n">
        <v>43.25788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32.18122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66.5836</v>
      </c>
      <c r="N671" t="n">
        <v>66.35123</v>
      </c>
      <c r="O671" t="n">
        <v>30.05068</v>
      </c>
      <c r="P671" t="n">
        <v>27.16799</v>
      </c>
      <c r="Q671" t="n">
        <v>44.0172</v>
      </c>
      <c r="R671" t="n">
        <v>49.87757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55.60638</v>
      </c>
      <c r="Y671" t="n">
        <v>49.86953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89" t="n">
        <v>39022</v>
      </c>
      <c r="B672" t="n">
        <v>43.66132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32.87668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67.15539</v>
      </c>
      <c r="N672" t="n">
        <v>66.58074000000001</v>
      </c>
      <c r="O672" t="n">
        <v>30.50355</v>
      </c>
      <c r="P672" t="n">
        <v>27.4556</v>
      </c>
      <c r="Q672" t="n">
        <v>44.85639</v>
      </c>
      <c r="R672" t="n">
        <v>50.37373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55.92817</v>
      </c>
      <c r="Y672" t="n">
        <v>50.30329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89" t="n">
        <v>39052</v>
      </c>
      <c r="B673" t="n">
        <v>44.07597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33.29504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67.86271000000001</v>
      </c>
      <c r="N673" t="n">
        <v>67.14454000000001</v>
      </c>
      <c r="O673" t="n">
        <v>30.81024</v>
      </c>
      <c r="P673" t="n">
        <v>27.88753</v>
      </c>
      <c r="Q673" t="n">
        <v>45.8675</v>
      </c>
      <c r="R673" t="n">
        <v>51.04235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56.38037</v>
      </c>
      <c r="Y673" t="n">
        <v>50.90823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89" t="n">
        <v>39083</v>
      </c>
      <c r="B674" t="n">
        <v>44.52424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33.2457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68.50121</v>
      </c>
      <c r="N674" t="n">
        <v>67.64388</v>
      </c>
      <c r="O674" t="n">
        <v>31.17442</v>
      </c>
      <c r="P674" t="n">
        <v>28.2892</v>
      </c>
      <c r="Q674" t="n">
        <v>47.02999</v>
      </c>
      <c r="R674" t="n">
        <v>51.69816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56.75238</v>
      </c>
      <c r="Y674" t="n">
        <v>51.58089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89" t="n">
        <v>39114</v>
      </c>
      <c r="B675" t="n">
        <v>45.16302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33.69477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68.98949</v>
      </c>
      <c r="N675" t="n">
        <v>67.99563000000001</v>
      </c>
      <c r="O675" t="n">
        <v>31.5383</v>
      </c>
      <c r="P675" t="n">
        <v>28.77255</v>
      </c>
      <c r="Q675" t="n">
        <v>48.37229</v>
      </c>
      <c r="R675" t="n">
        <v>52.18668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56.98694</v>
      </c>
      <c r="Y675" t="n">
        <v>52.12704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89" t="n">
        <v>39142</v>
      </c>
      <c r="B676" t="n">
        <v>45.9587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34.97308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69.83963</v>
      </c>
      <c r="N676" t="n">
        <v>68.31506</v>
      </c>
      <c r="O676" t="n">
        <v>31.92796</v>
      </c>
      <c r="P676" t="n">
        <v>29.65061</v>
      </c>
      <c r="Q676" t="n">
        <v>49.96592</v>
      </c>
      <c r="R676" t="n">
        <v>52.52921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57.38897</v>
      </c>
      <c r="Y676" t="n">
        <v>52.6756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89" t="n">
        <v>39173</v>
      </c>
      <c r="B677" t="n">
        <v>46.6283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36.00235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70.67682000000001</v>
      </c>
      <c r="N677" t="n">
        <v>68.57798</v>
      </c>
      <c r="O677" t="n">
        <v>32.26581</v>
      </c>
      <c r="P677" t="n">
        <v>30.16648</v>
      </c>
      <c r="Q677" t="n">
        <v>51.80834</v>
      </c>
      <c r="R677" t="n">
        <v>52.81646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57.87324</v>
      </c>
      <c r="Y677" t="n">
        <v>53.22292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89" t="n">
        <v>39203</v>
      </c>
      <c r="B678" t="n">
        <v>47.19984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36.5469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71.80265</v>
      </c>
      <c r="N678" t="n">
        <v>68.95356</v>
      </c>
      <c r="O678" t="n">
        <v>32.47444</v>
      </c>
      <c r="P678" t="n">
        <v>30.2391</v>
      </c>
      <c r="Q678" t="n">
        <v>53.67901</v>
      </c>
      <c r="R678" t="n">
        <v>53.12287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58.16609</v>
      </c>
      <c r="Y678" t="n">
        <v>53.92549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89" t="n">
        <v>39234</v>
      </c>
      <c r="B679" t="n">
        <v>48.08237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36.52522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72.8451</v>
      </c>
      <c r="N679" t="n">
        <v>69.88682</v>
      </c>
      <c r="O679" t="n">
        <v>32.99313</v>
      </c>
      <c r="P679" t="n">
        <v>30.80192</v>
      </c>
      <c r="Q679" t="n">
        <v>55.58387</v>
      </c>
      <c r="R679" t="n">
        <v>53.65554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58.56694</v>
      </c>
      <c r="Y679" t="n">
        <v>54.63445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89" t="n">
        <v>39264</v>
      </c>
      <c r="B680" t="n">
        <v>49.02934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36.72456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73.67574</v>
      </c>
      <c r="N680" t="n">
        <v>70.83208</v>
      </c>
      <c r="O680" t="n">
        <v>33.82523</v>
      </c>
      <c r="P680" t="n">
        <v>31.54329</v>
      </c>
      <c r="Q680" t="n">
        <v>57.63438</v>
      </c>
      <c r="R680" t="n">
        <v>54.66809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58.92458</v>
      </c>
      <c r="Y680" t="n">
        <v>55.27992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89" t="n">
        <v>39295</v>
      </c>
      <c r="B681" t="n">
        <v>49.85583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37.0423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74.39085</v>
      </c>
      <c r="N681" t="n">
        <v>71.76631</v>
      </c>
      <c r="O681" t="n">
        <v>34.36432</v>
      </c>
      <c r="P681" t="n">
        <v>32.06529</v>
      </c>
      <c r="Q681" t="n">
        <v>59.66856</v>
      </c>
      <c r="R681" t="n">
        <v>54.9876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59.51821</v>
      </c>
      <c r="Y681" t="n">
        <v>55.92228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89" t="n">
        <v>39326</v>
      </c>
      <c r="B682" t="n">
        <v>50.76918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37.56883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74.8862</v>
      </c>
      <c r="N682" t="n">
        <v>72.73699000000001</v>
      </c>
      <c r="O682" t="n">
        <v>34.66786</v>
      </c>
      <c r="P682" t="n">
        <v>32.65668</v>
      </c>
      <c r="Q682" t="n">
        <v>61.7862</v>
      </c>
      <c r="R682" t="n">
        <v>54.9418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59.88334</v>
      </c>
      <c r="Y682" t="n">
        <v>56.35397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89" t="n">
        <v>39356</v>
      </c>
      <c r="B683" t="n">
        <v>51.87024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38.61757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74.93787</v>
      </c>
      <c r="N683" t="n">
        <v>73.88251</v>
      </c>
      <c r="O683" t="n">
        <v>34.96779</v>
      </c>
      <c r="P683" t="n">
        <v>33.28186</v>
      </c>
      <c r="Q683" t="n">
        <v>64.06158000000001</v>
      </c>
      <c r="R683" t="n">
        <v>55.1744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60.13213</v>
      </c>
      <c r="Y683" t="n">
        <v>56.60936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89" t="n">
        <v>39387</v>
      </c>
      <c r="B684" t="n">
        <v>53.25987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39.25314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75.21008</v>
      </c>
      <c r="N684" t="n">
        <v>74.44703</v>
      </c>
      <c r="O684" t="n">
        <v>35.35355</v>
      </c>
      <c r="P684" t="n">
        <v>33.84077</v>
      </c>
      <c r="Q684" t="n">
        <v>66.1571</v>
      </c>
      <c r="R684" t="n">
        <v>55.00826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60.49662</v>
      </c>
      <c r="Y684" t="n">
        <v>57.02505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89" t="n">
        <v>39417</v>
      </c>
      <c r="B685" t="n">
        <v>54.19563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39.44952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76.40188999999999</v>
      </c>
      <c r="N685" t="n">
        <v>74.55341</v>
      </c>
      <c r="O685" t="n">
        <v>36.25618</v>
      </c>
      <c r="P685" t="n">
        <v>34.40535</v>
      </c>
      <c r="Q685" t="n">
        <v>68.10549</v>
      </c>
      <c r="R685" t="n">
        <v>55.05448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60.90029</v>
      </c>
      <c r="Y685" t="n">
        <v>57.78104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89" t="n">
        <v>39448</v>
      </c>
      <c r="B686" t="n">
        <v>54.80359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39.61506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78.35689000000001</v>
      </c>
      <c r="N686" t="n">
        <v>75.06717999999999</v>
      </c>
      <c r="O686" t="n">
        <v>36.76052</v>
      </c>
      <c r="P686" t="n">
        <v>34.97416</v>
      </c>
      <c r="Q686" t="n">
        <v>70.05381</v>
      </c>
      <c r="R686" t="n">
        <v>55.32652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61.36812</v>
      </c>
      <c r="Y686" t="n">
        <v>58.66701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89" t="n">
        <v>39479</v>
      </c>
      <c r="B687" t="n">
        <v>55.36953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39.94368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79.92389</v>
      </c>
      <c r="N687" t="n">
        <v>76.73614999999999</v>
      </c>
      <c r="O687" t="n">
        <v>36.86916</v>
      </c>
      <c r="P687" t="n">
        <v>35.61239</v>
      </c>
      <c r="Q687" t="n">
        <v>71.93932</v>
      </c>
      <c r="R687" t="n">
        <v>55.65318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61.99076</v>
      </c>
      <c r="Y687" t="n">
        <v>59.49217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89" t="n">
        <v>39508</v>
      </c>
      <c r="B688" t="n">
        <v>55.8234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40.16507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80.88475</v>
      </c>
      <c r="N688" t="n">
        <v>78.10912</v>
      </c>
      <c r="O688" t="n">
        <v>37.09291</v>
      </c>
      <c r="P688" t="n">
        <v>36.30758</v>
      </c>
      <c r="Q688" t="n">
        <v>73.63397999999999</v>
      </c>
      <c r="R688" t="n">
        <v>55.98991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62.53446</v>
      </c>
      <c r="Y688" t="n">
        <v>60.42531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89" t="n">
        <v>39539</v>
      </c>
      <c r="B689" t="n">
        <v>56.41735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41.03561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81.69157</v>
      </c>
      <c r="N689" t="n">
        <v>78.16981</v>
      </c>
      <c r="O689" t="n">
        <v>37.38252</v>
      </c>
      <c r="P689" t="n">
        <v>36.73304</v>
      </c>
      <c r="Q689" t="n">
        <v>75.22147</v>
      </c>
      <c r="R689" t="n">
        <v>56.27518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62.99585</v>
      </c>
      <c r="Y689" t="n">
        <v>61.29039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89" t="n">
        <v>39569</v>
      </c>
      <c r="B690" t="n">
        <v>56.86562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41.54255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81.96239</v>
      </c>
      <c r="N690" t="n">
        <v>77.56117</v>
      </c>
      <c r="O690" t="n">
        <v>38.00879</v>
      </c>
      <c r="P690" t="n">
        <v>37.1142</v>
      </c>
      <c r="Q690" t="n">
        <v>77.15434999999999</v>
      </c>
      <c r="R690" t="n">
        <v>56.49876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63.27307</v>
      </c>
      <c r="Y690" t="n">
        <v>61.56221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89" t="n">
        <v>39600</v>
      </c>
      <c r="B691" t="n">
        <v>57.4932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41.50285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82.29573000000001</v>
      </c>
      <c r="N691" t="n">
        <v>76.38518000000001</v>
      </c>
      <c r="O691" t="n">
        <v>38.71209</v>
      </c>
      <c r="P691" t="n">
        <v>37.70275</v>
      </c>
      <c r="Q691" t="n">
        <v>79.34676</v>
      </c>
      <c r="R691" t="n">
        <v>56.90744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63.47307</v>
      </c>
      <c r="Y691" t="n">
        <v>61.64874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89" t="n">
        <v>39630</v>
      </c>
      <c r="B692" t="n">
        <v>58.62788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41.96383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82.55391</v>
      </c>
      <c r="N692" t="n">
        <v>77.30373</v>
      </c>
      <c r="O692" t="n">
        <v>39.12234</v>
      </c>
      <c r="P692" t="n">
        <v>38.07385</v>
      </c>
      <c r="Q692" t="n">
        <v>81.38454</v>
      </c>
      <c r="R692" t="n">
        <v>57.6254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63.84063</v>
      </c>
      <c r="Y692" t="n">
        <v>62.06237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89" t="n">
        <v>39661</v>
      </c>
      <c r="B693" t="n">
        <v>59.57765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42.71117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83.18264000000001</v>
      </c>
      <c r="N693" t="n">
        <v>78.29111</v>
      </c>
      <c r="O693" t="n">
        <v>39.02028</v>
      </c>
      <c r="P693" t="n">
        <v>38.6682</v>
      </c>
      <c r="Q693" t="n">
        <v>83.35777</v>
      </c>
      <c r="R693" t="n">
        <v>58.24393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64.15186</v>
      </c>
      <c r="Y693" t="n">
        <v>62.5782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89" t="n">
        <v>39692</v>
      </c>
      <c r="B694" t="n">
        <v>60.48259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43.68899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83.6186</v>
      </c>
      <c r="N694" t="n">
        <v>78.33933</v>
      </c>
      <c r="O694" t="n">
        <v>39.88288</v>
      </c>
      <c r="P694" t="n">
        <v>39.34351</v>
      </c>
      <c r="Q694" t="n">
        <v>85.1036</v>
      </c>
      <c r="R694" t="n">
        <v>58.71367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64.63548</v>
      </c>
      <c r="Y694" t="n">
        <v>63.09066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89" t="n">
        <v>39722</v>
      </c>
      <c r="B695" t="n">
        <v>61.42115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44.44723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85.21313000000001</v>
      </c>
      <c r="N695" t="n">
        <v>79.19271000000001</v>
      </c>
      <c r="O695" t="n">
        <v>41.23006</v>
      </c>
      <c r="P695" t="n">
        <v>39.96434</v>
      </c>
      <c r="Q695" t="n">
        <v>86.43982</v>
      </c>
      <c r="R695" t="n">
        <v>59.60906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65.38003999999999</v>
      </c>
      <c r="Y695" t="n">
        <v>64.26349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89" t="n">
        <v>39753</v>
      </c>
      <c r="B696" t="n">
        <v>62.54462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44.95346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88.00114000000001</v>
      </c>
      <c r="N696" t="n">
        <v>79.81967</v>
      </c>
      <c r="O696" t="n">
        <v>41.94718</v>
      </c>
      <c r="P696" t="n">
        <v>40.56256</v>
      </c>
      <c r="Q696" t="n">
        <v>87.78527</v>
      </c>
      <c r="R696" t="n">
        <v>60.91813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65.99633</v>
      </c>
      <c r="Y696" t="n">
        <v>65.68252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89" t="n">
        <v>39783</v>
      </c>
      <c r="B697" t="n">
        <v>63.32349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45.78339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89.89942000000001</v>
      </c>
      <c r="N697" t="n">
        <v>80.33659</v>
      </c>
      <c r="O697" t="n">
        <v>42.31048</v>
      </c>
      <c r="P697" t="n">
        <v>41.13558</v>
      </c>
      <c r="Q697" t="n">
        <v>89.18861</v>
      </c>
      <c r="R697" t="n">
        <v>61.88261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67.00975</v>
      </c>
      <c r="Y697" t="n">
        <v>66.6703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89" t="n">
        <v>39814</v>
      </c>
      <c r="B698" t="n">
        <v>63.75775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46.5707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91.39735</v>
      </c>
      <c r="N698" t="n">
        <v>81.8931</v>
      </c>
      <c r="O698" t="n">
        <v>42.64483</v>
      </c>
      <c r="P698" t="n">
        <v>41.97978</v>
      </c>
      <c r="Q698" t="n">
        <v>90.44477000000001</v>
      </c>
      <c r="R698" t="n">
        <v>62.95202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67.66507</v>
      </c>
      <c r="Y698" t="n">
        <v>67.62299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89" t="n">
        <v>39845</v>
      </c>
      <c r="B699" t="n">
        <v>64.6795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47.16089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92.21335000000001</v>
      </c>
      <c r="N699" t="n">
        <v>83.60799</v>
      </c>
      <c r="O699" t="n">
        <v>43.4848</v>
      </c>
      <c r="P699" t="n">
        <v>42.79417</v>
      </c>
      <c r="Q699" t="n">
        <v>91.63162</v>
      </c>
      <c r="R699" t="n">
        <v>64.45708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68.09542999999999</v>
      </c>
      <c r="Y699" t="n">
        <v>68.4367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89" t="n">
        <v>39873</v>
      </c>
      <c r="B700" t="n">
        <v>64.62627000000001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47.60223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92.21592</v>
      </c>
      <c r="N700" t="n">
        <v>84.5411</v>
      </c>
      <c r="O700" t="n">
        <v>44.22987</v>
      </c>
      <c r="P700" t="n">
        <v>43.48389</v>
      </c>
      <c r="Q700" t="n">
        <v>92.79858</v>
      </c>
      <c r="R700" t="n">
        <v>65.30896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68.4799</v>
      </c>
      <c r="Y700" t="n">
        <v>68.72717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89" t="n">
        <v>39904</v>
      </c>
      <c r="B701" t="n">
        <v>64.53100999999999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47.74549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91.57845</v>
      </c>
      <c r="N701" t="n">
        <v>85.31116</v>
      </c>
      <c r="O701" t="n">
        <v>44.60754</v>
      </c>
      <c r="P701" t="n">
        <v>44.24037</v>
      </c>
      <c r="Q701" t="n">
        <v>93.752</v>
      </c>
      <c r="R701" t="n">
        <v>65.44846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68.51164</v>
      </c>
      <c r="Y701" t="n">
        <v>68.59662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89" t="n">
        <v>39934</v>
      </c>
      <c r="B702" t="n">
        <v>65.22583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48.02707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90.7453</v>
      </c>
      <c r="N702" t="n">
        <v>85.67886</v>
      </c>
      <c r="O702" t="n">
        <v>44.85314</v>
      </c>
      <c r="P702" t="n">
        <v>44.97268</v>
      </c>
      <c r="Q702" t="n">
        <v>94.21514000000001</v>
      </c>
      <c r="R702" t="n">
        <v>65.54819000000001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68.76479</v>
      </c>
      <c r="Y702" t="n">
        <v>68.52809999999999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89" t="n">
        <v>39965</v>
      </c>
      <c r="B703" t="n">
        <v>65.74974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48.45799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90.35675000000001</v>
      </c>
      <c r="N703" t="n">
        <v>85.85848</v>
      </c>
      <c r="O703" t="n">
        <v>45.15517</v>
      </c>
      <c r="P703" t="n">
        <v>45.54815</v>
      </c>
      <c r="Q703" t="n">
        <v>94.27115999999999</v>
      </c>
      <c r="R703" t="n">
        <v>65.62999000000001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68.88623</v>
      </c>
      <c r="Y703" t="n">
        <v>68.59023000000001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89" t="n">
        <v>39995</v>
      </c>
      <c r="B704" t="n">
        <v>66.11956000000001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48.91035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90.49132</v>
      </c>
      <c r="N704" t="n">
        <v>85.61242</v>
      </c>
      <c r="O704" t="n">
        <v>45.43369</v>
      </c>
      <c r="P704" t="n">
        <v>46.12276</v>
      </c>
      <c r="Q704" t="n">
        <v>94.22166</v>
      </c>
      <c r="R704" t="n">
        <v>65.43657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69.04258</v>
      </c>
      <c r="Y704" t="n">
        <v>68.72566999999999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89" t="n">
        <v>40026</v>
      </c>
      <c r="B705" t="n">
        <v>66.29607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49.16485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91.20865999999999</v>
      </c>
      <c r="N705" t="n">
        <v>85.6156</v>
      </c>
      <c r="O705" t="n">
        <v>45.82233</v>
      </c>
      <c r="P705" t="n">
        <v>46.66395</v>
      </c>
      <c r="Q705" t="n">
        <v>94.1589</v>
      </c>
      <c r="R705" t="n">
        <v>65.24115999999999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69.16457</v>
      </c>
      <c r="Y705" t="n">
        <v>69.01604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89" t="n">
        <v>40057</v>
      </c>
      <c r="B706" t="n">
        <v>66.40253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49.11031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92.11020000000001</v>
      </c>
      <c r="N706" t="n">
        <v>85.65922999999999</v>
      </c>
      <c r="O706" t="n">
        <v>46.27817</v>
      </c>
      <c r="P706" t="n">
        <v>47.14355</v>
      </c>
      <c r="Q706" t="n">
        <v>94.09206</v>
      </c>
      <c r="R706" t="n">
        <v>65.47852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69.31112</v>
      </c>
      <c r="Y706" t="n">
        <v>69.48742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89" t="n">
        <v>40087</v>
      </c>
      <c r="B707" t="n">
        <v>66.3549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49.2665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93.1007</v>
      </c>
      <c r="N707" t="n">
        <v>85.18034</v>
      </c>
      <c r="O707" t="n">
        <v>46.4633</v>
      </c>
      <c r="P707" t="n">
        <v>47.68745</v>
      </c>
      <c r="Q707" t="n">
        <v>93.96486</v>
      </c>
      <c r="R707" t="n">
        <v>65.66114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69.63556</v>
      </c>
      <c r="Y707" t="n">
        <v>70.15746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89" t="n">
        <v>40118</v>
      </c>
      <c r="B708" t="n">
        <v>66.28206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49.62059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93.67842</v>
      </c>
      <c r="N708" t="n">
        <v>84.78167999999999</v>
      </c>
      <c r="O708" t="n">
        <v>46.85012</v>
      </c>
      <c r="P708" t="n">
        <v>48.27664</v>
      </c>
      <c r="Q708" t="n">
        <v>93.62202000000001</v>
      </c>
      <c r="R708" t="n">
        <v>66.06417999999999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69.95554</v>
      </c>
      <c r="Y708" t="n">
        <v>70.65367999999999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89" t="n">
        <v>40148</v>
      </c>
      <c r="B709" t="n">
        <v>66.13637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49.67715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93.37521</v>
      </c>
      <c r="N709" t="n">
        <v>84.37273</v>
      </c>
      <c r="O709" t="n">
        <v>47.47656</v>
      </c>
      <c r="P709" t="n">
        <v>48.75244</v>
      </c>
      <c r="Q709" t="n">
        <v>93.08241</v>
      </c>
      <c r="R709" t="n">
        <v>66.14018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70.00042000000001</v>
      </c>
      <c r="Y709" t="n">
        <v>70.74276999999999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89" t="n">
        <v>40179</v>
      </c>
      <c r="B710" t="n">
        <v>66.15877999999999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50.09482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96.96442999999999</v>
      </c>
      <c r="N710" t="n">
        <v>84.4513</v>
      </c>
      <c r="O710" t="n">
        <v>47.64731</v>
      </c>
      <c r="P710" t="n">
        <v>49.36239</v>
      </c>
      <c r="Q710" t="n">
        <v>92.45927</v>
      </c>
      <c r="R710" t="n">
        <v>66.12608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70.1232</v>
      </c>
      <c r="Y710" t="n">
        <v>71.90555999999999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89" t="n">
        <v>40210</v>
      </c>
      <c r="B711" t="n">
        <v>66.65188000000001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101.3989</v>
      </c>
      <c r="N711" t="n">
        <v>85.24625</v>
      </c>
      <c r="O711" t="n">
        <v>47.71336</v>
      </c>
      <c r="P711" t="n">
        <v>50.14887</v>
      </c>
      <c r="Q711" t="n">
        <v>91.81712</v>
      </c>
      <c r="R711" t="n">
        <v>66.09081999999999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70.69772</v>
      </c>
      <c r="Y711" t="n">
        <v>73.39684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89" t="n">
        <v>40238</v>
      </c>
      <c r="B712" t="n">
        <v>67.38592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50.80775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101.743</v>
      </c>
      <c r="N712" t="n">
        <v>85.83327</v>
      </c>
      <c r="O712" t="n">
        <v>48.39354</v>
      </c>
      <c r="P712" t="n">
        <v>50.89152</v>
      </c>
      <c r="Q712" t="n">
        <v>91.13728</v>
      </c>
      <c r="R712" t="n">
        <v>65.90252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70.86999</v>
      </c>
      <c r="Y712" t="n">
        <v>73.79694000000001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89" t="n">
        <v>40269</v>
      </c>
      <c r="B713" t="n">
        <v>67.97987000000001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51.19644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100.856</v>
      </c>
      <c r="N713" t="n">
        <v>86.67504</v>
      </c>
      <c r="O713" t="n">
        <v>49.18651</v>
      </c>
      <c r="P713" t="n">
        <v>51.37198</v>
      </c>
      <c r="Q713" t="n">
        <v>90.35993000000001</v>
      </c>
      <c r="R713" t="n">
        <v>66.2654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71.17912</v>
      </c>
      <c r="Y713" t="n">
        <v>73.85108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89" t="n">
        <v>40299</v>
      </c>
      <c r="B714" t="n">
        <v>68.32447999999999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51.57987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100.2587</v>
      </c>
      <c r="N714" t="n">
        <v>87.66497</v>
      </c>
      <c r="O714" t="n">
        <v>49.70914</v>
      </c>
      <c r="P714" t="n">
        <v>51.81095</v>
      </c>
      <c r="Q714" t="n">
        <v>89.54711</v>
      </c>
      <c r="R714" t="n">
        <v>66.48975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71.61995</v>
      </c>
      <c r="Y714" t="n">
        <v>74.14585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89" t="n">
        <v>40330</v>
      </c>
      <c r="B715" t="n">
        <v>68.72792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52.06028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100.232</v>
      </c>
      <c r="N715" t="n">
        <v>88.37815000000001</v>
      </c>
      <c r="O715" t="n">
        <v>50.56684</v>
      </c>
      <c r="P715" t="n">
        <v>52.44637</v>
      </c>
      <c r="Q715" t="n">
        <v>88.76714</v>
      </c>
      <c r="R715" t="n">
        <v>67.03316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71.91404</v>
      </c>
      <c r="Y715" t="n">
        <v>74.72601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89" t="n">
        <v>40360</v>
      </c>
      <c r="B716" t="n">
        <v>69.31908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52.55667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100.1027</v>
      </c>
      <c r="N716" t="n">
        <v>88.74471</v>
      </c>
      <c r="O716" t="n">
        <v>51.29067</v>
      </c>
      <c r="P716" t="n">
        <v>53.21127</v>
      </c>
      <c r="Q716" t="n">
        <v>88.01714</v>
      </c>
      <c r="R716" t="n">
        <v>67.26537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72.14725</v>
      </c>
      <c r="Y716" t="n">
        <v>75.15309000000001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89" t="n">
        <v>40391</v>
      </c>
      <c r="B717" t="n">
        <v>69.91862999999999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52.80824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99.85957000000001</v>
      </c>
      <c r="N717" t="n">
        <v>88.84263</v>
      </c>
      <c r="O717" t="n">
        <v>51.54492</v>
      </c>
      <c r="P717" t="n">
        <v>53.93836</v>
      </c>
      <c r="Q717" t="n">
        <v>87.30452</v>
      </c>
      <c r="R717" t="n">
        <v>66.92449000000001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72.52631</v>
      </c>
      <c r="Y717" t="n">
        <v>75.34502999999999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89" t="n">
        <v>40422</v>
      </c>
      <c r="B718" t="n">
        <v>70.42854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53.25478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99.69065999999999</v>
      </c>
      <c r="N718" t="n">
        <v>88.307</v>
      </c>
      <c r="O718" t="n">
        <v>52.02149</v>
      </c>
      <c r="P718" t="n">
        <v>54.45184</v>
      </c>
      <c r="Q718" t="n">
        <v>86.63753</v>
      </c>
      <c r="R718" t="n">
        <v>66.92876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72.78555</v>
      </c>
      <c r="Y718" t="n">
        <v>75.49017000000001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89" t="n">
        <v>40452</v>
      </c>
      <c r="B719" t="n">
        <v>71.01409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53.74379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99.84609</v>
      </c>
      <c r="N719" t="n">
        <v>87.65743000000001</v>
      </c>
      <c r="O719" t="n">
        <v>52.78292</v>
      </c>
      <c r="P719" t="n">
        <v>55.49382</v>
      </c>
      <c r="Q719" t="n">
        <v>86.01361</v>
      </c>
      <c r="R719" t="n">
        <v>67.1215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73.19937</v>
      </c>
      <c r="Y719" t="n">
        <v>75.82641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89" t="n">
        <v>40483</v>
      </c>
      <c r="B720" t="n">
        <v>71.95265000000001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54.18338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99.51309999999999</v>
      </c>
      <c r="N720" t="n">
        <v>87.78297000000001</v>
      </c>
      <c r="O720" t="n">
        <v>53.52609</v>
      </c>
      <c r="P720" t="n">
        <v>56.39669</v>
      </c>
      <c r="Q720" t="n">
        <v>85.44056999999999</v>
      </c>
      <c r="R720" t="n">
        <v>67.54771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73.45464</v>
      </c>
      <c r="Y720" t="n">
        <v>76.10075999999999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89" t="n">
        <v>40513</v>
      </c>
      <c r="B721" t="n">
        <v>72.74833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54.86065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98.59848</v>
      </c>
      <c r="N721" t="n">
        <v>87.21541000000001</v>
      </c>
      <c r="O721" t="n">
        <v>54.47383</v>
      </c>
      <c r="P721" t="n">
        <v>57.2337</v>
      </c>
      <c r="Q721" t="n">
        <v>84.94898000000001</v>
      </c>
      <c r="R721" t="n">
        <v>67.78851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73.69773000000001</v>
      </c>
      <c r="Y721" t="n">
        <v>76.37533999999999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89" t="n">
        <v>40544</v>
      </c>
      <c r="B722" t="n">
        <v>73.23022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55.52339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98.11181999999999</v>
      </c>
      <c r="N722" t="n">
        <v>86.99623</v>
      </c>
      <c r="O722" t="n">
        <v>55.49007</v>
      </c>
      <c r="P722" t="n">
        <v>57.98042</v>
      </c>
      <c r="Q722" t="n">
        <v>84.60115</v>
      </c>
      <c r="R722" t="n">
        <v>67.64737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73.92941</v>
      </c>
      <c r="Y722" t="n">
        <v>76.48708999999999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89" t="n">
        <v>40575</v>
      </c>
      <c r="B723" t="n">
        <v>73.87179999999999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98.27473000000001</v>
      </c>
      <c r="N723" t="n">
        <v>87.52713</v>
      </c>
      <c r="O723" t="n">
        <v>56.01678</v>
      </c>
      <c r="P723" t="n">
        <v>58.48793</v>
      </c>
      <c r="Q723" t="n">
        <v>84.43562</v>
      </c>
      <c r="R723" t="n">
        <v>67.94492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74.36723000000001</v>
      </c>
      <c r="Y723" t="n">
        <v>76.68850999999999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89" t="n">
        <v>40603</v>
      </c>
      <c r="B724" t="n">
        <v>74.51618000000001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56.89858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98.81073000000001</v>
      </c>
      <c r="N724" t="n">
        <v>87.44114999999999</v>
      </c>
      <c r="O724" t="n">
        <v>56.44234</v>
      </c>
      <c r="P724" t="n">
        <v>59.30288</v>
      </c>
      <c r="Q724" t="n">
        <v>84.49773</v>
      </c>
      <c r="R724" t="n">
        <v>68.36609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74.88885000000001</v>
      </c>
      <c r="Y724" t="n">
        <v>77.44928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89" t="n">
        <v>40634</v>
      </c>
      <c r="B725" t="n">
        <v>74.98126000000001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57.35062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99.00866000000001</v>
      </c>
      <c r="N725" t="n">
        <v>87.43742</v>
      </c>
      <c r="O725" t="n">
        <v>56.77438</v>
      </c>
      <c r="P725" t="n">
        <v>60.11048</v>
      </c>
      <c r="Q725" t="n">
        <v>84.7855</v>
      </c>
      <c r="R725" t="n">
        <v>68.58669999999999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75.40257</v>
      </c>
      <c r="Y725" t="n">
        <v>77.97785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89" t="n">
        <v>40664</v>
      </c>
      <c r="B726" t="n">
        <v>75.35108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58.07805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99.08772</v>
      </c>
      <c r="N726" t="n">
        <v>87.88873</v>
      </c>
      <c r="O726" t="n">
        <v>57.20158</v>
      </c>
      <c r="P726" t="n">
        <v>60.80894</v>
      </c>
      <c r="Q726" t="n">
        <v>85.16862</v>
      </c>
      <c r="R726" t="n">
        <v>69.29858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75.93649000000001</v>
      </c>
      <c r="Y726" t="n">
        <v>78.37871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89" t="n">
        <v>40695</v>
      </c>
      <c r="B727" t="n">
        <v>75.40151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59.29423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99.03187</v>
      </c>
      <c r="N727" t="n">
        <v>88.06831</v>
      </c>
      <c r="O727" t="n">
        <v>57.7276</v>
      </c>
      <c r="P727" t="n">
        <v>61.4224</v>
      </c>
      <c r="Q727" t="n">
        <v>85.61903</v>
      </c>
      <c r="R727" t="n">
        <v>69.9799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76.43302</v>
      </c>
      <c r="Y727" t="n">
        <v>78.72511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89" t="n">
        <v>40725</v>
      </c>
      <c r="B728" t="n">
        <v>75.5416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59.77994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98.63023</v>
      </c>
      <c r="N728" t="n">
        <v>88.72114999999999</v>
      </c>
      <c r="O728" t="n">
        <v>58.60151</v>
      </c>
      <c r="P728" t="n">
        <v>62.20903</v>
      </c>
      <c r="Q728" t="n">
        <v>86.24661</v>
      </c>
      <c r="R728" t="n">
        <v>70.69526999999999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77.27441</v>
      </c>
      <c r="Y728" t="n">
        <v>78.98969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89" t="n">
        <v>40756</v>
      </c>
      <c r="B729" t="n">
        <v>76.3737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60.89514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98.55401000000001</v>
      </c>
      <c r="N729" t="n">
        <v>89.48215</v>
      </c>
      <c r="O729" t="n">
        <v>59.96376</v>
      </c>
      <c r="P729" t="n">
        <v>63.00852</v>
      </c>
      <c r="Q729" t="n">
        <v>87.04745</v>
      </c>
      <c r="R729" t="n">
        <v>71.86198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78.36399</v>
      </c>
      <c r="Y729" t="n">
        <v>79.59106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89" t="n">
        <v>40787</v>
      </c>
      <c r="B730" t="n">
        <v>77.24502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62.10917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98.64861000000001</v>
      </c>
      <c r="N730" t="n">
        <v>90.89859</v>
      </c>
      <c r="O730" t="n">
        <v>60.70778</v>
      </c>
      <c r="P730" t="n">
        <v>63.65287</v>
      </c>
      <c r="Q730" t="n">
        <v>87.82154</v>
      </c>
      <c r="R730" t="n">
        <v>73.15655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78.82776</v>
      </c>
      <c r="Y730" t="n">
        <v>80.29362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89" t="n">
        <v>40817</v>
      </c>
      <c r="B731" t="n">
        <v>77.72411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62.60823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98.04608</v>
      </c>
      <c r="N731" t="n">
        <v>92.34772</v>
      </c>
      <c r="O731" t="n">
        <v>61.28997</v>
      </c>
      <c r="P731" t="n">
        <v>64.26879</v>
      </c>
      <c r="Q731" t="n">
        <v>88.46034</v>
      </c>
      <c r="R731" t="n">
        <v>73.83418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79.12401</v>
      </c>
      <c r="Y731" t="n">
        <v>80.39981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89" t="n">
        <v>40848</v>
      </c>
      <c r="B732" t="n">
        <v>78.06591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63.65226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97.29403000000001</v>
      </c>
      <c r="N732" t="n">
        <v>92.56792</v>
      </c>
      <c r="O732" t="n">
        <v>62.23756</v>
      </c>
      <c r="P732" t="n">
        <v>64.91753</v>
      </c>
      <c r="Q732" t="n">
        <v>89.09663999999999</v>
      </c>
      <c r="R732" t="n">
        <v>74.17074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79.47608</v>
      </c>
      <c r="Y732" t="n">
        <v>80.42469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89" t="n">
        <v>40878</v>
      </c>
      <c r="B733" t="n">
        <v>78.51978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64.87757000000001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96.45643</v>
      </c>
      <c r="N733" t="n">
        <v>92.17783</v>
      </c>
      <c r="O733" t="n">
        <v>63.49059</v>
      </c>
      <c r="P733" t="n">
        <v>66.11778</v>
      </c>
      <c r="Q733" t="n">
        <v>89.76569000000001</v>
      </c>
      <c r="R733" t="n">
        <v>75.12308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79.86875999999999</v>
      </c>
      <c r="Y733" t="n">
        <v>80.64693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89" t="n">
        <v>40909</v>
      </c>
      <c r="B734" t="n">
        <v>79.09972999999999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65.63508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96.28703</v>
      </c>
      <c r="N734" t="n">
        <v>90.45815</v>
      </c>
      <c r="O734" t="n">
        <v>64.91365999999999</v>
      </c>
      <c r="P734" t="n">
        <v>66.79622999999999</v>
      </c>
      <c r="Q734" t="n">
        <v>90.31177</v>
      </c>
      <c r="R734" t="n">
        <v>76.0181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80.40531</v>
      </c>
      <c r="Y734" t="n">
        <v>80.89409999999999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89" t="n">
        <v>40940</v>
      </c>
      <c r="B735" t="n">
        <v>79.59283000000001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66.27884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96.25224</v>
      </c>
      <c r="N735" t="n">
        <v>88.77003999999999</v>
      </c>
      <c r="O735" t="n">
        <v>65.89452</v>
      </c>
      <c r="P735" t="n">
        <v>66.89743</v>
      </c>
      <c r="Q735" t="n">
        <v>90.6636</v>
      </c>
      <c r="R735" t="n">
        <v>76.52272000000001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80.78522</v>
      </c>
      <c r="Y735" t="n">
        <v>81.05504999999999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89" t="n">
        <v>40969</v>
      </c>
      <c r="B736" t="n">
        <v>80.08311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66.96625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95.75454999999999</v>
      </c>
      <c r="N736" t="n">
        <v>88.33015</v>
      </c>
      <c r="O736" t="n">
        <v>66.83452</v>
      </c>
      <c r="P736" t="n">
        <v>67.42928000000001</v>
      </c>
      <c r="Q736" t="n">
        <v>90.82443000000001</v>
      </c>
      <c r="R736" t="n">
        <v>76.98659000000001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81.20041000000001</v>
      </c>
      <c r="Y736" t="n">
        <v>81.15079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89" t="n">
        <v>41000</v>
      </c>
      <c r="B737" t="n">
        <v>80.48656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67.6918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96.114</v>
      </c>
      <c r="N737" t="n">
        <v>87.70773</v>
      </c>
      <c r="O737" t="n">
        <v>67.8466</v>
      </c>
      <c r="P737" t="n">
        <v>68.09089</v>
      </c>
      <c r="Q737" t="n">
        <v>88.87139999999999</v>
      </c>
      <c r="R737" t="n">
        <v>77.34546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81.67622</v>
      </c>
      <c r="Y737" t="n">
        <v>81.58275999999999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89" t="n">
        <v>41030</v>
      </c>
      <c r="B738" t="n">
        <v>81.13374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68.55283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96.58280000000001</v>
      </c>
      <c r="N738" t="n">
        <v>87.68758</v>
      </c>
      <c r="O738" t="n">
        <v>68.89955999999999</v>
      </c>
      <c r="P738" t="n">
        <v>68.91785</v>
      </c>
      <c r="Q738" t="n">
        <v>86.73504</v>
      </c>
      <c r="R738" t="n">
        <v>77.77754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82.06382000000001</v>
      </c>
      <c r="Y738" t="n">
        <v>82.01078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89" t="n">
        <v>41061</v>
      </c>
      <c r="B739" t="n">
        <v>81.88460000000001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69.03922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96.60046</v>
      </c>
      <c r="N739" t="n">
        <v>88.20938</v>
      </c>
      <c r="O739" t="n">
        <v>69.80886</v>
      </c>
      <c r="P739" t="n">
        <v>70.32758</v>
      </c>
      <c r="Q739" t="n">
        <v>86.40366</v>
      </c>
      <c r="R739" t="n">
        <v>78.59851999999999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82.59473</v>
      </c>
      <c r="Y739" t="n">
        <v>82.37649999999999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89" t="n">
        <v>41091</v>
      </c>
      <c r="B740" t="n">
        <v>82.30485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69.11109999999999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96.70805</v>
      </c>
      <c r="N740" t="n">
        <v>87.89921</v>
      </c>
      <c r="O740" t="n">
        <v>70.31336</v>
      </c>
      <c r="P740" t="n">
        <v>71.29208</v>
      </c>
      <c r="Q740" t="n">
        <v>85.98086000000001</v>
      </c>
      <c r="R740" t="n">
        <v>79.47553000000001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83.05199</v>
      </c>
      <c r="Y740" t="n">
        <v>82.69262999999999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89" t="n">
        <v>41122</v>
      </c>
      <c r="B741" t="n">
        <v>82.79234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69.96505999999999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96.8612</v>
      </c>
      <c r="N741" t="n">
        <v>87.8382</v>
      </c>
      <c r="O741" t="n">
        <v>71.00194999999999</v>
      </c>
      <c r="P741" t="n">
        <v>71.69177999999999</v>
      </c>
      <c r="Q741" t="n">
        <v>85.45679</v>
      </c>
      <c r="R741" t="n">
        <v>80.16779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83.51758</v>
      </c>
      <c r="Y741" t="n">
        <v>83.01742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89" t="n">
        <v>41153</v>
      </c>
      <c r="B742" t="n">
        <v>83.24621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71.61633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96.92658</v>
      </c>
      <c r="N742" t="n">
        <v>88.20724</v>
      </c>
      <c r="O742" t="n">
        <v>71.67303</v>
      </c>
      <c r="P742" t="n">
        <v>72.33672</v>
      </c>
      <c r="Q742" t="n">
        <v>85.01085</v>
      </c>
      <c r="R742" t="n">
        <v>80.44955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84.04225</v>
      </c>
      <c r="Y742" t="n">
        <v>83.47102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89" t="n">
        <v>41183</v>
      </c>
      <c r="B743" t="n">
        <v>83.60202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72.84703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97.20226</v>
      </c>
      <c r="N743" t="n">
        <v>88.81652</v>
      </c>
      <c r="O743" t="n">
        <v>72.45862</v>
      </c>
      <c r="P743" t="n">
        <v>72.80526</v>
      </c>
      <c r="Q743" t="n">
        <v>84.74043</v>
      </c>
      <c r="R743" t="n">
        <v>80.45489999999999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84.52197</v>
      </c>
      <c r="Y743" t="n">
        <v>83.91412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89" t="n">
        <v>41214</v>
      </c>
      <c r="B744" t="n">
        <v>83.92702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73.38927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97.07207</v>
      </c>
      <c r="N744" t="n">
        <v>88.83031</v>
      </c>
      <c r="O744" t="n">
        <v>73.42202</v>
      </c>
      <c r="P744" t="n">
        <v>73.48820000000001</v>
      </c>
      <c r="Q744" t="n">
        <v>84.57143000000001</v>
      </c>
      <c r="R744" t="n">
        <v>80.55108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84.92758000000001</v>
      </c>
      <c r="Y744" t="n">
        <v>84.04366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89" t="n">
        <v>41244</v>
      </c>
      <c r="B745" t="n">
        <v>84.28843000000001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74.64724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97.64258</v>
      </c>
      <c r="N745" t="n">
        <v>88.52399</v>
      </c>
      <c r="O745" t="n">
        <v>73.95171000000001</v>
      </c>
      <c r="P745" t="n">
        <v>74.17709000000001</v>
      </c>
      <c r="Q745" t="n">
        <v>84.50312</v>
      </c>
      <c r="R745" t="n">
        <v>80.5291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85.64721</v>
      </c>
      <c r="Y745" t="n">
        <v>84.40816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89" t="n">
        <v>41275</v>
      </c>
      <c r="B746" t="n">
        <v>84.82075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75.81798999999999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98.98728</v>
      </c>
      <c r="N746" t="n">
        <v>89.23199</v>
      </c>
      <c r="O746" t="n">
        <v>74.59144999999999</v>
      </c>
      <c r="P746" t="n">
        <v>74.86604</v>
      </c>
      <c r="Q746" t="n">
        <v>84.52992999999999</v>
      </c>
      <c r="R746" t="n">
        <v>80.56061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86.04061</v>
      </c>
      <c r="Y746" t="n">
        <v>85.09411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89" t="n">
        <v>41306</v>
      </c>
      <c r="B747" t="n">
        <v>85.20178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76.30183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99.7272</v>
      </c>
      <c r="N747" t="n">
        <v>90.4413</v>
      </c>
      <c r="O747" t="n">
        <v>75.65025</v>
      </c>
      <c r="P747" t="n">
        <v>75.50530999999999</v>
      </c>
      <c r="Q747" t="n">
        <v>84.60297</v>
      </c>
      <c r="R747" t="n">
        <v>80.68169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86.31570000000001</v>
      </c>
      <c r="Y747" t="n">
        <v>85.57546000000001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89" t="n">
        <v>41334</v>
      </c>
      <c r="B748" t="n">
        <v>85.55479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77.53552999999999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99.95372</v>
      </c>
      <c r="N748" t="n">
        <v>92.13370999999999</v>
      </c>
      <c r="O748" t="n">
        <v>76.57335</v>
      </c>
      <c r="P748" t="n">
        <v>76.46850000000001</v>
      </c>
      <c r="Q748" t="n">
        <v>84.74718</v>
      </c>
      <c r="R748" t="n">
        <v>81.35836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86.86582</v>
      </c>
      <c r="Y748" t="n">
        <v>86.0685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89" t="n">
        <v>41365</v>
      </c>
      <c r="B749" t="n">
        <v>86.2272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78.75089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100.1523</v>
      </c>
      <c r="N749" t="n">
        <v>92.99518999999999</v>
      </c>
      <c r="O749" t="n">
        <v>77.55507</v>
      </c>
      <c r="P749" t="n">
        <v>77.27903999999999</v>
      </c>
      <c r="Q749" t="n">
        <v>84.97607000000001</v>
      </c>
      <c r="R749" t="n">
        <v>82.58926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87.30775</v>
      </c>
      <c r="Y749" t="n">
        <v>86.57306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89" t="n">
        <v>41395</v>
      </c>
      <c r="B750" t="n">
        <v>87.04248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79.65215999999999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100.6371</v>
      </c>
      <c r="N750" t="n">
        <v>92.62814</v>
      </c>
      <c r="O750" t="n">
        <v>78.809</v>
      </c>
      <c r="P750" t="n">
        <v>78.24915</v>
      </c>
      <c r="Q750" t="n">
        <v>85.24466</v>
      </c>
      <c r="R750" t="n">
        <v>83.55244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87.74850000000001</v>
      </c>
      <c r="Y750" t="n">
        <v>87.17122999999999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89" t="n">
        <v>41426</v>
      </c>
      <c r="B751" t="n">
        <v>87.47114000000001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80.81802999999999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101.1917</v>
      </c>
      <c r="N751" t="n">
        <v>92.35993000000001</v>
      </c>
      <c r="O751" t="n">
        <v>78.87822</v>
      </c>
      <c r="P751" t="n">
        <v>79.79736</v>
      </c>
      <c r="Q751" t="n">
        <v>85.53988</v>
      </c>
      <c r="R751" t="n">
        <v>84.07829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88.24678</v>
      </c>
      <c r="Y751" t="n">
        <v>87.93919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89" t="n">
        <v>41456</v>
      </c>
      <c r="B752" t="n">
        <v>87.61122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81.94381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101.5298</v>
      </c>
      <c r="N752" t="n">
        <v>91.86996000000001</v>
      </c>
      <c r="O752" t="n">
        <v>79.54201</v>
      </c>
      <c r="P752" t="n">
        <v>80.4289</v>
      </c>
      <c r="Q752" t="n">
        <v>85.92254</v>
      </c>
      <c r="R752" t="n">
        <v>84.39494000000001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88.63957000000001</v>
      </c>
      <c r="Y752" t="n">
        <v>88.64700000000001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89" t="n">
        <v>41487</v>
      </c>
      <c r="B753" t="n">
        <v>87.77092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82.7679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101.8431</v>
      </c>
      <c r="N753" t="n">
        <v>91.52343</v>
      </c>
      <c r="O753" t="n">
        <v>80.85387</v>
      </c>
      <c r="P753" t="n">
        <v>80.67558</v>
      </c>
      <c r="Q753" t="n">
        <v>86.41982</v>
      </c>
      <c r="R753" t="n">
        <v>84.88544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89.16795</v>
      </c>
      <c r="Y753" t="n">
        <v>89.28704999999999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89" t="n">
        <v>41518</v>
      </c>
      <c r="B754" t="n">
        <v>88.12112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83.45681999999999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</v>
      </c>
      <c r="N754" t="n">
        <v>91.44276000000001</v>
      </c>
      <c r="O754" t="n">
        <v>81.60601</v>
      </c>
      <c r="P754" t="n">
        <v>81.55840999999999</v>
      </c>
      <c r="Q754" t="n">
        <v>86.92628000000001</v>
      </c>
      <c r="R754" t="n">
        <v>85.57283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89.64643</v>
      </c>
      <c r="Y754" t="n">
        <v>89.75172999999999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89" t="n">
        <v>41548</v>
      </c>
      <c r="B755" t="n">
        <v>88.75991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84.3382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101.1785</v>
      </c>
      <c r="N755" t="n">
        <v>91.65662</v>
      </c>
      <c r="O755" t="n">
        <v>82.41486999999999</v>
      </c>
      <c r="P755" t="n">
        <v>82.46393</v>
      </c>
      <c r="Q755" t="n">
        <v>87.39869</v>
      </c>
      <c r="R755" t="n">
        <v>86.15662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90.35075000000001</v>
      </c>
      <c r="Y755" t="n">
        <v>90.14715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89" t="n">
        <v>41579</v>
      </c>
      <c r="B756" t="n">
        <v>89.36507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85.36438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101.2074</v>
      </c>
      <c r="N756" t="n">
        <v>91.98929</v>
      </c>
      <c r="O756" t="n">
        <v>82.90501999999999</v>
      </c>
      <c r="P756" t="n">
        <v>83.69793</v>
      </c>
      <c r="Q756" t="n">
        <v>87.86087999999999</v>
      </c>
      <c r="R756" t="n">
        <v>86.63342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90.69271999999999</v>
      </c>
      <c r="Y756" t="n">
        <v>90.65201999999999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89" t="n">
        <v>41609</v>
      </c>
      <c r="B757" t="n">
        <v>90.03467000000001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85.91199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100.6487</v>
      </c>
      <c r="N757" t="n">
        <v>92.74437</v>
      </c>
      <c r="O757" t="n">
        <v>83.56206</v>
      </c>
      <c r="P757" t="n">
        <v>84.97423999999999</v>
      </c>
      <c r="Q757" t="n">
        <v>88.25217000000001</v>
      </c>
      <c r="R757" t="n">
        <v>87.21881999999999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91.18358000000001</v>
      </c>
      <c r="Y757" t="n">
        <v>91.08150000000001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89" t="n">
        <v>41640</v>
      </c>
      <c r="B758" t="n">
        <v>90.66225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86.69580999999999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100.7111</v>
      </c>
      <c r="N758" t="n">
        <v>93.41764999999999</v>
      </c>
      <c r="O758" t="n">
        <v>83.96827999999999</v>
      </c>
      <c r="P758" t="n">
        <v>85.74196999999999</v>
      </c>
      <c r="Q758" t="n">
        <v>88.58984</v>
      </c>
      <c r="R758" t="n">
        <v>87.87528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91.65076999999999</v>
      </c>
      <c r="Y758" t="n">
        <v>91.69592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89" t="n">
        <v>41671</v>
      </c>
      <c r="B759" t="n">
        <v>91.18335999999999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88.03582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101.8081</v>
      </c>
      <c r="N759" t="n">
        <v>93.78156</v>
      </c>
      <c r="O759" t="n">
        <v>84.23650000000001</v>
      </c>
      <c r="P759" t="n">
        <v>86.46075</v>
      </c>
      <c r="Q759" t="n">
        <v>88.95541</v>
      </c>
      <c r="R759" t="n">
        <v>88.4631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92.23802000000001</v>
      </c>
      <c r="Y759" t="n">
        <v>92.42171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89" t="n">
        <v>41699</v>
      </c>
      <c r="B760" t="n">
        <v>91.62882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88.89769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101.3084</v>
      </c>
      <c r="N760" t="n">
        <v>94.04642</v>
      </c>
      <c r="O760" t="n">
        <v>84.51299</v>
      </c>
      <c r="P760" t="n">
        <v>86.9819</v>
      </c>
      <c r="Q760" t="n">
        <v>89.31674</v>
      </c>
      <c r="R760" t="n">
        <v>89.31368000000001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92.56968999999999</v>
      </c>
      <c r="Y760" t="n">
        <v>92.50069999999999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89" t="n">
        <v>41730</v>
      </c>
      <c r="B761" t="n">
        <v>92.06028000000001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89.36452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100.2749</v>
      </c>
      <c r="N761" t="n">
        <v>94.76145</v>
      </c>
      <c r="O761" t="n">
        <v>85.53346999999999</v>
      </c>
      <c r="P761" t="n">
        <v>87.79392</v>
      </c>
      <c r="Q761" t="n">
        <v>89.7916</v>
      </c>
      <c r="R761" t="n">
        <v>90.15998999999999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92.90913</v>
      </c>
      <c r="Y761" t="n">
        <v>92.49176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89" t="n">
        <v>41760</v>
      </c>
      <c r="B762" t="n">
        <v>92.70187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89.88085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100.1131</v>
      </c>
      <c r="N762" t="n">
        <v>95.37829000000001</v>
      </c>
      <c r="O762" t="n">
        <v>87.01186</v>
      </c>
      <c r="P762" t="n">
        <v>88.67983</v>
      </c>
      <c r="Q762" t="n">
        <v>90.50658</v>
      </c>
      <c r="R762" t="n">
        <v>90.88995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93.35686</v>
      </c>
      <c r="Y762" t="n">
        <v>92.65608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89" t="n">
        <v>41791</v>
      </c>
      <c r="B763" t="n">
        <v>93.29862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90.43772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99.88593</v>
      </c>
      <c r="N763" t="n">
        <v>95.23390999999999</v>
      </c>
      <c r="O763" t="n">
        <v>87.99495</v>
      </c>
      <c r="P763" t="n">
        <v>89.3116</v>
      </c>
      <c r="Q763" t="n">
        <v>91.22573</v>
      </c>
      <c r="R763" t="n">
        <v>91.74382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93.80016000000001</v>
      </c>
      <c r="Y763" t="n">
        <v>92.87891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89" t="n">
        <v>41821</v>
      </c>
      <c r="B764" t="n">
        <v>93.84215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91.17617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99.64922</v>
      </c>
      <c r="N764" t="n">
        <v>95.64662</v>
      </c>
      <c r="O764" t="n">
        <v>88.94174</v>
      </c>
      <c r="P764" t="n">
        <v>90.13514000000001</v>
      </c>
      <c r="Q764" t="n">
        <v>91.77403</v>
      </c>
      <c r="R764" t="n">
        <v>91.97186000000001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94.33246</v>
      </c>
      <c r="Y764" t="n">
        <v>93.40151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89" t="n">
        <v>41852</v>
      </c>
      <c r="B765" t="n">
        <v>94.53695999999999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91.80267000000001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99.83672</v>
      </c>
      <c r="N765" t="n">
        <v>96.47595</v>
      </c>
      <c r="O765" t="n">
        <v>89.61060000000001</v>
      </c>
      <c r="P765" t="n">
        <v>91.09347</v>
      </c>
      <c r="Q765" t="n">
        <v>92.29244</v>
      </c>
      <c r="R765" t="n">
        <v>92.75508000000001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94.76085999999999</v>
      </c>
      <c r="Y765" t="n">
        <v>94.04791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89" t="n">
        <v>41883</v>
      </c>
      <c r="B766" t="n">
        <v>95.24858999999999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92.10402000000001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100.0731</v>
      </c>
      <c r="N766" t="n">
        <v>96.77632</v>
      </c>
      <c r="O766" t="n">
        <v>90.8656</v>
      </c>
      <c r="P766" t="n">
        <v>91.92004</v>
      </c>
      <c r="Q766" t="n">
        <v>92.96449</v>
      </c>
      <c r="R766" t="n">
        <v>94.09674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95.16264</v>
      </c>
      <c r="Y766" t="n">
        <v>94.70679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89" t="n">
        <v>41913</v>
      </c>
      <c r="B767" t="n">
        <v>95.7697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92.73560999999999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99.7159</v>
      </c>
      <c r="N767" t="n">
        <v>96.71402999999999</v>
      </c>
      <c r="O767" t="n">
        <v>92.44128000000001</v>
      </c>
      <c r="P767" t="n">
        <v>92.89429</v>
      </c>
      <c r="Q767" t="n">
        <v>93.79935</v>
      </c>
      <c r="R767" t="n">
        <v>94.66023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95.62531</v>
      </c>
      <c r="Y767" t="n">
        <v>94.95143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89" t="n">
        <v>41944</v>
      </c>
      <c r="B768" t="n">
        <v>96.07509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93.46681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99.54392</v>
      </c>
      <c r="N768" t="n">
        <v>96.7146</v>
      </c>
      <c r="O768" t="n">
        <v>93.3813</v>
      </c>
      <c r="P768" t="n">
        <v>93.98775999999999</v>
      </c>
      <c r="Q768" t="n">
        <v>94.69482000000001</v>
      </c>
      <c r="R768" t="n">
        <v>96.03155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96.08871000000001</v>
      </c>
      <c r="Y768" t="n">
        <v>95.20274999999999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89" t="n">
        <v>41974</v>
      </c>
      <c r="B769" t="n">
        <v>96.6018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94.00409999999999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99.73345</v>
      </c>
      <c r="N769" t="n">
        <v>97.3763</v>
      </c>
      <c r="O769" t="n">
        <v>93.97318</v>
      </c>
      <c r="P769" t="n">
        <v>94.74309</v>
      </c>
      <c r="Q769" t="n">
        <v>95.63424000000001</v>
      </c>
      <c r="R769" t="n">
        <v>97.66419999999999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96.69832</v>
      </c>
      <c r="Y769" t="n">
        <v>95.85028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89" t="n">
        <v>42005</v>
      </c>
      <c r="B770" t="n">
        <v>97.12291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94.81820999999999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99.59435000000001</v>
      </c>
      <c r="N770" t="n">
        <v>98.39806</v>
      </c>
      <c r="O770" t="n">
        <v>95.19379000000001</v>
      </c>
      <c r="P770" t="n">
        <v>95.43456</v>
      </c>
      <c r="Q770" t="n">
        <v>96.66092999999999</v>
      </c>
      <c r="R770" t="n">
        <v>98.47246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97.2317</v>
      </c>
      <c r="Y770" t="n">
        <v>96.41186999999999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89" t="n">
        <v>42036</v>
      </c>
      <c r="B771" t="n">
        <v>97.82893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95.84721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99.22781000000001</v>
      </c>
      <c r="N771" t="n">
        <v>98.87218</v>
      </c>
      <c r="O771" t="n">
        <v>97.14249</v>
      </c>
      <c r="P771" t="n">
        <v>96.15666</v>
      </c>
      <c r="Q771" t="n">
        <v>97.73345999999999</v>
      </c>
      <c r="R771" t="n">
        <v>99.07786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97.98626</v>
      </c>
      <c r="Y771" t="n">
        <v>96.98877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89" t="n">
        <v>42064</v>
      </c>
      <c r="B772" t="n">
        <v>98.50134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96.70896999999999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99.6088</v>
      </c>
      <c r="N772" t="n">
        <v>98.74257</v>
      </c>
      <c r="O772" t="n">
        <v>98.16839</v>
      </c>
      <c r="P772" t="n">
        <v>97.02437999999999</v>
      </c>
      <c r="Q772" t="n">
        <v>98.74702000000001</v>
      </c>
      <c r="R772" t="n">
        <v>99.32858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98.37439000000001</v>
      </c>
      <c r="Y772" t="n">
        <v>97.90128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89" t="n">
        <v>42095</v>
      </c>
      <c r="B773" t="n">
        <v>98.87956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97.20525000000001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100.1354</v>
      </c>
      <c r="N773" t="n">
        <v>98.72256</v>
      </c>
      <c r="O773" t="n">
        <v>98.78548000000001</v>
      </c>
      <c r="P773" t="n">
        <v>97.81892999999999</v>
      </c>
      <c r="Q773" t="n">
        <v>99.59853</v>
      </c>
      <c r="R773" t="n">
        <v>99.50364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98.85612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89" t="n">
        <v>42125</v>
      </c>
      <c r="B774" t="n">
        <v>99.25219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98.24979999999999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100.091</v>
      </c>
      <c r="N774" t="n">
        <v>99.5226</v>
      </c>
      <c r="O774" t="n">
        <v>99.23581</v>
      </c>
      <c r="P774" t="n">
        <v>98.57868000000001</v>
      </c>
      <c r="Q774" t="n">
        <v>100.3195</v>
      </c>
      <c r="R774" t="n">
        <v>99.482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99.3092</v>
      </c>
      <c r="Y774" t="n">
        <v>99.23721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89" t="n">
        <v>42156</v>
      </c>
      <c r="B775" t="n">
        <v>99.56317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99.49387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99.72620999999999</v>
      </c>
      <c r="N775" t="n">
        <v>99.52222999999999</v>
      </c>
      <c r="O775" t="n">
        <v>99.48523</v>
      </c>
      <c r="P775" t="n">
        <v>99.84487</v>
      </c>
      <c r="Q775" t="n">
        <v>100.9733</v>
      </c>
      <c r="R775" t="n">
        <v>99.27751000000001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99.6858</v>
      </c>
      <c r="Y775" t="n">
        <v>99.57335999999999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89" t="n">
        <v>42186</v>
      </c>
      <c r="B776" t="n">
        <v>100.2104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100.2369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99.79425999999999</v>
      </c>
      <c r="N776" t="n">
        <v>99.06007</v>
      </c>
      <c r="O776" t="n">
        <v>100.1818</v>
      </c>
      <c r="P776" t="n">
        <v>100.6861</v>
      </c>
      <c r="Q776" t="n">
        <v>101.4503</v>
      </c>
      <c r="R776" t="n">
        <v>99.16087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</v>
      </c>
      <c r="Y776" t="n">
        <v>100.2172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89" t="n">
        <v>42217</v>
      </c>
      <c r="B777" t="n">
        <v>100.7175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101.4156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100.2503</v>
      </c>
      <c r="N777" t="n">
        <v>99.54132</v>
      </c>
      <c r="O777" t="n">
        <v>101.1357</v>
      </c>
      <c r="P777" t="n">
        <v>101.3252</v>
      </c>
      <c r="Q777" t="n">
        <v>101.6116</v>
      </c>
      <c r="R777" t="n">
        <v>99.36346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100.8228</v>
      </c>
      <c r="Y777" t="n">
        <v>101.12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89" t="n">
        <v>42248</v>
      </c>
      <c r="B778" t="n">
        <v>101.1797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102.7205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100.2486</v>
      </c>
      <c r="N778" t="n">
        <v>100.2899</v>
      </c>
      <c r="O778" t="n">
        <v>102.5197</v>
      </c>
      <c r="P778" t="n">
        <v>102.1573</v>
      </c>
      <c r="Q778" t="n">
        <v>101.4107</v>
      </c>
      <c r="R778" t="n">
        <v>100.3502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101.3031</v>
      </c>
      <c r="Y778" t="n">
        <v>101.9014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89" t="n">
        <v>42278</v>
      </c>
      <c r="B779" t="n">
        <v>101.7205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103.7922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100.2601</v>
      </c>
      <c r="N779" t="n">
        <v>101.097</v>
      </c>
      <c r="O779" t="n">
        <v>102.9776</v>
      </c>
      <c r="P779" t="n">
        <v>102.7561</v>
      </c>
      <c r="Q779" t="n">
        <v>100.9895</v>
      </c>
      <c r="R779" t="n">
        <v>101.5869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101.618</v>
      </c>
      <c r="Y779" t="n">
        <v>102.4336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89" t="n">
        <v>42309</v>
      </c>
      <c r="B780" t="n">
        <v>102.2584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104.4787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100.3001</v>
      </c>
      <c r="N780" t="n">
        <v>102.4559</v>
      </c>
      <c r="O780" t="n">
        <v>102.5325</v>
      </c>
      <c r="P780" t="n">
        <v>103.5811</v>
      </c>
      <c r="Q780" t="n">
        <v>100.5141</v>
      </c>
      <c r="R780" t="n">
        <v>102.133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102.0908</v>
      </c>
      <c r="Y780" t="n">
        <v>102.611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89" t="n">
        <v>42339</v>
      </c>
      <c r="B781" t="n">
        <v>102.7655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105.0329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100.7631</v>
      </c>
      <c r="N781" t="n">
        <v>103.7756</v>
      </c>
      <c r="O781" t="n">
        <v>102.6416</v>
      </c>
      <c r="P781" t="n">
        <v>104.636</v>
      </c>
      <c r="Q781" t="n">
        <v>99.99091</v>
      </c>
      <c r="R781" t="n">
        <v>102.2635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102.4988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89" t="n">
        <v>42370</v>
      </c>
      <c r="B782" t="n">
        <v>103.1773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105.9222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101.6286</v>
      </c>
      <c r="N782" t="n">
        <v>104.0202</v>
      </c>
      <c r="O782" t="n">
        <v>103.3395</v>
      </c>
      <c r="P782" t="n">
        <v>105.6285</v>
      </c>
      <c r="Q782" t="n">
        <v>99.40437</v>
      </c>
      <c r="R782" t="n">
        <v>102.6193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103.2951</v>
      </c>
      <c r="Y782" t="n">
        <v>103.4644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89" t="n">
        <v>42401</v>
      </c>
      <c r="B783" t="n">
        <v>103.648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106.8014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102.4743</v>
      </c>
      <c r="N783" t="n">
        <v>103.4715</v>
      </c>
      <c r="O783" t="n">
        <v>104.4958</v>
      </c>
      <c r="P783" t="n">
        <v>106.6381</v>
      </c>
      <c r="Q783" t="n">
        <v>98.75668</v>
      </c>
      <c r="R783" t="n">
        <v>103.2117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103.8842</v>
      </c>
      <c r="Y783" t="n">
        <v>104.1955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89" t="n">
        <v>42430</v>
      </c>
      <c r="B784" t="n">
        <v>104.1215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107.7493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103.1605</v>
      </c>
      <c r="N784" t="n">
        <v>103.2529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104.3786</v>
      </c>
      <c r="Y784" t="n">
        <v>104.8474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89" t="n">
        <v>42461</v>
      </c>
      <c r="B785" t="n">
        <v>104.6006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108.7275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103.2185</v>
      </c>
      <c r="N785" t="n">
        <v>103.2472</v>
      </c>
      <c r="O785" t="n">
        <v>105.9369</v>
      </c>
      <c r="P785" t="n">
        <v>108.4104</v>
      </c>
      <c r="Q785" t="n">
        <v>97.29808</v>
      </c>
      <c r="R785" t="n">
        <v>103.6493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104.9856</v>
      </c>
      <c r="Y785" t="n">
        <v>105.3044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89" t="n">
        <v>42491</v>
      </c>
      <c r="B786" t="n">
        <v>104.9704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109.4353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103.3718</v>
      </c>
      <c r="N786" t="n">
        <v>103.4722</v>
      </c>
      <c r="O786" t="n">
        <v>106.5111</v>
      </c>
      <c r="P786" t="n">
        <v>109.3104</v>
      </c>
      <c r="Q786" t="n">
        <v>96.46853</v>
      </c>
      <c r="R786" t="n">
        <v>104.7689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105.5583</v>
      </c>
      <c r="Y786" t="n">
        <v>105.9654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89" t="n">
        <v>42522</v>
      </c>
      <c r="B787" t="n">
        <v>105.3262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105.407</v>
      </c>
      <c r="N787" t="n">
        <v>104.073</v>
      </c>
      <c r="O787" t="n">
        <v>107.4927</v>
      </c>
      <c r="P787" t="n">
        <v>109.3151</v>
      </c>
      <c r="Q787" t="n">
        <v>95.72318</v>
      </c>
      <c r="R787" t="n">
        <v>105.5839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106.2431</v>
      </c>
      <c r="Y787" t="n">
        <v>107.293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89" t="n">
        <v>42552</v>
      </c>
      <c r="B788" t="n">
        <v>106.021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110.5151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107.7275</v>
      </c>
      <c r="N788" t="n">
        <v>104.281</v>
      </c>
      <c r="O788" t="n">
        <v>108.5878</v>
      </c>
      <c r="P788" t="n">
        <v>110.2634</v>
      </c>
      <c r="Q788" t="n">
        <v>95.27303000000001</v>
      </c>
      <c r="R788" t="n">
        <v>106.3376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106.9462</v>
      </c>
      <c r="Y788" t="n">
        <v>108.647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89" t="n">
        <v>42583</v>
      </c>
      <c r="B789" t="n">
        <v>106.7635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111.2376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108.7024</v>
      </c>
      <c r="N789" t="n">
        <v>104.2473</v>
      </c>
      <c r="O789" t="n">
        <v>109.1512</v>
      </c>
      <c r="P789" t="n">
        <v>111.6638</v>
      </c>
      <c r="Q789" t="n">
        <v>95.12656</v>
      </c>
      <c r="R789" t="n">
        <v>106.6374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107.5755</v>
      </c>
      <c r="Y789" t="n">
        <v>109.3624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89" t="n">
        <v>42614</v>
      </c>
      <c r="B790" t="n">
        <v>107.1333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111.8163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109.5228</v>
      </c>
      <c r="N790" t="n">
        <v>104.5428</v>
      </c>
      <c r="O790" t="n">
        <v>109.0556</v>
      </c>
      <c r="P790" t="n">
        <v>112.9333</v>
      </c>
      <c r="Q790" t="n">
        <v>95.29783999999999</v>
      </c>
      <c r="R790" t="n">
        <v>106.6531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108.1412</v>
      </c>
      <c r="Y790" t="n">
        <v>109.9933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89" t="n">
        <v>42644</v>
      </c>
      <c r="B791" t="n">
        <v>107.6264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111.977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110.554</v>
      </c>
      <c r="N791" t="n">
        <v>105.1398</v>
      </c>
      <c r="O791" t="n">
        <v>109.4764</v>
      </c>
      <c r="P791" t="n">
        <v>113.9786</v>
      </c>
      <c r="Q791" t="n">
        <v>95.74462</v>
      </c>
      <c r="R791" t="n">
        <v>107.1596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108.7663</v>
      </c>
      <c r="Y791" t="n">
        <v>110.938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89" t="n">
        <v>42675</v>
      </c>
      <c r="B792" t="n">
        <v>108.4529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112.4792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111.0776</v>
      </c>
      <c r="N792" t="n">
        <v>105.9779</v>
      </c>
      <c r="O792" t="n">
        <v>111.1805</v>
      </c>
      <c r="P792" t="n">
        <v>114.4473</v>
      </c>
      <c r="Q792" t="n">
        <v>96.19054</v>
      </c>
      <c r="R792" t="n">
        <v>107.7402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109.4146</v>
      </c>
      <c r="Y792" t="n">
        <v>112.1793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89" t="n">
        <v>42705</v>
      </c>
      <c r="B793" t="n">
        <v>109.4615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113.0236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111.0977</v>
      </c>
      <c r="N793" t="n">
        <v>109.049</v>
      </c>
      <c r="O793" t="n">
        <v>112.6748</v>
      </c>
      <c r="P793" t="n">
        <v>113.1645</v>
      </c>
      <c r="Q793" t="n">
        <v>96.53201</v>
      </c>
      <c r="R793" t="n">
        <v>108.1599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109.9381</v>
      </c>
      <c r="Y793" t="n">
        <v>113.293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89" t="n">
        <v>42736</v>
      </c>
      <c r="B794" t="n">
        <v>110.3552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113.7515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111.5836</v>
      </c>
      <c r="N794" t="n">
        <v>111.0709</v>
      </c>
      <c r="O794" t="n">
        <v>113.6743</v>
      </c>
      <c r="P794" t="n">
        <v>112.252</v>
      </c>
      <c r="Q794" t="n">
        <v>96.86812999999999</v>
      </c>
      <c r="R794" t="n">
        <v>108.715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110.5646</v>
      </c>
      <c r="Y794" t="n">
        <v>114.2872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89" t="n">
        <v>42767</v>
      </c>
      <c r="B795" t="n">
        <v>110.9884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114.4508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112.6532</v>
      </c>
      <c r="N795" t="n">
        <v>110.3332</v>
      </c>
      <c r="O795" t="n">
        <v>114.5266</v>
      </c>
      <c r="P795" t="n">
        <v>113.2879</v>
      </c>
      <c r="Q795" t="n">
        <v>97.20923000000001</v>
      </c>
      <c r="R795" t="n">
        <v>109.0622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111.1304</v>
      </c>
      <c r="Y795" t="n">
        <v>115.0861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89" t="n">
        <v>42795</v>
      </c>
      <c r="B796" t="n">
        <v>111.4171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114.5091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113.9057</v>
      </c>
      <c r="N796" t="n">
        <v>110.638</v>
      </c>
      <c r="O796" t="n">
        <v>115.4727</v>
      </c>
      <c r="P796" t="n">
        <v>116.216</v>
      </c>
      <c r="Q796" t="n">
        <v>97.61906999999999</v>
      </c>
      <c r="R796" t="n">
        <v>109.1309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111.7922</v>
      </c>
      <c r="Y796" t="n">
        <v>116.0637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89" t="n">
        <v>42826</v>
      </c>
      <c r="B797" t="n">
        <v>111.9802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115.3722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114.7568</v>
      </c>
      <c r="N797" t="n">
        <v>111.6049</v>
      </c>
      <c r="O797" t="n">
        <v>116.4062</v>
      </c>
      <c r="P797" t="n">
        <v>117.1298</v>
      </c>
      <c r="Q797" t="n">
        <v>98.13142000000001</v>
      </c>
      <c r="R797" t="n">
        <v>109.2571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112.4784</v>
      </c>
      <c r="Y797" t="n">
        <v>117.3103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89" t="n">
        <v>42856</v>
      </c>
      <c r="B798" t="n">
        <v>112.6582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116.0219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115.0309</v>
      </c>
      <c r="N798" t="n">
        <v>112.404</v>
      </c>
      <c r="O798" t="n">
        <v>117.6562</v>
      </c>
      <c r="P798" t="n">
        <v>116.5616</v>
      </c>
      <c r="Q798" t="n">
        <v>98.63141</v>
      </c>
      <c r="R798" t="n">
        <v>109.7072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112.9388</v>
      </c>
      <c r="Y798" t="n">
        <v>118.0291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89" t="n">
        <v>42887</v>
      </c>
      <c r="B799" t="n">
        <v>113.2886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116.3091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115.172</v>
      </c>
      <c r="N799" t="n">
        <v>113.7021</v>
      </c>
      <c r="O799" t="n">
        <v>118.9115</v>
      </c>
      <c r="P799" t="n">
        <v>117.4433</v>
      </c>
      <c r="Q799" t="n">
        <v>99.06856000000001</v>
      </c>
      <c r="R799" t="n">
        <v>111.0409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113.275</v>
      </c>
      <c r="Y799" t="n">
        <v>118.5576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89" t="n">
        <v>42917</v>
      </c>
      <c r="B800" t="n">
        <v>113.7649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117.0736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115.4716</v>
      </c>
      <c r="N800" t="n">
        <v>114.5532</v>
      </c>
      <c r="O800" t="n">
        <v>119.3028</v>
      </c>
      <c r="P800" t="n">
        <v>118.0385</v>
      </c>
      <c r="Q800" t="n">
        <v>99.46514999999999</v>
      </c>
      <c r="R800" t="n">
        <v>112.2051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113.8091</v>
      </c>
      <c r="Y800" t="n">
        <v>119.1127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89" t="n">
        <v>42948</v>
      </c>
      <c r="B801" t="n">
        <v>114.0394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117.2374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116.3116</v>
      </c>
      <c r="N801" t="n">
        <v>115.2788</v>
      </c>
      <c r="O801" t="n">
        <v>119.7398</v>
      </c>
      <c r="P801" t="n">
        <v>118.535</v>
      </c>
      <c r="Q801" t="n">
        <v>99.86273</v>
      </c>
      <c r="R801" t="n">
        <v>112.9536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114.3217</v>
      </c>
      <c r="Y801" t="n">
        <v>119.9954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89" t="n">
        <v>42979</v>
      </c>
      <c r="B802" t="n">
        <v>114.4065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117.4916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117.3218</v>
      </c>
      <c r="N802" t="n">
        <v>117.1484</v>
      </c>
      <c r="O802" t="n">
        <v>120.4274</v>
      </c>
      <c r="P802" t="n">
        <v>119.2442</v>
      </c>
      <c r="Q802" t="n">
        <v>100.2001</v>
      </c>
      <c r="R802" t="n">
        <v>113.5286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114.8403</v>
      </c>
      <c r="Y802" t="n">
        <v>121.1018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89" t="n">
        <v>43009</v>
      </c>
      <c r="B803" t="n">
        <v>114.8519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118.195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117.9357</v>
      </c>
      <c r="N803" t="n">
        <v>118.5564</v>
      </c>
      <c r="O803" t="n">
        <v>121.2595</v>
      </c>
      <c r="P803" t="n">
        <v>121.0234</v>
      </c>
      <c r="Q803" t="n">
        <v>100.3614</v>
      </c>
      <c r="R803" t="n">
        <v>113.3916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115.4577</v>
      </c>
      <c r="Y803" t="n">
        <v>122.2572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89" t="n">
        <v>43040</v>
      </c>
      <c r="B804" t="n">
        <v>115.2273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119.0879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118.2377</v>
      </c>
      <c r="N804" t="n">
        <v>119.5556</v>
      </c>
      <c r="O804" t="n">
        <v>122.2036</v>
      </c>
      <c r="P804" t="n">
        <v>122.2668</v>
      </c>
      <c r="Q804" t="n">
        <v>100.5153</v>
      </c>
      <c r="R804" t="n">
        <v>113.3151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115.924</v>
      </c>
      <c r="Y804" t="n">
        <v>123.2357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89" t="n">
        <v>43070</v>
      </c>
      <c r="B805" t="n">
        <v>115.2582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120.4966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118.2133</v>
      </c>
      <c r="N805" t="n">
        <v>120.281</v>
      </c>
      <c r="O805" t="n">
        <v>122.6267</v>
      </c>
      <c r="P805" t="n">
        <v>122.8887</v>
      </c>
      <c r="Q805" t="n">
        <v>100.8441</v>
      </c>
      <c r="R805" t="n">
        <v>113.7547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116.3083</v>
      </c>
      <c r="Y805" t="n">
        <v>123.4419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89" t="n">
        <v>43101</v>
      </c>
      <c r="B806" t="n">
        <v>115.359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121.1861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118.7351</v>
      </c>
      <c r="N806" t="n">
        <v>122.0457</v>
      </c>
      <c r="O806" t="n">
        <v>123.2196</v>
      </c>
      <c r="P806" t="n">
        <v>123.8216</v>
      </c>
      <c r="Q806" t="n">
        <v>101.2755</v>
      </c>
      <c r="R806" t="n">
        <v>113.9716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116.4397</v>
      </c>
      <c r="Y806" t="n">
        <v>123.6619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89" t="n">
        <v>43132</v>
      </c>
      <c r="B807" t="n">
        <v>115.5776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121.2704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119.3068</v>
      </c>
      <c r="N807" t="n">
        <v>124.2951</v>
      </c>
      <c r="O807" t="n">
        <v>124.0943</v>
      </c>
      <c r="P807" t="n">
        <v>124.7564</v>
      </c>
      <c r="Q807" t="n">
        <v>101.7775</v>
      </c>
      <c r="R807" t="n">
        <v>113.6856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116.7956</v>
      </c>
      <c r="Y807" t="n">
        <v>124.3407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89" t="n">
        <v>43160</v>
      </c>
      <c r="B808" t="n">
        <v>115.5411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121.6554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118.6032</v>
      </c>
      <c r="N808" t="n">
        <v>125.5894</v>
      </c>
      <c r="O808" t="n">
        <v>124.5713</v>
      </c>
      <c r="P808" t="n">
        <v>125.6895</v>
      </c>
      <c r="Q808" t="n">
        <v>102.3663</v>
      </c>
      <c r="R808" t="n">
        <v>113.9164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117.3604</v>
      </c>
      <c r="Y808" t="n">
        <v>125.0409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89" t="n">
        <v>43191</v>
      </c>
      <c r="B809" t="n">
        <v>115.4291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121.7436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117.7922</v>
      </c>
      <c r="N809" t="n">
        <v>127.289</v>
      </c>
      <c r="O809" t="n">
        <v>125.1125</v>
      </c>
      <c r="P809" t="n">
        <v>126.8122</v>
      </c>
      <c r="Q809" t="n">
        <v>103.0184</v>
      </c>
      <c r="R809" t="n">
        <v>114.6789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117.8259</v>
      </c>
      <c r="Y809" t="n">
        <v>125.8453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89" t="n">
        <v>43221</v>
      </c>
      <c r="B810" t="n">
        <v>115.4879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121.8944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</v>
      </c>
      <c r="N810" t="n">
        <v>128.8403</v>
      </c>
      <c r="O810" t="n">
        <v>125.5814</v>
      </c>
      <c r="P810" t="n">
        <v>127.9901</v>
      </c>
      <c r="Q810" t="n">
        <v>103.7161</v>
      </c>
      <c r="R810" t="n">
        <v>114.9696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118.4928</v>
      </c>
      <c r="Y810" t="n">
        <v>127.4681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89" t="n">
        <v>43252</v>
      </c>
      <c r="B811" t="n">
        <v>115.6308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122.3215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119.377</v>
      </c>
      <c r="N811" t="n">
        <v>131.041</v>
      </c>
      <c r="O811" t="n">
        <v>125.9678</v>
      </c>
      <c r="P811" t="n">
        <v>128.8645</v>
      </c>
      <c r="Q811" t="n">
        <v>104.3891</v>
      </c>
      <c r="R811" t="n">
        <v>114.948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119.2069</v>
      </c>
      <c r="Y811" t="n">
        <v>128.9394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89" t="n">
        <v>43282</v>
      </c>
      <c r="B812" t="n">
        <v>115.8437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123.0033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119.3093</v>
      </c>
      <c r="N812" t="n">
        <v>133.1831</v>
      </c>
      <c r="O812" t="n">
        <v>126.6165</v>
      </c>
      <c r="P812" t="n">
        <v>129.6466</v>
      </c>
      <c r="Q812" t="n">
        <v>105.0022</v>
      </c>
      <c r="R812" t="n">
        <v>115.4509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119.6248</v>
      </c>
      <c r="Y812" t="n">
        <v>129.9039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89" t="n">
        <v>43313</v>
      </c>
      <c r="B813" t="n">
        <v>116.5133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123.8771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119.4426</v>
      </c>
      <c r="N813" t="n">
        <v>133.9382</v>
      </c>
      <c r="O813" t="n">
        <v>127.0985</v>
      </c>
      <c r="P813" t="n">
        <v>130.8387</v>
      </c>
      <c r="Q813" t="n">
        <v>105.5971</v>
      </c>
      <c r="R813" t="n">
        <v>115.7939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120.1546</v>
      </c>
      <c r="Y813" t="n">
        <v>130.8743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89" t="n">
        <v>43344</v>
      </c>
      <c r="B814" t="n">
        <v>117.0092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124.2735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119.936</v>
      </c>
      <c r="N814" t="n">
        <v>133.9394</v>
      </c>
      <c r="O814" t="n">
        <v>128.0515</v>
      </c>
      <c r="P814" t="n">
        <v>131.7674</v>
      </c>
      <c r="Q814" t="n">
        <v>106.2291</v>
      </c>
      <c r="R814" t="n">
        <v>116.3762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120.7753</v>
      </c>
      <c r="Y814" t="n">
        <v>132.6259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89" t="n">
        <v>43374</v>
      </c>
      <c r="B815" t="n">
        <v>117.2333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124.7369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120.988</v>
      </c>
      <c r="N815" t="n">
        <v>134.2435</v>
      </c>
      <c r="O815" t="n">
        <v>129.7608</v>
      </c>
      <c r="P815" t="n">
        <v>132.5771</v>
      </c>
      <c r="Q815" t="n">
        <v>106.9454</v>
      </c>
      <c r="R815" t="n">
        <v>117.3688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121.2062</v>
      </c>
      <c r="Y815" t="n">
        <v>133.9613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89" t="n">
        <v>43405</v>
      </c>
      <c r="B816" t="n">
        <v>117.4939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125.6378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121.6853</v>
      </c>
      <c r="N816" t="n">
        <v>135.0706</v>
      </c>
      <c r="O816" t="n">
        <v>130.635</v>
      </c>
      <c r="P816" t="n">
        <v>133.7899</v>
      </c>
      <c r="Q816" t="n">
        <v>107.6995</v>
      </c>
      <c r="R816" t="n">
        <v>118.5867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121.2917</v>
      </c>
      <c r="Y816" t="n">
        <v>133.3297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89" t="n">
        <v>43435</v>
      </c>
      <c r="B817" t="n">
        <v>117.8301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127.0764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122.1564</v>
      </c>
      <c r="N817" t="n">
        <v>134.9756</v>
      </c>
      <c r="O817" t="n">
        <v>130.5066</v>
      </c>
      <c r="P817" t="n">
        <v>134.8019</v>
      </c>
      <c r="Q817" t="n">
        <v>108.3908</v>
      </c>
      <c r="R817" t="n">
        <v>119.2491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121.9265</v>
      </c>
      <c r="Y817" t="n">
        <v>133.2507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89" t="n">
        <v>43466</v>
      </c>
      <c r="B818" t="n">
        <v>118.4213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127.6832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121.9711</v>
      </c>
      <c r="N818" t="n">
        <v>135.1888</v>
      </c>
      <c r="O818" t="n">
        <v/>
      </c>
      <c r="P818" t="n">
        <v/>
      </c>
      <c r="Q818" t="n">
        <v>108.9879</v>
      </c>
      <c r="R818" t="n">
        <v>119.7986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122.366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89" t="n">
        <v>43497</v>
      </c>
      <c r="B819" t="n">
        <v>119.06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127.838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120.7793</v>
      </c>
      <c r="N819" t="n">
        <v>136.2269</v>
      </c>
      <c r="O819" t="n">
        <v/>
      </c>
      <c r="P819" t="n">
        <v/>
      </c>
      <c r="Q819" t="n">
        <v>109.5066</v>
      </c>
      <c r="R819" t="n">
        <v>121.1358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122.6334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89" t="n">
        <v>43525</v>
      </c>
      <c r="B820" t="n">
        <v>119.8417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129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120.3348</v>
      </c>
      <c r="N820" t="n">
        <v>137.0343</v>
      </c>
      <c r="O820" t="n">
        <v/>
      </c>
      <c r="P820" t="n">
        <v/>
      </c>
      <c r="Q820" t="n">
        <v>109.9536</v>
      </c>
      <c r="R820" t="n">
        <v>121.7238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123.0195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89" t="n">
        <v>43556</v>
      </c>
      <c r="B821" t="n">
        <v>120.2564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130.1289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120.5721</v>
      </c>
      <c r="N821" t="n">
        <v>137.846</v>
      </c>
      <c r="O821" t="n">
        <v/>
      </c>
      <c r="P821" t="n">
        <v/>
      </c>
      <c r="Q821" t="n">
        <v>110.3307</v>
      </c>
      <c r="R821" t="n">
        <v>122.6523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123.3849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89" t="n">
        <v>43586</v>
      </c>
      <c r="B822" t="n">
        <v>120.2199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130.9976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120.8753</v>
      </c>
      <c r="N822" t="n">
        <v>139.6759</v>
      </c>
      <c r="O822" t="n">
        <v/>
      </c>
      <c r="P822" t="n">
        <v/>
      </c>
      <c r="Q822" t="n">
        <v>110.6381</v>
      </c>
      <c r="R822" t="n">
        <v>123.662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123.9881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89" t="n">
        <v>43617</v>
      </c>
      <c r="B823" t="n">
        <v>120.1779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131.7764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121.1662</v>
      </c>
      <c r="N823" t="n">
        <v>140.0946</v>
      </c>
      <c r="O823" t="n">
        <v/>
      </c>
      <c r="P823" t="n">
        <v/>
      </c>
      <c r="Q823" t="n">
        <v>110.9913</v>
      </c>
      <c r="R823" t="n">
        <v>124.101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124.7135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89" t="n">
        <v>43647</v>
      </c>
      <c r="B824" t="n">
        <v>119.4719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132.5603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121.4944</v>
      </c>
      <c r="N824" t="n">
        <v>139.6945</v>
      </c>
      <c r="O824" t="n">
        <v/>
      </c>
      <c r="P824" t="n">
        <v/>
      </c>
      <c r="Q824" t="n">
        <v>109.8995</v>
      </c>
      <c r="R824" t="n">
        <v>124.3727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125.2551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89" t="n">
        <v>43678</v>
      </c>
      <c r="B825" t="n">
        <v>118.9956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133.7064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121.9937</v>
      </c>
      <c r="N825" t="n">
        <v>140.922</v>
      </c>
      <c r="O825" t="n">
        <v/>
      </c>
      <c r="P825" t="n">
        <v/>
      </c>
      <c r="Q825" t="n">
        <v>108.7908</v>
      </c>
      <c r="R825" t="n">
        <v>124.3582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125.889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89" t="n">
        <v>43709</v>
      </c>
      <c r="B826" t="n">
        <v>119.3794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135.3948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121.9697</v>
      </c>
      <c r="N826" t="n">
        <v>142.1758</v>
      </c>
      <c r="O826" t="n">
        <v/>
      </c>
      <c r="P826" t="n">
        <v/>
      </c>
      <c r="Q826" t="n">
        <v>109.2616</v>
      </c>
      <c r="R826" t="n">
        <v>124.8591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126.4991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89" t="n">
        <v>43739</v>
      </c>
      <c r="B827" t="n">
        <v>119.8725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136.6178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121.3622</v>
      </c>
      <c r="N827" t="n">
        <v>143.3863</v>
      </c>
      <c r="O827" t="n">
        <v/>
      </c>
      <c r="P827" t="n">
        <v/>
      </c>
      <c r="Q827" t="n">
        <v>109.8457</v>
      </c>
      <c r="R827" t="n">
        <v>125.9491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127.2984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89" t="n">
        <v>43770</v>
      </c>
      <c r="B828" t="n">
        <v>120.4273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137.8709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121.424</v>
      </c>
      <c r="N828" t="n">
        <v>145.0222</v>
      </c>
      <c r="O828" t="n">
        <v/>
      </c>
      <c r="P828" t="n">
        <v/>
      </c>
      <c r="Q828" t="n">
        <v>110.488</v>
      </c>
      <c r="R828" t="n">
        <v>126.8256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128.0314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89" t="n">
        <v>43800</v>
      </c>
      <c r="B829" t="n">
        <v>120.8419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138.42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121.8864</v>
      </c>
      <c r="N829" t="n">
        <v>145.772</v>
      </c>
      <c r="O829" t="n">
        <v/>
      </c>
      <c r="P829" t="n">
        <v/>
      </c>
      <c r="Q829" t="n">
        <v>111.1854</v>
      </c>
      <c r="R829" t="n">
        <v>127.6506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128.5885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89" t="n">
        <v>43831</v>
      </c>
      <c r="B830" t="n">
        <v>121.3042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138.6261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122.2734</v>
      </c>
      <c r="N830" t="n">
        <v>147.032</v>
      </c>
      <c r="O830" t="n">
        <v/>
      </c>
      <c r="P830" t="n">
        <v/>
      </c>
      <c r="Q830" t="n">
        <v>111.9834</v>
      </c>
      <c r="R830" t="n">
        <v>128.3856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129.1803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89" t="n">
        <v>43862</v>
      </c>
      <c r="B831" t="n">
        <v>121.8701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139.9808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123.1307</v>
      </c>
      <c r="N831" t="n">
        <v>149.2712</v>
      </c>
      <c r="O831" t="n">
        <v/>
      </c>
      <c r="P831" t="n">
        <v/>
      </c>
      <c r="Q831" t="n">
        <v>112.9041</v>
      </c>
      <c r="R831" t="n">
        <v>129.1805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129.7798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89" t="n">
        <v>43891</v>
      </c>
      <c r="B832" t="n">
        <v>123.8929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144.1259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127.1081</v>
      </c>
      <c r="N832" t="n">
        <v>152.2264</v>
      </c>
      <c r="O832" t="n">
        <v/>
      </c>
      <c r="P832" t="n">
        <v/>
      </c>
      <c r="Q832" t="n">
        <v>113.9457</v>
      </c>
      <c r="R832" t="n">
        <v>133.8695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133.2407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89" t="n">
        <v>43922</v>
      </c>
      <c r="B833" t="n">
        <v>127.4342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149.2738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130.9257</v>
      </c>
      <c r="N833" t="n">
        <v>155.0787</v>
      </c>
      <c r="O833" t="n">
        <v/>
      </c>
      <c r="P833" t="n">
        <v/>
      </c>
      <c r="Q833" t="n">
        <v>115.092</v>
      </c>
      <c r="R833" t="n">
        <v>139.0426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139.1164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89" t="n">
        <v>43952</v>
      </c>
      <c r="B834" t="n">
        <v>129.4094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151.9819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132.1865</v>
      </c>
      <c r="N834" t="n">
        <v>156.6918</v>
      </c>
      <c r="O834" t="n">
        <v/>
      </c>
      <c r="P834" t="n">
        <v/>
      </c>
      <c r="Q834" t="n">
        <v>116.294</v>
      </c>
      <c r="R834" t="n">
        <v>140.8794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143.7499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89" t="n">
        <v>43983</v>
      </c>
      <c r="B835" t="n">
        <v>129.9474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153.0695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133.6164</v>
      </c>
      <c r="N835" t="n">
        <v>158.7391</v>
      </c>
      <c r="O835" t="n">
        <v/>
      </c>
      <c r="P835" t="n">
        <v/>
      </c>
      <c r="Q835" t="n">
        <v>117.4781</v>
      </c>
      <c r="R835" t="n">
        <v>142.2874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145.8701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89" t="n">
        <v>44013</v>
      </c>
      <c r="B836" t="n">
        <v>131.0344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153.4046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134.6272</v>
      </c>
      <c r="N836" t="n">
        <v>160.7678</v>
      </c>
      <c r="O836" t="n">
        <v/>
      </c>
      <c r="P836" t="n">
        <v/>
      </c>
      <c r="Q836" t="n">
        <v>118.5918</v>
      </c>
      <c r="R836" t="n">
        <v>144.0397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147.0116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89" t="n">
        <v>44044</v>
      </c>
      <c r="B837" t="n">
        <v>132.5165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153.9426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134.6825</v>
      </c>
      <c r="N837" t="n">
        <v>162.8017</v>
      </c>
      <c r="O837" t="n">
        <v/>
      </c>
      <c r="P837" t="n">
        <v/>
      </c>
      <c r="Q837" t="n">
        <v>119.5895</v>
      </c>
      <c r="R837" t="n">
        <v>146.5044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147.7269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89" t="n">
        <v>44075</v>
      </c>
      <c r="B838" t="n">
        <v>133.682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154.834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134.8605</v>
      </c>
      <c r="N838" t="n">
        <v>165.3491</v>
      </c>
      <c r="O838" t="n">
        <v/>
      </c>
      <c r="P838" t="n">
        <v/>
      </c>
      <c r="Q838" t="n">
        <v>120.3922</v>
      </c>
      <c r="R838" t="n">
        <v>149.1319</v>
      </c>
      <c r="S838" t="n">
        <v>119.9403</v>
      </c>
      <c r="T838" t="n">
        <v>146.3757</v>
      </c>
      <c r="U838" t="n">
        <v/>
      </c>
      <c r="V838" t="n">
        <v>136.1451</v>
      </c>
      <c r="W838" t="n">
        <v/>
      </c>
      <c r="X838" t="n">
        <v>149.1071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89" t="n">
        <v>44105</v>
      </c>
      <c r="B839" t="n">
        <v>134.4581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155.9813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135.2301</v>
      </c>
      <c r="N839" t="n">
        <v>167.9346</v>
      </c>
      <c r="O839" t="n">
        <v/>
      </c>
      <c r="P839" t="n">
        <v/>
      </c>
      <c r="Q839" t="n">
        <v>121.0558</v>
      </c>
      <c r="R839" t="n">
        <v>151.4296</v>
      </c>
      <c r="S839" t="n">
        <v>120.3105</v>
      </c>
      <c r="T839" t="n">
        <v>147.6214</v>
      </c>
      <c r="U839" t="n">
        <v/>
      </c>
      <c r="V839" t="n">
        <v>137.4818</v>
      </c>
      <c r="W839" t="n">
        <v/>
      </c>
      <c r="X839" t="n">
        <v>149.9936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89" t="n">
        <v>44136</v>
      </c>
      <c r="B840" t="n">
        <v>135.2733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156.2094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135.1211</v>
      </c>
      <c r="N840" t="n">
        <v>169.8031</v>
      </c>
      <c r="O840" t="n">
        <v/>
      </c>
      <c r="P840" t="n">
        <v/>
      </c>
      <c r="Q840" t="n">
        <v>121.751</v>
      </c>
      <c r="R840" t="n">
        <v>153.8562</v>
      </c>
      <c r="S840" t="n">
        <v>120.7963</v>
      </c>
      <c r="T840" t="n">
        <v>149.0209</v>
      </c>
      <c r="U840" t="n">
        <v/>
      </c>
      <c r="V840" t="n">
        <v>138.5171</v>
      </c>
      <c r="W840" t="n">
        <v/>
      </c>
      <c r="X840" t="n">
        <v>151.3674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89" t="n">
        <v>44166</v>
      </c>
      <c r="B841" t="n">
        <v>136.0494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156.4827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136.2643</v>
      </c>
      <c r="N841" t="n">
        <v>173.3132</v>
      </c>
      <c r="O841" t="n">
        <v/>
      </c>
      <c r="P841" t="n">
        <v/>
      </c>
      <c r="Q841" t="n">
        <v>122.5301</v>
      </c>
      <c r="R841" t="n">
        <v>156.1016</v>
      </c>
      <c r="S841" t="n">
        <v>121.1844</v>
      </c>
      <c r="T841" t="n">
        <v>149.5323</v>
      </c>
      <c r="U841" t="n">
        <v/>
      </c>
      <c r="V841" t="n">
        <v>139.108</v>
      </c>
      <c r="W841" t="n">
        <v/>
      </c>
      <c r="X841" t="n">
        <v>152.4129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89" t="n">
        <v>44197</v>
      </c>
      <c r="B842" t="n">
        <v>136.7975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157.4431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137.6233</v>
      </c>
      <c r="N842" t="n">
        <v>176.9132</v>
      </c>
      <c r="O842" t="n">
        <v/>
      </c>
      <c r="P842" t="n">
        <v/>
      </c>
      <c r="Q842" t="n">
        <v>123.3292</v>
      </c>
      <c r="R842" t="n">
        <v>158.0329</v>
      </c>
      <c r="S842" t="n">
        <v>121.7171</v>
      </c>
      <c r="T842" t="n">
        <v>150.1967</v>
      </c>
      <c r="U842" t="n">
        <v/>
      </c>
      <c r="V842" t="n">
        <v>139.9605</v>
      </c>
      <c r="W842" t="n">
        <v/>
      </c>
      <c r="X842" t="n">
        <v>153.9868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144.7892</v>
      </c>
    </row>
    <row r="843">
      <c r="A843" s="89" t="n">
        <v>44228</v>
      </c>
      <c r="B843" t="n">
        <v>137.4698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158.3114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138.2331</v>
      </c>
      <c r="N843" t="n">
        <v>179.3365</v>
      </c>
      <c r="O843" t="n">
        <v/>
      </c>
      <c r="P843" t="n">
        <v/>
      </c>
      <c r="Q843" t="n">
        <v>124.1201</v>
      </c>
      <c r="R843" t="n">
        <v>159.9045</v>
      </c>
      <c r="S843" t="n">
        <v>122.1499</v>
      </c>
      <c r="T843" t="n">
        <v>151.631</v>
      </c>
      <c r="U843" t="n">
        <v/>
      </c>
      <c r="V843" t="n">
        <v>141.9365</v>
      </c>
      <c r="W843" t="n">
        <v/>
      </c>
      <c r="X843" t="n">
        <v>155.4962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162.8477</v>
      </c>
      <c r="AE843" t="n">
        <v>145.1587</v>
      </c>
    </row>
    <row r="844">
      <c r="A844" s="89" t="n">
        <v>44256</v>
      </c>
      <c r="B844" t="n">
        <v>137.778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159.2722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139.1194</v>
      </c>
      <c r="N844" t="n">
        <v>181.8382</v>
      </c>
      <c r="O844" t="n">
        <v/>
      </c>
      <c r="P844" t="n">
        <v/>
      </c>
      <c r="Q844" t="n">
        <v>124.9445</v>
      </c>
      <c r="R844" t="n">
        <v>161.6879</v>
      </c>
      <c r="S844" t="n">
        <v>122.5465</v>
      </c>
      <c r="T844" t="n">
        <v>153.1997</v>
      </c>
      <c r="U844" t="n">
        <v/>
      </c>
      <c r="V844" t="n">
        <v>143.316</v>
      </c>
      <c r="W844" t="n">
        <v/>
      </c>
      <c r="X844" t="n">
        <v>156.9459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144.8994</v>
      </c>
    </row>
    <row r="845">
      <c r="A845" s="89" t="n">
        <v>44287</v>
      </c>
      <c r="B845" t="n">
        <v>138.131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160.1514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140.1519</v>
      </c>
      <c r="N845" t="n">
        <v>183.0132</v>
      </c>
      <c r="O845" t="n">
        <v/>
      </c>
      <c r="P845" t="n">
        <v/>
      </c>
      <c r="Q845" t="n">
        <v>125.8224</v>
      </c>
      <c r="R845" t="n">
        <v>163.6313</v>
      </c>
      <c r="S845" t="n">
        <v>122.9389</v>
      </c>
      <c r="T845" t="n">
        <v>155.7242</v>
      </c>
      <c r="U845" t="n">
        <v/>
      </c>
      <c r="V845" t="n">
        <v>144.3334</v>
      </c>
      <c r="W845" t="n">
        <v/>
      </c>
      <c r="X845" t="n">
        <v>158.5133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166.9614</v>
      </c>
      <c r="AE845" t="n">
        <v>144.8862</v>
      </c>
    </row>
    <row r="846">
      <c r="A846" s="89" t="n">
        <v>44317</v>
      </c>
      <c r="B846" t="n">
        <v>138.5037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161.4406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140.8886</v>
      </c>
      <c r="N846" t="n">
        <v>183.3404</v>
      </c>
      <c r="O846" t="n">
        <v/>
      </c>
      <c r="P846" t="n">
        <v/>
      </c>
      <c r="Q846" t="n">
        <v>126.7349</v>
      </c>
      <c r="R846" t="n">
        <v>165.1172</v>
      </c>
      <c r="S846" t="n">
        <v>123.2839</v>
      </c>
      <c r="T846" t="n">
        <v>156.8199</v>
      </c>
      <c r="U846" t="n">
        <v/>
      </c>
      <c r="V846" t="n">
        <v>145.9569</v>
      </c>
      <c r="W846" t="n">
        <v/>
      </c>
      <c r="X846" t="n">
        <v>160.2596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169.5185</v>
      </c>
      <c r="AE846" t="n">
        <v>145.0969</v>
      </c>
    </row>
    <row r="847">
      <c r="A847" s="89" t="n">
        <v>44348</v>
      </c>
      <c r="B847" t="n">
        <v>139.4646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162.8508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141.7395</v>
      </c>
      <c r="N847" t="n">
        <v>184.8385</v>
      </c>
      <c r="O847" t="n">
        <v/>
      </c>
      <c r="P847" t="n">
        <v/>
      </c>
      <c r="Q847" t="n">
        <v>127.7043</v>
      </c>
      <c r="R847" t="n">
        <v>167.4233</v>
      </c>
      <c r="S847" t="n">
        <v>123.5833</v>
      </c>
      <c r="T847" t="n">
        <v>156.9046</v>
      </c>
      <c r="U847" t="n">
        <v/>
      </c>
      <c r="V847" t="n">
        <v>147.0214</v>
      </c>
      <c r="W847" t="n">
        <v/>
      </c>
      <c r="X847" t="n">
        <v>160.7475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169.8622</v>
      </c>
      <c r="AE847" t="n">
        <v>145.0862</v>
      </c>
    </row>
    <row r="848">
      <c r="A848" s="89" t="n">
        <v>44378</v>
      </c>
      <c r="B848" t="n">
        <v>141.1793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164.2002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142.2826</v>
      </c>
      <c r="N848" t="n">
        <v>187.644</v>
      </c>
      <c r="O848" t="n">
        <v/>
      </c>
      <c r="P848" t="n">
        <v/>
      </c>
      <c r="Q848" t="n">
        <v>128.7641</v>
      </c>
      <c r="R848" t="n">
        <v>171.2017</v>
      </c>
      <c r="S848" t="n">
        <v>123.8788</v>
      </c>
      <c r="T848" t="n">
        <v>158.2462</v>
      </c>
      <c r="U848" t="n">
        <v/>
      </c>
      <c r="V848" t="n">
        <v>148.1804</v>
      </c>
      <c r="W848" t="n">
        <v/>
      </c>
      <c r="X848" t="n">
        <v>161.9457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171.1507</v>
      </c>
      <c r="AE848" t="n">
        <v>145.7611</v>
      </c>
    </row>
    <row r="849">
      <c r="A849" s="89" t="n">
        <v>44409</v>
      </c>
      <c r="B849" t="n">
        <v>142.342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165.5736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142.7607</v>
      </c>
      <c r="N849" t="n">
        <v>189.4197</v>
      </c>
      <c r="O849" t="n">
        <v/>
      </c>
      <c r="P849" t="n">
        <v/>
      </c>
      <c r="Q849" t="n">
        <v>129.9127</v>
      </c>
      <c r="R849" t="n">
        <v>173.1984</v>
      </c>
      <c r="S849" t="n">
        <v>124.1611</v>
      </c>
      <c r="T849" t="n">
        <v>159.6352</v>
      </c>
      <c r="U849" t="n">
        <v/>
      </c>
      <c r="V849" t="n">
        <v>149.2905</v>
      </c>
      <c r="W849" t="n">
        <v/>
      </c>
      <c r="X849" t="n">
        <v>163.315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172.9772</v>
      </c>
      <c r="AE849" t="n">
        <v>147.4258</v>
      </c>
    </row>
    <row r="850">
      <c r="A850" s="89" t="n">
        <v>44440</v>
      </c>
      <c r="B850" t="n">
        <v>143.7344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166.3038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144.5033</v>
      </c>
      <c r="N850" t="n">
        <v>191.435</v>
      </c>
      <c r="O850" t="n">
        <v/>
      </c>
      <c r="P850" t="n">
        <v/>
      </c>
      <c r="Q850" t="n">
        <v>131.1326</v>
      </c>
      <c r="R850" t="n">
        <v>174.8465</v>
      </c>
      <c r="S850" t="n">
        <v>124.4292</v>
      </c>
      <c r="T850" t="n">
        <v>160.4632</v>
      </c>
      <c r="U850" t="n">
        <v/>
      </c>
      <c r="V850" t="n">
        <v>150.3227</v>
      </c>
      <c r="W850" t="n">
        <v/>
      </c>
      <c r="X850" t="n">
        <v>164.3218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174.0606</v>
      </c>
      <c r="AE850" t="n">
        <v>148.7881</v>
      </c>
    </row>
    <row r="851">
      <c r="A851" s="89" t="n">
        <v>44470</v>
      </c>
      <c r="B851" t="n">
        <v>145.2361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167.981</v>
      </c>
      <c r="I851" t="n">
        <v>141.2069</v>
      </c>
      <c r="J851" t="n">
        <v>164.6461</v>
      </c>
      <c r="K851" t="n">
        <v/>
      </c>
      <c r="L851" t="n">
        <v>143.9034</v>
      </c>
      <c r="M851" t="n">
        <v>145.8456</v>
      </c>
      <c r="N851" t="n">
        <v>194.7839</v>
      </c>
      <c r="O851" t="n">
        <v/>
      </c>
      <c r="P851" t="n">
        <v/>
      </c>
      <c r="Q851" t="n">
        <v>132.3727</v>
      </c>
      <c r="R851" t="n">
        <v>176.3576</v>
      </c>
      <c r="S851" t="n">
        <v>124.7841</v>
      </c>
      <c r="T851" t="n">
        <v>161.3676</v>
      </c>
      <c r="U851" t="n">
        <v/>
      </c>
      <c r="V851" t="n">
        <v>150.6739</v>
      </c>
      <c r="W851" t="n">
        <v/>
      </c>
      <c r="X851" t="n">
        <v>165.519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149.3955</v>
      </c>
    </row>
    <row r="852">
      <c r="A852" s="89" t="n">
        <v>44501</v>
      </c>
      <c r="B852" t="n">
        <v>146.2587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170.5515</v>
      </c>
      <c r="I852" t="n">
        <v>141.7768</v>
      </c>
      <c r="J852" t="n">
        <v>165.2357</v>
      </c>
      <c r="K852" t="n">
        <v/>
      </c>
      <c r="L852" t="n">
        <v>144.9845</v>
      </c>
      <c r="M852" t="n">
        <v>146.6005</v>
      </c>
      <c r="N852" t="n">
        <v>199.0343</v>
      </c>
      <c r="O852" t="n">
        <v/>
      </c>
      <c r="P852" t="n">
        <v/>
      </c>
      <c r="Q852" t="n">
        <v>133.5994</v>
      </c>
      <c r="R852" t="n">
        <v>177.3359</v>
      </c>
      <c r="S852" t="n">
        <v>125.0816</v>
      </c>
      <c r="T852" t="n">
        <v>162.8601</v>
      </c>
      <c r="U852" t="n">
        <v/>
      </c>
      <c r="V852" t="n">
        <v>151.7477</v>
      </c>
      <c r="W852" t="n">
        <v/>
      </c>
      <c r="X852" t="n">
        <v>166.9061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177.2444</v>
      </c>
      <c r="AE852" t="n">
        <v>150.8331</v>
      </c>
    </row>
    <row r="853">
      <c r="A853" s="89" t="n">
        <v>44531</v>
      </c>
      <c r="B853" t="n">
        <v>147.9761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173.7638</v>
      </c>
      <c r="I853" t="n">
        <v>142.3468</v>
      </c>
      <c r="J853" t="n">
        <v>164.1339</v>
      </c>
      <c r="K853" t="n">
        <v/>
      </c>
      <c r="L853" t="n">
        <v>145.8371</v>
      </c>
      <c r="M853" t="n">
        <v>147.2397</v>
      </c>
      <c r="N853" t="n">
        <v>203.0858</v>
      </c>
      <c r="O853" t="n">
        <v/>
      </c>
      <c r="P853" t="n">
        <v/>
      </c>
      <c r="Q853" t="n">
        <v>134.7799</v>
      </c>
      <c r="R853" t="n">
        <v>179.7892</v>
      </c>
      <c r="S853" t="n">
        <v>125.3068</v>
      </c>
      <c r="T853" t="n">
        <v>164.0382</v>
      </c>
      <c r="U853" t="n">
        <v/>
      </c>
      <c r="V853" t="n">
        <v>153.5463</v>
      </c>
      <c r="W853" t="n">
        <v/>
      </c>
      <c r="X853" t="n">
        <v>167.9295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178.4117</v>
      </c>
      <c r="AE853" t="n">
        <v>152.4504</v>
      </c>
    </row>
    <row r="854">
      <c r="A854" s="89" t="n">
        <v>44562</v>
      </c>
      <c r="B854" t="n">
        <v>149.1556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176.5375</v>
      </c>
      <c r="I854" t="n">
        <v>142.9167</v>
      </c>
      <c r="J854" t="n">
        <v>163.8779</v>
      </c>
      <c r="K854" t="n">
        <v/>
      </c>
      <c r="L854" t="n">
        <v>146.1608</v>
      </c>
      <c r="M854" t="n">
        <v>146.9061</v>
      </c>
      <c r="N854" t="n">
        <v>204.9187</v>
      </c>
      <c r="O854" t="n">
        <v/>
      </c>
      <c r="P854" t="n">
        <v/>
      </c>
      <c r="Q854" t="n">
        <v>135.8952</v>
      </c>
      <c r="R854" t="n">
        <v>180.9643</v>
      </c>
      <c r="S854" t="n">
        <v>125.7226</v>
      </c>
      <c r="T854" t="n">
        <v>165.025</v>
      </c>
      <c r="U854" t="n">
        <v/>
      </c>
      <c r="V854" t="n">
        <v>155.042</v>
      </c>
      <c r="W854" t="n">
        <v/>
      </c>
      <c r="X854" t="n">
        <v>168.9725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152.8845</v>
      </c>
    </row>
    <row r="855">
      <c r="A855" s="89" t="n">
        <v>44593</v>
      </c>
      <c r="B855" t="n">
        <v>149.3742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177.2848</v>
      </c>
      <c r="I855" t="n">
        <v>143.4866</v>
      </c>
      <c r="J855" t="n">
        <v>166.2576</v>
      </c>
      <c r="K855" t="n">
        <v/>
      </c>
      <c r="L855" t="n">
        <v>146.2788</v>
      </c>
      <c r="M855" t="n">
        <v>147.5747</v>
      </c>
      <c r="N855" t="n">
        <v>207.455</v>
      </c>
      <c r="O855" t="n">
        <v/>
      </c>
      <c r="P855" t="n">
        <v/>
      </c>
      <c r="Q855" t="n">
        <v>136.9415</v>
      </c>
      <c r="R855" t="n">
        <v>181.9192</v>
      </c>
      <c r="S855" t="n">
        <v>126.0626</v>
      </c>
      <c r="T855" t="n">
        <v>165.9249</v>
      </c>
      <c r="U855" t="n">
        <v/>
      </c>
      <c r="V855" t="n">
        <v>155.4367</v>
      </c>
      <c r="W855" t="n">
        <v/>
      </c>
      <c r="X855" t="n">
        <v>169.5606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180.2257</v>
      </c>
      <c r="AE855" t="n">
        <v>153.6726</v>
      </c>
    </row>
    <row r="856">
      <c r="A856" s="89" t="n">
        <v>44621</v>
      </c>
      <c r="B856" t="n">
        <v>150.1698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178.3855</v>
      </c>
      <c r="I856" t="n">
        <v>144.0565</v>
      </c>
      <c r="J856" t="n">
        <v>167.8531</v>
      </c>
      <c r="K856" t="n">
        <v/>
      </c>
      <c r="L856" t="n">
        <v>146.9478</v>
      </c>
      <c r="M856" t="n">
        <v>149.238</v>
      </c>
      <c r="N856" t="n">
        <v>210.1499</v>
      </c>
      <c r="O856" t="n">
        <v/>
      </c>
      <c r="P856" t="n">
        <v/>
      </c>
      <c r="Q856" t="n">
        <v>137.9128</v>
      </c>
      <c r="R856" t="n">
        <v>182.5037</v>
      </c>
      <c r="S856" t="n">
        <v>126.3712</v>
      </c>
      <c r="T856" t="n">
        <v>166.2056</v>
      </c>
      <c r="U856" t="n">
        <v/>
      </c>
      <c r="V856" t="n">
        <v>156.2796</v>
      </c>
      <c r="W856" t="n">
        <v/>
      </c>
      <c r="X856" t="n">
        <v>170.0805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180.4856</v>
      </c>
      <c r="AE856" t="n">
        <v>155.638</v>
      </c>
    </row>
    <row r="857">
      <c r="A857" s="89" t="n">
        <v>44652</v>
      </c>
      <c r="B857" t="n">
        <v>151.1644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180.2087</v>
      </c>
      <c r="I857" t="n">
        <v>144.6265</v>
      </c>
      <c r="J857" t="n">
        <v>168.4131</v>
      </c>
      <c r="K857" t="n">
        <v/>
      </c>
      <c r="L857" t="n">
        <v>147.9862</v>
      </c>
      <c r="M857" t="n">
        <v>149.763</v>
      </c>
      <c r="N857" t="n">
        <v>212.1145</v>
      </c>
      <c r="O857" t="n">
        <v/>
      </c>
      <c r="P857" t="n">
        <v/>
      </c>
      <c r="Q857" t="n">
        <v>138.9374</v>
      </c>
      <c r="R857" t="n">
        <v>182.6375</v>
      </c>
      <c r="S857" t="n">
        <v>126.7354</v>
      </c>
      <c r="T857" t="n">
        <v>166.5137</v>
      </c>
      <c r="U857" t="n">
        <v/>
      </c>
      <c r="V857" t="n">
        <v>158.0418</v>
      </c>
      <c r="W857" t="n">
        <v/>
      </c>
      <c r="X857" t="n">
        <v>169.9895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179.6927</v>
      </c>
      <c r="AE857" t="n">
        <v>156.417</v>
      </c>
    </row>
    <row r="858">
      <c r="A858" s="89" t="n">
        <v>44682</v>
      </c>
      <c r="B858" t="n">
        <v>152.1759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181.753</v>
      </c>
      <c r="I858" t="n">
        <v>145.1964</v>
      </c>
      <c r="J858" t="n">
        <v>169.6828</v>
      </c>
      <c r="K858" t="n">
        <v/>
      </c>
      <c r="L858" t="n">
        <v>148.7603</v>
      </c>
      <c r="M858" t="n">
        <v>149.46</v>
      </c>
      <c r="N858" t="n">
        <v>214.6976</v>
      </c>
      <c r="O858" t="n">
        <v/>
      </c>
      <c r="P858" t="n">
        <v/>
      </c>
      <c r="Q858" t="n">
        <v>139.9349</v>
      </c>
      <c r="R858" t="n">
        <v>184.3971</v>
      </c>
      <c r="S858" t="n">
        <v>126.7784</v>
      </c>
      <c r="T858" t="n">
        <v>167.6557</v>
      </c>
      <c r="U858" t="n">
        <v/>
      </c>
      <c r="V858" t="n">
        <v>158.9781</v>
      </c>
      <c r="W858" t="n">
        <v/>
      </c>
      <c r="X858" t="n">
        <v>170.2597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179.7343</v>
      </c>
      <c r="AE858" t="n">
        <v>156.0298</v>
      </c>
    </row>
    <row r="859">
      <c r="A859" s="89" t="n">
        <v>44713</v>
      </c>
      <c r="B859" t="n">
        <v>153.4758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183.7608</v>
      </c>
      <c r="I859" t="n">
        <v>145.7663</v>
      </c>
      <c r="J859" t="n">
        <v>170.5555</v>
      </c>
      <c r="K859" t="n">
        <v/>
      </c>
      <c r="L859" t="n">
        <v>149.3738</v>
      </c>
      <c r="M859" t="n">
        <v>149.9307</v>
      </c>
      <c r="N859" t="n">
        <v>217.414</v>
      </c>
      <c r="O859" t="n">
        <v/>
      </c>
      <c r="P859" t="n">
        <v/>
      </c>
      <c r="Q859" t="n">
        <v>140.6426</v>
      </c>
      <c r="R859" t="n">
        <v>186.3001</v>
      </c>
      <c r="S859" t="n">
        <v>127.1975</v>
      </c>
      <c r="T859" t="n">
        <v>168.3754</v>
      </c>
      <c r="U859" t="n">
        <v/>
      </c>
      <c r="V859" t="n">
        <v>160.0662</v>
      </c>
      <c r="W859" t="n">
        <v/>
      </c>
      <c r="X859" t="n">
        <v>170.4509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179.3889</v>
      </c>
      <c r="AE859" t="n">
        <v>156.3336</v>
      </c>
    </row>
    <row r="860">
      <c r="A860" s="89" t="n">
        <v>44743</v>
      </c>
      <c r="B860" t="n">
        <v>154.4956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186.0684</v>
      </c>
      <c r="I860" t="n">
        <v>146.3363</v>
      </c>
      <c r="J860" t="n">
        <v>170.6628</v>
      </c>
      <c r="K860" t="n">
        <v/>
      </c>
      <c r="L860" t="n">
        <v>150.3367</v>
      </c>
      <c r="M860" t="n">
        <v>150.6778</v>
      </c>
      <c r="N860" t="n">
        <v>222.0676</v>
      </c>
      <c r="O860" t="n">
        <v/>
      </c>
      <c r="P860" t="n">
        <v/>
      </c>
      <c r="Q860" t="n">
        <v>141.2058</v>
      </c>
      <c r="R860" t="n">
        <v>187.776</v>
      </c>
      <c r="S860" t="n">
        <v>127.5477</v>
      </c>
      <c r="T860" t="n">
        <v>168.7211</v>
      </c>
      <c r="U860" t="n">
        <v/>
      </c>
      <c r="V860" t="n">
        <v>160.6782</v>
      </c>
      <c r="W860" t="n">
        <v/>
      </c>
      <c r="X860" t="n">
        <v>170.9561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179.6255</v>
      </c>
      <c r="AE860" t="n">
        <v>157.7766</v>
      </c>
    </row>
    <row r="861">
      <c r="A861" s="89" t="n">
        <v>44774</v>
      </c>
      <c r="B861" t="n">
        <v>155.0868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188.1503</v>
      </c>
      <c r="I861" t="n">
        <v>146.9062</v>
      </c>
      <c r="J861" t="n">
        <v>171.4475</v>
      </c>
      <c r="K861" t="n">
        <v/>
      </c>
      <c r="L861" t="n">
        <v>151.2624</v>
      </c>
      <c r="M861" t="n">
        <v>151.3877</v>
      </c>
      <c r="N861" t="n">
        <v>226.7787</v>
      </c>
      <c r="O861" t="n">
        <v/>
      </c>
      <c r="P861" t="n">
        <v/>
      </c>
      <c r="Q861" t="n">
        <v>141.8417</v>
      </c>
      <c r="R861" t="n">
        <v>188.0777</v>
      </c>
      <c r="S861" t="n">
        <v>127.8377</v>
      </c>
      <c r="T861" t="n">
        <v>169.5486</v>
      </c>
      <c r="U861" t="n">
        <v/>
      </c>
      <c r="V861" t="n">
        <v>160.8535</v>
      </c>
      <c r="W861" t="n">
        <v/>
      </c>
      <c r="X861" t="n">
        <v>171.2689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179.5939</v>
      </c>
      <c r="AE861" t="n">
        <v>159.7533</v>
      </c>
    </row>
    <row r="862">
      <c r="A862" s="89" t="n">
        <v>44805</v>
      </c>
      <c r="B862" t="n">
        <v>155.2885</v>
      </c>
      <c r="C862" t="n">
        <v/>
      </c>
      <c r="D862" t="n">
        <v>174.313</v>
      </c>
      <c r="E862" t="n">
        <v/>
      </c>
      <c r="F862" t="n">
        <v/>
      </c>
      <c r="G862" t="n">
        <v/>
      </c>
      <c r="H862" t="n">
        <v>189.9071</v>
      </c>
      <c r="I862" t="n">
        <v>147.4761</v>
      </c>
      <c r="J862" t="n">
        <v>172.244</v>
      </c>
      <c r="K862" t="n">
        <v/>
      </c>
      <c r="L862" t="n">
        <v>152.1181</v>
      </c>
      <c r="M862" t="n">
        <v>154.2794</v>
      </c>
      <c r="N862" t="n">
        <v>228.5552</v>
      </c>
      <c r="O862" t="n">
        <v/>
      </c>
      <c r="P862" t="n">
        <v/>
      </c>
      <c r="Q862" t="n">
        <v>142.536</v>
      </c>
      <c r="R862" t="n">
        <v/>
      </c>
      <c r="S862" t="n">
        <v>127.9569</v>
      </c>
      <c r="T862" t="n">
        <v>170.0036</v>
      </c>
      <c r="U862" t="n">
        <v/>
      </c>
      <c r="V862" t="n">
        <v>163.0558</v>
      </c>
      <c r="W862" t="n">
        <v/>
      </c>
      <c r="X862" t="n">
        <v>171.2033</v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178.5246</v>
      </c>
      <c r="AE862" t="n">
        <v>161.4787</v>
      </c>
    </row>
    <row r="863">
      <c r="A863" s="89" t="n">
        <v>44835</v>
      </c>
      <c r="B863" t="n">
        <v>155.8264</v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>191.3671</v>
      </c>
      <c r="I863" t="n">
        <v>148.0461</v>
      </c>
      <c r="J863" t="n">
        <v>173.1313</v>
      </c>
      <c r="K863" t="n">
        <v/>
      </c>
      <c r="L863" t="n">
        <v>152.2752</v>
      </c>
      <c r="M863" t="n">
        <v>155.6782</v>
      </c>
      <c r="N863" t="n">
        <v>227.2654</v>
      </c>
      <c r="O863" t="n">
        <v/>
      </c>
      <c r="P863" t="n">
        <v/>
      </c>
      <c r="Q863" t="n">
        <v>143.2231</v>
      </c>
      <c r="R863" t="n">
        <v/>
      </c>
      <c r="S863" t="n">
        <v>128.0672</v>
      </c>
      <c r="T863" t="n">
        <v/>
      </c>
      <c r="U863" t="n">
        <v/>
      </c>
      <c r="V863" t="n">
        <v>163.265</v>
      </c>
      <c r="W863" t="n">
        <v/>
      </c>
      <c r="X863" t="n">
        <v/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>177.7915</v>
      </c>
      <c r="AE863" t="n">
        <v>163.1199</v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baseColWidth="8" defaultColWidth="10.90625" defaultRowHeight="14.5"/>
  <cols>
    <col width="18.453125" customWidth="1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10551359</v>
      </c>
      <c r="C2" s="90" t="n">
        <v>44835</v>
      </c>
      <c r="D2" t="n">
        <v>10325169</v>
      </c>
      <c r="E2" t="inlineStr">
        <is>
          <t>ARS Million</t>
        </is>
      </c>
    </row>
    <row r="3">
      <c r="A3" t="inlineStr">
        <is>
          <t>Brazil</t>
        </is>
      </c>
      <c r="B3" t="n">
        <v>4857064</v>
      </c>
      <c r="C3" s="90" t="n">
        <v>44835</v>
      </c>
      <c r="D3" t="n">
        <v>4795425</v>
      </c>
      <c r="E3" t="inlineStr">
        <is>
          <t>BRL Million</t>
        </is>
      </c>
    </row>
    <row r="4">
      <c r="A4" t="inlineStr">
        <is>
          <t>Canada</t>
        </is>
      </c>
      <c r="B4" t="n">
        <v>2376916</v>
      </c>
      <c r="C4" s="90" t="n">
        <v>44835</v>
      </c>
      <c r="D4" t="n">
        <v>2374338</v>
      </c>
      <c r="E4" t="inlineStr">
        <is>
          <t>CAD Million</t>
        </is>
      </c>
    </row>
    <row r="5">
      <c r="A5" t="inlineStr">
        <is>
          <t>China</t>
        </is>
      </c>
      <c r="B5" t="n">
        <v>264700</v>
      </c>
      <c r="C5" s="90" t="n">
        <v>44866</v>
      </c>
      <c r="D5" t="n">
        <v>261291</v>
      </c>
      <c r="E5" t="inlineStr">
        <is>
          <t>CNY Billion</t>
        </is>
      </c>
    </row>
    <row r="6">
      <c r="A6" t="inlineStr">
        <is>
          <t>Euro Area</t>
        </is>
      </c>
      <c r="B6" t="n">
        <v>15375070</v>
      </c>
      <c r="C6" s="90" t="n">
        <v>44835</v>
      </c>
      <c r="D6" t="n">
        <v>15448158</v>
      </c>
      <c r="E6" t="inlineStr">
        <is>
          <t>EUR Million</t>
        </is>
      </c>
    </row>
    <row r="7">
      <c r="A7" t="inlineStr">
        <is>
          <t>France</t>
        </is>
      </c>
      <c r="B7" t="n">
        <v>3002201</v>
      </c>
      <c r="C7" s="90" t="n">
        <v>44805</v>
      </c>
      <c r="D7" t="n">
        <v>3013596</v>
      </c>
      <c r="E7" t="inlineStr">
        <is>
          <t>EUR Million</t>
        </is>
      </c>
    </row>
    <row r="8">
      <c r="A8" t="inlineStr">
        <is>
          <t>Germany</t>
        </is>
      </c>
      <c r="B8" t="n">
        <v>3811</v>
      </c>
      <c r="C8" s="90" t="n">
        <v>44835</v>
      </c>
      <c r="D8" t="n">
        <v>3809</v>
      </c>
      <c r="E8" t="inlineStr">
        <is>
          <t>EUR Billion</t>
        </is>
      </c>
    </row>
    <row r="9">
      <c r="A9" t="inlineStr">
        <is>
          <t>India</t>
        </is>
      </c>
      <c r="B9" t="n">
        <v>55439</v>
      </c>
      <c r="C9" s="90" t="n">
        <v>44866</v>
      </c>
      <c r="D9" t="n">
        <v>55296</v>
      </c>
      <c r="E9" t="inlineStr">
        <is>
          <t>INR Billion</t>
        </is>
      </c>
    </row>
    <row r="10">
      <c r="A10" t="inlineStr">
        <is>
          <t>Indonesia</t>
        </is>
      </c>
      <c r="B10" t="n">
        <v>8296100</v>
      </c>
      <c r="C10" s="90" t="n">
        <v>44866</v>
      </c>
      <c r="D10" t="n">
        <v>8222200</v>
      </c>
      <c r="E10" t="inlineStr">
        <is>
          <t>IDR Billion</t>
        </is>
      </c>
    </row>
    <row r="11">
      <c r="A11" t="inlineStr">
        <is>
          <t>Italy</t>
        </is>
      </c>
      <c r="B11" t="n">
        <v>1916025</v>
      </c>
      <c r="C11" s="90" t="n">
        <v>44835</v>
      </c>
      <c r="D11" t="n">
        <v>1919341</v>
      </c>
      <c r="E11" t="inlineStr">
        <is>
          <t>EUR Million</t>
        </is>
      </c>
    </row>
    <row r="12">
      <c r="A12" t="inlineStr">
        <is>
          <t>Japan</t>
        </is>
      </c>
      <c r="B12" t="n">
        <v>1212510</v>
      </c>
      <c r="C12" s="90" t="n">
        <v>44866</v>
      </c>
      <c r="D12" t="n">
        <v>1206399</v>
      </c>
      <c r="E12" t="inlineStr">
        <is>
          <t>JPY Billion</t>
        </is>
      </c>
    </row>
    <row r="13">
      <c r="A13" t="inlineStr">
        <is>
          <t>Mexico</t>
        </is>
      </c>
      <c r="B13" t="n">
        <v>12024087625</v>
      </c>
      <c r="C13" s="90" t="n">
        <v>44835</v>
      </c>
      <c r="D13" t="n">
        <v>11857554926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1148697</v>
      </c>
      <c r="C14" s="90" t="n">
        <v>44835</v>
      </c>
      <c r="D14" t="n">
        <v>1155044</v>
      </c>
      <c r="E14" t="inlineStr">
        <is>
          <t>EUR Million</t>
        </is>
      </c>
    </row>
    <row r="15">
      <c r="A15" t="inlineStr">
        <is>
          <t>Russia</t>
        </is>
      </c>
      <c r="B15" t="n">
        <v>75636</v>
      </c>
      <c r="C15" s="90" t="n">
        <v>44835</v>
      </c>
      <c r="D15" t="n">
        <v>75097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2133403</v>
      </c>
      <c r="C16" s="90" t="n">
        <v>44835</v>
      </c>
      <c r="D16" t="n">
        <v>2139929</v>
      </c>
      <c r="E16" t="inlineStr">
        <is>
          <t>SAR Million</t>
        </is>
      </c>
    </row>
    <row r="17">
      <c r="A17" t="inlineStr">
        <is>
          <t>Singapore</t>
        </is>
      </c>
      <c r="B17" t="n">
        <v>745134</v>
      </c>
      <c r="C17" s="90" t="n">
        <v>44835</v>
      </c>
      <c r="D17" t="n">
        <v>751096</v>
      </c>
      <c r="E17" t="inlineStr">
        <is>
          <t>SGD Million</t>
        </is>
      </c>
    </row>
    <row r="18">
      <c r="A18" t="inlineStr">
        <is>
          <t>South Africa</t>
        </is>
      </c>
      <c r="B18" t="n">
        <v>3858603</v>
      </c>
      <c r="C18" s="90" t="n">
        <v>44835</v>
      </c>
      <c r="D18" t="n">
        <v>3828429</v>
      </c>
      <c r="E18" t="inlineStr">
        <is>
          <t>ZAR Million</t>
        </is>
      </c>
    </row>
    <row r="19">
      <c r="A19" t="inlineStr">
        <is>
          <t>South Korea</t>
        </is>
      </c>
      <c r="B19" t="n">
        <v>3768318</v>
      </c>
      <c r="C19" s="90" t="n">
        <v>44835</v>
      </c>
      <c r="D19" t="n">
        <v>3745708</v>
      </c>
      <c r="E19" t="inlineStr">
        <is>
          <t>KRW Billion</t>
        </is>
      </c>
    </row>
    <row r="20">
      <c r="A20" t="inlineStr">
        <is>
          <t>Spain</t>
        </is>
      </c>
      <c r="B20" t="n">
        <v>1498333</v>
      </c>
      <c r="C20" s="90" t="n">
        <v>44835</v>
      </c>
      <c r="D20" t="n">
        <v>1504468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1079997</v>
      </c>
      <c r="C21" s="90" t="n">
        <v>44866</v>
      </c>
      <c r="D21" t="n">
        <v>1076445</v>
      </c>
      <c r="E21" t="inlineStr">
        <is>
          <t>CHF Million</t>
        </is>
      </c>
    </row>
    <row r="22">
      <c r="A22" t="inlineStr">
        <is>
          <t>Turkey</t>
        </is>
      </c>
      <c r="B22" t="n">
        <v>7935821565</v>
      </c>
      <c r="C22" s="90" t="n">
        <v>44866</v>
      </c>
      <c r="D22" t="n">
        <v>7729695772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3133801</v>
      </c>
      <c r="C23" s="90" t="n">
        <v>44835</v>
      </c>
      <c r="D23" t="n">
        <v>3213819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21415</v>
      </c>
      <c r="C24" s="90" t="n">
        <v>44835</v>
      </c>
      <c r="D24" t="n">
        <v>21503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6"/>
  <sheetViews>
    <sheetView zoomScale="130" zoomScaleNormal="130" workbookViewId="0">
      <pane ySplit="11" topLeftCell="A238" activePane="bottomLeft" state="frozen"/>
      <selection pane="bottomLeft" activeCell="A257" sqref="A257:B266"/>
    </sheetView>
  </sheetViews>
  <sheetFormatPr baseColWidth="8" defaultColWidth="8.81640625" defaultRowHeight="14.5"/>
  <cols>
    <col width="26.36328125" customWidth="1" min="1" max="1"/>
    <col width="22" customWidth="1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>
      <c r="A11" s="64" t="inlineStr">
        <is>
          <t>Date</t>
        </is>
      </c>
      <c r="B11" s="69" t="inlineStr">
        <is>
          <t>Velocity of M2 Money Stock, Ratio, Quarterly, Seasonally Adjusted</t>
        </is>
      </c>
    </row>
    <row r="12">
      <c r="A12" s="67" t="n">
        <v>21551</v>
      </c>
      <c r="B12" s="65">
        <f>VLOOKUP(Table1[[#This Row],[Date]],'DB Money Supply'!$A:$F,6)</f>
        <v/>
      </c>
    </row>
    <row r="13">
      <c r="A13" s="67" t="n">
        <v>21641</v>
      </c>
      <c r="B13" s="65">
        <f>VLOOKUP(Table1[[#This Row],[Date]],'DB Money Supply'!$A:$F,6)</f>
        <v/>
      </c>
    </row>
    <row r="14">
      <c r="A14" s="67" t="n">
        <v>21732</v>
      </c>
      <c r="B14" s="65">
        <f>VLOOKUP(Table1[[#This Row],[Date]],'DB Money Supply'!$A:$F,6)</f>
        <v/>
      </c>
    </row>
    <row r="15">
      <c r="A15" s="67" t="n">
        <v>21824</v>
      </c>
      <c r="B15" s="65">
        <f>VLOOKUP(Table1[[#This Row],[Date]],'DB Money Supply'!$A:$F,6)</f>
        <v/>
      </c>
    </row>
    <row r="16">
      <c r="A16" s="67" t="n">
        <v>21916</v>
      </c>
      <c r="B16" s="65">
        <f>VLOOKUP(Table1[[#This Row],[Date]],'DB Money Supply'!$A:$F,6)</f>
        <v/>
      </c>
    </row>
    <row r="17">
      <c r="A17" s="67" t="n">
        <v>22007</v>
      </c>
      <c r="B17" s="65">
        <f>VLOOKUP(Table1[[#This Row],[Date]],'DB Money Supply'!$A:$F,6)</f>
        <v/>
      </c>
    </row>
    <row r="18">
      <c r="A18" s="67" t="n">
        <v>22098</v>
      </c>
      <c r="B18" s="65">
        <f>VLOOKUP(Table1[[#This Row],[Date]],'DB Money Supply'!$A:$F,6)</f>
        <v/>
      </c>
    </row>
    <row r="19">
      <c r="A19" s="67" t="n">
        <v>22190</v>
      </c>
      <c r="B19" s="65">
        <f>VLOOKUP(Table1[[#This Row],[Date]],'DB Money Supply'!$A:$F,6)</f>
        <v/>
      </c>
    </row>
    <row r="20">
      <c r="A20" s="67" t="n">
        <v>22282</v>
      </c>
      <c r="B20" s="65">
        <f>VLOOKUP(Table1[[#This Row],[Date]],'DB Money Supply'!$A:$F,6)</f>
        <v/>
      </c>
    </row>
    <row r="21">
      <c r="A21" s="67" t="n">
        <v>22372</v>
      </c>
      <c r="B21" s="65">
        <f>VLOOKUP(Table1[[#This Row],[Date]],'DB Money Supply'!$A:$F,6)</f>
        <v/>
      </c>
    </row>
    <row r="22">
      <c r="A22" s="67" t="n">
        <v>22463</v>
      </c>
      <c r="B22" s="65">
        <f>VLOOKUP(Table1[[#This Row],[Date]],'DB Money Supply'!$A:$F,6)</f>
        <v/>
      </c>
    </row>
    <row r="23">
      <c r="A23" s="67" t="n">
        <v>22555</v>
      </c>
      <c r="B23" s="65">
        <f>VLOOKUP(Table1[[#This Row],[Date]],'DB Money Supply'!$A:$F,6)</f>
        <v/>
      </c>
    </row>
    <row r="24">
      <c r="A24" s="67" t="n">
        <v>22647</v>
      </c>
      <c r="B24" s="65">
        <f>VLOOKUP(Table1[[#This Row],[Date]],'DB Money Supply'!$A:$F,6)</f>
        <v/>
      </c>
    </row>
    <row r="25">
      <c r="A25" s="67" t="n">
        <v>22737</v>
      </c>
      <c r="B25" s="65">
        <f>VLOOKUP(Table1[[#This Row],[Date]],'DB Money Supply'!$A:$F,6)</f>
        <v/>
      </c>
    </row>
    <row r="26">
      <c r="A26" s="67" t="n">
        <v>22828</v>
      </c>
      <c r="B26" s="65">
        <f>VLOOKUP(Table1[[#This Row],[Date]],'DB Money Supply'!$A:$F,6)</f>
        <v/>
      </c>
    </row>
    <row r="27">
      <c r="A27" s="67" t="n">
        <v>22920</v>
      </c>
      <c r="B27" s="65">
        <f>VLOOKUP(Table1[[#This Row],[Date]],'DB Money Supply'!$A:$F,6)</f>
        <v/>
      </c>
    </row>
    <row r="28">
      <c r="A28" s="67" t="n">
        <v>23012</v>
      </c>
      <c r="B28" s="65">
        <f>VLOOKUP(Table1[[#This Row],[Date]],'DB Money Supply'!$A:$F,6)</f>
        <v/>
      </c>
    </row>
    <row r="29">
      <c r="A29" s="67" t="n">
        <v>23102</v>
      </c>
      <c r="B29" s="65">
        <f>VLOOKUP(Table1[[#This Row],[Date]],'DB Money Supply'!$A:$F,6)</f>
        <v/>
      </c>
    </row>
    <row r="30">
      <c r="A30" s="67" t="n">
        <v>23193</v>
      </c>
      <c r="B30" s="65">
        <f>VLOOKUP(Table1[[#This Row],[Date]],'DB Money Supply'!$A:$F,6)</f>
        <v/>
      </c>
    </row>
    <row r="31">
      <c r="A31" s="67" t="n">
        <v>23285</v>
      </c>
      <c r="B31" s="65">
        <f>VLOOKUP(Table1[[#This Row],[Date]],'DB Money Supply'!$A:$F,6)</f>
        <v/>
      </c>
    </row>
    <row r="32">
      <c r="A32" s="67" t="n">
        <v>23377</v>
      </c>
      <c r="B32" s="65">
        <f>VLOOKUP(Table1[[#This Row],[Date]],'DB Money Supply'!$A:$F,6)</f>
        <v/>
      </c>
    </row>
    <row r="33">
      <c r="A33" s="67" t="n">
        <v>23468</v>
      </c>
      <c r="B33" s="65">
        <f>VLOOKUP(Table1[[#This Row],[Date]],'DB Money Supply'!$A:$F,6)</f>
        <v/>
      </c>
    </row>
    <row r="34">
      <c r="A34" s="67" t="n">
        <v>23559</v>
      </c>
      <c r="B34" s="65">
        <f>VLOOKUP(Table1[[#This Row],[Date]],'DB Money Supply'!$A:$F,6)</f>
        <v/>
      </c>
    </row>
    <row r="35">
      <c r="A35" s="67" t="n">
        <v>23651</v>
      </c>
      <c r="B35" s="65">
        <f>VLOOKUP(Table1[[#This Row],[Date]],'DB Money Supply'!$A:$F,6)</f>
        <v/>
      </c>
    </row>
    <row r="36">
      <c r="A36" s="67" t="n">
        <v>23743</v>
      </c>
      <c r="B36" s="65">
        <f>VLOOKUP(Table1[[#This Row],[Date]],'DB Money Supply'!$A:$F,6)</f>
        <v/>
      </c>
    </row>
    <row r="37">
      <c r="A37" s="67" t="n">
        <v>23833</v>
      </c>
      <c r="B37" s="65">
        <f>VLOOKUP(Table1[[#This Row],[Date]],'DB Money Supply'!$A:$F,6)</f>
        <v/>
      </c>
    </row>
    <row r="38">
      <c r="A38" s="67" t="n">
        <v>23924</v>
      </c>
      <c r="B38" s="65">
        <f>VLOOKUP(Table1[[#This Row],[Date]],'DB Money Supply'!$A:$F,6)</f>
        <v/>
      </c>
    </row>
    <row r="39">
      <c r="A39" s="67" t="n">
        <v>24016</v>
      </c>
      <c r="B39" s="65">
        <f>VLOOKUP(Table1[[#This Row],[Date]],'DB Money Supply'!$A:$F,6)</f>
        <v/>
      </c>
    </row>
    <row r="40">
      <c r="A40" s="67" t="n">
        <v>24108</v>
      </c>
      <c r="B40" s="65">
        <f>VLOOKUP(Table1[[#This Row],[Date]],'DB Money Supply'!$A:$F,6)</f>
        <v/>
      </c>
    </row>
    <row r="41">
      <c r="A41" s="67" t="n">
        <v>24198</v>
      </c>
      <c r="B41" s="65">
        <f>VLOOKUP(Table1[[#This Row],[Date]],'DB Money Supply'!$A:$F,6)</f>
        <v/>
      </c>
    </row>
    <row r="42">
      <c r="A42" s="67" t="n">
        <v>24289</v>
      </c>
      <c r="B42" s="65">
        <f>VLOOKUP(Table1[[#This Row],[Date]],'DB Money Supply'!$A:$F,6)</f>
        <v/>
      </c>
    </row>
    <row r="43">
      <c r="A43" s="67" t="n">
        <v>24381</v>
      </c>
      <c r="B43" s="65">
        <f>VLOOKUP(Table1[[#This Row],[Date]],'DB Money Supply'!$A:$F,6)</f>
        <v/>
      </c>
    </row>
    <row r="44">
      <c r="A44" s="67" t="n">
        <v>24473</v>
      </c>
      <c r="B44" s="65">
        <f>VLOOKUP(Table1[[#This Row],[Date]],'DB Money Supply'!$A:$F,6)</f>
        <v/>
      </c>
    </row>
    <row r="45">
      <c r="A45" s="67" t="n">
        <v>24563</v>
      </c>
      <c r="B45" s="65">
        <f>VLOOKUP(Table1[[#This Row],[Date]],'DB Money Supply'!$A:$F,6)</f>
        <v/>
      </c>
    </row>
    <row r="46">
      <c r="A46" s="67" t="n">
        <v>24654</v>
      </c>
      <c r="B46" s="65">
        <f>VLOOKUP(Table1[[#This Row],[Date]],'DB Money Supply'!$A:$F,6)</f>
        <v/>
      </c>
    </row>
    <row r="47">
      <c r="A47" s="67" t="n">
        <v>24746</v>
      </c>
      <c r="B47" s="65">
        <f>VLOOKUP(Table1[[#This Row],[Date]],'DB Money Supply'!$A:$F,6)</f>
        <v/>
      </c>
    </row>
    <row r="48">
      <c r="A48" s="67" t="n">
        <v>24838</v>
      </c>
      <c r="B48" s="65">
        <f>VLOOKUP(Table1[[#This Row],[Date]],'DB Money Supply'!$A:$F,6)</f>
        <v/>
      </c>
    </row>
    <row r="49">
      <c r="A49" s="67" t="n">
        <v>24929</v>
      </c>
      <c r="B49" s="65">
        <f>VLOOKUP(Table1[[#This Row],[Date]],'DB Money Supply'!$A:$F,6)</f>
        <v/>
      </c>
    </row>
    <row r="50">
      <c r="A50" s="67" t="n">
        <v>25020</v>
      </c>
      <c r="B50" s="65">
        <f>VLOOKUP(Table1[[#This Row],[Date]],'DB Money Supply'!$A:$F,6)</f>
        <v/>
      </c>
    </row>
    <row r="51">
      <c r="A51" s="67" t="n">
        <v>25112</v>
      </c>
      <c r="B51" s="65">
        <f>VLOOKUP(Table1[[#This Row],[Date]],'DB Money Supply'!$A:$F,6)</f>
        <v/>
      </c>
    </row>
    <row r="52">
      <c r="A52" s="67" t="n">
        <v>25204</v>
      </c>
      <c r="B52" s="65">
        <f>VLOOKUP(Table1[[#This Row],[Date]],'DB Money Supply'!$A:$F,6)</f>
        <v/>
      </c>
    </row>
    <row r="53">
      <c r="A53" s="67" t="n">
        <v>25294</v>
      </c>
      <c r="B53" s="65">
        <f>VLOOKUP(Table1[[#This Row],[Date]],'DB Money Supply'!$A:$F,6)</f>
        <v/>
      </c>
    </row>
    <row r="54">
      <c r="A54" s="67" t="n">
        <v>25385</v>
      </c>
      <c r="B54" s="65">
        <f>VLOOKUP(Table1[[#This Row],[Date]],'DB Money Supply'!$A:$F,6)</f>
        <v/>
      </c>
    </row>
    <row r="55">
      <c r="A55" s="67" t="n">
        <v>25477</v>
      </c>
      <c r="B55" s="65">
        <f>VLOOKUP(Table1[[#This Row],[Date]],'DB Money Supply'!$A:$F,6)</f>
        <v/>
      </c>
    </row>
    <row r="56">
      <c r="A56" s="67" t="n">
        <v>25569</v>
      </c>
      <c r="B56" s="65">
        <f>VLOOKUP(Table1[[#This Row],[Date]],'DB Money Supply'!$A:$F,6)</f>
        <v/>
      </c>
    </row>
    <row r="57">
      <c r="A57" s="67" t="n">
        <v>25659</v>
      </c>
      <c r="B57" s="65">
        <f>VLOOKUP(Table1[[#This Row],[Date]],'DB Money Supply'!$A:$F,6)</f>
        <v/>
      </c>
    </row>
    <row r="58">
      <c r="A58" s="67" t="n">
        <v>25750</v>
      </c>
      <c r="B58" s="65">
        <f>VLOOKUP(Table1[[#This Row],[Date]],'DB Money Supply'!$A:$F,6)</f>
        <v/>
      </c>
    </row>
    <row r="59">
      <c r="A59" s="67" t="n">
        <v>25842</v>
      </c>
      <c r="B59" s="65">
        <f>VLOOKUP(Table1[[#This Row],[Date]],'DB Money Supply'!$A:$F,6)</f>
        <v/>
      </c>
    </row>
    <row r="60">
      <c r="A60" s="67" t="n">
        <v>25934</v>
      </c>
      <c r="B60" s="65">
        <f>VLOOKUP(Table1[[#This Row],[Date]],'DB Money Supply'!$A:$F,6)</f>
        <v/>
      </c>
    </row>
    <row r="61">
      <c r="A61" s="67" t="n">
        <v>26024</v>
      </c>
      <c r="B61" s="65">
        <f>VLOOKUP(Table1[[#This Row],[Date]],'DB Money Supply'!$A:$F,6)</f>
        <v/>
      </c>
    </row>
    <row r="62">
      <c r="A62" s="67" t="n">
        <v>26115</v>
      </c>
      <c r="B62" s="65">
        <f>VLOOKUP(Table1[[#This Row],[Date]],'DB Money Supply'!$A:$F,6)</f>
        <v/>
      </c>
    </row>
    <row r="63">
      <c r="A63" s="67" t="n">
        <v>26207</v>
      </c>
      <c r="B63" s="65">
        <f>VLOOKUP(Table1[[#This Row],[Date]],'DB Money Supply'!$A:$F,6)</f>
        <v/>
      </c>
    </row>
    <row r="64">
      <c r="A64" s="67" t="n">
        <v>26299</v>
      </c>
      <c r="B64" s="65">
        <f>VLOOKUP(Table1[[#This Row],[Date]],'DB Money Supply'!$A:$F,6)</f>
        <v/>
      </c>
    </row>
    <row r="65">
      <c r="A65" s="67" t="n">
        <v>26390</v>
      </c>
      <c r="B65" s="65">
        <f>VLOOKUP(Table1[[#This Row],[Date]],'DB Money Supply'!$A:$F,6)</f>
        <v/>
      </c>
    </row>
    <row r="66">
      <c r="A66" s="67" t="n">
        <v>26481</v>
      </c>
      <c r="B66" s="65">
        <f>VLOOKUP(Table1[[#This Row],[Date]],'DB Money Supply'!$A:$F,6)</f>
        <v/>
      </c>
    </row>
    <row r="67">
      <c r="A67" s="67" t="n">
        <v>26573</v>
      </c>
      <c r="B67" s="65">
        <f>VLOOKUP(Table1[[#This Row],[Date]],'DB Money Supply'!$A:$F,6)</f>
        <v/>
      </c>
    </row>
    <row r="68">
      <c r="A68" s="67" t="n">
        <v>26665</v>
      </c>
      <c r="B68" s="65">
        <f>VLOOKUP(Table1[[#This Row],[Date]],'DB Money Supply'!$A:$F,6)</f>
        <v/>
      </c>
    </row>
    <row r="69">
      <c r="A69" s="67" t="n">
        <v>26755</v>
      </c>
      <c r="B69" s="65">
        <f>VLOOKUP(Table1[[#This Row],[Date]],'DB Money Supply'!$A:$F,6)</f>
        <v/>
      </c>
    </row>
    <row r="70">
      <c r="A70" s="67" t="n">
        <v>26846</v>
      </c>
      <c r="B70" s="65">
        <f>VLOOKUP(Table1[[#This Row],[Date]],'DB Money Supply'!$A:$F,6)</f>
        <v/>
      </c>
    </row>
    <row r="71">
      <c r="A71" s="67" t="n">
        <v>26938</v>
      </c>
      <c r="B71" s="65">
        <f>VLOOKUP(Table1[[#This Row],[Date]],'DB Money Supply'!$A:$F,6)</f>
        <v/>
      </c>
    </row>
    <row r="72">
      <c r="A72" s="67" t="n">
        <v>27030</v>
      </c>
      <c r="B72" s="65">
        <f>VLOOKUP(Table1[[#This Row],[Date]],'DB Money Supply'!$A:$F,6)</f>
        <v/>
      </c>
    </row>
    <row r="73">
      <c r="A73" s="67" t="n">
        <v>27120</v>
      </c>
      <c r="B73" s="65">
        <f>VLOOKUP(Table1[[#This Row],[Date]],'DB Money Supply'!$A:$F,6)</f>
        <v/>
      </c>
    </row>
    <row r="74">
      <c r="A74" s="67" t="n">
        <v>27211</v>
      </c>
      <c r="B74" s="65">
        <f>VLOOKUP(Table1[[#This Row],[Date]],'DB Money Supply'!$A:$F,6)</f>
        <v/>
      </c>
    </row>
    <row r="75">
      <c r="A75" s="67" t="n">
        <v>27303</v>
      </c>
      <c r="B75" s="65">
        <f>VLOOKUP(Table1[[#This Row],[Date]],'DB Money Supply'!$A:$F,6)</f>
        <v/>
      </c>
    </row>
    <row r="76">
      <c r="A76" s="67" t="n">
        <v>27395</v>
      </c>
      <c r="B76" s="65">
        <f>VLOOKUP(Table1[[#This Row],[Date]],'DB Money Supply'!$A:$F,6)</f>
        <v/>
      </c>
    </row>
    <row r="77">
      <c r="A77" s="67" t="n">
        <v>27485</v>
      </c>
      <c r="B77" s="65">
        <f>VLOOKUP(Table1[[#This Row],[Date]],'DB Money Supply'!$A:$F,6)</f>
        <v/>
      </c>
    </row>
    <row r="78">
      <c r="A78" s="67" t="n">
        <v>27576</v>
      </c>
      <c r="B78" s="65">
        <f>VLOOKUP(Table1[[#This Row],[Date]],'DB Money Supply'!$A:$F,6)</f>
        <v/>
      </c>
    </row>
    <row r="79">
      <c r="A79" s="67" t="n">
        <v>27668</v>
      </c>
      <c r="B79" s="65">
        <f>VLOOKUP(Table1[[#This Row],[Date]],'DB Money Supply'!$A:$F,6)</f>
        <v/>
      </c>
    </row>
    <row r="80">
      <c r="A80" s="67" t="n">
        <v>27760</v>
      </c>
      <c r="B80" s="65">
        <f>VLOOKUP(Table1[[#This Row],[Date]],'DB Money Supply'!$A:$F,6)</f>
        <v/>
      </c>
    </row>
    <row r="81">
      <c r="A81" s="67" t="n">
        <v>27851</v>
      </c>
      <c r="B81" s="65">
        <f>VLOOKUP(Table1[[#This Row],[Date]],'DB Money Supply'!$A:$F,6)</f>
        <v/>
      </c>
    </row>
    <row r="82">
      <c r="A82" s="67" t="n">
        <v>27942</v>
      </c>
      <c r="B82" s="65">
        <f>VLOOKUP(Table1[[#This Row],[Date]],'DB Money Supply'!$A:$F,6)</f>
        <v/>
      </c>
    </row>
    <row r="83">
      <c r="A83" s="67" t="n">
        <v>28034</v>
      </c>
      <c r="B83" s="65">
        <f>VLOOKUP(Table1[[#This Row],[Date]],'DB Money Supply'!$A:$F,6)</f>
        <v/>
      </c>
    </row>
    <row r="84">
      <c r="A84" s="67" t="n">
        <v>28126</v>
      </c>
      <c r="B84" s="65">
        <f>VLOOKUP(Table1[[#This Row],[Date]],'DB Money Supply'!$A:$F,6)</f>
        <v/>
      </c>
    </row>
    <row r="85">
      <c r="A85" s="67" t="n">
        <v>28216</v>
      </c>
      <c r="B85" s="65">
        <f>VLOOKUP(Table1[[#This Row],[Date]],'DB Money Supply'!$A:$F,6)</f>
        <v/>
      </c>
    </row>
    <row r="86">
      <c r="A86" s="67" t="n">
        <v>28307</v>
      </c>
      <c r="B86" s="65">
        <f>VLOOKUP(Table1[[#This Row],[Date]],'DB Money Supply'!$A:$F,6)</f>
        <v/>
      </c>
    </row>
    <row r="87">
      <c r="A87" s="67" t="n">
        <v>28399</v>
      </c>
      <c r="B87" s="65">
        <f>VLOOKUP(Table1[[#This Row],[Date]],'DB Money Supply'!$A:$F,6)</f>
        <v/>
      </c>
    </row>
    <row r="88">
      <c r="A88" s="67" t="n">
        <v>28491</v>
      </c>
      <c r="B88" s="65">
        <f>VLOOKUP(Table1[[#This Row],[Date]],'DB Money Supply'!$A:$F,6)</f>
        <v/>
      </c>
    </row>
    <row r="89">
      <c r="A89" s="67" t="n">
        <v>28581</v>
      </c>
      <c r="B89" s="65">
        <f>VLOOKUP(Table1[[#This Row],[Date]],'DB Money Supply'!$A:$F,6)</f>
        <v/>
      </c>
    </row>
    <row r="90">
      <c r="A90" s="67" t="n">
        <v>28672</v>
      </c>
      <c r="B90" s="65">
        <f>VLOOKUP(Table1[[#This Row],[Date]],'DB Money Supply'!$A:$F,6)</f>
        <v/>
      </c>
    </row>
    <row r="91">
      <c r="A91" s="67" t="n">
        <v>28764</v>
      </c>
      <c r="B91" s="65">
        <f>VLOOKUP(Table1[[#This Row],[Date]],'DB Money Supply'!$A:$F,6)</f>
        <v/>
      </c>
    </row>
    <row r="92">
      <c r="A92" s="67" t="n">
        <v>28856</v>
      </c>
      <c r="B92" s="65">
        <f>VLOOKUP(Table1[[#This Row],[Date]],'DB Money Supply'!$A:$F,6)</f>
        <v/>
      </c>
    </row>
    <row r="93">
      <c r="A93" s="67" t="n">
        <v>28946</v>
      </c>
      <c r="B93" s="65">
        <f>VLOOKUP(Table1[[#This Row],[Date]],'DB Money Supply'!$A:$F,6)</f>
        <v/>
      </c>
    </row>
    <row r="94">
      <c r="A94" s="67" t="n">
        <v>29037</v>
      </c>
      <c r="B94" s="65">
        <f>VLOOKUP(Table1[[#This Row],[Date]],'DB Money Supply'!$A:$F,6)</f>
        <v/>
      </c>
    </row>
    <row r="95">
      <c r="A95" s="67" t="n">
        <v>29129</v>
      </c>
      <c r="B95" s="65">
        <f>VLOOKUP(Table1[[#This Row],[Date]],'DB Money Supply'!$A:$F,6)</f>
        <v/>
      </c>
    </row>
    <row r="96">
      <c r="A96" s="67" t="n">
        <v>29221</v>
      </c>
      <c r="B96" s="65">
        <f>VLOOKUP(Table1[[#This Row],[Date]],'DB Money Supply'!$A:$F,6)</f>
        <v/>
      </c>
    </row>
    <row r="97">
      <c r="A97" s="67" t="n">
        <v>29312</v>
      </c>
      <c r="B97" s="65">
        <f>VLOOKUP(Table1[[#This Row],[Date]],'DB Money Supply'!$A:$F,6)</f>
        <v/>
      </c>
    </row>
    <row r="98">
      <c r="A98" s="67" t="n">
        <v>29403</v>
      </c>
      <c r="B98" s="65">
        <f>VLOOKUP(Table1[[#This Row],[Date]],'DB Money Supply'!$A:$F,6)</f>
        <v/>
      </c>
    </row>
    <row r="99">
      <c r="A99" s="67" t="n">
        <v>29495</v>
      </c>
      <c r="B99" s="65">
        <f>VLOOKUP(Table1[[#This Row],[Date]],'DB Money Supply'!$A:$F,6)</f>
        <v/>
      </c>
    </row>
    <row r="100">
      <c r="A100" s="67" t="n">
        <v>29587</v>
      </c>
      <c r="B100" s="65">
        <f>VLOOKUP(Table1[[#This Row],[Date]],'DB Money Supply'!$A:$F,6)</f>
        <v/>
      </c>
    </row>
    <row r="101">
      <c r="A101" s="67" t="n">
        <v>29677</v>
      </c>
      <c r="B101" s="65">
        <f>VLOOKUP(Table1[[#This Row],[Date]],'DB Money Supply'!$A:$F,6)</f>
        <v/>
      </c>
    </row>
    <row r="102">
      <c r="A102" s="67" t="n">
        <v>29768</v>
      </c>
      <c r="B102" s="65">
        <f>VLOOKUP(Table1[[#This Row],[Date]],'DB Money Supply'!$A:$F,6)</f>
        <v/>
      </c>
    </row>
    <row r="103">
      <c r="A103" s="67" t="n">
        <v>29860</v>
      </c>
      <c r="B103" s="65">
        <f>VLOOKUP(Table1[[#This Row],[Date]],'DB Money Supply'!$A:$F,6)</f>
        <v/>
      </c>
    </row>
    <row r="104">
      <c r="A104" s="67" t="n">
        <v>29952</v>
      </c>
      <c r="B104" s="65">
        <f>VLOOKUP(Table1[[#This Row],[Date]],'DB Money Supply'!$A:$F,6)</f>
        <v/>
      </c>
    </row>
    <row r="105">
      <c r="A105" s="67" t="n">
        <v>30042</v>
      </c>
      <c r="B105" s="65">
        <f>VLOOKUP(Table1[[#This Row],[Date]],'DB Money Supply'!$A:$F,6)</f>
        <v/>
      </c>
    </row>
    <row r="106">
      <c r="A106" s="67" t="n">
        <v>30133</v>
      </c>
      <c r="B106" s="65">
        <f>VLOOKUP(Table1[[#This Row],[Date]],'DB Money Supply'!$A:$F,6)</f>
        <v/>
      </c>
    </row>
    <row r="107">
      <c r="A107" s="67" t="n">
        <v>30225</v>
      </c>
      <c r="B107" s="65">
        <f>VLOOKUP(Table1[[#This Row],[Date]],'DB Money Supply'!$A:$F,6)</f>
        <v/>
      </c>
    </row>
    <row r="108">
      <c r="A108" s="67" t="n">
        <v>30317</v>
      </c>
      <c r="B108" s="65">
        <f>VLOOKUP(Table1[[#This Row],[Date]],'DB Money Supply'!$A:$F,6)</f>
        <v/>
      </c>
    </row>
    <row r="109">
      <c r="A109" s="67" t="n">
        <v>30407</v>
      </c>
      <c r="B109" s="65">
        <f>VLOOKUP(Table1[[#This Row],[Date]],'DB Money Supply'!$A:$F,6)</f>
        <v/>
      </c>
    </row>
    <row r="110">
      <c r="A110" s="67" t="n">
        <v>30498</v>
      </c>
      <c r="B110" s="65">
        <f>VLOOKUP(Table1[[#This Row],[Date]],'DB Money Supply'!$A:$F,6)</f>
        <v/>
      </c>
    </row>
    <row r="111">
      <c r="A111" s="67" t="n">
        <v>30590</v>
      </c>
      <c r="B111" s="65">
        <f>VLOOKUP(Table1[[#This Row],[Date]],'DB Money Supply'!$A:$F,6)</f>
        <v/>
      </c>
    </row>
    <row r="112">
      <c r="A112" s="67" t="n">
        <v>30682</v>
      </c>
      <c r="B112" s="65">
        <f>VLOOKUP(Table1[[#This Row],[Date]],'DB Money Supply'!$A:$F,6)</f>
        <v/>
      </c>
    </row>
    <row r="113">
      <c r="A113" s="67" t="n">
        <v>30773</v>
      </c>
      <c r="B113" s="65">
        <f>VLOOKUP(Table1[[#This Row],[Date]],'DB Money Supply'!$A:$F,6)</f>
        <v/>
      </c>
    </row>
    <row r="114">
      <c r="A114" s="67" t="n">
        <v>30864</v>
      </c>
      <c r="B114" s="65">
        <f>VLOOKUP(Table1[[#This Row],[Date]],'DB Money Supply'!$A:$F,6)</f>
        <v/>
      </c>
    </row>
    <row r="115">
      <c r="A115" s="67" t="n">
        <v>30956</v>
      </c>
      <c r="B115" s="65">
        <f>VLOOKUP(Table1[[#This Row],[Date]],'DB Money Supply'!$A:$F,6)</f>
        <v/>
      </c>
    </row>
    <row r="116">
      <c r="A116" s="67" t="n">
        <v>31048</v>
      </c>
      <c r="B116" s="65">
        <f>VLOOKUP(Table1[[#This Row],[Date]],'DB Money Supply'!$A:$F,6)</f>
        <v/>
      </c>
    </row>
    <row r="117">
      <c r="A117" s="67" t="n">
        <v>31138</v>
      </c>
      <c r="B117" s="65">
        <f>VLOOKUP(Table1[[#This Row],[Date]],'DB Money Supply'!$A:$F,6)</f>
        <v/>
      </c>
    </row>
    <row r="118">
      <c r="A118" s="67" t="n">
        <v>31229</v>
      </c>
      <c r="B118" s="65">
        <f>VLOOKUP(Table1[[#This Row],[Date]],'DB Money Supply'!$A:$F,6)</f>
        <v/>
      </c>
    </row>
    <row r="119">
      <c r="A119" s="67" t="n">
        <v>31321</v>
      </c>
      <c r="B119" s="65">
        <f>VLOOKUP(Table1[[#This Row],[Date]],'DB Money Supply'!$A:$F,6)</f>
        <v/>
      </c>
    </row>
    <row r="120">
      <c r="A120" s="67" t="n">
        <v>31413</v>
      </c>
      <c r="B120" s="65">
        <f>VLOOKUP(Table1[[#This Row],[Date]],'DB Money Supply'!$A:$F,6)</f>
        <v/>
      </c>
    </row>
    <row r="121">
      <c r="A121" s="67" t="n">
        <v>31503</v>
      </c>
      <c r="B121" s="65">
        <f>VLOOKUP(Table1[[#This Row],[Date]],'DB Money Supply'!$A:$F,6)</f>
        <v/>
      </c>
    </row>
    <row r="122">
      <c r="A122" s="67" t="n">
        <v>31594</v>
      </c>
      <c r="B122" s="65">
        <f>VLOOKUP(Table1[[#This Row],[Date]],'DB Money Supply'!$A:$F,6)</f>
        <v/>
      </c>
    </row>
    <row r="123">
      <c r="A123" s="67" t="n">
        <v>31686</v>
      </c>
      <c r="B123" s="65">
        <f>VLOOKUP(Table1[[#This Row],[Date]],'DB Money Supply'!$A:$F,6)</f>
        <v/>
      </c>
    </row>
    <row r="124">
      <c r="A124" s="67" t="n">
        <v>31778</v>
      </c>
      <c r="B124" s="65">
        <f>VLOOKUP(Table1[[#This Row],[Date]],'DB Money Supply'!$A:$F,6)</f>
        <v/>
      </c>
    </row>
    <row r="125">
      <c r="A125" s="67" t="n">
        <v>31868</v>
      </c>
      <c r="B125" s="65">
        <f>VLOOKUP(Table1[[#This Row],[Date]],'DB Money Supply'!$A:$F,6)</f>
        <v/>
      </c>
    </row>
    <row r="126">
      <c r="A126" s="67" t="n">
        <v>31959</v>
      </c>
      <c r="B126" s="65">
        <f>VLOOKUP(Table1[[#This Row],[Date]],'DB Money Supply'!$A:$F,6)</f>
        <v/>
      </c>
    </row>
    <row r="127">
      <c r="A127" s="67" t="n">
        <v>32051</v>
      </c>
      <c r="B127" s="65">
        <f>VLOOKUP(Table1[[#This Row],[Date]],'DB Money Supply'!$A:$F,6)</f>
        <v/>
      </c>
    </row>
    <row r="128">
      <c r="A128" s="67" t="n">
        <v>32143</v>
      </c>
      <c r="B128" s="65">
        <f>VLOOKUP(Table1[[#This Row],[Date]],'DB Money Supply'!$A:$F,6)</f>
        <v/>
      </c>
    </row>
    <row r="129">
      <c r="A129" s="67" t="n">
        <v>32234</v>
      </c>
      <c r="B129" s="65">
        <f>VLOOKUP(Table1[[#This Row],[Date]],'DB Money Supply'!$A:$F,6)</f>
        <v/>
      </c>
    </row>
    <row r="130">
      <c r="A130" s="67" t="n">
        <v>32325</v>
      </c>
      <c r="B130" s="65">
        <f>VLOOKUP(Table1[[#This Row],[Date]],'DB Money Supply'!$A:$F,6)</f>
        <v/>
      </c>
    </row>
    <row r="131">
      <c r="A131" s="67" t="n">
        <v>32417</v>
      </c>
      <c r="B131" s="65">
        <f>VLOOKUP(Table1[[#This Row],[Date]],'DB Money Supply'!$A:$F,6)</f>
        <v/>
      </c>
    </row>
    <row r="132">
      <c r="A132" s="67" t="n">
        <v>32509</v>
      </c>
      <c r="B132" s="65">
        <f>VLOOKUP(Table1[[#This Row],[Date]],'DB Money Supply'!$A:$F,6)</f>
        <v/>
      </c>
    </row>
    <row r="133">
      <c r="A133" s="67" t="n">
        <v>32599</v>
      </c>
      <c r="B133" s="65">
        <f>VLOOKUP(Table1[[#This Row],[Date]],'DB Money Supply'!$A:$F,6)</f>
        <v/>
      </c>
    </row>
    <row r="134">
      <c r="A134" s="67" t="n">
        <v>32690</v>
      </c>
      <c r="B134" s="65">
        <f>VLOOKUP(Table1[[#This Row],[Date]],'DB Money Supply'!$A:$F,6)</f>
        <v/>
      </c>
    </row>
    <row r="135">
      <c r="A135" s="67" t="n">
        <v>32782</v>
      </c>
      <c r="B135" s="65">
        <f>VLOOKUP(Table1[[#This Row],[Date]],'DB Money Supply'!$A:$F,6)</f>
        <v/>
      </c>
    </row>
    <row r="136">
      <c r="A136" s="67" t="n">
        <v>32874</v>
      </c>
      <c r="B136" s="65">
        <f>VLOOKUP(Table1[[#This Row],[Date]],'DB Money Supply'!$A:$F,6)</f>
        <v/>
      </c>
    </row>
    <row r="137">
      <c r="A137" s="67" t="n">
        <v>32964</v>
      </c>
      <c r="B137" s="65">
        <f>VLOOKUP(Table1[[#This Row],[Date]],'DB Money Supply'!$A:$F,6)</f>
        <v/>
      </c>
    </row>
    <row r="138">
      <c r="A138" s="67" t="n">
        <v>33055</v>
      </c>
      <c r="B138" s="65">
        <f>VLOOKUP(Table1[[#This Row],[Date]],'DB Money Supply'!$A:$F,6)</f>
        <v/>
      </c>
    </row>
    <row r="139">
      <c r="A139" s="67" t="n">
        <v>33147</v>
      </c>
      <c r="B139" s="65">
        <f>VLOOKUP(Table1[[#This Row],[Date]],'DB Money Supply'!$A:$F,6)</f>
        <v/>
      </c>
    </row>
    <row r="140">
      <c r="A140" s="67" t="n">
        <v>33239</v>
      </c>
      <c r="B140" s="65">
        <f>VLOOKUP(Table1[[#This Row],[Date]],'DB Money Supply'!$A:$F,6)</f>
        <v/>
      </c>
    </row>
    <row r="141">
      <c r="A141" s="67" t="n">
        <v>33329</v>
      </c>
      <c r="B141" s="65">
        <f>VLOOKUP(Table1[[#This Row],[Date]],'DB Money Supply'!$A:$F,6)</f>
        <v/>
      </c>
    </row>
    <row r="142">
      <c r="A142" s="67" t="n">
        <v>33420</v>
      </c>
      <c r="B142" s="65">
        <f>VLOOKUP(Table1[[#This Row],[Date]],'DB Money Supply'!$A:$F,6)</f>
        <v/>
      </c>
    </row>
    <row r="143">
      <c r="A143" s="67" t="n">
        <v>33512</v>
      </c>
      <c r="B143" s="65">
        <f>VLOOKUP(Table1[[#This Row],[Date]],'DB Money Supply'!$A:$F,6)</f>
        <v/>
      </c>
    </row>
    <row r="144">
      <c r="A144" s="67" t="n">
        <v>33604</v>
      </c>
      <c r="B144" s="65">
        <f>VLOOKUP(Table1[[#This Row],[Date]],'DB Money Supply'!$A:$F,6)</f>
        <v/>
      </c>
    </row>
    <row r="145">
      <c r="A145" s="67" t="n">
        <v>33695</v>
      </c>
      <c r="B145" s="65">
        <f>VLOOKUP(Table1[[#This Row],[Date]],'DB Money Supply'!$A:$F,6)</f>
        <v/>
      </c>
    </row>
    <row r="146">
      <c r="A146" s="67" t="n">
        <v>33786</v>
      </c>
      <c r="B146" s="65">
        <f>VLOOKUP(Table1[[#This Row],[Date]],'DB Money Supply'!$A:$F,6)</f>
        <v/>
      </c>
    </row>
    <row r="147">
      <c r="A147" s="67" t="n">
        <v>33878</v>
      </c>
      <c r="B147" s="65">
        <f>VLOOKUP(Table1[[#This Row],[Date]],'DB Money Supply'!$A:$F,6)</f>
        <v/>
      </c>
    </row>
    <row r="148">
      <c r="A148" s="67" t="n">
        <v>33970</v>
      </c>
      <c r="B148" s="65">
        <f>VLOOKUP(Table1[[#This Row],[Date]],'DB Money Supply'!$A:$F,6)</f>
        <v/>
      </c>
    </row>
    <row r="149">
      <c r="A149" s="67" t="n">
        <v>34060</v>
      </c>
      <c r="B149" s="65">
        <f>VLOOKUP(Table1[[#This Row],[Date]],'DB Money Supply'!$A:$F,6)</f>
        <v/>
      </c>
    </row>
    <row r="150">
      <c r="A150" s="67" t="n">
        <v>34151</v>
      </c>
      <c r="B150" s="65">
        <f>VLOOKUP(Table1[[#This Row],[Date]],'DB Money Supply'!$A:$F,6)</f>
        <v/>
      </c>
    </row>
    <row r="151">
      <c r="A151" s="67" t="n">
        <v>34243</v>
      </c>
      <c r="B151" s="65">
        <f>VLOOKUP(Table1[[#This Row],[Date]],'DB Money Supply'!$A:$F,6)</f>
        <v/>
      </c>
    </row>
    <row r="152">
      <c r="A152" s="67" t="n">
        <v>34335</v>
      </c>
      <c r="B152" s="65">
        <f>VLOOKUP(Table1[[#This Row],[Date]],'DB Money Supply'!$A:$F,6)</f>
        <v/>
      </c>
    </row>
    <row r="153">
      <c r="A153" s="67" t="n">
        <v>34425</v>
      </c>
      <c r="B153" s="65">
        <f>VLOOKUP(Table1[[#This Row],[Date]],'DB Money Supply'!$A:$F,6)</f>
        <v/>
      </c>
    </row>
    <row r="154">
      <c r="A154" s="67" t="n">
        <v>34516</v>
      </c>
      <c r="B154" s="65">
        <f>VLOOKUP(Table1[[#This Row],[Date]],'DB Money Supply'!$A:$F,6)</f>
        <v/>
      </c>
    </row>
    <row r="155">
      <c r="A155" s="67" t="n">
        <v>34608</v>
      </c>
      <c r="B155" s="65">
        <f>VLOOKUP(Table1[[#This Row],[Date]],'DB Money Supply'!$A:$F,6)</f>
        <v/>
      </c>
    </row>
    <row r="156">
      <c r="A156" s="67" t="n">
        <v>34700</v>
      </c>
      <c r="B156" s="65">
        <f>VLOOKUP(Table1[[#This Row],[Date]],'DB Money Supply'!$A:$F,6)</f>
        <v/>
      </c>
    </row>
    <row r="157">
      <c r="A157" s="67" t="n">
        <v>34790</v>
      </c>
      <c r="B157" s="65">
        <f>VLOOKUP(Table1[[#This Row],[Date]],'DB Money Supply'!$A:$F,6)</f>
        <v/>
      </c>
    </row>
    <row r="158">
      <c r="A158" s="67" t="n">
        <v>34881</v>
      </c>
      <c r="B158" s="65">
        <f>VLOOKUP(Table1[[#This Row],[Date]],'DB Money Supply'!$A:$F,6)</f>
        <v/>
      </c>
    </row>
    <row r="159">
      <c r="A159" s="67" t="n">
        <v>34973</v>
      </c>
      <c r="B159" s="65">
        <f>VLOOKUP(Table1[[#This Row],[Date]],'DB Money Supply'!$A:$F,6)</f>
        <v/>
      </c>
    </row>
    <row r="160">
      <c r="A160" s="67" t="n">
        <v>35065</v>
      </c>
      <c r="B160" s="65">
        <f>VLOOKUP(Table1[[#This Row],[Date]],'DB Money Supply'!$A:$F,6)</f>
        <v/>
      </c>
    </row>
    <row r="161">
      <c r="A161" s="67" t="n">
        <v>35156</v>
      </c>
      <c r="B161" s="65">
        <f>VLOOKUP(Table1[[#This Row],[Date]],'DB Money Supply'!$A:$F,6)</f>
        <v/>
      </c>
    </row>
    <row r="162">
      <c r="A162" s="67" t="n">
        <v>35247</v>
      </c>
      <c r="B162" s="65">
        <f>VLOOKUP(Table1[[#This Row],[Date]],'DB Money Supply'!$A:$F,6)</f>
        <v/>
      </c>
    </row>
    <row r="163">
      <c r="A163" s="67" t="n">
        <v>35339</v>
      </c>
      <c r="B163" s="65">
        <f>VLOOKUP(Table1[[#This Row],[Date]],'DB Money Supply'!$A:$F,6)</f>
        <v/>
      </c>
    </row>
    <row r="164">
      <c r="A164" s="67" t="n">
        <v>35431</v>
      </c>
      <c r="B164" s="65">
        <f>VLOOKUP(Table1[[#This Row],[Date]],'DB Money Supply'!$A:$F,6)</f>
        <v/>
      </c>
    </row>
    <row r="165">
      <c r="A165" s="67" t="n">
        <v>35521</v>
      </c>
      <c r="B165" s="65">
        <f>VLOOKUP(Table1[[#This Row],[Date]],'DB Money Supply'!$A:$F,6)</f>
        <v/>
      </c>
    </row>
    <row r="166">
      <c r="A166" s="67" t="n">
        <v>35612</v>
      </c>
      <c r="B166" s="65">
        <f>VLOOKUP(Table1[[#This Row],[Date]],'DB Money Supply'!$A:$F,6)</f>
        <v/>
      </c>
    </row>
    <row r="167">
      <c r="A167" s="67" t="n">
        <v>35704</v>
      </c>
      <c r="B167" s="65">
        <f>VLOOKUP(Table1[[#This Row],[Date]],'DB Money Supply'!$A:$F,6)</f>
        <v/>
      </c>
    </row>
    <row r="168">
      <c r="A168" s="67" t="n">
        <v>35796</v>
      </c>
      <c r="B168" s="65">
        <f>VLOOKUP(Table1[[#This Row],[Date]],'DB Money Supply'!$A:$F,6)</f>
        <v/>
      </c>
    </row>
    <row r="169">
      <c r="A169" s="67" t="n">
        <v>35886</v>
      </c>
      <c r="B169" s="65">
        <f>VLOOKUP(Table1[[#This Row],[Date]],'DB Money Supply'!$A:$F,6)</f>
        <v/>
      </c>
    </row>
    <row r="170">
      <c r="A170" s="67" t="n">
        <v>35977</v>
      </c>
      <c r="B170" s="65">
        <f>VLOOKUP(Table1[[#This Row],[Date]],'DB Money Supply'!$A:$F,6)</f>
        <v/>
      </c>
    </row>
    <row r="171">
      <c r="A171" s="67" t="n">
        <v>36069</v>
      </c>
      <c r="B171" s="65">
        <f>VLOOKUP(Table1[[#This Row],[Date]],'DB Money Supply'!$A:$F,6)</f>
        <v/>
      </c>
    </row>
    <row r="172">
      <c r="A172" s="67" t="n">
        <v>36161</v>
      </c>
      <c r="B172" s="65">
        <f>VLOOKUP(Table1[[#This Row],[Date]],'DB Money Supply'!$A:$F,6)</f>
        <v/>
      </c>
    </row>
    <row r="173">
      <c r="A173" s="67" t="n">
        <v>36251</v>
      </c>
      <c r="B173" s="65">
        <f>VLOOKUP(Table1[[#This Row],[Date]],'DB Money Supply'!$A:$F,6)</f>
        <v/>
      </c>
    </row>
    <row r="174">
      <c r="A174" s="67" t="n">
        <v>36342</v>
      </c>
      <c r="B174" s="65">
        <f>VLOOKUP(Table1[[#This Row],[Date]],'DB Money Supply'!$A:$F,6)</f>
        <v/>
      </c>
    </row>
    <row r="175">
      <c r="A175" s="67" t="n">
        <v>36434</v>
      </c>
      <c r="B175" s="65">
        <f>VLOOKUP(Table1[[#This Row],[Date]],'DB Money Supply'!$A:$F,6)</f>
        <v/>
      </c>
    </row>
    <row r="176">
      <c r="A176" s="67" t="n">
        <v>36526</v>
      </c>
      <c r="B176" s="65">
        <f>VLOOKUP(Table1[[#This Row],[Date]],'DB Money Supply'!$A:$F,6)</f>
        <v/>
      </c>
    </row>
    <row r="177">
      <c r="A177" s="67" t="n">
        <v>36617</v>
      </c>
      <c r="B177" s="65">
        <f>VLOOKUP(Table1[[#This Row],[Date]],'DB Money Supply'!$A:$F,6)</f>
        <v/>
      </c>
    </row>
    <row r="178">
      <c r="A178" s="67" t="n">
        <v>36708</v>
      </c>
      <c r="B178" s="65">
        <f>VLOOKUP(Table1[[#This Row],[Date]],'DB Money Supply'!$A:$F,6)</f>
        <v/>
      </c>
    </row>
    <row r="179">
      <c r="A179" s="67" t="n">
        <v>36800</v>
      </c>
      <c r="B179" s="65">
        <f>VLOOKUP(Table1[[#This Row],[Date]],'DB Money Supply'!$A:$F,6)</f>
        <v/>
      </c>
    </row>
    <row r="180">
      <c r="A180" s="67" t="n">
        <v>36892</v>
      </c>
      <c r="B180" s="65">
        <f>VLOOKUP(Table1[[#This Row],[Date]],'DB Money Supply'!$A:$F,6)</f>
        <v/>
      </c>
    </row>
    <row r="181">
      <c r="A181" s="67" t="n">
        <v>36982</v>
      </c>
      <c r="B181" s="65">
        <f>VLOOKUP(Table1[[#This Row],[Date]],'DB Money Supply'!$A:$F,6)</f>
        <v/>
      </c>
    </row>
    <row r="182">
      <c r="A182" s="67" t="n">
        <v>37073</v>
      </c>
      <c r="B182" s="65">
        <f>VLOOKUP(Table1[[#This Row],[Date]],'DB Money Supply'!$A:$F,6)</f>
        <v/>
      </c>
    </row>
    <row r="183">
      <c r="A183" s="67" t="n">
        <v>37165</v>
      </c>
      <c r="B183" s="65">
        <f>VLOOKUP(Table1[[#This Row],[Date]],'DB Money Supply'!$A:$F,6)</f>
        <v/>
      </c>
    </row>
    <row r="184">
      <c r="A184" s="67" t="n">
        <v>37257</v>
      </c>
      <c r="B184" s="65">
        <f>VLOOKUP(Table1[[#This Row],[Date]],'DB Money Supply'!$A:$F,6)</f>
        <v/>
      </c>
    </row>
    <row r="185">
      <c r="A185" s="67" t="n">
        <v>37347</v>
      </c>
      <c r="B185" s="65">
        <f>VLOOKUP(Table1[[#This Row],[Date]],'DB Money Supply'!$A:$F,6)</f>
        <v/>
      </c>
    </row>
    <row r="186">
      <c r="A186" s="67" t="n">
        <v>37438</v>
      </c>
      <c r="B186" s="65">
        <f>VLOOKUP(Table1[[#This Row],[Date]],'DB Money Supply'!$A:$F,6)</f>
        <v/>
      </c>
    </row>
    <row r="187">
      <c r="A187" s="67" t="n">
        <v>37530</v>
      </c>
      <c r="B187" s="65">
        <f>VLOOKUP(Table1[[#This Row],[Date]],'DB Money Supply'!$A:$F,6)</f>
        <v/>
      </c>
    </row>
    <row r="188">
      <c r="A188" s="67" t="n">
        <v>37622</v>
      </c>
      <c r="B188" s="65">
        <f>VLOOKUP(Table1[[#This Row],[Date]],'DB Money Supply'!$A:$F,6)</f>
        <v/>
      </c>
    </row>
    <row r="189">
      <c r="A189" s="67" t="n">
        <v>37712</v>
      </c>
      <c r="B189" s="65">
        <f>VLOOKUP(Table1[[#This Row],[Date]],'DB Money Supply'!$A:$F,6)</f>
        <v/>
      </c>
    </row>
    <row r="190">
      <c r="A190" s="67" t="n">
        <v>37803</v>
      </c>
      <c r="B190" s="65">
        <f>VLOOKUP(Table1[[#This Row],[Date]],'DB Money Supply'!$A:$F,6)</f>
        <v/>
      </c>
    </row>
    <row r="191">
      <c r="A191" s="67" t="n">
        <v>37895</v>
      </c>
      <c r="B191" s="65">
        <f>VLOOKUP(Table1[[#This Row],[Date]],'DB Money Supply'!$A:$F,6)</f>
        <v/>
      </c>
    </row>
    <row r="192">
      <c r="A192" s="67" t="n">
        <v>37987</v>
      </c>
      <c r="B192" s="65">
        <f>VLOOKUP(Table1[[#This Row],[Date]],'DB Money Supply'!$A:$F,6)</f>
        <v/>
      </c>
    </row>
    <row r="193">
      <c r="A193" s="67" t="n">
        <v>38078</v>
      </c>
      <c r="B193" s="65">
        <f>VLOOKUP(Table1[[#This Row],[Date]],'DB Money Supply'!$A:$F,6)</f>
        <v/>
      </c>
    </row>
    <row r="194">
      <c r="A194" s="67" t="n">
        <v>38169</v>
      </c>
      <c r="B194" s="65">
        <f>VLOOKUP(Table1[[#This Row],[Date]],'DB Money Supply'!$A:$F,6)</f>
        <v/>
      </c>
    </row>
    <row r="195">
      <c r="A195" s="67" t="n">
        <v>38261</v>
      </c>
      <c r="B195" s="65">
        <f>VLOOKUP(Table1[[#This Row],[Date]],'DB Money Supply'!$A:$F,6)</f>
        <v/>
      </c>
    </row>
    <row r="196">
      <c r="A196" s="67" t="n">
        <v>38353</v>
      </c>
      <c r="B196" s="65">
        <f>VLOOKUP(Table1[[#This Row],[Date]],'DB Money Supply'!$A:$F,6)</f>
        <v/>
      </c>
    </row>
    <row r="197">
      <c r="A197" s="67" t="n">
        <v>38443</v>
      </c>
      <c r="B197" s="65">
        <f>VLOOKUP(Table1[[#This Row],[Date]],'DB Money Supply'!$A:$F,6)</f>
        <v/>
      </c>
    </row>
    <row r="198">
      <c r="A198" s="67" t="n">
        <v>38534</v>
      </c>
      <c r="B198" s="65">
        <f>VLOOKUP(Table1[[#This Row],[Date]],'DB Money Supply'!$A:$F,6)</f>
        <v/>
      </c>
    </row>
    <row r="199">
      <c r="A199" s="67" t="n">
        <v>38626</v>
      </c>
      <c r="B199" s="65">
        <f>VLOOKUP(Table1[[#This Row],[Date]],'DB Money Supply'!$A:$F,6)</f>
        <v/>
      </c>
    </row>
    <row r="200">
      <c r="A200" s="67" t="n">
        <v>38718</v>
      </c>
      <c r="B200" s="65">
        <f>VLOOKUP(Table1[[#This Row],[Date]],'DB Money Supply'!$A:$F,6)</f>
        <v/>
      </c>
    </row>
    <row r="201">
      <c r="A201" s="67" t="n">
        <v>38808</v>
      </c>
      <c r="B201" s="65">
        <f>VLOOKUP(Table1[[#This Row],[Date]],'DB Money Supply'!$A:$F,6)</f>
        <v/>
      </c>
    </row>
    <row r="202">
      <c r="A202" s="67" t="n">
        <v>38899</v>
      </c>
      <c r="B202" s="65">
        <f>VLOOKUP(Table1[[#This Row],[Date]],'DB Money Supply'!$A:$F,6)</f>
        <v/>
      </c>
    </row>
    <row r="203">
      <c r="A203" s="67" t="n">
        <v>38991</v>
      </c>
      <c r="B203" s="65">
        <f>VLOOKUP(Table1[[#This Row],[Date]],'DB Money Supply'!$A:$F,6)</f>
        <v/>
      </c>
    </row>
    <row r="204">
      <c r="A204" s="67" t="n">
        <v>39083</v>
      </c>
      <c r="B204" s="65">
        <f>VLOOKUP(Table1[[#This Row],[Date]],'DB Money Supply'!$A:$F,6)</f>
        <v/>
      </c>
    </row>
    <row r="205">
      <c r="A205" s="67" t="n">
        <v>39173</v>
      </c>
      <c r="B205" s="65">
        <f>VLOOKUP(Table1[[#This Row],[Date]],'DB Money Supply'!$A:$F,6)</f>
        <v/>
      </c>
    </row>
    <row r="206">
      <c r="A206" s="67" t="n">
        <v>39264</v>
      </c>
      <c r="B206" s="65">
        <f>VLOOKUP(Table1[[#This Row],[Date]],'DB Money Supply'!$A:$F,6)</f>
        <v/>
      </c>
    </row>
    <row r="207">
      <c r="A207" s="67" t="n">
        <v>39356</v>
      </c>
      <c r="B207" s="65">
        <f>VLOOKUP(Table1[[#This Row],[Date]],'DB Money Supply'!$A:$F,6)</f>
        <v/>
      </c>
    </row>
    <row r="208">
      <c r="A208" s="67" t="n">
        <v>39448</v>
      </c>
      <c r="B208" s="65">
        <f>VLOOKUP(Table1[[#This Row],[Date]],'DB Money Supply'!$A:$F,6)</f>
        <v/>
      </c>
    </row>
    <row r="209">
      <c r="A209" s="67" t="n">
        <v>39539</v>
      </c>
      <c r="B209" s="65">
        <f>VLOOKUP(Table1[[#This Row],[Date]],'DB Money Supply'!$A:$F,6)</f>
        <v/>
      </c>
    </row>
    <row r="210">
      <c r="A210" s="67" t="n">
        <v>39630</v>
      </c>
      <c r="B210" s="65">
        <f>VLOOKUP(Table1[[#This Row],[Date]],'DB Money Supply'!$A:$F,6)</f>
        <v/>
      </c>
    </row>
    <row r="211">
      <c r="A211" s="67" t="n">
        <v>39722</v>
      </c>
      <c r="B211" s="65">
        <f>VLOOKUP(Table1[[#This Row],[Date]],'DB Money Supply'!$A:$F,6)</f>
        <v/>
      </c>
    </row>
    <row r="212">
      <c r="A212" s="67" t="n">
        <v>39814</v>
      </c>
      <c r="B212" s="65">
        <f>VLOOKUP(Table1[[#This Row],[Date]],'DB Money Supply'!$A:$F,6)</f>
        <v/>
      </c>
    </row>
    <row r="213">
      <c r="A213" s="67" t="n">
        <v>39904</v>
      </c>
      <c r="B213" s="65">
        <f>VLOOKUP(Table1[[#This Row],[Date]],'DB Money Supply'!$A:$F,6)</f>
        <v/>
      </c>
    </row>
    <row r="214">
      <c r="A214" s="67" t="n">
        <v>39995</v>
      </c>
      <c r="B214" s="65">
        <f>VLOOKUP(Table1[[#This Row],[Date]],'DB Money Supply'!$A:$F,6)</f>
        <v/>
      </c>
    </row>
    <row r="215">
      <c r="A215" s="67" t="n">
        <v>40087</v>
      </c>
      <c r="B215" s="65">
        <f>VLOOKUP(Table1[[#This Row],[Date]],'DB Money Supply'!$A:$F,6)</f>
        <v/>
      </c>
    </row>
    <row r="216">
      <c r="A216" s="67" t="n">
        <v>40179</v>
      </c>
      <c r="B216" s="65">
        <f>VLOOKUP(Table1[[#This Row],[Date]],'DB Money Supply'!$A:$F,6)</f>
        <v/>
      </c>
    </row>
    <row r="217">
      <c r="A217" s="67" t="n">
        <v>40269</v>
      </c>
      <c r="B217" s="65">
        <f>VLOOKUP(Table1[[#This Row],[Date]],'DB Money Supply'!$A:$F,6)</f>
        <v/>
      </c>
    </row>
    <row r="218">
      <c r="A218" s="67" t="n">
        <v>40360</v>
      </c>
      <c r="B218" s="65">
        <f>VLOOKUP(Table1[[#This Row],[Date]],'DB Money Supply'!$A:$F,6)</f>
        <v/>
      </c>
    </row>
    <row r="219">
      <c r="A219" s="67" t="n">
        <v>40452</v>
      </c>
      <c r="B219" s="65">
        <f>VLOOKUP(Table1[[#This Row],[Date]],'DB Money Supply'!$A:$F,6)</f>
        <v/>
      </c>
    </row>
    <row r="220">
      <c r="A220" s="67" t="n">
        <v>40544</v>
      </c>
      <c r="B220" s="65">
        <f>VLOOKUP(Table1[[#This Row],[Date]],'DB Money Supply'!$A:$F,6)</f>
        <v/>
      </c>
    </row>
    <row r="221">
      <c r="A221" s="67" t="n">
        <v>40634</v>
      </c>
      <c r="B221" s="65">
        <f>VLOOKUP(Table1[[#This Row],[Date]],'DB Money Supply'!$A:$F,6)</f>
        <v/>
      </c>
    </row>
    <row r="222">
      <c r="A222" s="67" t="n">
        <v>40725</v>
      </c>
      <c r="B222" s="65">
        <f>VLOOKUP(Table1[[#This Row],[Date]],'DB Money Supply'!$A:$F,6)</f>
        <v/>
      </c>
    </row>
    <row r="223">
      <c r="A223" s="67" t="n">
        <v>40817</v>
      </c>
      <c r="B223" s="65">
        <f>VLOOKUP(Table1[[#This Row],[Date]],'DB Money Supply'!$A:$F,6)</f>
        <v/>
      </c>
    </row>
    <row r="224">
      <c r="A224" s="67" t="n">
        <v>40909</v>
      </c>
      <c r="B224" s="65">
        <f>VLOOKUP(Table1[[#This Row],[Date]],'DB Money Supply'!$A:$F,6)</f>
        <v/>
      </c>
    </row>
    <row r="225">
      <c r="A225" s="67" t="n">
        <v>41000</v>
      </c>
      <c r="B225" s="65">
        <f>VLOOKUP(Table1[[#This Row],[Date]],'DB Money Supply'!$A:$F,6)</f>
        <v/>
      </c>
    </row>
    <row r="226">
      <c r="A226" s="67" t="n">
        <v>41091</v>
      </c>
      <c r="B226" s="65">
        <f>VLOOKUP(Table1[[#This Row],[Date]],'DB Money Supply'!$A:$F,6)</f>
        <v/>
      </c>
    </row>
    <row r="227">
      <c r="A227" s="67" t="n">
        <v>41183</v>
      </c>
      <c r="B227" s="65">
        <f>VLOOKUP(Table1[[#This Row],[Date]],'DB Money Supply'!$A:$F,6)</f>
        <v/>
      </c>
    </row>
    <row r="228">
      <c r="A228" s="67" t="n">
        <v>41275</v>
      </c>
      <c r="B228" s="65">
        <f>VLOOKUP(Table1[[#This Row],[Date]],'DB Money Supply'!$A:$F,6)</f>
        <v/>
      </c>
    </row>
    <row r="229">
      <c r="A229" s="67" t="n">
        <v>41365</v>
      </c>
      <c r="B229" s="65">
        <f>VLOOKUP(Table1[[#This Row],[Date]],'DB Money Supply'!$A:$F,6)</f>
        <v/>
      </c>
    </row>
    <row r="230">
      <c r="A230" s="67" t="n">
        <v>41456</v>
      </c>
      <c r="B230" s="65">
        <f>VLOOKUP(Table1[[#This Row],[Date]],'DB Money Supply'!$A:$F,6)</f>
        <v/>
      </c>
    </row>
    <row r="231">
      <c r="A231" s="67" t="n">
        <v>41548</v>
      </c>
      <c r="B231" s="65">
        <f>VLOOKUP(Table1[[#This Row],[Date]],'DB Money Supply'!$A:$F,6)</f>
        <v/>
      </c>
    </row>
    <row r="232">
      <c r="A232" s="67" t="n">
        <v>41640</v>
      </c>
      <c r="B232" s="65">
        <f>VLOOKUP(Table1[[#This Row],[Date]],'DB Money Supply'!$A:$F,6)</f>
        <v/>
      </c>
    </row>
    <row r="233">
      <c r="A233" s="67" t="n">
        <v>41730</v>
      </c>
      <c r="B233" s="65">
        <f>VLOOKUP(Table1[[#This Row],[Date]],'DB Money Supply'!$A:$F,6)</f>
        <v/>
      </c>
    </row>
    <row r="234">
      <c r="A234" s="67" t="n">
        <v>41821</v>
      </c>
      <c r="B234" s="65">
        <f>VLOOKUP(Table1[[#This Row],[Date]],'DB Money Supply'!$A:$F,6)</f>
        <v/>
      </c>
    </row>
    <row r="235">
      <c r="A235" s="67" t="n">
        <v>41913</v>
      </c>
      <c r="B235" s="65">
        <f>VLOOKUP(Table1[[#This Row],[Date]],'DB Money Supply'!$A:$F,6)</f>
        <v/>
      </c>
    </row>
    <row r="236">
      <c r="A236" s="67" t="n">
        <v>42005</v>
      </c>
      <c r="B236" s="65">
        <f>VLOOKUP(Table1[[#This Row],[Date]],'DB Money Supply'!$A:$F,6)</f>
        <v/>
      </c>
    </row>
    <row r="237">
      <c r="A237" s="67" t="n">
        <v>42095</v>
      </c>
      <c r="B237" s="65">
        <f>VLOOKUP(Table1[[#This Row],[Date]],'DB Money Supply'!$A:$F,6)</f>
        <v/>
      </c>
    </row>
    <row r="238">
      <c r="A238" s="67" t="n">
        <v>42186</v>
      </c>
      <c r="B238" s="65">
        <f>VLOOKUP(Table1[[#This Row],[Date]],'DB Money Supply'!$A:$F,6)</f>
        <v/>
      </c>
    </row>
    <row r="239">
      <c r="A239" s="67" t="n">
        <v>42278</v>
      </c>
      <c r="B239" s="65">
        <f>VLOOKUP(Table1[[#This Row],[Date]],'DB Money Supply'!$A:$F,6)</f>
        <v/>
      </c>
    </row>
    <row r="240">
      <c r="A240" s="67" t="n">
        <v>42370</v>
      </c>
      <c r="B240" s="65">
        <f>VLOOKUP(Table1[[#This Row],[Date]],'DB Money Supply'!$A:$F,6)</f>
        <v/>
      </c>
    </row>
    <row r="241">
      <c r="A241" s="67" t="n">
        <v>42461</v>
      </c>
      <c r="B241" s="65">
        <f>VLOOKUP(Table1[[#This Row],[Date]],'DB Money Supply'!$A:$F,6)</f>
        <v/>
      </c>
    </row>
    <row r="242">
      <c r="A242" s="67" t="n">
        <v>42552</v>
      </c>
      <c r="B242" s="65">
        <f>VLOOKUP(Table1[[#This Row],[Date]],'DB Money Supply'!$A:$F,6)</f>
        <v/>
      </c>
    </row>
    <row r="243">
      <c r="A243" s="67" t="n">
        <v>42644</v>
      </c>
      <c r="B243" s="65">
        <f>VLOOKUP(Table1[[#This Row],[Date]],'DB Money Supply'!$A:$F,6)</f>
        <v/>
      </c>
    </row>
    <row r="244">
      <c r="A244" s="67" t="n">
        <v>42736</v>
      </c>
      <c r="B244" s="65">
        <f>VLOOKUP(Table1[[#This Row],[Date]],'DB Money Supply'!$A:$F,6)</f>
        <v/>
      </c>
    </row>
    <row r="245">
      <c r="A245" s="67" t="n">
        <v>42826</v>
      </c>
      <c r="B245" s="65">
        <f>VLOOKUP(Table1[[#This Row],[Date]],'DB Money Supply'!$A:$F,6)</f>
        <v/>
      </c>
    </row>
    <row r="246">
      <c r="A246" s="67" t="n">
        <v>42917</v>
      </c>
      <c r="B246" s="65">
        <f>VLOOKUP(Table1[[#This Row],[Date]],'DB Money Supply'!$A:$F,6)</f>
        <v/>
      </c>
    </row>
    <row r="247">
      <c r="A247" s="67" t="n">
        <v>43009</v>
      </c>
      <c r="B247" s="65">
        <f>VLOOKUP(Table1[[#This Row],[Date]],'DB Money Supply'!$A:$F,6)</f>
        <v/>
      </c>
    </row>
    <row r="248">
      <c r="A248" s="67" t="n">
        <v>43101</v>
      </c>
      <c r="B248" s="65">
        <f>VLOOKUP(Table1[[#This Row],[Date]],'DB Money Supply'!$A:$F,6)</f>
        <v/>
      </c>
    </row>
    <row r="249">
      <c r="A249" s="67" t="n">
        <v>43191</v>
      </c>
      <c r="B249" s="65">
        <f>VLOOKUP(Table1[[#This Row],[Date]],'DB Money Supply'!$A:$F,6)</f>
        <v/>
      </c>
    </row>
    <row r="250">
      <c r="A250" s="67" t="n">
        <v>43282</v>
      </c>
      <c r="B250" s="65">
        <f>VLOOKUP(Table1[[#This Row],[Date]],'DB Money Supply'!$A:$F,6)</f>
        <v/>
      </c>
    </row>
    <row r="251">
      <c r="A251" s="67" t="n">
        <v>43374</v>
      </c>
      <c r="B251" s="65">
        <f>VLOOKUP(Table1[[#This Row],[Date]],'DB Money Supply'!$A:$F,6)</f>
        <v/>
      </c>
    </row>
    <row r="252">
      <c r="A252" s="67" t="n">
        <v>43466</v>
      </c>
      <c r="B252" s="65">
        <f>VLOOKUP(Table1[[#This Row],[Date]],'DB Money Supply'!$A:$F,6)</f>
        <v/>
      </c>
    </row>
    <row r="253">
      <c r="A253" s="67" t="n">
        <v>43556</v>
      </c>
      <c r="B253" s="65">
        <f>VLOOKUP(Table1[[#This Row],[Date]],'DB Money Supply'!$A:$F,6)</f>
        <v/>
      </c>
    </row>
    <row r="254">
      <c r="A254" s="67" t="n">
        <v>43647</v>
      </c>
      <c r="B254" s="65">
        <f>VLOOKUP(Table1[[#This Row],[Date]],'DB Money Supply'!$A:$F,6)</f>
        <v/>
      </c>
    </row>
    <row r="255">
      <c r="A255" s="67" t="n">
        <v>43739</v>
      </c>
      <c r="B255" s="65">
        <f>VLOOKUP(Table1[[#This Row],[Date]],'DB Money Supply'!$A:$F,6)</f>
        <v/>
      </c>
    </row>
    <row r="256">
      <c r="A256" s="67" t="n">
        <v>43831</v>
      </c>
      <c r="B256" s="65">
        <f>VLOOKUP(Table1[[#This Row],[Date]],'DB Money Supply'!$A:$F,6)</f>
        <v/>
      </c>
    </row>
    <row r="257">
      <c r="A257" s="67" t="n">
        <v>43922</v>
      </c>
      <c r="B257" s="65">
        <f>VLOOKUP(Table1[[#This Row],[Date]],'DB Money Supply'!$A:$F,6)</f>
        <v/>
      </c>
    </row>
    <row r="258">
      <c r="A258" s="67" t="n">
        <v>44013</v>
      </c>
      <c r="B258" s="65">
        <f>VLOOKUP(Table1[[#This Row],[Date]],'DB Money Supply'!$A:$F,6)</f>
        <v/>
      </c>
    </row>
    <row r="259">
      <c r="A259" s="67" t="n">
        <v>44105</v>
      </c>
      <c r="B259" s="65">
        <f>VLOOKUP(Table1[[#This Row],[Date]],'DB Money Supply'!$A:$F,6)</f>
        <v/>
      </c>
    </row>
    <row r="260">
      <c r="A260" s="67" t="n">
        <v>44197</v>
      </c>
      <c r="B260" s="65">
        <f>VLOOKUP(Table1[[#This Row],[Date]],'DB Money Supply'!$A:$F,6)</f>
        <v/>
      </c>
    </row>
    <row r="261">
      <c r="A261" s="67" t="n">
        <v>44287</v>
      </c>
      <c r="B261" s="65">
        <f>VLOOKUP(Table1[[#This Row],[Date]],'DB Money Supply'!$A:$F,6)</f>
        <v/>
      </c>
    </row>
    <row r="262">
      <c r="A262" s="67" t="n">
        <v>44378</v>
      </c>
      <c r="B262" s="65">
        <f>VLOOKUP(Table1[[#This Row],[Date]],'DB Money Supply'!$A:$F,6)</f>
        <v/>
      </c>
    </row>
    <row r="263">
      <c r="A263" s="67" t="n">
        <v>44470</v>
      </c>
      <c r="B263" s="65">
        <f>VLOOKUP(Table1[[#This Row],[Date]],'DB Money Supply'!$A:$F,6)</f>
        <v/>
      </c>
    </row>
    <row r="264">
      <c r="A264" s="67" t="n">
        <v>44562</v>
      </c>
      <c r="B264" s="65">
        <f>VLOOKUP(Table1[[#This Row],[Date]],'DB Money Supply'!$A:$F,6)</f>
        <v/>
      </c>
    </row>
    <row r="265">
      <c r="A265" s="67" t="n">
        <v>44652</v>
      </c>
      <c r="B265" s="65">
        <f>VLOOKUP(Table1[[#This Row],[Date]],'DB Money Supply'!$A:$F,6)</f>
        <v/>
      </c>
    </row>
    <row r="266">
      <c r="A266" s="67" t="n">
        <v>44743</v>
      </c>
      <c r="B266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2"/>
  <sheetViews>
    <sheetView zoomScale="120" zoomScaleNormal="120" workbookViewId="0">
      <pane ySplit="5" topLeftCell="A745" activePane="bottomLeft" state="frozen"/>
      <selection pane="bottomLeft" activeCell="A767" sqref="A767:C772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6" min="4" max="6"/>
    <col width="13.36328125" customWidth="1" style="76" min="7" max="7"/>
    <col width="9.1796875" customWidth="1" style="76" min="8" max="34"/>
    <col width="9.1796875" customWidth="1" style="76" min="35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thickBot="1"/>
    <row r="5" ht="42.75" customHeight="1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63">
        <f>(Table3032[[#This Row],[Real M1 Money Stock]]-B758)/B758</f>
        <v/>
      </c>
    </row>
    <row r="771">
      <c r="A771" s="25" t="n">
        <v>44835</v>
      </c>
      <c r="B771" s="26">
        <f>VLOOKUP(Table3032[[#This Row],[Month]],'DB Money Supply'!$A:$D,2)</f>
        <v/>
      </c>
      <c r="C771" s="63">
        <f>(Table3032[[#This Row],[Real M1 Money Stock]]-B759)/B759</f>
        <v/>
      </c>
    </row>
    <row r="772">
      <c r="A772" s="25" t="n">
        <v>44866</v>
      </c>
      <c r="B772" s="26">
        <f>VLOOKUP(Table3032[[#This Row],[Month]],'DB Money Supply'!$A:$D,2)</f>
        <v/>
      </c>
      <c r="C772" s="63">
        <f>(Table3032[[#This Row],[Real M1 Money Stock]]-B760)/B760</f>
        <v/>
      </c>
    </row>
  </sheetData>
  <conditionalFormatting sqref="C18:C77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1"/>
  <sheetViews>
    <sheetView zoomScale="110" zoomScaleNormal="110" workbookViewId="0">
      <pane ySplit="5" topLeftCell="A737" activePane="bottomLeft" state="frozen"/>
      <selection pane="bottomLeft" activeCell="A764" sqref="A764:C771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6" min="4" max="6"/>
    <col width="13.36328125" customWidth="1" style="76" min="7" max="7"/>
    <col width="9.1796875" customWidth="1" style="76" min="8" max="34"/>
    <col width="9.1796875" customWidth="1" style="76" min="35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  <row r="771">
      <c r="A771" s="22" t="n">
        <v>44835</v>
      </c>
      <c r="B771" s="24">
        <f>VLOOKUP(Table30[[#This Row],[Month]],'DB Money Supply'!$A:$D,3)</f>
        <v/>
      </c>
      <c r="C771" s="27">
        <f>(Table30[[#This Row],[Real M2 Money Stock]]-B759)/B759</f>
        <v/>
      </c>
    </row>
  </sheetData>
  <conditionalFormatting sqref="C18:C77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1"/>
  <sheetViews>
    <sheetView zoomScale="110" zoomScaleNormal="110" workbookViewId="0">
      <pane ySplit="5" topLeftCell="A2377" activePane="bottomLeft" state="frozen"/>
      <selection pane="bottomLeft" activeCell="A2404" sqref="A2404:F2411"/>
    </sheetView>
  </sheetViews>
  <sheetFormatPr baseColWidth="8" defaultColWidth="9.1796875" defaultRowHeight="14.5"/>
  <cols>
    <col width="16.6328125" customWidth="1" style="16" min="1" max="1"/>
    <col width="19" customWidth="1" style="16" min="2" max="2"/>
    <col width="14.6328125" customWidth="1" style="16" min="3" max="3"/>
    <col width="14.6328125" customWidth="1" style="76" min="4" max="4"/>
    <col width="9.1796875" customWidth="1" style="76" min="5" max="31"/>
    <col width="9.1796875" customWidth="1" style="76" min="32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thickBot="1">
      <c r="H4" s="17" t="n"/>
    </row>
    <row r="5" ht="39.75" customHeight="1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  <row r="2411">
      <c r="A2411" s="33" t="n">
        <v>44235</v>
      </c>
      <c r="B2411" s="24">
        <f>VLOOKUP(Table2634[[#This Row],[Date]],'DB Money Supply'!$A:$D,4)</f>
        <v/>
      </c>
      <c r="C2411" s="30">
        <f>(Table2634[[#This Row],[M1 Money Stock, Billions of Dollars, Weekly, Seasonally Adjusted]]-B2410)/B2410</f>
        <v/>
      </c>
      <c r="D2411" s="34">
        <f>(Table2634[[#This Row],[M1 Money Stock, Billions of Dollars, Weekly, Seasonally Adjusted]]-B2408)/B2408</f>
        <v/>
      </c>
      <c r="E2411" s="24">
        <f>AVERAGE(B2408:B2411)</f>
        <v/>
      </c>
      <c r="F2411" s="32">
        <f>(Table2634[[#This Row],[4 weeks average]]-B2359)/B2359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1"/>
  <sheetViews>
    <sheetView zoomScale="140" zoomScaleNormal="140" workbookViewId="0">
      <pane ySplit="5" topLeftCell="A760" activePane="bottomLeft" state="frozen"/>
      <selection pane="bottomLeft" activeCell="A766" sqref="A766:D771"/>
    </sheetView>
  </sheetViews>
  <sheetFormatPr baseColWidth="8" defaultColWidth="9.1796875" defaultRowHeight="14.5"/>
  <cols>
    <col width="16.6328125" customWidth="1" style="16" min="1" max="1"/>
    <col width="19" customWidth="1" style="76" min="2" max="2"/>
    <col width="14.6328125" customWidth="1" style="16" min="3" max="3"/>
    <col width="14.6328125" customWidth="1" style="76" min="4" max="4"/>
    <col width="9.1796875" customWidth="1" style="76" min="5" max="31"/>
    <col width="9.1796875" customWidth="1" style="76" min="32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thickBot="1">
      <c r="F4" s="17">
        <f>_xlfn.STDEV.S(D7:D752)</f>
        <v/>
      </c>
    </row>
    <row r="5" ht="69" customHeight="1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5" t="n">
        <v>44805</v>
      </c>
      <c r="B770" s="57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  <row r="771">
      <c r="A771" s="55" t="n">
        <v>44835</v>
      </c>
      <c r="B771" s="57">
        <f>VLOOKUP(Table26[[#This Row],[Date]],'DB Money Supply'!$A:$E,5)</f>
        <v/>
      </c>
      <c r="C771" s="30">
        <f>(Table26[[#This Row],[M2 Money Stock, Billions of Dollars, Monthly, Seasonally Adjusted]]-B770)/B770</f>
        <v/>
      </c>
      <c r="D77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90" zoomScaleNormal="90" workbookViewId="0">
      <pane xSplit="4" topLeftCell="E1" activePane="topRight" state="frozen"/>
      <selection activeCell="AB17" sqref="AB17"/>
      <selection pane="topRight" activeCell="AB17" sqref="AB17"/>
    </sheetView>
  </sheetViews>
  <sheetFormatPr baseColWidth="8" defaultColWidth="9.1796875" defaultRowHeight="14.5"/>
  <cols>
    <col width="9.1796875" customWidth="1" style="76" min="1" max="3"/>
    <col width="28" customWidth="1" style="16" min="4" max="9"/>
    <col width="9.1796875" customWidth="1" style="76" min="10" max="36"/>
    <col width="9.1796875" customWidth="1" style="76" min="37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8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8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8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8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8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8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8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8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8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8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8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8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8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8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8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8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8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8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8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8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8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8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8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8"/>
  <sheetViews>
    <sheetView zoomScale="120" zoomScaleNormal="120" workbookViewId="0">
      <pane xSplit="1" ySplit="5" topLeftCell="B62" activePane="bottomRight" state="frozen"/>
      <selection pane="topRight" activeCell="B1" sqref="B1"/>
      <selection pane="bottomLeft" activeCell="A6" sqref="A6"/>
      <selection pane="bottomRight" activeCell="AK98" sqref="AK98"/>
    </sheetView>
  </sheetViews>
  <sheetFormatPr baseColWidth="8" defaultColWidth="8.81640625" defaultRowHeight="14.5"/>
  <cols>
    <col width="10.6328125" bestFit="1" customWidth="1" style="76" min="1" max="1"/>
    <col width="13.6328125" customWidth="1" min="2" max="2"/>
    <col width="6.36328125" customWidth="1" min="3" max="3"/>
    <col width="6.1796875" customWidth="1" min="4" max="4"/>
    <col width="7.36328125" customWidth="1" min="5" max="5"/>
    <col width="6.6328125" customWidth="1" min="6" max="6"/>
    <col width="6.1796875" customWidth="1" min="7" max="9"/>
    <col width="5.36328125" customWidth="1" min="10" max="10"/>
    <col width="6.1796875" customWidth="1" min="11" max="22"/>
    <col width="5.6328125" customWidth="1" min="23" max="23"/>
    <col width="6.1796875" customWidth="1" min="24" max="27"/>
    <col width="9.1796875" customWidth="1" style="76" min="28" max="28"/>
    <col width="12.36328125" customWidth="1" style="76" min="29" max="29"/>
    <col width="9.1796875" customWidth="1" style="76" min="30" max="30"/>
    <col width="10.6328125" customWidth="1" style="76" min="31" max="31"/>
    <col width="10.6328125" bestFit="1" customWidth="1" style="76" min="32" max="32"/>
    <col width="9.179687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6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6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6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6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6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6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76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76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8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baseColWidth="8" defaultColWidth="8.81640625" defaultRowHeight="14.5"/>
  <cols>
    <col width="10.6328125" bestFit="1" customWidth="1" style="76" min="1" max="1"/>
    <col width="13.6328125" customWidth="1" min="2" max="2"/>
    <col width="6.1796875" customWidth="1" min="3" max="22"/>
    <col width="5.6328125" customWidth="1" min="23" max="23"/>
    <col width="6.1796875" customWidth="1" min="24" max="27"/>
    <col width="9.1796875" customWidth="1" style="76" min="28" max="28"/>
    <col width="12.36328125" customWidth="1" style="76" min="29" max="29"/>
    <col width="9.1796875" customWidth="1" style="76" min="30" max="30"/>
    <col width="10.6328125" customWidth="1" style="76" min="31" max="31"/>
    <col width="10.6328125" bestFit="1" customWidth="1" style="76" min="32" max="32"/>
    <col width="9.179687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6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6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6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6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6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6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76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76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6"/>
  <sheetViews>
    <sheetView tabSelected="1" zoomScale="130" zoomScaleNormal="130" workbookViewId="0">
      <pane ySplit="5" topLeftCell="A719" activePane="bottomLeft" state="frozen"/>
      <selection activeCell="AB17" sqref="AB17"/>
      <selection pane="bottomLeft" activeCell="D754" sqref="D754"/>
    </sheetView>
  </sheetViews>
  <sheetFormatPr baseColWidth="8" defaultColWidth="9.1796875" defaultRowHeight="14.5"/>
  <cols>
    <col width="12" customWidth="1" style="76" min="1" max="1"/>
    <col width="14.36328125" customWidth="1" style="76" min="2" max="2"/>
    <col width="11.1796875" customWidth="1" style="16" min="3" max="4"/>
    <col width="9.1796875" customWidth="1" style="76" min="5" max="5"/>
    <col width="20.36328125" customWidth="1" style="76" min="6" max="6"/>
    <col width="14.6328125" customWidth="1" style="76" min="7" max="7"/>
    <col width="9.1796875" customWidth="1" style="76" min="8" max="34"/>
    <col width="9.1796875" customWidth="1" style="76" min="35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MIN(D469:D747)</f>
        <v/>
      </c>
    </row>
    <row r="4" ht="16" customHeight="1" thickBot="1">
      <c r="F4" s="76" t="inlineStr">
        <is>
          <t>Maximum last 20 years</t>
        </is>
      </c>
      <c r="G4" s="37">
        <f>MAX(D469:D748)</f>
        <v/>
      </c>
    </row>
    <row r="5" ht="32" customHeight="1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63">
        <f>IF(B733&gt;0,(Table2[[#This Row],[Country]]-B733)/B733,0)</f>
        <v/>
      </c>
      <c r="D745" s="63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63">
        <f>IF(B734&gt;0,(Table2[[#This Row],[Country]]-B734)/B734,0)</f>
        <v/>
      </c>
      <c r="D746" s="63">
        <f>IF(Table2[[#This Row],[Country]]&gt;0,(((Table2[[#This Row],[Country]]-B745)/B745)+1)^12-1,"")</f>
        <v/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2022-12-10T03:44:49Z</dcterms:modified>
  <cp:lastModifiedBy>Mark Mukherjee</cp:lastModifiedBy>
</cp:coreProperties>
</file>