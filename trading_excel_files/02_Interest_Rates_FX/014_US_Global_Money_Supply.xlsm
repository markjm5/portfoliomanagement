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1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9" fillId="10" borderId="1" applyAlignment="1" pivotButton="0" quotePrefix="0" xfId="0">
      <alignment horizontal="center"/>
    </xf>
    <xf numFmtId="0" fontId="0" fillId="2" borderId="0" pivotButton="0" quotePrefix="0" xfId="0"/>
    <xf numFmtId="0" fontId="1" fillId="2" borderId="0" pivotButton="0" quotePrefix="0" xfId="1"/>
    <xf numFmtId="168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1"/>
    <xf numFmtId="0" fontId="12" fillId="2" borderId="0" applyAlignment="1" pivotButton="0" quotePrefix="0" xfId="0">
      <alignment wrapText="1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'!$A$6:$A$764</f>
              <numCache>
                <formatCode>m/d/yy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'!$B$6:$B$764</f>
              <numCache>
                <formatCode>0.0</formatCode>
                <ptCount val="759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  <pt idx="756">
                  <v>21840.1</v>
                </pt>
                <pt idx="757">
                  <v>21811.8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Monthly'!$A$6:$A$765</f>
              <numCache>
                <formatCode>yyyy\-mm\-dd</formatCode>
                <ptCount val="760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M1 Real Monthly'!$B$6:$B$765</f>
              <numCache>
                <formatCode>0.0</formatCode>
                <ptCount val="760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  <pt idx="756">
                  <v>7347.9</v>
                </pt>
                <pt idx="757">
                  <v>7282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Monthly'!$A$18:$A$765</f>
              <numCache>
                <formatCode>yyyy\-mm\-dd</formatCode>
                <ptCount val="748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</numCache>
            </numRef>
          </cat>
          <val>
            <numRef>
              <f>'US M1 Real Monthly'!$C$18:$C$765</f>
              <numCache>
                <formatCode>0.0%</formatCode>
                <ptCount val="748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  <pt idx="744">
                  <v>0.06451192304349075</v>
                </pt>
                <pt idx="745">
                  <v>0.04208703616250953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  <max val="44562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Monthly'!$B$6:$B$763</f>
              <numCache>
                <formatCode>0.0</formatCode>
                <ptCount val="758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  <pt idx="756">
                  <v>7746.6</v>
                </pt>
                <pt idx="757">
                  <v>7675.3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Monthly'!$A$6:$A$763</f>
              <numCache>
                <formatCode>yyyy\-mm\-dd</formatCode>
                <ptCount val="758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</numCache>
            </numRef>
          </cat>
          <val>
            <numRef>
              <f>'US M2 Real Monthly'!$C$6:$C$763</f>
              <numCache>
                <formatCode>General</formatCode>
                <ptCount val="758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  <pt idx="756">
                  <formatCode>0.0%</formatCode>
                  <v>0.04747481576634445</v>
                </pt>
                <pt idx="757">
                  <formatCode>0.0%</formatCode>
                  <v>0.02711202109010135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  <pt idx="755">
                  <v>21840.1</v>
                </pt>
                <pt idx="756">
                  <v>21811.8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  <pt idx="755">
                  <v>0.1179592872840296</v>
                </pt>
                <pt idx="756">
                  <v>-0.01543903931090151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3" headerRowCount="1" totalsRowShown="0" headerRowDxfId="33" dataDxfId="31" headerRowBorderDxfId="32">
  <autoFilter ref="A5:C763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3" headerRowCount="1" totalsRowShown="0" headerRowDxfId="27" dataDxfId="26" tableBorderDxfId="25">
  <autoFilter ref="A5:C763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3" headerRowCount="1" totalsRowShown="0" headerRowDxfId="12" dataDxfId="10" headerRowBorderDxfId="11" dataCellStyle="Normal 2">
  <autoFilter ref="A5:D763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6" min="1" max="1"/>
    <col width="12.83203125" customWidth="1" style="76" min="2" max="10"/>
    <col width="3.33203125" customWidth="1" style="76" min="11" max="13"/>
    <col width="21.33203125" customWidth="1" style="76" min="14" max="14"/>
    <col width="15.6640625" customWidth="1" style="76" min="15" max="15"/>
    <col width="16.83203125" customWidth="1" style="76" min="16" max="16"/>
    <col width="23" customWidth="1" style="76" min="17" max="17"/>
    <col width="9.1640625" customWidth="1" style="76" min="18" max="32"/>
    <col width="9.1640625" customWidth="1" style="76" min="33" max="16384"/>
  </cols>
  <sheetData>
    <row r="1">
      <c r="B1" s="82" t="n"/>
    </row>
    <row r="2" ht="16" customHeight="1" s="67" thickBot="1">
      <c r="B2" s="83" t="n"/>
      <c r="C2" s="83" t="n"/>
      <c r="D2" s="83" t="n"/>
      <c r="E2" s="83" t="n"/>
      <c r="F2" s="83" t="n"/>
      <c r="G2" s="83" t="n"/>
      <c r="H2" s="83" t="n"/>
      <c r="I2" s="83" t="n"/>
      <c r="J2" s="83" t="n"/>
    </row>
    <row r="3" ht="16" customHeight="1" s="67" thickBot="1">
      <c r="B3" s="84" t="inlineStr">
        <is>
          <t>Money Supply</t>
        </is>
      </c>
      <c r="C3" s="85" t="n"/>
      <c r="D3" s="85" t="n"/>
      <c r="E3" s="85" t="n"/>
      <c r="F3" s="85" t="n"/>
      <c r="G3" s="85" t="n"/>
      <c r="H3" s="85" t="n"/>
      <c r="I3" s="85" t="n"/>
      <c r="J3" s="86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00.5" customHeight="1" s="67">
      <c r="B7" s="87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77" t="n"/>
    </row>
    <row r="9">
      <c r="B9" s="42" t="n"/>
      <c r="C9" s="42" t="n"/>
      <c r="D9" s="42" t="n"/>
      <c r="E9" s="42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</row>
    <row r="11" ht="16" customHeight="1" s="67"/>
    <row r="12" ht="16" customHeight="1" s="67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4" ht="19.5" customHeight="1" s="67">
      <c r="B14" s="1" t="inlineStr">
        <is>
          <t>https://fred.stlouisfed.org/series/M2REAL</t>
        </is>
      </c>
      <c r="G14" s="76" t="inlineStr">
        <is>
          <t>U.S.</t>
        </is>
      </c>
    </row>
    <row r="15" ht="16" customHeight="1" s="67" thickBot="1">
      <c r="B15" s="77" t="inlineStr">
        <is>
          <t>https://fred.stlouisfed.org/series/M1REAL</t>
        </is>
      </c>
      <c r="G15" s="75" t="inlineStr">
        <is>
          <t>U.S.</t>
        </is>
      </c>
    </row>
    <row r="16" ht="18" customHeight="1" s="67">
      <c r="B16" s="77" t="inlineStr">
        <is>
          <t>https://fred.stlouisfed.org/series/M1</t>
        </is>
      </c>
      <c r="G16" s="75" t="inlineStr">
        <is>
          <t xml:space="preserve">U.S. </t>
        </is>
      </c>
      <c r="Z16" s="43" t="inlineStr">
        <is>
          <t>DGORDER</t>
        </is>
      </c>
      <c r="AA16" s="76" t="inlineStr">
        <is>
          <t>Durable Goods New Orders</t>
        </is>
      </c>
    </row>
    <row r="17" ht="18" customHeight="1" s="67">
      <c r="B17" s="77" t="inlineStr">
        <is>
          <t>https://fred.stlouisfed.org/series/M2</t>
        </is>
      </c>
      <c r="G17" s="78" t="inlineStr">
        <is>
          <t>U.S. discontinued</t>
        </is>
      </c>
      <c r="Z17" s="44" t="inlineStr">
        <is>
          <t>ADXTNO</t>
        </is>
      </c>
      <c r="AA17" s="76" t="inlineStr">
        <is>
          <t>New Orders ex Transport</t>
        </is>
      </c>
    </row>
    <row r="18" ht="33.75" customHeight="1" s="67">
      <c r="B18" s="77" t="inlineStr">
        <is>
          <t>https://fred.stlouisfed.org/series/M2SL</t>
        </is>
      </c>
      <c r="G18" s="78" t="inlineStr">
        <is>
          <t>U.S.</t>
        </is>
      </c>
      <c r="Z18" s="45" t="inlineStr">
        <is>
          <t>NEWORDER</t>
        </is>
      </c>
      <c r="AA18" s="76" t="inlineStr">
        <is>
          <t>New Orders Nondefense Ex Aircraft &amp; Parts = Core</t>
        </is>
      </c>
    </row>
    <row r="19" ht="18" customHeight="1" s="67">
      <c r="B19" s="77" t="inlineStr">
        <is>
          <t>https://tradingeconomics.com/country-list/money-supply-m2?continent=g20</t>
        </is>
      </c>
      <c r="G19" s="78" t="inlineStr">
        <is>
          <t>Quick Country View</t>
        </is>
      </c>
      <c r="Z19" s="44" t="inlineStr">
        <is>
          <t>AMTUNO</t>
        </is>
      </c>
      <c r="AA19" s="76" t="inlineStr">
        <is>
          <t>New Orders - Manufacturing</t>
        </is>
      </c>
    </row>
    <row r="20" ht="18" customHeight="1" s="67">
      <c r="B20" s="77" t="inlineStr">
        <is>
          <t>https://data.oecd.org/money/broad-money-m3.htm</t>
        </is>
      </c>
      <c r="G20" s="76" t="inlineStr">
        <is>
          <t>Table</t>
        </is>
      </c>
      <c r="Z20" s="45" t="inlineStr">
        <is>
          <t>A36SNO</t>
        </is>
      </c>
      <c r="AA20" s="76" t="inlineStr">
        <is>
          <t>New Orders - Transportation Equipment</t>
        </is>
      </c>
    </row>
    <row r="21" ht="18" customHeight="1" s="67">
      <c r="B21" s="77" t="n"/>
      <c r="G21" s="76" t="inlineStr">
        <is>
          <t>Monthly</t>
        </is>
      </c>
      <c r="Z21" s="45" t="inlineStr">
        <is>
          <t>A32SNO</t>
        </is>
      </c>
      <c r="AA21" s="76" t="inlineStr">
        <is>
          <t>New Orders - Fabricated Metal Products</t>
        </is>
      </c>
    </row>
    <row r="22" ht="18" customHeight="1" s="67">
      <c r="B22" s="77" t="n"/>
      <c r="G22" s="76" t="inlineStr">
        <is>
          <t>from beginning</t>
        </is>
      </c>
      <c r="Z22" s="45" t="inlineStr">
        <is>
          <t>A33SNO</t>
        </is>
      </c>
      <c r="AA22" s="76" t="inlineStr">
        <is>
          <t>New Orders - Machinery</t>
        </is>
      </c>
    </row>
    <row r="23" ht="18" customHeight="1" s="67">
      <c r="B23" s="77" t="n"/>
      <c r="G23" s="76" t="inlineStr">
        <is>
          <t>download Select data only</t>
        </is>
      </c>
      <c r="Z23" s="45" t="inlineStr">
        <is>
          <t>A34SNO</t>
        </is>
      </c>
      <c r="AA23" s="76" t="inlineStr">
        <is>
          <t>New Orders - Computers</t>
        </is>
      </c>
    </row>
    <row r="24" ht="18" customHeight="1" s="67">
      <c r="B24" s="77" t="n"/>
      <c r="G24" s="78" t="inlineStr">
        <is>
          <t>Data</t>
        </is>
      </c>
      <c r="Z24" s="45" t="inlineStr">
        <is>
          <t>A31SNO</t>
        </is>
      </c>
      <c r="AA24" s="76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6" t="inlineStr">
        <is>
          <t>New Orders - Electrical Equipment</t>
        </is>
      </c>
    </row>
    <row r="35" ht="16" customHeight="1" s="67"/>
    <row r="39">
      <c r="B39" s="40" t="n"/>
    </row>
    <row r="40">
      <c r="B40" s="75" t="n"/>
    </row>
    <row r="41">
      <c r="B41" s="41" t="n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9"/>
  <sheetViews>
    <sheetView zoomScale="170" zoomScaleNormal="170" workbookViewId="0">
      <pane ySplit="1" topLeftCell="A3075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  <row r="3085">
      <c r="A3085" s="89" t="n">
        <v>44562</v>
      </c>
      <c r="B3085" t="n">
        <v>7347.9</v>
      </c>
      <c r="C3085" t="n">
        <v>7746.6</v>
      </c>
      <c r="E3085" t="n">
        <v>21840.1</v>
      </c>
      <c r="F3085" t="n">
        <v>1.122</v>
      </c>
    </row>
    <row r="3086">
      <c r="A3086" s="89" t="n">
        <v>44593</v>
      </c>
      <c r="B3086" t="n">
        <v>7282</v>
      </c>
      <c r="C3086" t="n">
        <v>7675.3</v>
      </c>
      <c r="E3086" t="n">
        <v>21811.8</v>
      </c>
    </row>
    <row r="3087">
      <c r="A3087" s="89" t="n">
        <v>44621</v>
      </c>
      <c r="B3087" t="n">
        <v>7198.3</v>
      </c>
      <c r="C3087" t="n">
        <v>7580.5</v>
      </c>
      <c r="E3087" t="n">
        <v>21809.7</v>
      </c>
    </row>
    <row r="3088">
      <c r="A3088" s="89" t="n">
        <v>44652</v>
      </c>
      <c r="B3088" t="n">
        <v>7143.5</v>
      </c>
      <c r="C3088" t="n">
        <v>7527.1</v>
      </c>
      <c r="E3088" t="n">
        <v>21728</v>
      </c>
    </row>
    <row r="3089">
      <c r="A3089" s="89" t="n">
        <v>44682</v>
      </c>
      <c r="B3089" t="n">
        <v>7078.8</v>
      </c>
      <c r="C3089" t="n">
        <v>7463.5</v>
      </c>
      <c r="E3089" t="n">
        <v>21754.2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6" min="1" max="1"/>
    <col width="9.1640625" customWidth="1" style="76" min="2" max="3"/>
    <col width="10.6640625" bestFit="1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>163.2234</v>
      </c>
      <c r="E853" t="n">
        <v/>
      </c>
      <c r="F853" t="n">
        <v/>
      </c>
      <c r="G853" t="n">
        <v/>
      </c>
      <c r="H853" t="n">
        <v>173.5841</v>
      </c>
      <c r="I853" t="n">
        <v>142.3468</v>
      </c>
      <c r="J853" t="n">
        <v>164.1336</v>
      </c>
      <c r="K853" t="n">
        <v/>
      </c>
      <c r="L853" t="n">
        <v>145.8045</v>
      </c>
      <c r="M853" t="n">
        <v>147.6958</v>
      </c>
      <c r="N853" t="n">
        <v>203.0677</v>
      </c>
      <c r="O853" t="n">
        <v/>
      </c>
      <c r="P853" t="n">
        <v/>
      </c>
      <c r="Q853" t="n">
        <v>132.5015</v>
      </c>
      <c r="R853" t="n">
        <v>181.1464</v>
      </c>
      <c r="S853" t="n">
        <v>125.2681</v>
      </c>
      <c r="T853" t="n">
        <v>164.0435</v>
      </c>
      <c r="U853" t="n">
        <v/>
      </c>
      <c r="V853" t="n">
        <v>153.3172</v>
      </c>
      <c r="W853" t="n">
        <v/>
      </c>
      <c r="X853" t="n">
        <v>168.4642</v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>149.1686</v>
      </c>
      <c r="C854" t="n">
        <v/>
      </c>
      <c r="D854" t="n">
        <v>164.8314</v>
      </c>
      <c r="E854" t="n">
        <v/>
      </c>
      <c r="F854" t="n">
        <v/>
      </c>
      <c r="G854" t="n">
        <v/>
      </c>
      <c r="H854" t="n">
        <v>176.7987</v>
      </c>
      <c r="I854" t="n">
        <v>142.9167</v>
      </c>
      <c r="J854" t="n">
        <v>163.8784</v>
      </c>
      <c r="K854" t="n">
        <v/>
      </c>
      <c r="L854" t="n">
        <v>146.0898</v>
      </c>
      <c r="M854" t="n">
        <v>147.1338</v>
      </c>
      <c r="N854" t="n">
        <v>204.659</v>
      </c>
      <c r="O854" t="n">
        <v/>
      </c>
      <c r="P854" t="n">
        <v/>
      </c>
      <c r="Q854" t="n">
        <v>133.4847</v>
      </c>
      <c r="R854" t="n">
        <v>181.7977</v>
      </c>
      <c r="S854" t="n">
        <v>125.6899</v>
      </c>
      <c r="T854" t="n">
        <v>165.025</v>
      </c>
      <c r="U854" t="n">
        <v/>
      </c>
      <c r="V854" t="n">
        <v>154.7996</v>
      </c>
      <c r="W854" t="n">
        <v/>
      </c>
      <c r="X854" t="n">
        <v>169.3857</v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>181.3599</v>
      </c>
      <c r="AE854" t="n">
        <v>152.8765</v>
      </c>
    </row>
    <row r="855">
      <c r="A855" s="89" t="n">
        <v>44593</v>
      </c>
      <c r="B855" t="n">
        <v>149.2639</v>
      </c>
      <c r="C855" t="n">
        <v/>
      </c>
      <c r="D855" t="n">
        <v>166.0644</v>
      </c>
      <c r="E855" t="n">
        <v/>
      </c>
      <c r="F855" t="n">
        <v/>
      </c>
      <c r="G855" t="n">
        <v/>
      </c>
      <c r="H855" t="n">
        <v>177.2659</v>
      </c>
      <c r="I855" t="n">
        <v>143.4866</v>
      </c>
      <c r="J855" t="n">
        <v>166.2571</v>
      </c>
      <c r="K855" t="n">
        <v/>
      </c>
      <c r="L855" t="n">
        <v>146.1738</v>
      </c>
      <c r="M855" t="n">
        <v>147.8793</v>
      </c>
      <c r="N855" t="n">
        <v>208.6711</v>
      </c>
      <c r="O855" t="n">
        <v/>
      </c>
      <c r="P855" t="n">
        <v/>
      </c>
      <c r="Q855" t="n">
        <v>134.3541</v>
      </c>
      <c r="R855" t="n">
        <v>182.4306</v>
      </c>
      <c r="S855" t="n">
        <v>126.1058</v>
      </c>
      <c r="T855" t="n">
        <v>165.9249</v>
      </c>
      <c r="U855" t="n">
        <v/>
      </c>
      <c r="V855" t="n">
        <v>155.2155</v>
      </c>
      <c r="W855" t="n">
        <v/>
      </c>
      <c r="X855" t="n">
        <v>169.7989</v>
      </c>
      <c r="Y855" t="n">
        <v/>
      </c>
      <c r="Z855" t="n">
        <v/>
      </c>
      <c r="AA855" t="n">
        <v>186.3244</v>
      </c>
      <c r="AB855" t="n">
        <v/>
      </c>
      <c r="AC855" t="n">
        <v/>
      </c>
      <c r="AD855" t="n">
        <v>181.1264</v>
      </c>
      <c r="AE855" t="n">
        <v>153.6796</v>
      </c>
    </row>
    <row r="856">
      <c r="A856" s="89" t="n">
        <v>44621</v>
      </c>
      <c r="B856" t="n">
        <v>150.1415</v>
      </c>
      <c r="C856" t="n">
        <v/>
      </c>
      <c r="D856" t="n">
        <v>166.7414</v>
      </c>
      <c r="E856" t="n">
        <v/>
      </c>
      <c r="F856" t="n">
        <v/>
      </c>
      <c r="G856" t="n">
        <v/>
      </c>
      <c r="H856" t="n">
        <v>178.4072</v>
      </c>
      <c r="I856" t="n">
        <v>144.0565</v>
      </c>
      <c r="J856" t="n">
        <v>167.8531</v>
      </c>
      <c r="K856" t="n">
        <v/>
      </c>
      <c r="L856" t="n">
        <v>146.949</v>
      </c>
      <c r="M856" t="n">
        <v>149.6857</v>
      </c>
      <c r="N856" t="n">
        <v>212.7392</v>
      </c>
      <c r="O856" t="n">
        <v/>
      </c>
      <c r="P856" t="n">
        <v/>
      </c>
      <c r="Q856" t="n">
        <v>135.2207</v>
      </c>
      <c r="R856" t="n">
        <v>182.3171</v>
      </c>
      <c r="S856" t="n">
        <v>126.3941</v>
      </c>
      <c r="T856" t="n">
        <v>166.2056</v>
      </c>
      <c r="U856" t="n">
        <v/>
      </c>
      <c r="V856" t="n">
        <v>156.0354</v>
      </c>
      <c r="W856" t="n">
        <v/>
      </c>
      <c r="X856" t="n">
        <v>170.4701</v>
      </c>
      <c r="Y856" t="n">
        <v/>
      </c>
      <c r="Z856" t="n">
        <v/>
      </c>
      <c r="AA856" t="n">
        <v>189.3398</v>
      </c>
      <c r="AB856" t="n">
        <v/>
      </c>
      <c r="AC856" t="n">
        <v/>
      </c>
      <c r="AD856" t="n">
        <v>181.0667</v>
      </c>
      <c r="AE856" t="n">
        <v>155.6498</v>
      </c>
    </row>
    <row r="857">
      <c r="A857" s="89" t="n">
        <v>44652</v>
      </c>
      <c r="B857" t="n">
        <v>151.1588</v>
      </c>
      <c r="C857" t="n">
        <v/>
      </c>
      <c r="D857" t="n">
        <v>168.0755</v>
      </c>
      <c r="E857" t="n">
        <v/>
      </c>
      <c r="F857" t="n">
        <v/>
      </c>
      <c r="G857" t="n">
        <v/>
      </c>
      <c r="H857" t="n">
        <v>180.1688</v>
      </c>
      <c r="I857" t="n">
        <v>144.6265</v>
      </c>
      <c r="J857" t="n">
        <v>168.3994</v>
      </c>
      <c r="K857" t="n">
        <v/>
      </c>
      <c r="L857" t="n">
        <v>147.8835</v>
      </c>
      <c r="M857" t="n">
        <v>149.8871</v>
      </c>
      <c r="N857" t="n">
        <v>214.0037</v>
      </c>
      <c r="O857" t="n">
        <v/>
      </c>
      <c r="P857" t="n">
        <v/>
      </c>
      <c r="Q857" t="n">
        <v>136.1101</v>
      </c>
      <c r="R857" t="n">
        <v>184.3093</v>
      </c>
      <c r="S857" t="n">
        <v>126.8463</v>
      </c>
      <c r="T857" t="n">
        <v>166.5137</v>
      </c>
      <c r="U857" t="n">
        <v/>
      </c>
      <c r="V857" t="n">
        <v>157.7924</v>
      </c>
      <c r="W857" t="n">
        <v/>
      </c>
      <c r="X857" t="n">
        <v>170.3951</v>
      </c>
      <c r="Y857" t="n">
        <v/>
      </c>
      <c r="Z857" t="n">
        <v/>
      </c>
      <c r="AA857" t="n">
        <v>191.2408</v>
      </c>
      <c r="AB857" t="n">
        <v/>
      </c>
      <c r="AC857" t="n">
        <v/>
      </c>
      <c r="AD857" t="n">
        <v>180.3885</v>
      </c>
      <c r="AE857" t="n">
        <v>156.4266</v>
      </c>
    </row>
    <row r="858">
      <c r="A858" s="89" t="n">
        <v>44682</v>
      </c>
      <c r="B858" t="n">
        <v>152.1702</v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>181.4382</v>
      </c>
      <c r="I858" t="n">
        <v>145.1964</v>
      </c>
      <c r="J858" t="n">
        <v>169.6404</v>
      </c>
      <c r="K858" t="n">
        <v/>
      </c>
      <c r="L858" t="n">
        <v>148.56</v>
      </c>
      <c r="M858" t="n">
        <v>149.5818</v>
      </c>
      <c r="N858" t="n">
        <v>216.0978</v>
      </c>
      <c r="O858" t="n">
        <v/>
      </c>
      <c r="P858" t="n">
        <v/>
      </c>
      <c r="Q858" t="n">
        <v>137.0909</v>
      </c>
      <c r="R858" t="n">
        <v>185.4976</v>
      </c>
      <c r="S858" t="n">
        <v>126.8051</v>
      </c>
      <c r="T858" t="n">
        <v/>
      </c>
      <c r="U858" t="n">
        <v/>
      </c>
      <c r="V858" t="n">
        <v>158.9272</v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>180.606</v>
      </c>
      <c r="AE858" t="n">
        <v>156.0705</v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>145.7663</v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10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58" activePane="bottomLeft" state="frozen"/>
      <selection pane="bottomLeft" activeCell="A259" sqref="A259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3"/>
  <sheetViews>
    <sheetView zoomScale="180" zoomScaleNormal="180" workbookViewId="0">
      <pane ySplit="5" topLeftCell="A755" activePane="bottomLeft" state="frozen"/>
      <selection pane="bottomLeft" activeCell="D766" sqref="D766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63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63">
        <f>(Table3032[[#This Row],[Real M1 Money Stock]]-B751)/B751</f>
        <v/>
      </c>
    </row>
  </sheetData>
  <conditionalFormatting sqref="C18:C763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3"/>
  <sheetViews>
    <sheetView zoomScale="170" zoomScaleNormal="170" workbookViewId="0">
      <pane ySplit="5" topLeftCell="A748" activePane="bottomLeft" state="frozen"/>
      <selection pane="bottomLeft" activeCell="J764" sqref="J764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6" min="4" max="6"/>
    <col width="13.33203125" customWidth="1" style="76" min="7" max="7"/>
    <col width="9.1640625" customWidth="1" style="76" min="8" max="22"/>
    <col width="9.1640625" customWidth="1" style="76" min="23" max="16384"/>
  </cols>
  <sheetData>
    <row r="1">
      <c r="A1" s="1" t="inlineStr">
        <is>
          <t>https://fred.stlouisfed.org/series/M2REAL</t>
        </is>
      </c>
    </row>
    <row r="2">
      <c r="A2" s="76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63">
        <f>(Table30[[#This Row],[Real M2 Money Stock]]-B751)/B751</f>
        <v/>
      </c>
    </row>
  </sheetData>
  <conditionalFormatting sqref="C18:C76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93" activePane="bottomLeft" state="frozen"/>
      <selection pane="bottomLeft" activeCell="A2404" sqref="A2404:F2410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s="77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3"/>
  <sheetViews>
    <sheetView zoomScale="160" zoomScaleNormal="160" workbookViewId="0">
      <pane ySplit="5" topLeftCell="A749" activePane="bottomLeft" state="frozen"/>
      <selection pane="bottomLeft" activeCell="G766" sqref="G766"/>
    </sheetView>
  </sheetViews>
  <sheetFormatPr baseColWidth="10" defaultColWidth="9.1640625" defaultRowHeight="15"/>
  <cols>
    <col width="16.6640625" customWidth="1" style="16" min="1" max="1"/>
    <col width="19" customWidth="1" style="76" min="2" max="2"/>
    <col width="14.6640625" customWidth="1" style="16" min="3" max="3"/>
    <col width="14.6640625" customWidth="1" style="76" min="4" max="4"/>
    <col width="9.1640625" customWidth="1" style="76" min="5" max="19"/>
    <col width="9.1640625" customWidth="1" style="76" min="20" max="16384"/>
  </cols>
  <sheetData>
    <row r="1">
      <c r="A1" t="inlineStr">
        <is>
          <t>https://fred.stlouisfed.org/series/M2SL</t>
        </is>
      </c>
    </row>
    <row r="2">
      <c r="A2" s="76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5" t="n">
        <v>44562</v>
      </c>
      <c r="B762" s="57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7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7" zoomScale="160" zoomScaleNormal="160" workbookViewId="0">
      <pane xSplit="4" topLeftCell="G1" activePane="topRight" state="frozen"/>
      <selection activeCell="A2" sqref="A2"/>
      <selection pane="topRight" activeCell="H32" sqref="H32"/>
    </sheetView>
  </sheetViews>
  <sheetFormatPr baseColWidth="10" defaultColWidth="9.1640625" defaultRowHeight="15"/>
  <cols>
    <col width="9.1640625" customWidth="1" style="76" min="1" max="3"/>
    <col width="28" customWidth="1" style="16" min="4" max="9"/>
    <col width="9.1640625" customWidth="1" style="76" min="10" max="24"/>
    <col width="9.1640625" customWidth="1" style="76" min="25" max="16384"/>
  </cols>
  <sheetData>
    <row r="2">
      <c r="D2" s="1" t="inlineStr">
        <is>
          <t>https://tradingeconomics.com/country-list/money-supply-m2?continent=g20</t>
        </is>
      </c>
    </row>
    <row r="7">
      <c r="D7" s="79" t="inlineStr">
        <is>
          <t>Country</t>
        </is>
      </c>
      <c r="E7" s="79" t="inlineStr">
        <is>
          <t>Last</t>
        </is>
      </c>
      <c r="F7" s="79" t="inlineStr">
        <is>
          <t>Month</t>
        </is>
      </c>
      <c r="G7" s="79" t="inlineStr">
        <is>
          <t>Previous</t>
        </is>
      </c>
      <c r="H7" s="79" t="inlineStr">
        <is>
          <t>mom annualized</t>
        </is>
      </c>
      <c r="I7" s="79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85" activePane="bottomRight" state="frozen"/>
      <selection pane="topRight" activeCell="B1" sqref="B1"/>
      <selection pane="bottomLeft" activeCell="A6" sqref="A6"/>
      <selection pane="bottomRight" activeCell="M91" sqref="M91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6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6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6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6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6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6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6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6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6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6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6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6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6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6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6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6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6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6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6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6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6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6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6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6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6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6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6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6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6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6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6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6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6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6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6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6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6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6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6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6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6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6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6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6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6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6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6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6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6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6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6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6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6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6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6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6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6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6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9"/>
  <sheetViews>
    <sheetView tabSelected="1" zoomScale="150" zoomScaleNormal="150" workbookViewId="0">
      <pane xSplit="2" ySplit="5" topLeftCell="D75" activePane="bottomRight" state="frozen"/>
      <selection pane="topRight" activeCell="C1" sqref="C1"/>
      <selection pane="bottomLeft" activeCell="A6" sqref="A6"/>
      <selection pane="bottomRight" activeCell="J92" sqref="J92"/>
    </sheetView>
  </sheetViews>
  <sheetFormatPr baseColWidth="10" defaultColWidth="8.83203125" defaultRowHeight="15"/>
  <cols>
    <col width="10.6640625" bestFit="1" customWidth="1" style="76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6" min="28" max="28"/>
    <col width="12.33203125" customWidth="1" style="76" min="29" max="29"/>
    <col width="9.1640625" customWidth="1" style="76" min="30" max="30"/>
    <col width="10.6640625" customWidth="1" style="76" min="31" max="31"/>
    <col width="10.6640625" bestFit="1" customWidth="1" style="76" min="32" max="32"/>
    <col width="9.1640625" customWidth="1" style="76" min="33" max="73"/>
  </cols>
  <sheetData>
    <row r="1" customFormat="1" s="76">
      <c r="C1" s="76" t="inlineStr">
        <is>
          <t>OECD</t>
        </is>
      </c>
      <c r="D1" s="76" t="inlineStr">
        <is>
          <t>USA</t>
        </is>
      </c>
      <c r="E1" s="76" t="inlineStr">
        <is>
          <t>CHN</t>
        </is>
      </c>
      <c r="F1" s="76" t="inlineStr">
        <is>
          <t>EA19</t>
        </is>
      </c>
      <c r="G1" s="76" t="inlineStr">
        <is>
          <t>JPN</t>
        </is>
      </c>
      <c r="H1" s="76" t="inlineStr">
        <is>
          <t>GBR</t>
        </is>
      </c>
      <c r="I1" s="76" t="inlineStr">
        <is>
          <t>CHE</t>
        </is>
      </c>
      <c r="J1" s="76" t="inlineStr">
        <is>
          <t>SWE</t>
        </is>
      </c>
      <c r="K1" s="76" t="inlineStr">
        <is>
          <t>NOR</t>
        </is>
      </c>
      <c r="L1" s="76" t="inlineStr">
        <is>
          <t>BRA</t>
        </is>
      </c>
      <c r="M1" s="76" t="inlineStr">
        <is>
          <t>MEX</t>
        </is>
      </c>
      <c r="N1" s="76" t="inlineStr">
        <is>
          <t>RUS</t>
        </is>
      </c>
      <c r="O1" s="76" t="inlineStr">
        <is>
          <t>IND</t>
        </is>
      </c>
      <c r="P1" s="76" t="inlineStr">
        <is>
          <t>CAN</t>
        </is>
      </c>
      <c r="Q1" s="76" t="inlineStr">
        <is>
          <t>AUS</t>
        </is>
      </c>
      <c r="R1" s="76" t="inlineStr">
        <is>
          <t>IDN</t>
        </is>
      </c>
      <c r="S1" s="76" t="inlineStr">
        <is>
          <t>KOR</t>
        </is>
      </c>
      <c r="T1" s="76" t="inlineStr">
        <is>
          <t>CHL</t>
        </is>
      </c>
      <c r="U1" s="76" t="inlineStr">
        <is>
          <t>DNK</t>
        </is>
      </c>
      <c r="V1" s="76" t="inlineStr">
        <is>
          <t>ISR</t>
        </is>
      </c>
      <c r="W1" s="76" t="inlineStr">
        <is>
          <t>TUR</t>
        </is>
      </c>
      <c r="X1" s="76" t="inlineStr">
        <is>
          <t>ZAF</t>
        </is>
      </c>
      <c r="Y1" s="76" t="inlineStr">
        <is>
          <t>NZL</t>
        </is>
      </c>
      <c r="Z1" s="76" t="inlineStr">
        <is>
          <t>CZE</t>
        </is>
      </c>
      <c r="AA1" s="76" t="inlineStr">
        <is>
          <t>POL</t>
        </is>
      </c>
      <c r="AI1" s="76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6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6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6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6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6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6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6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6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6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6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6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6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6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6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6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6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6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6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6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6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6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6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6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6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6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6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6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6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6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6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6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6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6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6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6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6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6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6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6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6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6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6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6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6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6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6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6"/>
    <row r="91" customFormat="1" s="76"/>
    <row r="92" customFormat="1" s="76"/>
    <row r="93" customFormat="1" s="76"/>
    <row r="94" customFormat="1" s="76"/>
    <row r="95" customFormat="1" s="76"/>
    <row r="96" customFormat="1" s="76"/>
    <row r="97" customFormat="1" s="76"/>
    <row r="98" customFormat="1" s="76"/>
    <row r="99" customFormat="1" s="76"/>
    <row r="100" customFormat="1" s="76"/>
    <row r="101" customFormat="1" s="76"/>
    <row r="102" customFormat="1" s="76"/>
    <row r="103" customFormat="1" s="76"/>
    <row r="104" customFormat="1" s="76"/>
    <row r="105" customFormat="1" s="76"/>
    <row r="106" customFormat="1" s="76"/>
    <row r="107" customFormat="1" s="76"/>
    <row r="108" customFormat="1" s="76"/>
    <row r="109" customFormat="1" s="76"/>
    <row r="110" customFormat="1" s="76"/>
    <row r="111" customFormat="1" s="76"/>
    <row r="112" customFormat="1" s="76"/>
    <row r="113" customFormat="1" s="76"/>
    <row r="114" customFormat="1" s="76"/>
    <row r="115" customFormat="1" s="76"/>
    <row r="116" customFormat="1" s="76"/>
    <row r="117" customFormat="1" s="76"/>
    <row r="118" customFormat="1" s="76"/>
    <row r="119" customFormat="1" s="76"/>
    <row r="120" customFormat="1" s="76"/>
    <row r="121" customFormat="1" s="76"/>
    <row r="122" customFormat="1" s="76"/>
    <row r="123" customFormat="1" s="76"/>
    <row r="124" customFormat="1" s="76"/>
    <row r="125" customFormat="1" s="76"/>
    <row r="126" customFormat="1" s="76"/>
    <row r="127" customFormat="1" s="76"/>
    <row r="128" customFormat="1" s="76"/>
    <row r="129" customFormat="1" s="76"/>
    <row r="130" customFormat="1" s="76"/>
    <row r="131" customFormat="1" s="76"/>
    <row r="132" customFormat="1" s="76"/>
    <row r="133" customFormat="1" s="76"/>
    <row r="134" customFormat="1" s="76"/>
    <row r="135" customFormat="1" s="76"/>
    <row r="136" customFormat="1" s="76"/>
    <row r="137" customFormat="1" s="76"/>
    <row r="138" customFormat="1" s="76"/>
    <row r="139" customFormat="1" s="76"/>
    <row r="140" customFormat="1" s="76"/>
    <row r="141" customFormat="1" s="76"/>
    <row r="142" customFormat="1" s="76"/>
    <row r="143" customFormat="1" s="76"/>
    <row r="144" customFormat="1" s="76"/>
    <row r="145" customFormat="1" s="76"/>
    <row r="146" customFormat="1" s="76"/>
    <row r="147" customFormat="1" s="76"/>
    <row r="148" customFormat="1" s="76"/>
    <row r="149" customFormat="1" s="76"/>
    <row r="150" customFormat="1" s="76"/>
    <row r="151" customFormat="1" s="76"/>
    <row r="152" customFormat="1" s="76"/>
    <row r="153" customFormat="1" s="76"/>
    <row r="154" customFormat="1" s="76"/>
    <row r="155" customFormat="1" s="76"/>
    <row r="156" customFormat="1" s="76"/>
    <row r="157" customFormat="1" s="76"/>
    <row r="158" customFormat="1" s="76"/>
    <row r="159" customFormat="1" s="76"/>
    <row r="160" customFormat="1" s="76"/>
    <row r="161" customFormat="1" s="76"/>
    <row r="162" customFormat="1" s="76"/>
    <row r="163" customFormat="1" s="76"/>
    <row r="164" customFormat="1" s="76"/>
    <row r="165" customFormat="1" s="76"/>
    <row r="166" customFormat="1" s="76"/>
    <row r="167" customFormat="1" s="76"/>
    <row r="168" customFormat="1" s="76"/>
    <row r="169" customFormat="1" s="76"/>
    <row r="170" customFormat="1" s="76"/>
    <row r="171" customFormat="1" s="76"/>
    <row r="172" customFormat="1" s="76"/>
    <row r="173" customFormat="1" s="76"/>
    <row r="174" customFormat="1" s="76"/>
    <row r="175" customFormat="1" s="76"/>
    <row r="176" customFormat="1" s="76"/>
    <row r="177" customFormat="1" s="76"/>
    <row r="178" customFormat="1" s="76"/>
    <row r="179" customFormat="1" s="76"/>
    <row r="180" customFormat="1" s="76"/>
    <row r="181" customFormat="1" s="76"/>
    <row r="182" customFormat="1" s="76"/>
    <row r="183" customFormat="1" s="76"/>
    <row r="184" customFormat="1" s="76"/>
    <row r="185" customFormat="1" s="76"/>
    <row r="186" customFormat="1" s="76"/>
    <row r="187" customFormat="1" s="76"/>
    <row r="188" customFormat="1" s="76"/>
    <row r="189" customFormat="1" s="76"/>
    <row r="190" customFormat="1" s="76"/>
    <row r="191" customFormat="1" s="76"/>
    <row r="192" customFormat="1" s="76"/>
    <row r="193" customFormat="1" s="76"/>
    <row r="194" customFormat="1" s="76"/>
    <row r="195" customFormat="1" s="76"/>
    <row r="196" customFormat="1" s="76"/>
    <row r="197" customFormat="1" s="76"/>
    <row r="198" customFormat="1" s="76"/>
    <row r="199" customFormat="1" s="76"/>
    <row r="200" customFormat="1" s="76"/>
    <row r="201" customFormat="1" s="76"/>
    <row r="202" customFormat="1" s="76"/>
    <row r="203" customFormat="1" s="76"/>
    <row r="204" customFormat="1" s="76"/>
    <row r="205" customFormat="1" s="76"/>
    <row r="206" customFormat="1" s="76"/>
    <row r="207" customFormat="1" s="76"/>
    <row r="208" customFormat="1" s="76"/>
    <row r="209" customFormat="1" s="76"/>
    <row r="210" customFormat="1" s="76"/>
    <row r="211" customFormat="1" s="76"/>
    <row r="212" customFormat="1" s="76"/>
    <row r="213" customFormat="1" s="76"/>
    <row r="214" customFormat="1" s="76"/>
    <row r="215" customFormat="1" s="76"/>
    <row r="216" customFormat="1" s="76"/>
    <row r="217" customFormat="1" s="76"/>
    <row r="218" customFormat="1" s="76"/>
    <row r="219" customFormat="1" s="76"/>
    <row r="220" customFormat="1" s="76"/>
    <row r="221" customFormat="1" s="76"/>
    <row r="222" customFormat="1" s="76"/>
    <row r="223" customFormat="1" s="76"/>
    <row r="224" customFormat="1" s="76"/>
    <row r="225" customFormat="1" s="76"/>
    <row r="226" customFormat="1" s="76"/>
    <row r="227" customFormat="1" s="76"/>
    <row r="228" customFormat="1" s="76"/>
    <row r="229" customFormat="1" s="76"/>
    <row r="230" customFormat="1" s="76"/>
    <row r="231" customFormat="1" s="76"/>
    <row r="232" customFormat="1" s="76"/>
    <row r="233" customFormat="1" s="76"/>
    <row r="234" customFormat="1" s="76"/>
    <row r="235" customFormat="1" s="76"/>
    <row r="236" customFormat="1" s="76"/>
    <row r="237" customFormat="1" s="76"/>
    <row r="238" customFormat="1" s="76"/>
    <row r="239" customFormat="1" s="76"/>
    <row r="240" customFormat="1" s="76"/>
    <row r="241" customFormat="1" s="76"/>
    <row r="242" customFormat="1" s="76"/>
    <row r="243" customFormat="1" s="76"/>
    <row r="244" customFormat="1" s="76"/>
    <row r="245" customFormat="1" s="76"/>
    <row r="246" customFormat="1" s="76"/>
    <row r="247" customFormat="1" s="76"/>
    <row r="248" customFormat="1" s="76"/>
    <row r="249" customFormat="1" s="76"/>
    <row r="250" customFormat="1" s="76"/>
    <row r="251" customFormat="1" s="76"/>
    <row r="252" customFormat="1" s="76"/>
    <row r="253" customFormat="1" s="76"/>
    <row r="254" customFormat="1" s="76"/>
    <row r="255" customFormat="1" s="76"/>
    <row r="256" customFormat="1" s="76"/>
    <row r="257" customFormat="1" s="76"/>
    <row r="258" customFormat="1" s="76"/>
    <row r="259" customFormat="1" s="76"/>
    <row r="260" customFormat="1" s="76"/>
    <row r="261" customFormat="1" s="76"/>
    <row r="262" customFormat="1" s="76"/>
    <row r="263" customFormat="1" s="76"/>
    <row r="264" customFormat="1" s="76"/>
    <row r="265" customFormat="1" s="76"/>
    <row r="266" customFormat="1" s="76"/>
    <row r="267" customFormat="1" s="76"/>
    <row r="268" customFormat="1" s="76"/>
    <row r="269" customFormat="1" s="76"/>
    <row r="270" customFormat="1" s="76"/>
    <row r="271" customFormat="1" s="76"/>
    <row r="272" customFormat="1" s="76"/>
    <row r="273" customFormat="1" s="76"/>
    <row r="274" customFormat="1" s="76"/>
    <row r="275" customFormat="1" s="76"/>
    <row r="276" customFormat="1" s="76"/>
    <row r="277" customFormat="1" s="76"/>
    <row r="278" customFormat="1" s="76"/>
    <row r="279" customFormat="1" s="76"/>
    <row r="280" customFormat="1" s="76"/>
    <row r="281" customFormat="1" s="76"/>
    <row r="282" customFormat="1" s="76"/>
    <row r="283" customFormat="1" s="76"/>
    <row r="284" customFormat="1" s="76"/>
    <row r="285" customFormat="1" s="76"/>
    <row r="286" customFormat="1" s="76"/>
    <row r="287" customFormat="1" s="76"/>
    <row r="288" customFormat="1" s="76"/>
    <row r="289" customFormat="1" s="76"/>
    <row r="290" customFormat="1" s="76"/>
    <row r="291" customFormat="1" s="76"/>
    <row r="292" customFormat="1" s="76"/>
    <row r="293" customFormat="1" s="76"/>
    <row r="294" customFormat="1" s="76"/>
    <row r="295" customFormat="1" s="76"/>
    <row r="296" customFormat="1" s="76"/>
    <row r="297" customFormat="1" s="76"/>
    <row r="298" customFormat="1" s="76"/>
    <row r="299" customFormat="1" s="76"/>
    <row r="300" customFormat="1" s="76"/>
    <row r="301" customFormat="1" s="76"/>
    <row r="302" customFormat="1" s="76"/>
    <row r="303" customFormat="1" s="76"/>
    <row r="304" customFormat="1" s="76"/>
    <row r="305" customFormat="1" s="76"/>
    <row r="306" customFormat="1" s="76"/>
    <row r="307" customFormat="1" s="76"/>
    <row r="308" customFormat="1" s="76"/>
    <row r="309" customFormat="1" s="76"/>
    <row r="310" customFormat="1" s="76"/>
    <row r="311" customFormat="1" s="76"/>
    <row r="312" customFormat="1" s="76"/>
    <row r="313" customFormat="1" s="76"/>
    <row r="314" customFormat="1" s="76"/>
    <row r="315" customFormat="1" s="76"/>
    <row r="316" customFormat="1" s="76"/>
    <row r="317" customFormat="1" s="76"/>
    <row r="318" customFormat="1" s="76"/>
    <row r="319" customFormat="1" s="76"/>
    <row r="320" customFormat="1" s="76"/>
    <row r="321" customFormat="1" s="76"/>
    <row r="322" customFormat="1" s="76"/>
    <row r="323" customFormat="1" s="76"/>
    <row r="324" customFormat="1" s="76"/>
    <row r="325" customFormat="1" s="76"/>
    <row r="326" customFormat="1" s="76"/>
    <row r="327" customFormat="1" s="76"/>
    <row r="328" customFormat="1" s="76"/>
    <row r="329" customFormat="1" s="76"/>
    <row r="330" customFormat="1" s="76"/>
    <row r="331" customFormat="1" s="76"/>
    <row r="332" customFormat="1" s="76"/>
    <row r="333" customFormat="1" s="76"/>
    <row r="334" customFormat="1" s="76"/>
    <row r="335" customFormat="1" s="76"/>
    <row r="336" customFormat="1" s="76"/>
    <row r="337" customFormat="1" s="76"/>
    <row r="338" customFormat="1" s="76"/>
    <row r="339" customFormat="1" s="76"/>
    <row r="340" customFormat="1" s="76"/>
    <row r="341" customFormat="1" s="76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9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700" activePane="bottomLeft" state="frozen"/>
      <selection pane="bottomLeft" activeCell="T733" sqref="T733"/>
    </sheetView>
  </sheetViews>
  <sheetFormatPr baseColWidth="10" defaultColWidth="9.1640625" defaultRowHeight="15"/>
  <cols>
    <col width="12" customWidth="1" style="76" min="1" max="1"/>
    <col width="14.33203125" customWidth="1" style="76" min="2" max="2"/>
    <col width="11.1640625" customWidth="1" style="16" min="3" max="4"/>
    <col width="9.1640625" customWidth="1" style="76" min="5" max="5"/>
    <col width="20.33203125" customWidth="1" style="76" min="6" max="6"/>
    <col width="14.6640625" customWidth="1" style="76" min="7" max="7"/>
    <col width="9.1640625" customWidth="1" style="76" min="8" max="22"/>
    <col width="9.1640625" customWidth="1" style="76" min="23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6">
        <f>"Money Supply M3 "&amp;A1</f>
        <v/>
      </c>
      <c r="G1" s="76">
        <f>F1&amp;" mom annualized"</f>
        <v/>
      </c>
    </row>
    <row r="2">
      <c r="F2" s="76" t="inlineStr">
        <is>
          <t>Average last 20 years</t>
        </is>
      </c>
      <c r="G2" s="37">
        <f>AVERAGE(D469:D708)</f>
        <v/>
      </c>
    </row>
    <row r="3">
      <c r="F3" s="76" t="inlineStr">
        <is>
          <t>Minimum last 20 years</t>
        </is>
      </c>
      <c r="G3" s="37">
        <f>MIN(D469:D738)</f>
        <v/>
      </c>
    </row>
    <row r="4" ht="16" customHeight="1" s="67" thickBot="1">
      <c r="F4" s="76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2022-04-02T13:15:04Z</dcterms:modified>
  <cp:lastModifiedBy>Mark Mukherjee</cp:lastModifiedBy>
</cp:coreProperties>
</file>